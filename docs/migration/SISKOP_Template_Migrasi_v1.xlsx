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comments10.xml" ContentType="application/vnd.openxmlformats-officedocument.spreadsheetml.comments+xml"/>
  <Override PartName="/xl/workbook.xml" ContentType="application/vnd.openxmlformats-officedocument.spreadsheetml.sheet.main+xml"/>
  <Override PartName="/xl/comments7.xml" ContentType="application/vnd.openxmlformats-officedocument.spreadsheetml.comments+xml"/>
  <Override PartName="/xl/comments3.xml" ContentType="application/vnd.openxmlformats-officedocument.spreadsheetml.comments+xml"/>
  <Override PartName="/xl/comments8.xml" ContentType="application/vnd.openxmlformats-officedocument.spreadsheetml.comment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10.xml.rels" ContentType="application/vnd.openxmlformats-package.relationships+xml"/>
  <Override PartName="/xl/worksheets/_rels/sheet4.xml.rels" ContentType="application/vnd.openxmlformats-package.relationships+xml"/>
  <Override PartName="/xl/worksheets/_rels/sheet9.xml.rels" ContentType="application/vnd.openxmlformats-package.relationships+xml"/>
  <Override PartName="/xl/worksheets/_rels/sheet8.xml.rels" ContentType="application/vnd.openxmlformats-package.relationships+xml"/>
  <Override PartName="/xl/worksheets/_rels/sheet7.xml.rels" ContentType="application/vnd.openxmlformats-package.relationships+xml"/>
  <Override PartName="/xl/worksheets/_rels/sheet6.xml.rels" ContentType="application/vnd.openxmlformats-package.relationships+xml"/>
  <Override PartName="/xl/worksheets/_rels/sheet5.xml.rels" ContentType="application/vnd.openxmlformats-package.relationships+xml"/>
  <Override PartName="/xl/worksheets/_rels/sheet3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comments9.xml" ContentType="application/vnd.openxmlformats-officedocument.spreadsheetml.comments+xml"/>
  <Override PartName="/xl/drawings/vmlDrawing1.vml" ContentType="application/vnd.openxmlformats-officedocument.vmlDrawing"/>
  <Override PartName="/xl/drawings/vmlDrawing2.vml" ContentType="application/vnd.openxmlformats-officedocument.vmlDrawing"/>
  <Override PartName="/xl/drawings/vmlDrawing3.vml" ContentType="application/vnd.openxmlformats-officedocument.vmlDrawing"/>
  <Override PartName="/xl/drawings/vmlDrawing4.vml" ContentType="application/vnd.openxmlformats-officedocument.vmlDrawing"/>
  <Override PartName="/xl/drawings/vmlDrawing5.vml" ContentType="application/vnd.openxmlformats-officedocument.vmlDrawing"/>
  <Override PartName="/xl/drawings/vmlDrawing6.vml" ContentType="application/vnd.openxmlformats-officedocument.vmlDrawing"/>
  <Override PartName="/xl/drawings/vmlDrawing7.vml" ContentType="application/vnd.openxmlformats-officedocument.vmlDrawing"/>
  <Override PartName="/xl/drawings/vmlDrawing8.vml" ContentType="application/vnd.openxmlformats-officedocument.vmlDrawing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styles.xml" ContentType="application/vnd.openxmlformats-officedocument.spreadsheetml.styles+xml"/>
  <Override PartName="/xl/comments6.xml" ContentType="application/vnd.openxmlformats-officedocument.spreadsheetml.comment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etunjuk" sheetId="1" state="visible" r:id="rId3"/>
    <sheet name="Info_Koperasi" sheetId="2" state="visible" r:id="rId4"/>
    <sheet name="Unit" sheetId="3" state="visible" r:id="rId5"/>
    <sheet name="Neraca" sheetId="4" state="visible" r:id="rId6"/>
    <sheet name="Produk" sheetId="5" state="visible" r:id="rId7"/>
    <sheet name="Anggota" sheetId="6" state="visible" r:id="rId8"/>
    <sheet name="Simpanan" sheetId="7" state="visible" r:id="rId9"/>
    <sheet name="Pembiayaan" sheetId="8" state="visible" r:id="rId10"/>
    <sheet name="Penyesuaian" sheetId="9" state="visible" r:id="rId11"/>
    <sheet name="Aset_Tetap" sheetId="10" state="visible" r:id="rId12"/>
    <sheet name="Rekonsiliasi" sheetId="11" state="visible" r:id="rId13"/>
    <sheet name="Daftar" sheetId="12" state="hidden" r:id="rId1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3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1" authorId="0">
      <text>
        <r>
          <rPr>
            <sz val="10"/>
            <rFont val="Arial"/>
            <family val="2"/>
          </rPr>
          <t xml:space="preserve">WAJIB. Kode singkat unit, dipakai di sheet lain. Contoh: KSP01.</t>
        </r>
      </text>
    </comment>
    <comment ref="B1" authorId="0">
      <text>
        <r>
          <rPr>
            <sz val="10"/>
            <rFont val="Arial"/>
            <family val="2"/>
          </rPr>
          <t xml:space="preserve">WAJIB. Nama unit usaha. Setiap koperasi minimal punya 1 unit.</t>
        </r>
      </text>
    </comment>
    <comment ref="C1" authorId="0">
      <text>
        <r>
          <rPr>
            <sz val="10"/>
            <rFont val="Arial"/>
            <family val="2"/>
          </rPr>
          <t xml:space="preserve">WAJIB. KSP / KONSUMEN / PRODUSEN / JASA / PEMASARAN.</t>
        </r>
      </text>
    </comment>
  </commentList>
</comments>
</file>

<file path=xl/comments4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1" authorId="0">
      <text>
        <r>
          <rPr>
            <sz val="10"/>
            <rFont val="Arial"/>
            <family val="2"/>
          </rPr>
          <t xml:space="preserve">WAJIB. Kode akun COA SISKOP (mis. 1-1000). Unik.</t>
        </r>
      </text>
    </comment>
    <comment ref="B1" authorId="0">
      <text>
        <r>
          <rPr>
            <sz val="10"/>
            <rFont val="Arial"/>
            <family val="2"/>
          </rPr>
          <t xml:space="preserve">WAJIB. Nama akun di SISKOP.</t>
        </r>
      </text>
    </comment>
    <comment ref="C1" authorId="0">
      <text>
        <r>
          <rPr>
            <sz val="10"/>
            <rFont val="Arial"/>
            <family val="2"/>
          </rPr>
          <t xml:space="preserve">WAJIB. ASET / KEWAJIBAN / EKUITAS (neraca pembuka saja).</t>
        </r>
      </text>
    </comment>
    <comment ref="D1" authorId="0">
      <text>
        <r>
          <rPr>
            <sz val="10"/>
            <rFont val="Arial"/>
            <family val="2"/>
          </rPr>
          <t xml:space="preserve">WAJIB. DEBIT atau KREDIT. Akun kontra (mis. akumulasi penyusutan) = kebalikan kategorinya.</t>
        </r>
      </text>
    </comment>
    <comment ref="E1" authorId="0">
      <text>
        <r>
          <rPr>
            <sz val="10"/>
            <rFont val="Arial"/>
            <family val="2"/>
          </rPr>
          <t xml:space="preserve">Opsional. Wajib untuk EKUITAS: dipakai untuk Modal Sendiri &amp; Laporan Perubahan Ekuitas.</t>
        </r>
      </text>
    </comment>
    <comment ref="F1" authorId="0">
      <text>
        <r>
          <rPr>
            <sz val="10"/>
            <rFont val="Arial"/>
            <family val="2"/>
          </rPr>
          <t xml:space="preserve">Opsional. Unit pemilik saldo. Kosong = tingkat koperasi (tak teralokasi).</t>
        </r>
      </text>
    </comment>
    <comment ref="G1" authorId="0">
      <text>
        <r>
          <rPr>
            <sz val="10"/>
            <rFont val="Arial"/>
            <family val="2"/>
          </rPr>
          <t xml:space="preserve">WAJIB. Saldo per tanggal cutover, positif searah saldo normal. Angka murni, tanpa 'Rp'.</t>
        </r>
      </text>
    </comment>
    <comment ref="H1" authorId="0">
      <text>
        <r>
          <rPr>
            <sz val="10"/>
            <rFont val="Arial"/>
            <family val="2"/>
          </rPr>
          <t xml:space="preserve">WAJIB. Nama baris persis seperti di Neraca RAT klien — untuk ditelusuri.</t>
        </r>
      </text>
    </comment>
  </commentList>
</comments>
</file>

<file path=xl/comments5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1" authorId="0">
      <text>
        <r>
          <rPr>
            <sz val="10"/>
            <rFont val="Arial"/>
            <family val="2"/>
          </rPr>
          <t xml:space="preserve">WAJIB. Kode singkat produk, dipakai di Simpanan/Pembiayaan. Contoh: SW, SSK, MRB.</t>
        </r>
      </text>
    </comment>
    <comment ref="B1" authorId="0">
      <text>
        <r>
          <rPr>
            <sz val="10"/>
            <rFont val="Arial"/>
            <family val="2"/>
          </rPr>
          <t xml:space="preserve">WAJIB. Nama produk di SISKOP.</t>
        </r>
      </text>
    </comment>
    <comment ref="C1" authorId="0">
      <text>
        <r>
          <rPr>
            <sz val="10"/>
            <rFont val="Arial"/>
            <family val="2"/>
          </rPr>
          <t xml:space="preserve">WAJIB. SIMPANAN atau PEMBIAYAAN.</t>
        </r>
      </text>
    </comment>
    <comment ref="D1" authorId="0">
      <text>
        <r>
          <rPr>
            <sz val="10"/>
            <rFont val="Arial"/>
            <family val="2"/>
          </rPr>
          <t xml:space="preserve">Opsional. Untuk SIMPANAN: POKOK / WAJIB / SUKARELA.</t>
        </r>
      </text>
    </comment>
    <comment ref="E1" authorId="0">
      <text>
        <r>
          <rPr>
            <sz val="10"/>
            <rFont val="Arial"/>
            <family val="2"/>
          </rPr>
          <t xml:space="preserve">Opsional. Untuk PEMBIAYAAN: SYARIAH / KONVENSIONAL.</t>
        </r>
      </text>
    </comment>
    <comment ref="F1" authorId="0">
      <text>
        <r>
          <rPr>
            <sz val="10"/>
            <rFont val="Arial"/>
            <family val="2"/>
          </rPr>
          <t xml:space="preserve">WAJIB. BUNGA / BAGI_HASIL / MARGIN / HARIAN.</t>
        </r>
      </text>
    </comment>
    <comment ref="G1" authorId="0">
      <text>
        <r>
          <rPr>
            <sz val="10"/>
            <rFont val="Arial"/>
            <family val="2"/>
          </rPr>
          <t xml:space="preserve">WAJIB. Tarif dalam persen (2.5 = 2,5%). Isi 0 jika tidak ada.</t>
        </r>
      </text>
    </comment>
    <comment ref="H1" authorId="0">
      <text>
        <r>
          <rPr>
            <sz val="10"/>
            <rFont val="Arial"/>
            <family val="2"/>
          </rPr>
          <t xml:space="preserve">Opsional. Untuk SIMPANAN: DAILY / MONTHLY / YEARLY.</t>
        </r>
      </text>
    </comment>
    <comment ref="I1" authorId="0">
      <text>
        <r>
          <rPr>
            <sz val="10"/>
            <rFont val="Arial"/>
            <family val="2"/>
          </rPr>
          <t xml:space="preserve">Opsional. Untuk PEMBIAYAAN: tenor maksimum.</t>
        </r>
      </text>
    </comment>
    <comment ref="J1" authorId="0">
      <text>
        <r>
          <rPr>
            <sz val="10"/>
            <rFont val="Arial"/>
            <family val="2"/>
          </rPr>
          <t xml:space="preserve">WAJIB. Akun Neraca tempat saldo produk ini tercatat. Beberapa produk boleh ke satu akun.</t>
        </r>
      </text>
    </comment>
    <comment ref="K1" authorId="0">
      <text>
        <r>
          <rPr>
            <sz val="10"/>
            <rFont val="Arial"/>
            <family val="2"/>
          </rPr>
          <t xml:space="preserve">WAJIB. Unit pemilik produk.</t>
        </r>
      </text>
    </comment>
    <comment ref="L1" authorId="0">
      <text>
        <r>
          <rPr>
            <sz val="10"/>
            <rFont val="Arial"/>
            <family val="2"/>
          </rPr>
          <t xml:space="preserve">WAJIB. Nama produk/kolom di berkas klien, mis. 'Tabungan Qurban'.</t>
        </r>
      </text>
    </comment>
  </commentList>
</comments>
</file>

<file path=xl/comments6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1" authorId="0">
      <text>
        <r>
          <rPr>
            <sz val="10"/>
            <rFont val="Arial"/>
            <family val="2"/>
          </rPr>
          <t xml:space="preserve">WAJIB. Nomor anggota di sistem/berkas lama. Disimpan sebagai teks. Harus unik di file ini — jika klien memakai nomor yang sama untuk 2 orang, beri akhiran (226-A, 226-B) dan catat.</t>
        </r>
      </text>
    </comment>
    <comment ref="B1" authorId="0">
      <text>
        <r>
          <rPr>
            <sz val="10"/>
            <rFont val="Arial"/>
            <family val="2"/>
          </rPr>
          <t xml:space="preserve">WAJIB. Nama sesuai KTP, gelar boleh ikut. Hapus catatan seperti '(M)', '(jukir)' ke kolom catatan.</t>
        </r>
      </text>
    </comment>
    <comment ref="C1" authorId="0">
      <text>
        <r>
          <rPr>
            <sz val="10"/>
            <rFont val="Arial"/>
            <family val="2"/>
          </rPr>
          <t xml:space="preserve">Opsional. 16 digit, format TEKS. Kosong = anggota ditandai data belum lengkap, KYC dilengkapi setelah go-live. JANGAN mengarang NIK.</t>
        </r>
      </text>
    </comment>
    <comment ref="D1" authorId="0">
      <text>
        <r>
          <rPr>
            <sz val="10"/>
            <rFont val="Arial"/>
            <family val="2"/>
          </rPr>
          <t xml:space="preserve">Opsional. Alamat KTP.</t>
        </r>
      </text>
    </comment>
    <comment ref="E1" authorId="0">
      <text>
        <r>
          <rPr>
            <sz val="10"/>
            <rFont val="Arial"/>
            <family val="2"/>
          </rPr>
          <t xml:space="preserve">Opsional. </t>
        </r>
      </text>
    </comment>
    <comment ref="F1" authorId="0">
      <text>
        <r>
          <rPr>
            <sz val="10"/>
            <rFont val="Arial"/>
            <family val="2"/>
          </rPr>
          <t xml:space="preserve">Opsional. dd/mm/yyyy.</t>
        </r>
      </text>
    </comment>
    <comment ref="G1" authorId="0">
      <text>
        <r>
          <rPr>
            <sz val="10"/>
            <rFont val="Arial"/>
            <family val="2"/>
          </rPr>
          <t xml:space="preserve">Opsional. </t>
        </r>
      </text>
    </comment>
    <comment ref="H1" authorId="0">
      <text>
        <r>
          <rPr>
            <sz val="10"/>
            <rFont val="Arial"/>
            <family val="2"/>
          </rPr>
          <t xml:space="preserve">Opsional. Format teks, mis. 081234567890.</t>
        </r>
      </text>
    </comment>
    <comment ref="I1" authorId="0">
      <text>
        <r>
          <rPr>
            <sz val="10"/>
            <rFont val="Arial"/>
            <family val="2"/>
          </rPr>
          <t xml:space="preserve">Opsional. Tanggal menjadi anggota, dd/mm/yyyy.</t>
        </r>
      </text>
    </comment>
    <comment ref="J1" authorId="0">
      <text>
        <r>
          <rPr>
            <sz val="10"/>
            <rFont val="Arial"/>
            <family val="2"/>
          </rPr>
          <t xml:space="preserve">WAJIB. AKTIF atau KELUAR (keluar tapi masih punya saldo).</t>
        </r>
      </text>
    </comment>
    <comment ref="K1" authorId="0">
      <text>
        <r>
          <rPr>
            <sz val="10"/>
            <rFont val="Arial"/>
            <family val="2"/>
          </rPr>
          <t xml:space="preserve">Opsional. Y jika pengurus (batas pinjaman pihak terkait).</t>
        </r>
      </text>
    </comment>
    <comment ref="L1" authorId="0">
      <text>
        <r>
          <rPr>
            <sz val="10"/>
            <rFont val="Arial"/>
            <family val="2"/>
          </rPr>
          <t xml:space="preserve">Opsional. Y jika pengawas.</t>
        </r>
      </text>
    </comment>
    <comment ref="M1" authorId="0">
      <text>
        <r>
          <rPr>
            <sz val="10"/>
            <rFont val="Arial"/>
            <family val="2"/>
          </rPr>
          <t xml:space="preserve">WAJIB. Unit tempat anggota terdaftar.</t>
        </r>
      </text>
    </comment>
    <comment ref="N1" authorId="0">
      <text>
        <r>
          <rPr>
            <sz val="10"/>
            <rFont val="Arial"/>
            <family val="2"/>
          </rPr>
          <t xml:space="preserve">Opsional. Catatan konversi, mis. 'nama di sheet pembiayaan: Solikin, ST MT'.</t>
        </r>
      </text>
    </comment>
    <comment ref="O1" authorId="0">
      <text>
        <r>
          <rPr>
            <sz val="10"/>
            <rFont val="Arial"/>
            <family val="2"/>
          </rPr>
          <t xml:space="preserve">OTOMATIS — jangan diisi. Otomatis: GANDA jika noAnggotaLama muncul lebih dari sekali.</t>
        </r>
      </text>
    </comment>
    <comment ref="P1" authorId="0">
      <text>
        <r>
          <rPr>
            <sz val="10"/>
            <rFont val="Arial"/>
            <family val="2"/>
          </rPr>
          <t xml:space="preserve">OTOMATIS — jangan diisi. Otomatis: OK / KOSONG / TIDAK VALID.</t>
        </r>
      </text>
    </comment>
  </commentList>
</comments>
</file>

<file path=xl/comments7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1" authorId="0">
      <text>
        <r>
          <rPr>
            <sz val="10"/>
            <rFont val="Arial"/>
            <family val="2"/>
          </rPr>
          <t xml:space="preserve">WAJIB. Harus ada di sheet Anggota.</t>
        </r>
      </text>
    </comment>
    <comment ref="B1" authorId="0">
      <text>
        <r>
          <rPr>
            <sz val="10"/>
            <rFont val="Arial"/>
            <family val="2"/>
          </rPr>
          <t xml:space="preserve">Opsional. Hanya untuk pengecekan manual — sistem memakai noAnggotaLama.</t>
        </r>
      </text>
    </comment>
    <comment ref="C1" authorId="0">
      <text>
        <r>
          <rPr>
            <sz val="10"/>
            <rFont val="Arial"/>
            <family val="2"/>
          </rPr>
          <t xml:space="preserve">WAJIB. Kode dari sheet Produk (jenis SIMPANAN).</t>
        </r>
      </text>
    </comment>
    <comment ref="D1" authorId="0">
      <text>
        <r>
          <rPr>
            <sz val="10"/>
            <rFont val="Arial"/>
            <family val="2"/>
          </rPr>
          <t xml:space="preserve">WAJIB. Saldo per cutover. Satu baris per anggota per produk. Tidak boleh negatif.</t>
        </r>
      </text>
    </comment>
    <comment ref="E1" authorId="0">
      <text>
        <r>
          <rPr>
            <sz val="10"/>
            <rFont val="Arial"/>
            <family val="2"/>
          </rPr>
          <t xml:space="preserve">Opsional. </t>
        </r>
      </text>
    </comment>
    <comment ref="F1" authorId="0">
      <text>
        <r>
          <rPr>
            <sz val="10"/>
            <rFont val="Arial"/>
            <family val="2"/>
          </rPr>
          <t xml:space="preserve">OTOMATIS — jangan diisi. Otomatis: akun Neraca dari produk.</t>
        </r>
      </text>
    </comment>
    <comment ref="G1" authorId="0">
      <text>
        <r>
          <rPr>
            <sz val="10"/>
            <rFont val="Arial"/>
            <family val="2"/>
          </rPr>
          <t xml:space="preserve">OTOMATIS — jangan diisi. Otomatis: OK / TIDAK ADA di sheet Anggota.</t>
        </r>
      </text>
    </comment>
  </commentList>
</comments>
</file>

<file path=xl/comments8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1" authorId="0">
      <text>
        <r>
          <rPr>
            <sz val="10"/>
            <rFont val="Arial"/>
            <family val="2"/>
          </rPr>
          <t xml:space="preserve">WAJIB. Harus ada di sheet Anggota.</t>
        </r>
      </text>
    </comment>
    <comment ref="B1" authorId="0">
      <text>
        <r>
          <rPr>
            <sz val="10"/>
            <rFont val="Arial"/>
            <family val="2"/>
          </rPr>
          <t xml:space="preserve">Opsional. Hanya untuk pengecekan manual.</t>
        </r>
      </text>
    </comment>
    <comment ref="C1" authorId="0">
      <text>
        <r>
          <rPr>
            <sz val="10"/>
            <rFont val="Arial"/>
            <family val="2"/>
          </rPr>
          <t xml:space="preserve">WAJIB. Kode dari sheet Produk (jenis PEMBIAYAAN).</t>
        </r>
      </text>
    </comment>
    <comment ref="D1" authorId="0">
      <text>
        <r>
          <rPr>
            <sz val="10"/>
            <rFont val="Arial"/>
            <family val="2"/>
          </rPr>
          <t xml:space="preserve">Opsional. Nomor akad/kontrak bila ada. Satu baris = satu kontrak aktif.</t>
        </r>
      </text>
    </comment>
    <comment ref="E1" authorId="0">
      <text>
        <r>
          <rPr>
            <sz val="10"/>
            <rFont val="Arial"/>
            <family val="2"/>
          </rPr>
          <t xml:space="preserve">Opsional. Tanggal pencairan asli bila diketahui.</t>
        </r>
      </text>
    </comment>
    <comment ref="F1" authorId="0">
      <text>
        <r>
          <rPr>
            <sz val="10"/>
            <rFont val="Arial"/>
            <family val="2"/>
          </rPr>
          <t xml:space="preserve">Opsional. Plafon/pokok awal bila diketahui.</t>
        </r>
      </text>
    </comment>
    <comment ref="G1" authorId="0">
      <text>
        <r>
          <rPr>
            <sz val="10"/>
            <rFont val="Arial"/>
            <family val="2"/>
          </rPr>
          <t xml:space="preserve">Opsional. Tenor awal bila diketahui.</t>
        </r>
      </text>
    </comment>
    <comment ref="H1" authorId="0">
      <text>
        <r>
          <rPr>
            <sz val="10"/>
            <rFont val="Arial"/>
            <family val="2"/>
          </rPr>
          <t xml:space="preserve">WAJIB. Sisa pokok per cutover. Inilah yang dicocokkan ke Piutang di Neraca.</t>
        </r>
      </text>
    </comment>
    <comment ref="I1" authorId="0">
      <text>
        <r>
          <rPr>
            <sz val="10"/>
            <rFont val="Arial"/>
            <family val="2"/>
          </rPr>
          <t xml:space="preserve">Opsional. Syariah: sisa margin belum diterima. Konvensional: bunga tertunggak.</t>
        </r>
      </text>
    </comment>
    <comment ref="J1" authorId="0">
      <text>
        <r>
          <rPr>
            <sz val="10"/>
            <rFont val="Arial"/>
            <family val="2"/>
          </rPr>
          <t xml:space="preserve">Opsional. Angsuran pokok per bulan.</t>
        </r>
      </text>
    </comment>
    <comment ref="K1" authorId="0">
      <text>
        <r>
          <rPr>
            <sz val="10"/>
            <rFont val="Arial"/>
            <family val="2"/>
          </rPr>
          <t xml:space="preserve">Opsional. Angsuran margin/bunga (infaq) per bulan.</t>
        </r>
      </text>
    </comment>
    <comment ref="L1" authorId="0">
      <text>
        <r>
          <rPr>
            <sz val="10"/>
            <rFont val="Arial"/>
            <family val="2"/>
          </rPr>
          <t xml:space="preserve">WAJIB. Sisa jumlah bulan angsuran.</t>
        </r>
      </text>
    </comment>
    <comment ref="M1" authorId="0">
      <text>
        <r>
          <rPr>
            <sz val="10"/>
            <rFont val="Arial"/>
            <family val="2"/>
          </rPr>
          <t xml:space="preserve">Opsional. Hari keterlambatan per cutover. 0 jika lancar.</t>
        </r>
      </text>
    </comment>
    <comment ref="N1" authorId="0">
      <text>
        <r>
          <rPr>
            <sz val="10"/>
            <rFont val="Arial"/>
            <family val="2"/>
          </rPr>
          <t xml:space="preserve">WAJIB. LANCAR / DALAM_PERHATIAN / KURANG_LANCAR / DIRAGUKAN / MACET.</t>
        </r>
      </text>
    </comment>
    <comment ref="O1" authorId="0">
      <text>
        <r>
          <rPr>
            <sz val="10"/>
            <rFont val="Arial"/>
            <family val="2"/>
          </rPr>
          <t xml:space="preserve">Opsional. Isi hanya jika saldo tercatat di akun lain dari akun produk, mis. Piutang Macet.</t>
        </r>
      </text>
    </comment>
    <comment ref="P1" authorId="0">
      <text>
        <r>
          <rPr>
            <sz val="10"/>
            <rFont val="Arial"/>
            <family val="2"/>
          </rPr>
          <t xml:space="preserve">Opsional. </t>
        </r>
      </text>
    </comment>
    <comment ref="Q1" authorId="0">
      <text>
        <r>
          <rPr>
            <sz val="10"/>
            <rFont val="Arial"/>
            <family val="2"/>
          </rPr>
          <t xml:space="preserve">OTOMATIS — jangan diisi. Otomatis: kodeAkunKhusus bila diisi, selain itu akun produk.</t>
        </r>
      </text>
    </comment>
    <comment ref="R1" authorId="0">
      <text>
        <r>
          <rPr>
            <sz val="10"/>
            <rFont val="Arial"/>
            <family val="2"/>
          </rPr>
          <t xml:space="preserve">OTOMATIS — jangan diisi. Otomatis: OK / TIDAK ADA di sheet Anggota.</t>
        </r>
      </text>
    </comment>
    <comment ref="S1" authorId="0">
      <text>
        <r>
          <rPr>
            <sz val="10"/>
            <rFont val="Arial"/>
            <family val="2"/>
          </rPr>
          <t xml:space="preserve">OTOMATIS — jangan diisi. Otomatis: SELISIH jika sisaPokok ≠ angsuranPokok × sisaAngsuranBulan (di luar toleransi).</t>
        </r>
      </text>
    </comment>
  </commentList>
</comments>
</file>

<file path=xl/comments9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1" authorId="0">
      <text>
        <r>
          <rPr>
            <sz val="10"/>
            <rFont val="Arial"/>
            <family val="2"/>
          </rPr>
          <t xml:space="preserve">WAJIB. Akun Neraca yang saldonya tidak bisa dialokasikan ke anggota.</t>
        </r>
      </text>
    </comment>
    <comment ref="B1" authorId="0">
      <text>
        <r>
          <rPr>
            <sz val="10"/>
            <rFont val="Arial"/>
            <family val="2"/>
          </rPr>
          <t xml:space="preserve">WAJIB. Bagian saldo Neraca yang TIDAK ada rinciannya per anggota (positif searah saldo normal; negatif jika rincian anggota lebih besar dari Neraca).</t>
        </r>
      </text>
    </comment>
    <comment ref="C1" authorId="0">
      <text>
        <r>
          <rPr>
            <sz val="10"/>
            <rFont val="Arial"/>
            <family val="2"/>
          </rPr>
          <t xml:space="preserve">WAJIB. Penjelasan jelas, mis. 'Rincian pembiayaan lebih besar Rp 527,5 jt dari Neraca RAT; Bendahara belum dapat merinci'.</t>
        </r>
      </text>
    </comment>
    <comment ref="D1" authorId="0">
      <text>
        <r>
          <rPr>
            <sz val="10"/>
            <rFont val="Arial"/>
            <family val="2"/>
          </rPr>
          <t xml:space="preserve">Opsional. Sheet/sel atau dokumen asal selisih.</t>
        </r>
      </text>
    </comment>
    <comment ref="E1" authorId="0">
      <text>
        <r>
          <rPr>
            <sz val="10"/>
            <rFont val="Arial"/>
            <family val="2"/>
          </rPr>
          <t xml:space="preserve">WAJIB. Nama &amp; jabatan pengurus yang menyetujui (Ketua/Bendahara).</t>
        </r>
      </text>
    </comment>
    <comment ref="F1" authorId="0">
      <text>
        <r>
          <rPr>
            <sz val="10"/>
            <rFont val="Arial"/>
            <family val="2"/>
          </rPr>
          <t xml:space="preserve">WAJIB. dd/mm/yyyy.</t>
        </r>
      </text>
    </comment>
  </commentList>
</comments>
</file>

<file path=xl/comments10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1" authorId="0">
      <text>
        <r>
          <rPr>
            <sz val="10"/>
            <rFont val="Arial"/>
            <family val="2"/>
          </rPr>
          <t xml:space="preserve">WAJIB. Opsional untuk go-live; dipakai untuk register aset.</t>
        </r>
      </text>
    </comment>
    <comment ref="B1" authorId="0">
      <text>
        <r>
          <rPr>
            <sz val="10"/>
            <rFont val="Arial"/>
            <family val="2"/>
          </rPr>
          <t xml:space="preserve">Opsional. </t>
        </r>
      </text>
    </comment>
    <comment ref="C1" authorId="0">
      <text>
        <r>
          <rPr>
            <sz val="10"/>
            <rFont val="Arial"/>
            <family val="2"/>
          </rPr>
          <t xml:space="preserve">Opsional. </t>
        </r>
      </text>
    </comment>
    <comment ref="D1" authorId="0">
      <text>
        <r>
          <rPr>
            <sz val="10"/>
            <rFont val="Arial"/>
            <family val="2"/>
          </rPr>
          <t xml:space="preserve">WAJIB. </t>
        </r>
      </text>
    </comment>
    <comment ref="E1" authorId="0">
      <text>
        <r>
          <rPr>
            <sz val="10"/>
            <rFont val="Arial"/>
            <family val="2"/>
          </rPr>
          <t xml:space="preserve">Opsional. Positif. Di Neraca dicatat sebagai akun kontra (saldo normal KREDIT).</t>
        </r>
      </text>
    </comment>
    <comment ref="F1" authorId="0">
      <text>
        <r>
          <rPr>
            <sz val="10"/>
            <rFont val="Arial"/>
            <family val="2"/>
          </rPr>
          <t xml:space="preserve">OTOMATIS — jangan diisi. Otomatis: harga perolehan − akumulasi penyusutan.</t>
        </r>
      </text>
    </comment>
    <comment ref="G1" authorId="0">
      <text>
        <r>
          <rPr>
            <sz val="10"/>
            <rFont val="Arial"/>
            <family val="2"/>
          </rPr>
          <t xml:space="preserve">WAJIB. Akun aset tetap di Neraca.</t>
        </r>
      </text>
    </comment>
    <comment ref="H1" authorId="0">
      <text>
        <r>
          <rPr>
            <sz val="10"/>
            <rFont val="Arial"/>
            <family val="2"/>
          </rPr>
          <t xml:space="preserve">Opsional. </t>
        </r>
      </text>
    </comment>
  </commentList>
</comments>
</file>

<file path=xl/sharedStrings.xml><?xml version="1.0" encoding="utf-8"?>
<sst xmlns="http://schemas.openxmlformats.org/spreadsheetml/2006/main" count="675" uniqueCount="331">
  <si>
    <t xml:space="preserve">SISKOP — Template Migrasi Saldo Awal v1</t>
  </si>
  <si>
    <t xml:space="preserve">Untuk tim onboarding SISKOP. Berkas klien (Excel/PDF/ekspor sistem lama) dikonversi ke template ini, lalu diunggah sebagai draf batch migrasi di tenant klien.</t>
  </si>
  <si>
    <t xml:space="preserve">Alur kerja</t>
  </si>
  <si>
    <t xml:space="preserve">1. Klien mengirim dokumen: Neraca yang disahkan RAT, daftar anggota, saldo simpanan per anggota, daftar pembiayaan aktif.</t>
  </si>
  <si>
    <t xml:space="preserve">2. Tim SISKOP mengisi template ini — urutan: Info_Koperasi → Unit → Neraca → Produk → Anggota → Simpanan → Pembiayaan → Penyesuaian.</t>
  </si>
  <si>
    <t xml:space="preserve">3. Buka sheet Rekonsiliasi. Semua status harus OK dan STATUS BATCH = 'SIAP DISETUJUI KLIEN'. Selisih ditanyakan ke Bendahara klien.</t>
  </si>
  <si>
    <t xml:space="preserve">4. Unggah ke tenant klien sebagai DRAF batch migrasi (belum aktif). Sistem menjalankan pemeriksaan yang sama.</t>
  </si>
  <si>
    <t xml:space="preserve">5. Ketua &amp; Bendahara klien meninjau laporan di aplikasi dan menyetujui → saldo awal diposting per tanggal cutover.</t>
  </si>
  <si>
    <t xml:space="preserve">Aturan pengisian</t>
  </si>
  <si>
    <t xml:space="preserve">• Jangan mengubah nama sheet atau judul kolom baris 1 — sistem membacanya persis. Kolom berawalan '_' dan sheet Rekonsiliasi terisi otomatis.</t>
  </si>
  <si>
    <t xml:space="preserve">• Angka murni tanpa 'Rp', titik ribuan, atau spasi. Desimal memakai titik/koma sesuai Excel Anda; maksimal 2 desimal.</t>
  </si>
  <si>
    <t xml:space="preserve">• Tanggal dd/mm/yyyy. Semua saldo per tanggalCutover di Info_Koperasi.</t>
  </si>
  <si>
    <t xml:space="preserve">• NIK, noAnggotaLama, noHp, noKontrak berformat TEKS (agar nol di depan tidak hilang). Jangan mengarang NIK — kosongkan bila tidak ada.</t>
  </si>
  <si>
    <t xml:space="preserve">• Satu baris per anggota per produk (Simpanan) dan satu baris per kontrak aktif (Pembiayaan).</t>
  </si>
  <si>
    <t xml:space="preserve">• Baris non-anggota (mis. 'Kopkar', 'bunga admin bank') TIDAK dimasukkan ke Simpanan — saldo itu ikut Neraca atau dijelaskan di Penyesuaian.</t>
  </si>
  <si>
    <t xml:space="preserve">• Jangan memaksa angka cocok. Selisih yang disetujui klien dicatat di Penyesuaian dengan alasan dan nama penyetuju.</t>
  </si>
  <si>
    <t xml:space="preserve">• Jangan membetulkan kesalahan pembukuan klien secara diam-diam (mis. penyusutan dijumlah ke aktiva). Tanyakan dan catat.</t>
  </si>
  <si>
    <t xml:space="preserve">• Ekspor CSV (bila diperlukan): satu CSV per sheet, UTF-8, baris 1 = judul kolom, kolom berawalan '_' boleh ikut — diabaikan sistem.</t>
  </si>
  <si>
    <t xml:space="preserve">Keterangan warna</t>
  </si>
  <si>
    <t xml:space="preserve">contoh</t>
  </si>
  <si>
    <t xml:space="preserve">Judul kolom WAJIB</t>
  </si>
  <si>
    <t xml:space="preserve">Judul kolom opsional</t>
  </si>
  <si>
    <t xml:space="preserve">Kolom otomatis (rumus) — jangan diisi</t>
  </si>
  <si>
    <t xml:space="preserve">Sel isian di Info_Koperasi</t>
  </si>
  <si>
    <t xml:space="preserve">Kamus kolom (dengan contoh pengisian)</t>
  </si>
  <si>
    <t xml:space="preserve">Sheet</t>
  </si>
  <si>
    <t xml:space="preserve">Kolom</t>
  </si>
  <si>
    <t xml:space="preserve">Wajib</t>
  </si>
  <si>
    <t xml:space="preserve">Tipe</t>
  </si>
  <si>
    <t xml:space="preserve">Contoh</t>
  </si>
  <si>
    <t xml:space="preserve">Keterangan</t>
  </si>
  <si>
    <t xml:space="preserve">Unit</t>
  </si>
  <si>
    <t xml:space="preserve">kodeUnit</t>
  </si>
  <si>
    <t xml:space="preserve">Ya</t>
  </si>
  <si>
    <t xml:space="preserve">Teks</t>
  </si>
  <si>
    <t xml:space="preserve">KSP01</t>
  </si>
  <si>
    <t xml:space="preserve">Kode singkat unit, dipakai di sheet lain. Contoh: KSP01.</t>
  </si>
  <si>
    <t xml:space="preserve">namaUnit</t>
  </si>
  <si>
    <t xml:space="preserve">Simpan Pinjam Syariah</t>
  </si>
  <si>
    <t xml:space="preserve">Nama unit usaha. Setiap koperasi minimal punya 1 unit.</t>
  </si>
  <si>
    <t xml:space="preserve">jenisUnit</t>
  </si>
  <si>
    <t xml:space="preserve">KSP</t>
  </si>
  <si>
    <t xml:space="preserve">KSP / KONSUMEN / PRODUSEN / JASA / PEMASARAN.</t>
  </si>
  <si>
    <t xml:space="preserve">Neraca</t>
  </si>
  <si>
    <t xml:space="preserve">kodeAkun</t>
  </si>
  <si>
    <t xml:space="preserve">2-1100</t>
  </si>
  <si>
    <t xml:space="preserve">Kode akun COA SISKOP (mis. 1-1000). Unik.</t>
  </si>
  <si>
    <t xml:space="preserve">namaAkun</t>
  </si>
  <si>
    <t xml:space="preserve">Simpanan Sukarela Anggota</t>
  </si>
  <si>
    <t xml:space="preserve">Nama akun di SISKOP.</t>
  </si>
  <si>
    <t xml:space="preserve">kategori</t>
  </si>
  <si>
    <t xml:space="preserve">KEWAJIBAN</t>
  </si>
  <si>
    <t xml:space="preserve">ASET / KEWAJIBAN / EKUITAS (neraca pembuka saja).</t>
  </si>
  <si>
    <t xml:space="preserve">saldoNormal</t>
  </si>
  <si>
    <t xml:space="preserve">KREDIT</t>
  </si>
  <si>
    <t xml:space="preserve">DEBIT atau KREDIT. Akun kontra (mis. akumulasi penyusutan) = kebalikan kategorinya.</t>
  </si>
  <si>
    <t xml:space="preserve">kelasEkuitas</t>
  </si>
  <si>
    <t xml:space="preserve">Wajib untuk EKUITAS: dipakai untuk Modal Sendiri &amp; Laporan Perubahan Ekuitas.</t>
  </si>
  <si>
    <t xml:space="preserve">Unit pemilik saldo. Kosong = tingkat koperasi (tak teralokasi).</t>
  </si>
  <si>
    <t xml:space="preserve">saldo</t>
  </si>
  <si>
    <t xml:space="preserve">Rupiah</t>
  </si>
  <si>
    <t xml:space="preserve">3841964000</t>
  </si>
  <si>
    <t xml:space="preserve">Saldo per tanggal cutover, positif searah saldo normal. Angka murni, tanpa 'Rp'.</t>
  </si>
  <si>
    <t xml:space="preserve">namaDiSumber</t>
  </si>
  <si>
    <t xml:space="preserve">Simpanan Sukarela</t>
  </si>
  <si>
    <t xml:space="preserve">Nama baris persis seperti di Neraca RAT klien — untuk ditelusuri.</t>
  </si>
  <si>
    <t xml:space="preserve">Produk</t>
  </si>
  <si>
    <t xml:space="preserve">kodeProduk</t>
  </si>
  <si>
    <t xml:space="preserve">SSK</t>
  </si>
  <si>
    <t xml:space="preserve">Kode singkat produk, dipakai di Simpanan/Pembiayaan. Contoh: SW, SSK, MRB.</t>
  </si>
  <si>
    <t xml:space="preserve">namaProduk</t>
  </si>
  <si>
    <t xml:space="preserve">Tabungan Sukarela</t>
  </si>
  <si>
    <t xml:space="preserve">Nama produk di SISKOP.</t>
  </si>
  <si>
    <t xml:space="preserve">jenis</t>
  </si>
  <si>
    <t xml:space="preserve">SIMPANAN</t>
  </si>
  <si>
    <t xml:space="preserve">SIMPANAN atau PEMBIAYAAN.</t>
  </si>
  <si>
    <t xml:space="preserve">jenisSimpanan</t>
  </si>
  <si>
    <t xml:space="preserve">SUKARELA</t>
  </si>
  <si>
    <t xml:space="preserve">Untuk SIMPANAN: POKOK / WAJIB / SUKARELA.</t>
  </si>
  <si>
    <t xml:space="preserve">jenisPembiayaan</t>
  </si>
  <si>
    <t xml:space="preserve">Untuk PEMBIAYAAN: SYARIAH / KONVENSIONAL.</t>
  </si>
  <si>
    <t xml:space="preserve">tipeImbalan</t>
  </si>
  <si>
    <t xml:space="preserve">BAGI_HASIL</t>
  </si>
  <si>
    <t xml:space="preserve">BUNGA / BAGI_HASIL / MARGIN / HARIAN.</t>
  </si>
  <si>
    <t xml:space="preserve">tarifPersen</t>
  </si>
  <si>
    <t xml:space="preserve">Persen</t>
  </si>
  <si>
    <t xml:space="preserve">0</t>
  </si>
  <si>
    <t xml:space="preserve">Tarif dalam persen (2.5 = 2,5%). Isi 0 jika tidak ada.</t>
  </si>
  <si>
    <t xml:space="preserve">periode</t>
  </si>
  <si>
    <t xml:space="preserve">YEARLY</t>
  </si>
  <si>
    <t xml:space="preserve">Untuk SIMPANAN: DAILY / MONTHLY / YEARLY.</t>
  </si>
  <si>
    <t xml:space="preserve">tenorMaksBulan</t>
  </si>
  <si>
    <t xml:space="preserve">Angka</t>
  </si>
  <si>
    <t xml:space="preserve">Untuk PEMBIAYAAN: tenor maksimum.</t>
  </si>
  <si>
    <t xml:space="preserve">Akun Neraca tempat saldo produk ini tercatat. Beberapa produk boleh ke satu akun.</t>
  </si>
  <si>
    <t xml:space="preserve">Unit pemilik produk.</t>
  </si>
  <si>
    <t xml:space="preserve">Nama produk/kolom di berkas klien, mis. 'Tabungan Qurban'.</t>
  </si>
  <si>
    <t xml:space="preserve">Anggota</t>
  </si>
  <si>
    <t xml:space="preserve">noAnggotaLama</t>
  </si>
  <si>
    <t xml:space="preserve">118</t>
  </si>
  <si>
    <t xml:space="preserve">Nomor anggota di sistem/berkas lama. Disimpan sebagai teks. Harus unik di file ini — jika klien memakai nomor yang sama untuk 2 orang, beri akhiran (226-A, 226-B) dan catat.</t>
  </si>
  <si>
    <t xml:space="preserve">namaLengkap</t>
  </si>
  <si>
    <t xml:space="preserve">Ety Sukmayati, BA</t>
  </si>
  <si>
    <t xml:space="preserve">Nama sesuai KTP, gelar boleh ikut. Hapus catatan seperti '(M)', '(jukir)' ke kolom catatan.</t>
  </si>
  <si>
    <t xml:space="preserve">nik</t>
  </si>
  <si>
    <t xml:space="preserve">3578xxxxxxxxxxxx</t>
  </si>
  <si>
    <t xml:space="preserve">16 digit, format TEKS. Kosong = anggota ditandai data belum lengkap, KYC dilengkapi setelah go-live. JANGAN mengarang NIK.</t>
  </si>
  <si>
    <t xml:space="preserve">alamat</t>
  </si>
  <si>
    <t xml:space="preserve">Jl. Sutorejo No. 59, Surabaya</t>
  </si>
  <si>
    <t xml:space="preserve">Alamat KTP.</t>
  </si>
  <si>
    <t xml:space="preserve">tempatLahir</t>
  </si>
  <si>
    <t xml:space="preserve">Surabaya</t>
  </si>
  <si>
    <t xml:space="preserve">tanggalLahir</t>
  </si>
  <si>
    <t xml:space="preserve">Tanggal</t>
  </si>
  <si>
    <t xml:space="preserve">12/05/1968</t>
  </si>
  <si>
    <t xml:space="preserve">dd/mm/yyyy.</t>
  </si>
  <si>
    <t xml:space="preserve">pekerjaan</t>
  </si>
  <si>
    <t xml:space="preserve">Karyawan</t>
  </si>
  <si>
    <t xml:space="preserve">noHp</t>
  </si>
  <si>
    <t xml:space="preserve">081234567890</t>
  </si>
  <si>
    <t xml:space="preserve">Format teks, mis. 081234567890.</t>
  </si>
  <si>
    <t xml:space="preserve">tanggalMasuk</t>
  </si>
  <si>
    <t xml:space="preserve">01/03/1998</t>
  </si>
  <si>
    <t xml:space="preserve">Tanggal menjadi anggota, dd/mm/yyyy.</t>
  </si>
  <si>
    <t xml:space="preserve">status</t>
  </si>
  <si>
    <t xml:space="preserve">AKTIF</t>
  </si>
  <si>
    <t xml:space="preserve">AKTIF atau KELUAR (keluar tapi masih punya saldo).</t>
  </si>
  <si>
    <t xml:space="preserve">pengurus</t>
  </si>
  <si>
    <t xml:space="preserve">N</t>
  </si>
  <si>
    <t xml:space="preserve">Y jika pengurus (batas pinjaman pihak terkait).</t>
  </si>
  <si>
    <t xml:space="preserve">pengawas</t>
  </si>
  <si>
    <t xml:space="preserve">Y jika pengawas.</t>
  </si>
  <si>
    <t xml:space="preserve">Unit tempat anggota terdaftar.</t>
  </si>
  <si>
    <t xml:space="preserve">catatan</t>
  </si>
  <si>
    <t xml:space="preserve">Catatan konversi, mis. 'nama di sheet pembiayaan: Solikin, ST MT'.</t>
  </si>
  <si>
    <t xml:space="preserve">_cek_duplikat</t>
  </si>
  <si>
    <t xml:space="preserve">Auto</t>
  </si>
  <si>
    <t xml:space="preserve">(otomatis)</t>
  </si>
  <si>
    <t xml:space="preserve">Otomatis: GANDA jika noAnggotaLama muncul lebih dari sekali.</t>
  </si>
  <si>
    <t xml:space="preserve">_cek_nik</t>
  </si>
  <si>
    <t xml:space="preserve">Otomatis: OK / KOSONG / TIDAK VALID.</t>
  </si>
  <si>
    <t xml:space="preserve">Simpanan</t>
  </si>
  <si>
    <t xml:space="preserve">Harus ada di sheet Anggota.</t>
  </si>
  <si>
    <t xml:space="preserve">namaAnggota</t>
  </si>
  <si>
    <t xml:space="preserve">Hanya untuk pengecekan manual — sistem memakai noAnggotaLama.</t>
  </si>
  <si>
    <t xml:space="preserve">SW</t>
  </si>
  <si>
    <t xml:space="preserve">Kode dari sheet Produk (jenis SIMPANAN).</t>
  </si>
  <si>
    <t xml:space="preserve">5371000</t>
  </si>
  <si>
    <t xml:space="preserve">Saldo per cutover. Satu baris per anggota per produk. Tidak boleh negatif.</t>
  </si>
  <si>
    <t xml:space="preserve">_akun</t>
  </si>
  <si>
    <t xml:space="preserve">Otomatis: akun Neraca dari produk.</t>
  </si>
  <si>
    <t xml:space="preserve">_cek_anggota</t>
  </si>
  <si>
    <t xml:space="preserve">Otomatis: OK / TIDAK ADA di sheet Anggota.</t>
  </si>
  <si>
    <t xml:space="preserve">Pembiayaan</t>
  </si>
  <si>
    <t xml:space="preserve">170</t>
  </si>
  <si>
    <t xml:space="preserve">Drs. Asror</t>
  </si>
  <si>
    <t xml:space="preserve">Hanya untuk pengecekan manual.</t>
  </si>
  <si>
    <t xml:space="preserve">MRB</t>
  </si>
  <si>
    <t xml:space="preserve">Kode dari sheet Produk (jenis PEMBIAYAAN).</t>
  </si>
  <si>
    <t xml:space="preserve">noKontrak</t>
  </si>
  <si>
    <t xml:space="preserve">Nomor akad/kontrak bila ada. Satu baris = satu kontrak aktif.</t>
  </si>
  <si>
    <t xml:space="preserve">tanggalCair</t>
  </si>
  <si>
    <t xml:space="preserve">Tanggal pencairan asli bila diketahui.</t>
  </si>
  <si>
    <t xml:space="preserve">pokokAwal</t>
  </si>
  <si>
    <t xml:space="preserve">Plafon/pokok awal bila diketahui.</t>
  </si>
  <si>
    <t xml:space="preserve">tenorBulan</t>
  </si>
  <si>
    <t xml:space="preserve">Tenor awal bila diketahui.</t>
  </si>
  <si>
    <t xml:space="preserve">sisaPokok</t>
  </si>
  <si>
    <t xml:space="preserve">47222600</t>
  </si>
  <si>
    <t xml:space="preserve">Sisa pokok per cutover. Inilah yang dicocokkan ke Piutang di Neraca.</t>
  </si>
  <si>
    <t xml:space="preserve">sisaMarginBunga</t>
  </si>
  <si>
    <t xml:space="preserve">15583900</t>
  </si>
  <si>
    <t xml:space="preserve">Syariah: sisa margin belum diterima. Konvensional: bunga tertunggak.</t>
  </si>
  <si>
    <t xml:space="preserve">angsuranPokok</t>
  </si>
  <si>
    <t xml:space="preserve">1388900</t>
  </si>
  <si>
    <t xml:space="preserve">Angsuran pokok per bulan.</t>
  </si>
  <si>
    <t xml:space="preserve">angsuranMarginBunga</t>
  </si>
  <si>
    <t xml:space="preserve">458350</t>
  </si>
  <si>
    <t xml:space="preserve">Angsuran margin/bunga (infaq) per bulan.</t>
  </si>
  <si>
    <t xml:space="preserve">sisaAngsuranBulan</t>
  </si>
  <si>
    <t xml:space="preserve">34</t>
  </si>
  <si>
    <t xml:space="preserve">Sisa jumlah bulan angsuran.</t>
  </si>
  <si>
    <t xml:space="preserve">hariTunggakan</t>
  </si>
  <si>
    <t xml:space="preserve">Hari keterlambatan per cutover. 0 jika lancar.</t>
  </si>
  <si>
    <t xml:space="preserve">kolektibilitas</t>
  </si>
  <si>
    <t xml:space="preserve">LANCAR</t>
  </si>
  <si>
    <t xml:space="preserve">LANCAR / DALAM_PERHATIAN / KURANG_LANCAR / DIRAGUKAN / MACET.</t>
  </si>
  <si>
    <t xml:space="preserve">kodeAkunKhusus</t>
  </si>
  <si>
    <t xml:space="preserve">Isi hanya jika saldo tercatat di akun lain dari akun produk, mis. Piutang Macet.</t>
  </si>
  <si>
    <t xml:space="preserve">Otomatis: kodeAkunKhusus bila diisi, selain itu akun produk.</t>
  </si>
  <si>
    <t xml:space="preserve">_cek_angsuran</t>
  </si>
  <si>
    <t xml:space="preserve">Otomatis: SELISIH jika sisaPokok ≠ angsuranPokok × sisaAngsuranBulan (di luar toleransi).</t>
  </si>
  <si>
    <t xml:space="preserve">Penyesuaian</t>
  </si>
  <si>
    <t xml:space="preserve">1-1100</t>
  </si>
  <si>
    <t xml:space="preserve">Akun Neraca yang saldonya tidak bisa dialokasikan ke anggota.</t>
  </si>
  <si>
    <t xml:space="preserve">jumlah</t>
  </si>
  <si>
    <t xml:space="preserve">-527501000</t>
  </si>
  <si>
    <t xml:space="preserve">Bagian saldo Neraca yang TIDAK ada rinciannya per anggota (positif searah saldo normal; negatif jika rincian anggota lebih besar dari Neraca).</t>
  </si>
  <si>
    <t xml:space="preserve">alasan</t>
  </si>
  <si>
    <t xml:space="preserve">Rincian pembiayaan per anggota lebih besar dari Neraca RAT</t>
  </si>
  <si>
    <t xml:space="preserve">Penjelasan jelas, mis. 'Rincian pembiayaan lebih besar Rp 527,5 jt dari Neraca RAT; Bendahara belum dapat merinci'.</t>
  </si>
  <si>
    <t xml:space="preserve">buktiSumber</t>
  </si>
  <si>
    <t xml:space="preserve">Pembiayaan!L174</t>
  </si>
  <si>
    <t xml:space="preserve">Sheet/sel atau dokumen asal selisih.</t>
  </si>
  <si>
    <t xml:space="preserve">disetujuiOleh</t>
  </si>
  <si>
    <t xml:space="preserve">Sujiati S.W., Bendahara</t>
  </si>
  <si>
    <t xml:space="preserve">Nama &amp; jabatan pengurus yang menyetujui (Ketua/Bendahara).</t>
  </si>
  <si>
    <t xml:space="preserve">tanggalPersetujuan</t>
  </si>
  <si>
    <t xml:space="preserve">15/01/2026</t>
  </si>
  <si>
    <t xml:space="preserve">Aset_Tetap</t>
  </si>
  <si>
    <t xml:space="preserve">namaAset</t>
  </si>
  <si>
    <t xml:space="preserve">Printer</t>
  </si>
  <si>
    <t xml:space="preserve">Opsional untuk go-live; dipakai untuk register aset.</t>
  </si>
  <si>
    <t xml:space="preserve">jumlahUnit</t>
  </si>
  <si>
    <t xml:space="preserve">1</t>
  </si>
  <si>
    <t xml:space="preserve">tanggalPerolehan</t>
  </si>
  <si>
    <t xml:space="preserve">01/06/2021</t>
  </si>
  <si>
    <t xml:space="preserve">hargaPerolehan</t>
  </si>
  <si>
    <t xml:space="preserve">1000000</t>
  </si>
  <si>
    <t xml:space="preserve">akumulasiPenyusutan</t>
  </si>
  <si>
    <t xml:space="preserve">600000</t>
  </si>
  <si>
    <t xml:space="preserve">Positif. Di Neraca dicatat sebagai akun kontra (saldo normal KREDIT).</t>
  </si>
  <si>
    <t xml:space="preserve">_nilaiBuku</t>
  </si>
  <si>
    <t xml:space="preserve">Otomatis: harga perolehan − akumulasi penyusutan.</t>
  </si>
  <si>
    <t xml:space="preserve">1-2100</t>
  </si>
  <si>
    <t xml:space="preserve">Akun aset tetap di Neraca.</t>
  </si>
  <si>
    <t xml:space="preserve">Contoh diambil dari berkas RAT 2025 Kopkar UM Surabaya kecuali NIK/alamat (fiktif, disamarkan). Dokumen desain: docs/research/2026-09-26-client-data-migration-research.md</t>
  </si>
  <si>
    <t xml:space="preserve">Info Koperasi &amp; Batch Migrasi</t>
  </si>
  <si>
    <t xml:space="preserve">Isi sel kuning. Satu file = satu batch migrasi untuk satu koperasi.</t>
  </si>
  <si>
    <t xml:space="preserve">Isi</t>
  </si>
  <si>
    <t xml:space="preserve">namaKoperasi</t>
  </si>
  <si>
    <t xml:space="preserve">Koperasi Karyawan Contoh Sejahtera</t>
  </si>
  <si>
    <t xml:space="preserve">Nama resmi koperasi sesuai akta</t>
  </si>
  <si>
    <t xml:space="preserve">subdomain</t>
  </si>
  <si>
    <t xml:space="preserve">kopkar-contoh</t>
  </si>
  <si>
    <t xml:space="preserve">Subdomain tenant SISKOP (tanpa .siskop...)</t>
  </si>
  <si>
    <t xml:space="preserve">jenisKoperasi</t>
  </si>
  <si>
    <t xml:space="preserve">SYARIAH</t>
  </si>
  <si>
    <t xml:space="preserve">SYARIAH atau KONVENSIONAL</t>
  </si>
  <si>
    <t xml:space="preserve">tanggalCutover</t>
  </si>
  <si>
    <t xml:space="preserve">Tanggal tutup buku yang disahkan RAT — semua saldo per tanggal ini</t>
  </si>
  <si>
    <t xml:space="preserve">sumberData</t>
  </si>
  <si>
    <t xml:space="preserve">EXCEL</t>
  </si>
  <si>
    <t xml:space="preserve">Asal data: LEGACY / EXCEL / PDF / CAMPURAN</t>
  </si>
  <si>
    <t xml:space="preserve">toleransiSelisih</t>
  </si>
  <si>
    <t xml:space="preserve">Toleransi pembulatan per akun (Rp). Default 1 — ubah hanya dengan persetujuan QA</t>
  </si>
  <si>
    <t xml:space="preserve">disiapkanOleh</t>
  </si>
  <si>
    <t xml:space="preserve">Nama staf onboarding SISKOP</t>
  </si>
  <si>
    <t xml:space="preserve">tanggalDisiapkan</t>
  </si>
  <si>
    <t xml:space="preserve">Tanggal file ini disiapkan</t>
  </si>
  <si>
    <t xml:space="preserve">versiBatch</t>
  </si>
  <si>
    <t xml:space="preserve">v1</t>
  </si>
  <si>
    <t xml:space="preserve">Naikkan setiap kali file dikirim ulang (v1, v2, ...)</t>
  </si>
  <si>
    <t xml:space="preserve">dokumenSumber</t>
  </si>
  <si>
    <t xml:space="preserve">Daftar berkas asli dari klien (nama file)</t>
  </si>
  <si>
    <t xml:space="preserve">Rekonsiliasi — wajib hijau semua sebelum dikirim ke klien untuk persetujuan</t>
  </si>
  <si>
    <t xml:space="preserve">Semua sel di sheet ini otomatis. Jangan diedit.</t>
  </si>
  <si>
    <t xml:space="preserve">Pemeriksaan</t>
  </si>
  <si>
    <t xml:space="preserve">Hasil</t>
  </si>
  <si>
    <t xml:space="preserve">Status</t>
  </si>
  <si>
    <t xml:space="preserve">Syarat</t>
  </si>
  <si>
    <t xml:space="preserve">Jumlah anggota</t>
  </si>
  <si>
    <t xml:space="preserve">info</t>
  </si>
  <si>
    <t xml:space="preserve">Nomor anggota ganda</t>
  </si>
  <si>
    <t xml:space="preserve">Harus 0</t>
  </si>
  <si>
    <t xml:space="preserve">Anggota tanpa NIK (data belum lengkap)</t>
  </si>
  <si>
    <t xml:space="preserve">Boleh &gt; 0 — KYC dilengkapi setelah go-live</t>
  </si>
  <si>
    <t xml:space="preserve">NIK tidak valid (bukan 16 digit)</t>
  </si>
  <si>
    <t xml:space="preserve">Harus 0 — kosongkan jika tidak yakin</t>
  </si>
  <si>
    <t xml:space="preserve">Baris simpanan tanpa anggota</t>
  </si>
  <si>
    <t xml:space="preserve">Baris simpanan dengan produk tak dikenal</t>
  </si>
  <si>
    <t xml:space="preserve">Saldo simpanan negatif</t>
  </si>
  <si>
    <t xml:space="preserve">Pembiayaan tanpa anggota</t>
  </si>
  <si>
    <t xml:space="preserve">Pembiayaan dengan produk tak dikenal</t>
  </si>
  <si>
    <t xml:space="preserve">Pembiayaan: sisa pokok ≠ angsuran × sisa bulan</t>
  </si>
  <si>
    <t xml:space="preserve">Periksa; boleh &gt; 0 bila ada pelunasan sebagian</t>
  </si>
  <si>
    <t xml:space="preserve">Total saldo normal DEBIT (Neraca)</t>
  </si>
  <si>
    <t xml:space="preserve">Total saldo normal KREDIT (Neraca)</t>
  </si>
  <si>
    <t xml:space="preserve">Saldo Awal Migrasi (DEBIT − KREDIT)</t>
  </si>
  <si>
    <t xml:space="preserve">Harus 0 (± toleransi)</t>
  </si>
  <si>
    <t xml:space="preserve">Akun Neraca yang belum cocok</t>
  </si>
  <si>
    <t xml:space="preserve">Jumlah akun Neraca terisi</t>
  </si>
  <si>
    <t xml:space="preserve">Harus &gt; 0</t>
  </si>
  <si>
    <t xml:space="preserve">Tanggal cutover terisi</t>
  </si>
  <si>
    <t xml:space="preserve">Harus terisi di Info_Koperasi</t>
  </si>
  <si>
    <t xml:space="preserve">Penyesuaian belum disetujui pengurus</t>
  </si>
  <si>
    <t xml:space="preserve">Harus 0 — isi disetujuiOleh setelah konfirmasi klien</t>
  </si>
  <si>
    <t xml:space="preserve">Per akun Neraca: saldo Neraca = rincian anggota + penyesuaian</t>
  </si>
  <si>
    <t xml:space="preserve">STATUS BATCH</t>
  </si>
  <si>
    <t xml:space="preserve">Saldo Neraca</t>
  </si>
  <si>
    <t xml:space="preserve">Rincian simpanan</t>
  </si>
  <si>
    <t xml:space="preserve">Rincian pembiayaan</t>
  </si>
  <si>
    <t xml:space="preserve">Selisih</t>
  </si>
  <si>
    <t xml:space="preserve">statusAnggota</t>
  </si>
  <si>
    <t xml:space="preserve">yaTidak</t>
  </si>
  <si>
    <t xml:space="preserve">jenisProduk</t>
  </si>
  <si>
    <t xml:space="preserve">kategoriAkun</t>
  </si>
  <si>
    <t xml:space="preserve">LEGACY</t>
  </si>
  <si>
    <t xml:space="preserve">Y</t>
  </si>
  <si>
    <t xml:space="preserve">POKOK</t>
  </si>
  <si>
    <t xml:space="preserve">BUNGA</t>
  </si>
  <si>
    <t xml:space="preserve">DAILY</t>
  </si>
  <si>
    <t xml:space="preserve">ASET</t>
  </si>
  <si>
    <t xml:space="preserve">DEBIT</t>
  </si>
  <si>
    <t xml:space="preserve">SIMPANAN_POKOK</t>
  </si>
  <si>
    <t xml:space="preserve">KONVENSIONAL</t>
  </si>
  <si>
    <t xml:space="preserve">KELUAR</t>
  </si>
  <si>
    <t xml:space="preserve">PEMBIAYAAN</t>
  </si>
  <si>
    <t xml:space="preserve">WAJIB</t>
  </si>
  <si>
    <t xml:space="preserve">MONTHLY</t>
  </si>
  <si>
    <t xml:space="preserve">DALAM_PERHATIAN</t>
  </si>
  <si>
    <t xml:space="preserve">SIMPANAN_WAJIB</t>
  </si>
  <si>
    <t xml:space="preserve">KONSUMEN</t>
  </si>
  <si>
    <t xml:space="preserve">PDF</t>
  </si>
  <si>
    <t xml:space="preserve">MARGIN</t>
  </si>
  <si>
    <t xml:space="preserve">KURANG_LANCAR</t>
  </si>
  <si>
    <t xml:space="preserve">EKUITAS</t>
  </si>
  <si>
    <t xml:space="preserve">MODAL_TETAP</t>
  </si>
  <si>
    <t xml:space="preserve">PRODUSEN</t>
  </si>
  <si>
    <t xml:space="preserve">CAMPURAN</t>
  </si>
  <si>
    <t xml:space="preserve">HARIAN</t>
  </si>
  <si>
    <t xml:space="preserve">DIRAGUKAN</t>
  </si>
  <si>
    <t xml:space="preserve">CADANGAN_UMUM</t>
  </si>
  <si>
    <t xml:space="preserve">JASA</t>
  </si>
  <si>
    <t xml:space="preserve">MACET</t>
  </si>
  <si>
    <t xml:space="preserve">CADANGAN_RISIKO</t>
  </si>
  <si>
    <t xml:space="preserve">PEMASARAN</t>
  </si>
  <si>
    <t xml:space="preserve">HIBAH</t>
  </si>
  <si>
    <t xml:space="preserve">MODAL_PENYERTAAN</t>
  </si>
  <si>
    <t xml:space="preserve">SHU</t>
  </si>
  <si>
    <t xml:space="preserve">EKUITAS_LAIN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</si>
</sst>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@"/>
    <numFmt numFmtId="166" formatCode="dd/mm/yyyy"/>
    <numFmt numFmtId="167" formatCode="#,##0.00;[RED]\-#,##0.00;\-"/>
    <numFmt numFmtId="168" formatCode="0.00"/>
    <numFmt numFmtId="169" formatCode="0"/>
    <numFmt numFmtId="170" formatCode="#,##0"/>
  </numFmts>
  <fonts count="2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0E7A60"/>
      <name val="Arial"/>
      <family val="0"/>
      <charset val="1"/>
    </font>
    <font>
      <sz val="10"/>
      <color rgb="FF5F6D67"/>
      <name val="Arial"/>
      <family val="0"/>
      <charset val="1"/>
    </font>
    <font>
      <b val="true"/>
      <sz val="12"/>
      <color rgb="FF0E7A60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1B2320"/>
      <name val="Arial"/>
      <family val="0"/>
      <charset val="1"/>
    </font>
    <font>
      <b val="true"/>
      <sz val="10"/>
      <color rgb="FF0000FF"/>
      <name val="Arial"/>
      <family val="0"/>
      <charset val="1"/>
    </font>
    <font>
      <sz val="9"/>
      <color rgb="FF000000"/>
      <name val="Arial"/>
      <family val="0"/>
      <charset val="1"/>
    </font>
    <font>
      <i val="true"/>
      <sz val="9"/>
      <color rgb="FF5F6D67"/>
      <name val="Arial"/>
      <family val="0"/>
      <charset val="1"/>
    </font>
    <font>
      <b val="true"/>
      <sz val="14"/>
      <color rgb="FF0E7A6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1"/>
      <name val="Arial"/>
      <family val="0"/>
      <charset val="1"/>
    </font>
    <font>
      <sz val="11"/>
      <color rgb="FF0000FF"/>
      <name val="Arial"/>
      <family val="0"/>
      <charset val="1"/>
    </font>
    <font>
      <sz val="10"/>
      <color rgb="FF000000"/>
      <name val="Arial"/>
      <family val="0"/>
      <charset val="1"/>
    </font>
    <font>
      <sz val="10"/>
      <name val="Arial"/>
      <family val="2"/>
    </font>
    <font>
      <b val="true"/>
      <sz val="10"/>
      <name val="Arial"/>
      <family val="0"/>
      <charset val="1"/>
    </font>
    <font>
      <b val="true"/>
      <sz val="12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0E7A60"/>
        <bgColor rgb="FF008080"/>
      </patternFill>
    </fill>
    <fill>
      <patternFill patternType="solid">
        <fgColor rgb="FF5F6D67"/>
        <bgColor rgb="FF808080"/>
      </patternFill>
    </fill>
    <fill>
      <patternFill patternType="solid">
        <fgColor rgb="FFE6E9E8"/>
        <bgColor rgb="FFD8F0E6"/>
      </patternFill>
    </fill>
    <fill>
      <patternFill patternType="solid">
        <fgColor rgb="FFFFF4C2"/>
        <bgColor rgb="FFFFFF99"/>
      </patternFill>
    </fill>
    <fill>
      <patternFill patternType="solid">
        <fgColor rgb="FFF4F6F5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4CDC8"/>
      </left>
      <right style="thin">
        <color rgb="FFC4CDC8"/>
      </right>
      <top style="thin">
        <color rgb="FFC4CDC8"/>
      </top>
      <bottom style="thin">
        <color rgb="FFC4CDC8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5" fontId="12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6" fontId="16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5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>
          <bgColor rgb="FFF9D7D3"/>
        </patternFill>
      </fill>
    </dxf>
    <dxf>
      <fill>
        <patternFill>
          <bgColor rgb="FFD8F0E6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E7A60"/>
      <rgbColor rgb="FFC4CDC8"/>
      <rgbColor rgb="FF808080"/>
      <rgbColor rgb="FF9999FF"/>
      <rgbColor rgb="FF993366"/>
      <rgbColor rgb="FFFFF4C2"/>
      <rgbColor rgb="FFD8F0E6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4F6F5"/>
      <rgbColor rgb="FFE6E9E8"/>
      <rgbColor rgb="FFFFFF99"/>
      <rgbColor rgb="FF99CCFF"/>
      <rgbColor rgb="FFFF99CC"/>
      <rgbColor rgb="FFCC99FF"/>
      <rgbColor rgb="FFF9D7D3"/>
      <rgbColor rgb="FF3366FF"/>
      <rgbColor rgb="FF33CCCC"/>
      <rgbColor rgb="FF99CC00"/>
      <rgbColor rgb="FFFFCC00"/>
      <rgbColor rgb="FFD08A2E"/>
      <rgbColor rgb="FFFF6600"/>
      <rgbColor rgb="FF5F6D67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B232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vmlDrawing" Target="../drawings/vmlDrawing1.v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vmlDrawing" Target="../drawings/vmlDrawing2.v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vmlDrawing" Target="../drawings/vmlDrawing3.v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comments" Target="../comments6.xml"/><Relationship Id="rId2" Type="http://schemas.openxmlformats.org/officeDocument/2006/relationships/vmlDrawing" Target="../drawings/vmlDrawing4.v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comments" Target="../comments7.xml"/><Relationship Id="rId2" Type="http://schemas.openxmlformats.org/officeDocument/2006/relationships/vmlDrawing" Target="../drawings/vmlDrawing5.v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comments" Target="../comments8.xml"/><Relationship Id="rId2" Type="http://schemas.openxmlformats.org/officeDocument/2006/relationships/vmlDrawing" Target="../drawings/vmlDrawing6.v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comments" Target="../comments9.xml"/><Relationship Id="rId2" Type="http://schemas.openxmlformats.org/officeDocument/2006/relationships/vmlDrawing" Target="../drawings/vmlDrawing7.vml"/>
</Relationships>
</file>

<file path=xl/worksheets/_rels/sheet10.xml.rels><?xml version="1.0" encoding="UTF-8"?>
<Relationships xmlns="http://schemas.openxmlformats.org/package/2006/relationships"><Relationship Id="rId1" Type="http://schemas.openxmlformats.org/officeDocument/2006/relationships/comments" Target="../comments10.xml"/><Relationship Id="rId2" Type="http://schemas.openxmlformats.org/officeDocument/2006/relationships/vmlDrawing" Target="../drawings/vmlDrawing8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F6D67"/>
    <pageSetUpPr fitToPage="false"/>
  </sheetPr>
  <dimension ref="B2:G11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16"/>
    <col collapsed="false" customWidth="true" hidden="false" outlineLevel="0" max="3" min="3" style="0" width="22"/>
    <col collapsed="false" customWidth="true" hidden="false" outlineLevel="0" max="4" min="4" style="0" width="9"/>
    <col collapsed="false" customWidth="true" hidden="false" outlineLevel="0" max="5" min="5" style="0" width="12"/>
    <col collapsed="false" customWidth="true" hidden="false" outlineLevel="0" max="6" min="6" style="0" width="26"/>
    <col collapsed="false" customWidth="true" hidden="false" outlineLevel="0" max="7" min="7" style="0" width="58"/>
    <col collapsed="false" customWidth="true" hidden="false" outlineLevel="0" max="8" min="8" style="0" width="4"/>
  </cols>
  <sheetData>
    <row r="2" customFormat="false" ht="19.7" hidden="false" customHeight="false" outlineLevel="0" collapsed="false">
      <c r="B2" s="1" t="s">
        <v>0</v>
      </c>
    </row>
    <row r="3" customFormat="false" ht="15" hidden="false" customHeight="false" outlineLevel="0" collapsed="false">
      <c r="B3" s="2" t="s">
        <v>1</v>
      </c>
    </row>
    <row r="5" customFormat="false" ht="15" hidden="false" customHeight="false" outlineLevel="0" collapsed="false">
      <c r="B5" s="3" t="s">
        <v>2</v>
      </c>
    </row>
    <row r="6" customFormat="false" ht="15" hidden="false" customHeight="false" outlineLevel="0" collapsed="false">
      <c r="B6" s="4" t="s">
        <v>3</v>
      </c>
    </row>
    <row r="7" customFormat="false" ht="15" hidden="false" customHeight="false" outlineLevel="0" collapsed="false">
      <c r="B7" s="4" t="s">
        <v>4</v>
      </c>
    </row>
    <row r="8" customFormat="false" ht="15" hidden="false" customHeight="false" outlineLevel="0" collapsed="false">
      <c r="B8" s="4" t="s">
        <v>5</v>
      </c>
    </row>
    <row r="9" customFormat="false" ht="15" hidden="false" customHeight="false" outlineLevel="0" collapsed="false">
      <c r="B9" s="4" t="s">
        <v>6</v>
      </c>
    </row>
    <row r="10" customFormat="false" ht="15" hidden="false" customHeight="false" outlineLevel="0" collapsed="false">
      <c r="B10" s="4" t="s">
        <v>7</v>
      </c>
    </row>
    <row r="12" customFormat="false" ht="15" hidden="false" customHeight="false" outlineLevel="0" collapsed="false">
      <c r="B12" s="3" t="s">
        <v>8</v>
      </c>
    </row>
    <row r="13" customFormat="false" ht="15" hidden="false" customHeight="false" outlineLevel="0" collapsed="false">
      <c r="B13" s="4" t="s">
        <v>9</v>
      </c>
    </row>
    <row r="14" customFormat="false" ht="15" hidden="false" customHeight="false" outlineLevel="0" collapsed="false">
      <c r="B14" s="4" t="s">
        <v>10</v>
      </c>
    </row>
    <row r="15" customFormat="false" ht="15" hidden="false" customHeight="false" outlineLevel="0" collapsed="false">
      <c r="B15" s="4" t="s">
        <v>11</v>
      </c>
    </row>
    <row r="16" customFormat="false" ht="15" hidden="false" customHeight="false" outlineLevel="0" collapsed="false">
      <c r="B16" s="4" t="s">
        <v>12</v>
      </c>
    </row>
    <row r="17" customFormat="false" ht="15" hidden="false" customHeight="false" outlineLevel="0" collapsed="false">
      <c r="B17" s="4" t="s">
        <v>13</v>
      </c>
    </row>
    <row r="18" customFormat="false" ht="15" hidden="false" customHeight="false" outlineLevel="0" collapsed="false">
      <c r="B18" s="4" t="s">
        <v>14</v>
      </c>
    </row>
    <row r="19" customFormat="false" ht="15" hidden="false" customHeight="false" outlineLevel="0" collapsed="false">
      <c r="B19" s="4" t="s">
        <v>15</v>
      </c>
    </row>
    <row r="20" customFormat="false" ht="15" hidden="false" customHeight="false" outlineLevel="0" collapsed="false">
      <c r="B20" s="4" t="s">
        <v>16</v>
      </c>
    </row>
    <row r="21" customFormat="false" ht="15" hidden="false" customHeight="false" outlineLevel="0" collapsed="false">
      <c r="B21" s="4" t="s">
        <v>17</v>
      </c>
    </row>
    <row r="23" customFormat="false" ht="15" hidden="false" customHeight="false" outlineLevel="0" collapsed="false">
      <c r="B23" s="3" t="s">
        <v>18</v>
      </c>
    </row>
    <row r="24" customFormat="false" ht="15" hidden="false" customHeight="false" outlineLevel="0" collapsed="false">
      <c r="B24" s="5" t="s">
        <v>19</v>
      </c>
      <c r="C24" s="6" t="s">
        <v>20</v>
      </c>
    </row>
    <row r="25" customFormat="false" ht="15" hidden="false" customHeight="false" outlineLevel="0" collapsed="false">
      <c r="B25" s="7" t="s">
        <v>19</v>
      </c>
      <c r="C25" s="6" t="s">
        <v>21</v>
      </c>
    </row>
    <row r="26" customFormat="false" ht="15" hidden="false" customHeight="false" outlineLevel="0" collapsed="false">
      <c r="B26" s="8" t="s">
        <v>19</v>
      </c>
      <c r="C26" s="6" t="s">
        <v>22</v>
      </c>
    </row>
    <row r="27" customFormat="false" ht="15" hidden="false" customHeight="false" outlineLevel="0" collapsed="false">
      <c r="B27" s="9" t="s">
        <v>19</v>
      </c>
      <c r="C27" s="6" t="s">
        <v>23</v>
      </c>
    </row>
    <row r="29" customFormat="false" ht="15" hidden="false" customHeight="false" outlineLevel="0" collapsed="false">
      <c r="B29" s="3" t="s">
        <v>24</v>
      </c>
    </row>
    <row r="30" customFormat="false" ht="15" hidden="false" customHeight="false" outlineLevel="0" collapsed="false">
      <c r="B30" s="5" t="s">
        <v>25</v>
      </c>
      <c r="C30" s="5" t="s">
        <v>26</v>
      </c>
      <c r="D30" s="5" t="s">
        <v>27</v>
      </c>
      <c r="E30" s="5" t="s">
        <v>28</v>
      </c>
      <c r="F30" s="5" t="s">
        <v>29</v>
      </c>
      <c r="G30" s="5" t="s">
        <v>30</v>
      </c>
    </row>
    <row r="31" customFormat="false" ht="15" hidden="false" customHeight="false" outlineLevel="0" collapsed="false">
      <c r="B31" s="10" t="s">
        <v>31</v>
      </c>
      <c r="C31" s="10" t="s">
        <v>32</v>
      </c>
      <c r="D31" s="10" t="s">
        <v>33</v>
      </c>
      <c r="E31" s="10" t="s">
        <v>34</v>
      </c>
      <c r="F31" s="11" t="s">
        <v>35</v>
      </c>
      <c r="G31" s="12" t="s">
        <v>36</v>
      </c>
    </row>
    <row r="32" customFormat="false" ht="15" hidden="false" customHeight="false" outlineLevel="0" collapsed="false">
      <c r="B32" s="10" t="s">
        <v>31</v>
      </c>
      <c r="C32" s="10" t="s">
        <v>37</v>
      </c>
      <c r="D32" s="10" t="s">
        <v>33</v>
      </c>
      <c r="E32" s="10" t="s">
        <v>34</v>
      </c>
      <c r="F32" s="11" t="s">
        <v>38</v>
      </c>
      <c r="G32" s="12" t="s">
        <v>39</v>
      </c>
    </row>
    <row r="33" customFormat="false" ht="15" hidden="false" customHeight="false" outlineLevel="0" collapsed="false">
      <c r="B33" s="10" t="s">
        <v>31</v>
      </c>
      <c r="C33" s="10" t="s">
        <v>40</v>
      </c>
      <c r="D33" s="10" t="s">
        <v>33</v>
      </c>
      <c r="E33" s="10" t="s">
        <v>34</v>
      </c>
      <c r="F33" s="11" t="s">
        <v>41</v>
      </c>
      <c r="G33" s="12" t="s">
        <v>42</v>
      </c>
    </row>
    <row r="34" customFormat="false" ht="15" hidden="false" customHeight="false" outlineLevel="0" collapsed="false">
      <c r="B34" s="10" t="s">
        <v>43</v>
      </c>
      <c r="C34" s="10" t="s">
        <v>44</v>
      </c>
      <c r="D34" s="10" t="s">
        <v>33</v>
      </c>
      <c r="E34" s="10" t="s">
        <v>34</v>
      </c>
      <c r="F34" s="11" t="s">
        <v>45</v>
      </c>
      <c r="G34" s="12" t="s">
        <v>46</v>
      </c>
    </row>
    <row r="35" customFormat="false" ht="15" hidden="false" customHeight="false" outlineLevel="0" collapsed="false">
      <c r="B35" s="10" t="s">
        <v>43</v>
      </c>
      <c r="C35" s="10" t="s">
        <v>47</v>
      </c>
      <c r="D35" s="10" t="s">
        <v>33</v>
      </c>
      <c r="E35" s="10" t="s">
        <v>34</v>
      </c>
      <c r="F35" s="11" t="s">
        <v>48</v>
      </c>
      <c r="G35" s="12" t="s">
        <v>49</v>
      </c>
    </row>
    <row r="36" customFormat="false" ht="15" hidden="false" customHeight="false" outlineLevel="0" collapsed="false">
      <c r="B36" s="10" t="s">
        <v>43</v>
      </c>
      <c r="C36" s="10" t="s">
        <v>50</v>
      </c>
      <c r="D36" s="10" t="s">
        <v>33</v>
      </c>
      <c r="E36" s="10" t="s">
        <v>34</v>
      </c>
      <c r="F36" s="11" t="s">
        <v>51</v>
      </c>
      <c r="G36" s="12" t="s">
        <v>52</v>
      </c>
    </row>
    <row r="37" customFormat="false" ht="15" hidden="false" customHeight="false" outlineLevel="0" collapsed="false">
      <c r="B37" s="10" t="s">
        <v>43</v>
      </c>
      <c r="C37" s="10" t="s">
        <v>53</v>
      </c>
      <c r="D37" s="10" t="s">
        <v>33</v>
      </c>
      <c r="E37" s="10" t="s">
        <v>34</v>
      </c>
      <c r="F37" s="11" t="s">
        <v>54</v>
      </c>
      <c r="G37" s="12" t="s">
        <v>55</v>
      </c>
    </row>
    <row r="38" customFormat="false" ht="15" hidden="false" customHeight="false" outlineLevel="0" collapsed="false">
      <c r="B38" s="10" t="s">
        <v>43</v>
      </c>
      <c r="C38" s="10" t="s">
        <v>56</v>
      </c>
      <c r="D38" s="10"/>
      <c r="E38" s="10" t="s">
        <v>34</v>
      </c>
      <c r="F38" s="11"/>
      <c r="G38" s="12" t="s">
        <v>57</v>
      </c>
    </row>
    <row r="39" customFormat="false" ht="15" hidden="false" customHeight="false" outlineLevel="0" collapsed="false">
      <c r="B39" s="10" t="s">
        <v>43</v>
      </c>
      <c r="C39" s="10" t="s">
        <v>32</v>
      </c>
      <c r="D39" s="10"/>
      <c r="E39" s="10" t="s">
        <v>34</v>
      </c>
      <c r="F39" s="11"/>
      <c r="G39" s="12" t="s">
        <v>58</v>
      </c>
    </row>
    <row r="40" customFormat="false" ht="15" hidden="false" customHeight="false" outlineLevel="0" collapsed="false">
      <c r="B40" s="10" t="s">
        <v>43</v>
      </c>
      <c r="C40" s="10" t="s">
        <v>59</v>
      </c>
      <c r="D40" s="10" t="s">
        <v>33</v>
      </c>
      <c r="E40" s="10" t="s">
        <v>60</v>
      </c>
      <c r="F40" s="11" t="s">
        <v>61</v>
      </c>
      <c r="G40" s="12" t="s">
        <v>62</v>
      </c>
    </row>
    <row r="41" customFormat="false" ht="15" hidden="false" customHeight="false" outlineLevel="0" collapsed="false">
      <c r="B41" s="10" t="s">
        <v>43</v>
      </c>
      <c r="C41" s="10" t="s">
        <v>63</v>
      </c>
      <c r="D41" s="10" t="s">
        <v>33</v>
      </c>
      <c r="E41" s="10" t="s">
        <v>34</v>
      </c>
      <c r="F41" s="11" t="s">
        <v>64</v>
      </c>
      <c r="G41" s="12" t="s">
        <v>65</v>
      </c>
    </row>
    <row r="42" customFormat="false" ht="15" hidden="false" customHeight="false" outlineLevel="0" collapsed="false">
      <c r="B42" s="10" t="s">
        <v>66</v>
      </c>
      <c r="C42" s="10" t="s">
        <v>67</v>
      </c>
      <c r="D42" s="10" t="s">
        <v>33</v>
      </c>
      <c r="E42" s="10" t="s">
        <v>34</v>
      </c>
      <c r="F42" s="11" t="s">
        <v>68</v>
      </c>
      <c r="G42" s="12" t="s">
        <v>69</v>
      </c>
    </row>
    <row r="43" customFormat="false" ht="15" hidden="false" customHeight="false" outlineLevel="0" collapsed="false">
      <c r="B43" s="10" t="s">
        <v>66</v>
      </c>
      <c r="C43" s="10" t="s">
        <v>70</v>
      </c>
      <c r="D43" s="10" t="s">
        <v>33</v>
      </c>
      <c r="E43" s="10" t="s">
        <v>34</v>
      </c>
      <c r="F43" s="11" t="s">
        <v>71</v>
      </c>
      <c r="G43" s="12" t="s">
        <v>72</v>
      </c>
    </row>
    <row r="44" customFormat="false" ht="15" hidden="false" customHeight="false" outlineLevel="0" collapsed="false">
      <c r="B44" s="10" t="s">
        <v>66</v>
      </c>
      <c r="C44" s="10" t="s">
        <v>73</v>
      </c>
      <c r="D44" s="10" t="s">
        <v>33</v>
      </c>
      <c r="E44" s="10" t="s">
        <v>34</v>
      </c>
      <c r="F44" s="11" t="s">
        <v>74</v>
      </c>
      <c r="G44" s="12" t="s">
        <v>75</v>
      </c>
    </row>
    <row r="45" customFormat="false" ht="15" hidden="false" customHeight="false" outlineLevel="0" collapsed="false">
      <c r="B45" s="10" t="s">
        <v>66</v>
      </c>
      <c r="C45" s="10" t="s">
        <v>76</v>
      </c>
      <c r="D45" s="10"/>
      <c r="E45" s="10" t="s">
        <v>34</v>
      </c>
      <c r="F45" s="11" t="s">
        <v>77</v>
      </c>
      <c r="G45" s="12" t="s">
        <v>78</v>
      </c>
    </row>
    <row r="46" customFormat="false" ht="15" hidden="false" customHeight="false" outlineLevel="0" collapsed="false">
      <c r="B46" s="10" t="s">
        <v>66</v>
      </c>
      <c r="C46" s="10" t="s">
        <v>79</v>
      </c>
      <c r="D46" s="10"/>
      <c r="E46" s="10" t="s">
        <v>34</v>
      </c>
      <c r="F46" s="11"/>
      <c r="G46" s="12" t="s">
        <v>80</v>
      </c>
    </row>
    <row r="47" customFormat="false" ht="15" hidden="false" customHeight="false" outlineLevel="0" collapsed="false">
      <c r="B47" s="10" t="s">
        <v>66</v>
      </c>
      <c r="C47" s="10" t="s">
        <v>81</v>
      </c>
      <c r="D47" s="10" t="s">
        <v>33</v>
      </c>
      <c r="E47" s="10" t="s">
        <v>34</v>
      </c>
      <c r="F47" s="11" t="s">
        <v>82</v>
      </c>
      <c r="G47" s="12" t="s">
        <v>83</v>
      </c>
    </row>
    <row r="48" customFormat="false" ht="15" hidden="false" customHeight="false" outlineLevel="0" collapsed="false">
      <c r="B48" s="10" t="s">
        <v>66</v>
      </c>
      <c r="C48" s="10" t="s">
        <v>84</v>
      </c>
      <c r="D48" s="10" t="s">
        <v>33</v>
      </c>
      <c r="E48" s="10" t="s">
        <v>85</v>
      </c>
      <c r="F48" s="11" t="s">
        <v>86</v>
      </c>
      <c r="G48" s="12" t="s">
        <v>87</v>
      </c>
    </row>
    <row r="49" customFormat="false" ht="15" hidden="false" customHeight="false" outlineLevel="0" collapsed="false">
      <c r="B49" s="10" t="s">
        <v>66</v>
      </c>
      <c r="C49" s="10" t="s">
        <v>88</v>
      </c>
      <c r="D49" s="10"/>
      <c r="E49" s="10" t="s">
        <v>34</v>
      </c>
      <c r="F49" s="11" t="s">
        <v>89</v>
      </c>
      <c r="G49" s="12" t="s">
        <v>90</v>
      </c>
    </row>
    <row r="50" customFormat="false" ht="15" hidden="false" customHeight="false" outlineLevel="0" collapsed="false">
      <c r="B50" s="10" t="s">
        <v>66</v>
      </c>
      <c r="C50" s="10" t="s">
        <v>91</v>
      </c>
      <c r="D50" s="10"/>
      <c r="E50" s="10" t="s">
        <v>92</v>
      </c>
      <c r="F50" s="11"/>
      <c r="G50" s="12" t="s">
        <v>93</v>
      </c>
    </row>
    <row r="51" customFormat="false" ht="15" hidden="false" customHeight="false" outlineLevel="0" collapsed="false">
      <c r="B51" s="10" t="s">
        <v>66</v>
      </c>
      <c r="C51" s="10" t="s">
        <v>44</v>
      </c>
      <c r="D51" s="10" t="s">
        <v>33</v>
      </c>
      <c r="E51" s="10" t="s">
        <v>34</v>
      </c>
      <c r="F51" s="11" t="s">
        <v>45</v>
      </c>
      <c r="G51" s="12" t="s">
        <v>94</v>
      </c>
    </row>
    <row r="52" customFormat="false" ht="15" hidden="false" customHeight="false" outlineLevel="0" collapsed="false">
      <c r="B52" s="10" t="s">
        <v>66</v>
      </c>
      <c r="C52" s="10" t="s">
        <v>32</v>
      </c>
      <c r="D52" s="10" t="s">
        <v>33</v>
      </c>
      <c r="E52" s="10" t="s">
        <v>34</v>
      </c>
      <c r="F52" s="11" t="s">
        <v>35</v>
      </c>
      <c r="G52" s="12" t="s">
        <v>95</v>
      </c>
    </row>
    <row r="53" customFormat="false" ht="15" hidden="false" customHeight="false" outlineLevel="0" collapsed="false">
      <c r="B53" s="10" t="s">
        <v>66</v>
      </c>
      <c r="C53" s="10" t="s">
        <v>63</v>
      </c>
      <c r="D53" s="10" t="s">
        <v>33</v>
      </c>
      <c r="E53" s="10" t="s">
        <v>34</v>
      </c>
      <c r="F53" s="11" t="s">
        <v>71</v>
      </c>
      <c r="G53" s="12" t="s">
        <v>96</v>
      </c>
    </row>
    <row r="54" customFormat="false" ht="22.35" hidden="false" customHeight="false" outlineLevel="0" collapsed="false">
      <c r="B54" s="10" t="s">
        <v>97</v>
      </c>
      <c r="C54" s="10" t="s">
        <v>98</v>
      </c>
      <c r="D54" s="10" t="s">
        <v>33</v>
      </c>
      <c r="E54" s="10" t="s">
        <v>34</v>
      </c>
      <c r="F54" s="11" t="s">
        <v>99</v>
      </c>
      <c r="G54" s="12" t="s">
        <v>100</v>
      </c>
    </row>
    <row r="55" customFormat="false" ht="15" hidden="false" customHeight="false" outlineLevel="0" collapsed="false">
      <c r="B55" s="10" t="s">
        <v>97</v>
      </c>
      <c r="C55" s="10" t="s">
        <v>101</v>
      </c>
      <c r="D55" s="10" t="s">
        <v>33</v>
      </c>
      <c r="E55" s="10" t="s">
        <v>34</v>
      </c>
      <c r="F55" s="11" t="s">
        <v>102</v>
      </c>
      <c r="G55" s="12" t="s">
        <v>103</v>
      </c>
    </row>
    <row r="56" customFormat="false" ht="22.35" hidden="false" customHeight="false" outlineLevel="0" collapsed="false">
      <c r="B56" s="10" t="s">
        <v>97</v>
      </c>
      <c r="C56" s="10" t="s">
        <v>104</v>
      </c>
      <c r="D56" s="10"/>
      <c r="E56" s="10" t="s">
        <v>34</v>
      </c>
      <c r="F56" s="11" t="s">
        <v>105</v>
      </c>
      <c r="G56" s="12" t="s">
        <v>106</v>
      </c>
    </row>
    <row r="57" customFormat="false" ht="15" hidden="false" customHeight="false" outlineLevel="0" collapsed="false">
      <c r="B57" s="10" t="s">
        <v>97</v>
      </c>
      <c r="C57" s="10" t="s">
        <v>107</v>
      </c>
      <c r="D57" s="10"/>
      <c r="E57" s="10" t="s">
        <v>34</v>
      </c>
      <c r="F57" s="11" t="s">
        <v>108</v>
      </c>
      <c r="G57" s="12" t="s">
        <v>109</v>
      </c>
    </row>
    <row r="58" customFormat="false" ht="15" hidden="false" customHeight="false" outlineLevel="0" collapsed="false">
      <c r="B58" s="10" t="s">
        <v>97</v>
      </c>
      <c r="C58" s="10" t="s">
        <v>110</v>
      </c>
      <c r="D58" s="10"/>
      <c r="E58" s="10" t="s">
        <v>34</v>
      </c>
      <c r="F58" s="11" t="s">
        <v>111</v>
      </c>
      <c r="G58" s="12"/>
    </row>
    <row r="59" customFormat="false" ht="15" hidden="false" customHeight="false" outlineLevel="0" collapsed="false">
      <c r="B59" s="10" t="s">
        <v>97</v>
      </c>
      <c r="C59" s="10" t="s">
        <v>112</v>
      </c>
      <c r="D59" s="10"/>
      <c r="E59" s="10" t="s">
        <v>113</v>
      </c>
      <c r="F59" s="11" t="s">
        <v>114</v>
      </c>
      <c r="G59" s="12" t="s">
        <v>115</v>
      </c>
    </row>
    <row r="60" customFormat="false" ht="15" hidden="false" customHeight="false" outlineLevel="0" collapsed="false">
      <c r="B60" s="10" t="s">
        <v>97</v>
      </c>
      <c r="C60" s="10" t="s">
        <v>116</v>
      </c>
      <c r="D60" s="10"/>
      <c r="E60" s="10" t="s">
        <v>34</v>
      </c>
      <c r="F60" s="11" t="s">
        <v>117</v>
      </c>
      <c r="G60" s="12"/>
    </row>
    <row r="61" customFormat="false" ht="15" hidden="false" customHeight="false" outlineLevel="0" collapsed="false">
      <c r="B61" s="10" t="s">
        <v>97</v>
      </c>
      <c r="C61" s="10" t="s">
        <v>118</v>
      </c>
      <c r="D61" s="10"/>
      <c r="E61" s="10" t="s">
        <v>34</v>
      </c>
      <c r="F61" s="11" t="s">
        <v>119</v>
      </c>
      <c r="G61" s="12" t="s">
        <v>120</v>
      </c>
    </row>
    <row r="62" customFormat="false" ht="15" hidden="false" customHeight="false" outlineLevel="0" collapsed="false">
      <c r="B62" s="10" t="s">
        <v>97</v>
      </c>
      <c r="C62" s="10" t="s">
        <v>121</v>
      </c>
      <c r="D62" s="10"/>
      <c r="E62" s="10" t="s">
        <v>113</v>
      </c>
      <c r="F62" s="11" t="s">
        <v>122</v>
      </c>
      <c r="G62" s="12" t="s">
        <v>123</v>
      </c>
    </row>
    <row r="63" customFormat="false" ht="15" hidden="false" customHeight="false" outlineLevel="0" collapsed="false">
      <c r="B63" s="10" t="s">
        <v>97</v>
      </c>
      <c r="C63" s="10" t="s">
        <v>124</v>
      </c>
      <c r="D63" s="10" t="s">
        <v>33</v>
      </c>
      <c r="E63" s="10" t="s">
        <v>34</v>
      </c>
      <c r="F63" s="11" t="s">
        <v>125</v>
      </c>
      <c r="G63" s="12" t="s">
        <v>126</v>
      </c>
    </row>
    <row r="64" customFormat="false" ht="15" hidden="false" customHeight="false" outlineLevel="0" collapsed="false">
      <c r="B64" s="10" t="s">
        <v>97</v>
      </c>
      <c r="C64" s="10" t="s">
        <v>127</v>
      </c>
      <c r="D64" s="10"/>
      <c r="E64" s="10" t="s">
        <v>34</v>
      </c>
      <c r="F64" s="11" t="s">
        <v>128</v>
      </c>
      <c r="G64" s="12" t="s">
        <v>129</v>
      </c>
    </row>
    <row r="65" customFormat="false" ht="15" hidden="false" customHeight="false" outlineLevel="0" collapsed="false">
      <c r="B65" s="10" t="s">
        <v>97</v>
      </c>
      <c r="C65" s="10" t="s">
        <v>130</v>
      </c>
      <c r="D65" s="10"/>
      <c r="E65" s="10" t="s">
        <v>34</v>
      </c>
      <c r="F65" s="11" t="s">
        <v>128</v>
      </c>
      <c r="G65" s="12" t="s">
        <v>131</v>
      </c>
    </row>
    <row r="66" customFormat="false" ht="15" hidden="false" customHeight="false" outlineLevel="0" collapsed="false">
      <c r="B66" s="10" t="s">
        <v>97</v>
      </c>
      <c r="C66" s="10" t="s">
        <v>32</v>
      </c>
      <c r="D66" s="10" t="s">
        <v>33</v>
      </c>
      <c r="E66" s="10" t="s">
        <v>34</v>
      </c>
      <c r="F66" s="11" t="s">
        <v>35</v>
      </c>
      <c r="G66" s="12" t="s">
        <v>132</v>
      </c>
    </row>
    <row r="67" customFormat="false" ht="15" hidden="false" customHeight="false" outlineLevel="0" collapsed="false">
      <c r="B67" s="10" t="s">
        <v>97</v>
      </c>
      <c r="C67" s="10" t="s">
        <v>133</v>
      </c>
      <c r="D67" s="10"/>
      <c r="E67" s="10" t="s">
        <v>34</v>
      </c>
      <c r="F67" s="11"/>
      <c r="G67" s="12" t="s">
        <v>134</v>
      </c>
    </row>
    <row r="68" customFormat="false" ht="15" hidden="false" customHeight="false" outlineLevel="0" collapsed="false">
      <c r="B68" s="10" t="s">
        <v>97</v>
      </c>
      <c r="C68" s="10" t="s">
        <v>135</v>
      </c>
      <c r="D68" s="10" t="s">
        <v>136</v>
      </c>
      <c r="E68" s="10" t="s">
        <v>34</v>
      </c>
      <c r="F68" s="11" t="s">
        <v>137</v>
      </c>
      <c r="G68" s="12" t="s">
        <v>138</v>
      </c>
    </row>
    <row r="69" customFormat="false" ht="15" hidden="false" customHeight="false" outlineLevel="0" collapsed="false">
      <c r="B69" s="10" t="s">
        <v>97</v>
      </c>
      <c r="C69" s="10" t="s">
        <v>139</v>
      </c>
      <c r="D69" s="10" t="s">
        <v>136</v>
      </c>
      <c r="E69" s="10" t="s">
        <v>34</v>
      </c>
      <c r="F69" s="11" t="s">
        <v>137</v>
      </c>
      <c r="G69" s="12" t="s">
        <v>140</v>
      </c>
    </row>
    <row r="70" customFormat="false" ht="15" hidden="false" customHeight="false" outlineLevel="0" collapsed="false">
      <c r="B70" s="10" t="s">
        <v>141</v>
      </c>
      <c r="C70" s="10" t="s">
        <v>98</v>
      </c>
      <c r="D70" s="10" t="s">
        <v>33</v>
      </c>
      <c r="E70" s="10" t="s">
        <v>34</v>
      </c>
      <c r="F70" s="11" t="s">
        <v>99</v>
      </c>
      <c r="G70" s="12" t="s">
        <v>142</v>
      </c>
    </row>
    <row r="71" customFormat="false" ht="15" hidden="false" customHeight="false" outlineLevel="0" collapsed="false">
      <c r="B71" s="10" t="s">
        <v>141</v>
      </c>
      <c r="C71" s="10" t="s">
        <v>143</v>
      </c>
      <c r="D71" s="10"/>
      <c r="E71" s="10" t="s">
        <v>34</v>
      </c>
      <c r="F71" s="11" t="s">
        <v>102</v>
      </c>
      <c r="G71" s="12" t="s">
        <v>144</v>
      </c>
    </row>
    <row r="72" customFormat="false" ht="15" hidden="false" customHeight="false" outlineLevel="0" collapsed="false">
      <c r="B72" s="10" t="s">
        <v>141</v>
      </c>
      <c r="C72" s="10" t="s">
        <v>67</v>
      </c>
      <c r="D72" s="10" t="s">
        <v>33</v>
      </c>
      <c r="E72" s="10" t="s">
        <v>34</v>
      </c>
      <c r="F72" s="11" t="s">
        <v>145</v>
      </c>
      <c r="G72" s="12" t="s">
        <v>146</v>
      </c>
    </row>
    <row r="73" customFormat="false" ht="15" hidden="false" customHeight="false" outlineLevel="0" collapsed="false">
      <c r="B73" s="10" t="s">
        <v>141</v>
      </c>
      <c r="C73" s="10" t="s">
        <v>59</v>
      </c>
      <c r="D73" s="10" t="s">
        <v>33</v>
      </c>
      <c r="E73" s="10" t="s">
        <v>60</v>
      </c>
      <c r="F73" s="11" t="s">
        <v>147</v>
      </c>
      <c r="G73" s="12" t="s">
        <v>148</v>
      </c>
    </row>
    <row r="74" customFormat="false" ht="15" hidden="false" customHeight="false" outlineLevel="0" collapsed="false">
      <c r="B74" s="10" t="s">
        <v>141</v>
      </c>
      <c r="C74" s="10" t="s">
        <v>133</v>
      </c>
      <c r="D74" s="10"/>
      <c r="E74" s="10" t="s">
        <v>34</v>
      </c>
      <c r="F74" s="11"/>
      <c r="G74" s="12"/>
    </row>
    <row r="75" customFormat="false" ht="15" hidden="false" customHeight="false" outlineLevel="0" collapsed="false">
      <c r="B75" s="10" t="s">
        <v>141</v>
      </c>
      <c r="C75" s="10" t="s">
        <v>149</v>
      </c>
      <c r="D75" s="10" t="s">
        <v>136</v>
      </c>
      <c r="E75" s="10" t="s">
        <v>34</v>
      </c>
      <c r="F75" s="11" t="s">
        <v>137</v>
      </c>
      <c r="G75" s="12" t="s">
        <v>150</v>
      </c>
    </row>
    <row r="76" customFormat="false" ht="15" hidden="false" customHeight="false" outlineLevel="0" collapsed="false">
      <c r="B76" s="10" t="s">
        <v>141</v>
      </c>
      <c r="C76" s="10" t="s">
        <v>151</v>
      </c>
      <c r="D76" s="10" t="s">
        <v>136</v>
      </c>
      <c r="E76" s="10" t="s">
        <v>34</v>
      </c>
      <c r="F76" s="11" t="s">
        <v>137</v>
      </c>
      <c r="G76" s="12" t="s">
        <v>152</v>
      </c>
    </row>
    <row r="77" customFormat="false" ht="15" hidden="false" customHeight="false" outlineLevel="0" collapsed="false">
      <c r="B77" s="10" t="s">
        <v>153</v>
      </c>
      <c r="C77" s="10" t="s">
        <v>98</v>
      </c>
      <c r="D77" s="10" t="s">
        <v>33</v>
      </c>
      <c r="E77" s="10" t="s">
        <v>34</v>
      </c>
      <c r="F77" s="11" t="s">
        <v>154</v>
      </c>
      <c r="G77" s="12" t="s">
        <v>142</v>
      </c>
    </row>
    <row r="78" customFormat="false" ht="15" hidden="false" customHeight="false" outlineLevel="0" collapsed="false">
      <c r="B78" s="10" t="s">
        <v>153</v>
      </c>
      <c r="C78" s="10" t="s">
        <v>143</v>
      </c>
      <c r="D78" s="10"/>
      <c r="E78" s="10" t="s">
        <v>34</v>
      </c>
      <c r="F78" s="11" t="s">
        <v>155</v>
      </c>
      <c r="G78" s="12" t="s">
        <v>156</v>
      </c>
    </row>
    <row r="79" customFormat="false" ht="15" hidden="false" customHeight="false" outlineLevel="0" collapsed="false">
      <c r="B79" s="10" t="s">
        <v>153</v>
      </c>
      <c r="C79" s="10" t="s">
        <v>67</v>
      </c>
      <c r="D79" s="10" t="s">
        <v>33</v>
      </c>
      <c r="E79" s="10" t="s">
        <v>34</v>
      </c>
      <c r="F79" s="11" t="s">
        <v>157</v>
      </c>
      <c r="G79" s="12" t="s">
        <v>158</v>
      </c>
    </row>
    <row r="80" customFormat="false" ht="15" hidden="false" customHeight="false" outlineLevel="0" collapsed="false">
      <c r="B80" s="10" t="s">
        <v>153</v>
      </c>
      <c r="C80" s="10" t="s">
        <v>159</v>
      </c>
      <c r="D80" s="10"/>
      <c r="E80" s="10" t="s">
        <v>34</v>
      </c>
      <c r="F80" s="11"/>
      <c r="G80" s="12" t="s">
        <v>160</v>
      </c>
    </row>
    <row r="81" customFormat="false" ht="15" hidden="false" customHeight="false" outlineLevel="0" collapsed="false">
      <c r="B81" s="10" t="s">
        <v>153</v>
      </c>
      <c r="C81" s="10" t="s">
        <v>161</v>
      </c>
      <c r="D81" s="10"/>
      <c r="E81" s="10" t="s">
        <v>113</v>
      </c>
      <c r="F81" s="11"/>
      <c r="G81" s="12" t="s">
        <v>162</v>
      </c>
    </row>
    <row r="82" customFormat="false" ht="15" hidden="false" customHeight="false" outlineLevel="0" collapsed="false">
      <c r="B82" s="10" t="s">
        <v>153</v>
      </c>
      <c r="C82" s="10" t="s">
        <v>163</v>
      </c>
      <c r="D82" s="10"/>
      <c r="E82" s="10" t="s">
        <v>60</v>
      </c>
      <c r="F82" s="11"/>
      <c r="G82" s="12" t="s">
        <v>164</v>
      </c>
    </row>
    <row r="83" customFormat="false" ht="15" hidden="false" customHeight="false" outlineLevel="0" collapsed="false">
      <c r="B83" s="10" t="s">
        <v>153</v>
      </c>
      <c r="C83" s="10" t="s">
        <v>165</v>
      </c>
      <c r="D83" s="10"/>
      <c r="E83" s="10" t="s">
        <v>92</v>
      </c>
      <c r="F83" s="11"/>
      <c r="G83" s="12" t="s">
        <v>166</v>
      </c>
    </row>
    <row r="84" customFormat="false" ht="15" hidden="false" customHeight="false" outlineLevel="0" collapsed="false">
      <c r="B84" s="10" t="s">
        <v>153</v>
      </c>
      <c r="C84" s="10" t="s">
        <v>167</v>
      </c>
      <c r="D84" s="10" t="s">
        <v>33</v>
      </c>
      <c r="E84" s="10" t="s">
        <v>60</v>
      </c>
      <c r="F84" s="11" t="s">
        <v>168</v>
      </c>
      <c r="G84" s="12" t="s">
        <v>169</v>
      </c>
    </row>
    <row r="85" customFormat="false" ht="15" hidden="false" customHeight="false" outlineLevel="0" collapsed="false">
      <c r="B85" s="10" t="s">
        <v>153</v>
      </c>
      <c r="C85" s="10" t="s">
        <v>170</v>
      </c>
      <c r="D85" s="10"/>
      <c r="E85" s="10" t="s">
        <v>60</v>
      </c>
      <c r="F85" s="11" t="s">
        <v>171</v>
      </c>
      <c r="G85" s="12" t="s">
        <v>172</v>
      </c>
    </row>
    <row r="86" customFormat="false" ht="15" hidden="false" customHeight="false" outlineLevel="0" collapsed="false">
      <c r="B86" s="10" t="s">
        <v>153</v>
      </c>
      <c r="C86" s="10" t="s">
        <v>173</v>
      </c>
      <c r="D86" s="10"/>
      <c r="E86" s="10" t="s">
        <v>60</v>
      </c>
      <c r="F86" s="11" t="s">
        <v>174</v>
      </c>
      <c r="G86" s="12" t="s">
        <v>175</v>
      </c>
    </row>
    <row r="87" customFormat="false" ht="15" hidden="false" customHeight="false" outlineLevel="0" collapsed="false">
      <c r="B87" s="10" t="s">
        <v>153</v>
      </c>
      <c r="C87" s="10" t="s">
        <v>176</v>
      </c>
      <c r="D87" s="10"/>
      <c r="E87" s="10" t="s">
        <v>60</v>
      </c>
      <c r="F87" s="11" t="s">
        <v>177</v>
      </c>
      <c r="G87" s="12" t="s">
        <v>178</v>
      </c>
    </row>
    <row r="88" customFormat="false" ht="15" hidden="false" customHeight="false" outlineLevel="0" collapsed="false">
      <c r="B88" s="10" t="s">
        <v>153</v>
      </c>
      <c r="C88" s="10" t="s">
        <v>179</v>
      </c>
      <c r="D88" s="10" t="s">
        <v>33</v>
      </c>
      <c r="E88" s="10" t="s">
        <v>92</v>
      </c>
      <c r="F88" s="11" t="s">
        <v>180</v>
      </c>
      <c r="G88" s="12" t="s">
        <v>181</v>
      </c>
    </row>
    <row r="89" customFormat="false" ht="15" hidden="false" customHeight="false" outlineLevel="0" collapsed="false">
      <c r="B89" s="10" t="s">
        <v>153</v>
      </c>
      <c r="C89" s="10" t="s">
        <v>182</v>
      </c>
      <c r="D89" s="10"/>
      <c r="E89" s="10" t="s">
        <v>92</v>
      </c>
      <c r="F89" s="11" t="s">
        <v>86</v>
      </c>
      <c r="G89" s="12" t="s">
        <v>183</v>
      </c>
    </row>
    <row r="90" customFormat="false" ht="15" hidden="false" customHeight="false" outlineLevel="0" collapsed="false">
      <c r="B90" s="10" t="s">
        <v>153</v>
      </c>
      <c r="C90" s="10" t="s">
        <v>184</v>
      </c>
      <c r="D90" s="10" t="s">
        <v>33</v>
      </c>
      <c r="E90" s="10" t="s">
        <v>34</v>
      </c>
      <c r="F90" s="11" t="s">
        <v>185</v>
      </c>
      <c r="G90" s="12" t="s">
        <v>186</v>
      </c>
    </row>
    <row r="91" customFormat="false" ht="15" hidden="false" customHeight="false" outlineLevel="0" collapsed="false">
      <c r="B91" s="10" t="s">
        <v>153</v>
      </c>
      <c r="C91" s="10" t="s">
        <v>187</v>
      </c>
      <c r="D91" s="10"/>
      <c r="E91" s="10" t="s">
        <v>34</v>
      </c>
      <c r="F91" s="11"/>
      <c r="G91" s="12" t="s">
        <v>188</v>
      </c>
    </row>
    <row r="92" customFormat="false" ht="15" hidden="false" customHeight="false" outlineLevel="0" collapsed="false">
      <c r="B92" s="10" t="s">
        <v>153</v>
      </c>
      <c r="C92" s="10" t="s">
        <v>133</v>
      </c>
      <c r="D92" s="10"/>
      <c r="E92" s="10" t="s">
        <v>34</v>
      </c>
      <c r="F92" s="11"/>
      <c r="G92" s="12"/>
    </row>
    <row r="93" customFormat="false" ht="15" hidden="false" customHeight="false" outlineLevel="0" collapsed="false">
      <c r="B93" s="10" t="s">
        <v>153</v>
      </c>
      <c r="C93" s="10" t="s">
        <v>149</v>
      </c>
      <c r="D93" s="10" t="s">
        <v>136</v>
      </c>
      <c r="E93" s="10" t="s">
        <v>34</v>
      </c>
      <c r="F93" s="11" t="s">
        <v>137</v>
      </c>
      <c r="G93" s="12" t="s">
        <v>189</v>
      </c>
    </row>
    <row r="94" customFormat="false" ht="15" hidden="false" customHeight="false" outlineLevel="0" collapsed="false">
      <c r="B94" s="10" t="s">
        <v>153</v>
      </c>
      <c r="C94" s="10" t="s">
        <v>151</v>
      </c>
      <c r="D94" s="10" t="s">
        <v>136</v>
      </c>
      <c r="E94" s="10" t="s">
        <v>34</v>
      </c>
      <c r="F94" s="11" t="s">
        <v>137</v>
      </c>
      <c r="G94" s="12" t="s">
        <v>152</v>
      </c>
    </row>
    <row r="95" customFormat="false" ht="15" hidden="false" customHeight="false" outlineLevel="0" collapsed="false">
      <c r="B95" s="10" t="s">
        <v>153</v>
      </c>
      <c r="C95" s="10" t="s">
        <v>190</v>
      </c>
      <c r="D95" s="10" t="s">
        <v>136</v>
      </c>
      <c r="E95" s="10" t="s">
        <v>34</v>
      </c>
      <c r="F95" s="11" t="s">
        <v>137</v>
      </c>
      <c r="G95" s="12" t="s">
        <v>191</v>
      </c>
    </row>
    <row r="96" customFormat="false" ht="15" hidden="false" customHeight="false" outlineLevel="0" collapsed="false">
      <c r="B96" s="10" t="s">
        <v>192</v>
      </c>
      <c r="C96" s="10" t="s">
        <v>44</v>
      </c>
      <c r="D96" s="10" t="s">
        <v>33</v>
      </c>
      <c r="E96" s="10" t="s">
        <v>34</v>
      </c>
      <c r="F96" s="11" t="s">
        <v>193</v>
      </c>
      <c r="G96" s="12" t="s">
        <v>194</v>
      </c>
    </row>
    <row r="97" customFormat="false" ht="22.35" hidden="false" customHeight="false" outlineLevel="0" collapsed="false">
      <c r="B97" s="10" t="s">
        <v>192</v>
      </c>
      <c r="C97" s="10" t="s">
        <v>195</v>
      </c>
      <c r="D97" s="10" t="s">
        <v>33</v>
      </c>
      <c r="E97" s="10" t="s">
        <v>60</v>
      </c>
      <c r="F97" s="11" t="s">
        <v>196</v>
      </c>
      <c r="G97" s="12" t="s">
        <v>197</v>
      </c>
    </row>
    <row r="98" customFormat="false" ht="22.35" hidden="false" customHeight="false" outlineLevel="0" collapsed="false">
      <c r="B98" s="10" t="s">
        <v>192</v>
      </c>
      <c r="C98" s="10" t="s">
        <v>198</v>
      </c>
      <c r="D98" s="10" t="s">
        <v>33</v>
      </c>
      <c r="E98" s="10" t="s">
        <v>34</v>
      </c>
      <c r="F98" s="11" t="s">
        <v>199</v>
      </c>
      <c r="G98" s="12" t="s">
        <v>200</v>
      </c>
    </row>
    <row r="99" customFormat="false" ht="15" hidden="false" customHeight="false" outlineLevel="0" collapsed="false">
      <c r="B99" s="10" t="s">
        <v>192</v>
      </c>
      <c r="C99" s="10" t="s">
        <v>201</v>
      </c>
      <c r="D99" s="10"/>
      <c r="E99" s="10" t="s">
        <v>34</v>
      </c>
      <c r="F99" s="11" t="s">
        <v>202</v>
      </c>
      <c r="G99" s="12" t="s">
        <v>203</v>
      </c>
    </row>
    <row r="100" customFormat="false" ht="15" hidden="false" customHeight="false" outlineLevel="0" collapsed="false">
      <c r="B100" s="10" t="s">
        <v>192</v>
      </c>
      <c r="C100" s="10" t="s">
        <v>204</v>
      </c>
      <c r="D100" s="10" t="s">
        <v>33</v>
      </c>
      <c r="E100" s="10" t="s">
        <v>34</v>
      </c>
      <c r="F100" s="11" t="s">
        <v>205</v>
      </c>
      <c r="G100" s="12" t="s">
        <v>206</v>
      </c>
    </row>
    <row r="101" customFormat="false" ht="15" hidden="false" customHeight="false" outlineLevel="0" collapsed="false">
      <c r="B101" s="10" t="s">
        <v>192</v>
      </c>
      <c r="C101" s="10" t="s">
        <v>207</v>
      </c>
      <c r="D101" s="10" t="s">
        <v>33</v>
      </c>
      <c r="E101" s="10" t="s">
        <v>113</v>
      </c>
      <c r="F101" s="11" t="s">
        <v>208</v>
      </c>
      <c r="G101" s="12" t="s">
        <v>115</v>
      </c>
    </row>
    <row r="102" customFormat="false" ht="15" hidden="false" customHeight="false" outlineLevel="0" collapsed="false">
      <c r="B102" s="10" t="s">
        <v>209</v>
      </c>
      <c r="C102" s="10" t="s">
        <v>210</v>
      </c>
      <c r="D102" s="10" t="s">
        <v>33</v>
      </c>
      <c r="E102" s="10" t="s">
        <v>34</v>
      </c>
      <c r="F102" s="11" t="s">
        <v>211</v>
      </c>
      <c r="G102" s="12" t="s">
        <v>212</v>
      </c>
    </row>
    <row r="103" customFormat="false" ht="15" hidden="false" customHeight="false" outlineLevel="0" collapsed="false">
      <c r="B103" s="10" t="s">
        <v>209</v>
      </c>
      <c r="C103" s="10" t="s">
        <v>213</v>
      </c>
      <c r="D103" s="10"/>
      <c r="E103" s="10" t="s">
        <v>92</v>
      </c>
      <c r="F103" s="11" t="s">
        <v>214</v>
      </c>
      <c r="G103" s="12"/>
    </row>
    <row r="104" customFormat="false" ht="15" hidden="false" customHeight="false" outlineLevel="0" collapsed="false">
      <c r="B104" s="10" t="s">
        <v>209</v>
      </c>
      <c r="C104" s="10" t="s">
        <v>215</v>
      </c>
      <c r="D104" s="10"/>
      <c r="E104" s="10" t="s">
        <v>113</v>
      </c>
      <c r="F104" s="11" t="s">
        <v>216</v>
      </c>
      <c r="G104" s="12"/>
    </row>
    <row r="105" customFormat="false" ht="15" hidden="false" customHeight="false" outlineLevel="0" collapsed="false">
      <c r="B105" s="10" t="s">
        <v>209</v>
      </c>
      <c r="C105" s="10" t="s">
        <v>217</v>
      </c>
      <c r="D105" s="10" t="s">
        <v>33</v>
      </c>
      <c r="E105" s="10" t="s">
        <v>60</v>
      </c>
      <c r="F105" s="11" t="s">
        <v>218</v>
      </c>
      <c r="G105" s="12"/>
    </row>
    <row r="106" customFormat="false" ht="15" hidden="false" customHeight="false" outlineLevel="0" collapsed="false">
      <c r="B106" s="10" t="s">
        <v>209</v>
      </c>
      <c r="C106" s="10" t="s">
        <v>219</v>
      </c>
      <c r="D106" s="10"/>
      <c r="E106" s="10" t="s">
        <v>60</v>
      </c>
      <c r="F106" s="11" t="s">
        <v>220</v>
      </c>
      <c r="G106" s="12" t="s">
        <v>221</v>
      </c>
    </row>
    <row r="107" customFormat="false" ht="15" hidden="false" customHeight="false" outlineLevel="0" collapsed="false">
      <c r="B107" s="10" t="s">
        <v>209</v>
      </c>
      <c r="C107" s="10" t="s">
        <v>222</v>
      </c>
      <c r="D107" s="10" t="s">
        <v>136</v>
      </c>
      <c r="E107" s="10" t="s">
        <v>60</v>
      </c>
      <c r="F107" s="11" t="s">
        <v>137</v>
      </c>
      <c r="G107" s="12" t="s">
        <v>223</v>
      </c>
    </row>
    <row r="108" customFormat="false" ht="15" hidden="false" customHeight="false" outlineLevel="0" collapsed="false">
      <c r="B108" s="10" t="s">
        <v>209</v>
      </c>
      <c r="C108" s="10" t="s">
        <v>44</v>
      </c>
      <c r="D108" s="10" t="s">
        <v>33</v>
      </c>
      <c r="E108" s="10" t="s">
        <v>34</v>
      </c>
      <c r="F108" s="11" t="s">
        <v>224</v>
      </c>
      <c r="G108" s="12" t="s">
        <v>225</v>
      </c>
    </row>
    <row r="109" customFormat="false" ht="15" hidden="false" customHeight="false" outlineLevel="0" collapsed="false">
      <c r="B109" s="10" t="s">
        <v>209</v>
      </c>
      <c r="C109" s="10" t="s">
        <v>133</v>
      </c>
      <c r="D109" s="10"/>
      <c r="E109" s="10" t="s">
        <v>34</v>
      </c>
      <c r="F109" s="11"/>
      <c r="G109" s="12"/>
    </row>
    <row r="111" customFormat="false" ht="15" hidden="false" customHeight="false" outlineLevel="0" collapsed="false">
      <c r="B111" s="13" t="s">
        <v>226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D08A2E"/>
    <pageSetUpPr fitToPage="false"/>
  </sheetPr>
  <dimension ref="B2:D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30"/>
    <col collapsed="false" customWidth="true" hidden="false" outlineLevel="0" max="3" min="3" style="0" width="42"/>
    <col collapsed="false" customWidth="true" hidden="false" outlineLevel="0" max="4" min="4" style="0" width="60"/>
  </cols>
  <sheetData>
    <row r="2" customFormat="false" ht="17.35" hidden="false" customHeight="false" outlineLevel="0" collapsed="false">
      <c r="B2" s="14" t="s">
        <v>227</v>
      </c>
    </row>
    <row r="3" customFormat="false" ht="15" hidden="false" customHeight="false" outlineLevel="0" collapsed="false">
      <c r="B3" s="2" t="s">
        <v>228</v>
      </c>
    </row>
    <row r="4" customFormat="false" ht="15" hidden="false" customHeight="false" outlineLevel="0" collapsed="false">
      <c r="B4" s="15" t="s">
        <v>26</v>
      </c>
      <c r="C4" s="15" t="s">
        <v>229</v>
      </c>
      <c r="D4" s="15" t="s">
        <v>30</v>
      </c>
    </row>
    <row r="5" customFormat="false" ht="15" hidden="false" customHeight="false" outlineLevel="0" collapsed="false">
      <c r="B5" s="16" t="s">
        <v>230</v>
      </c>
      <c r="C5" s="17" t="s">
        <v>231</v>
      </c>
      <c r="D5" s="18" t="s">
        <v>232</v>
      </c>
    </row>
    <row r="6" customFormat="false" ht="15" hidden="false" customHeight="false" outlineLevel="0" collapsed="false">
      <c r="B6" s="16" t="s">
        <v>233</v>
      </c>
      <c r="C6" s="17" t="s">
        <v>234</v>
      </c>
      <c r="D6" s="18" t="s">
        <v>235</v>
      </c>
    </row>
    <row r="7" customFormat="false" ht="15" hidden="false" customHeight="false" outlineLevel="0" collapsed="false">
      <c r="B7" s="16" t="s">
        <v>236</v>
      </c>
      <c r="C7" s="17" t="s">
        <v>237</v>
      </c>
      <c r="D7" s="18" t="s">
        <v>238</v>
      </c>
    </row>
    <row r="8" customFormat="false" ht="15" hidden="false" customHeight="false" outlineLevel="0" collapsed="false">
      <c r="B8" s="16" t="s">
        <v>239</v>
      </c>
      <c r="C8" s="19"/>
      <c r="D8" s="18" t="s">
        <v>240</v>
      </c>
    </row>
    <row r="9" customFormat="false" ht="15" hidden="false" customHeight="false" outlineLevel="0" collapsed="false">
      <c r="B9" s="16" t="s">
        <v>241</v>
      </c>
      <c r="C9" s="17" t="s">
        <v>242</v>
      </c>
      <c r="D9" s="18" t="s">
        <v>243</v>
      </c>
    </row>
    <row r="10" customFormat="false" ht="15" hidden="false" customHeight="false" outlineLevel="0" collapsed="false">
      <c r="B10" s="16" t="s">
        <v>244</v>
      </c>
      <c r="C10" s="17" t="n">
        <v>1</v>
      </c>
      <c r="D10" s="18" t="s">
        <v>245</v>
      </c>
    </row>
    <row r="11" customFormat="false" ht="15" hidden="false" customHeight="false" outlineLevel="0" collapsed="false">
      <c r="B11" s="16" t="s">
        <v>246</v>
      </c>
      <c r="C11" s="17"/>
      <c r="D11" s="18" t="s">
        <v>247</v>
      </c>
    </row>
    <row r="12" customFormat="false" ht="15" hidden="false" customHeight="false" outlineLevel="0" collapsed="false">
      <c r="B12" s="16" t="s">
        <v>248</v>
      </c>
      <c r="C12" s="19"/>
      <c r="D12" s="18" t="s">
        <v>249</v>
      </c>
    </row>
    <row r="13" customFormat="false" ht="15" hidden="false" customHeight="false" outlineLevel="0" collapsed="false">
      <c r="B13" s="16" t="s">
        <v>250</v>
      </c>
      <c r="C13" s="17" t="s">
        <v>251</v>
      </c>
      <c r="D13" s="18" t="s">
        <v>252</v>
      </c>
    </row>
    <row r="14" customFormat="false" ht="15" hidden="false" customHeight="false" outlineLevel="0" collapsed="false">
      <c r="B14" s="16" t="s">
        <v>253</v>
      </c>
      <c r="C14" s="17"/>
      <c r="D14" s="18" t="s">
        <v>254</v>
      </c>
    </row>
  </sheetData>
  <dataValidations count="2">
    <dataValidation allowBlank="true" error="Pilih dari daftar." errorStyle="stop" errorTitle="Nilai tidak valid" operator="between" showDropDown="false" showErrorMessage="true" showInputMessage="false" sqref="C7" type="list">
      <formula1>Daftar!$A$2:$A$3</formula1>
      <formula2>0</formula2>
    </dataValidation>
    <dataValidation allowBlank="true" error="Pilih dari daftar." errorStyle="stop" errorTitle="Nilai tidak valid" operator="between" showDropDown="false" showErrorMessage="true" showInputMessage="false" sqref="C9" type="list">
      <formula1>Daftar!$B$2:$B$5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5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34"/>
    <col collapsed="false" customWidth="true" hidden="false" outlineLevel="0" max="3" min="3" style="0" width="16"/>
  </cols>
  <sheetData>
    <row r="1" customFormat="false" ht="30" hidden="false" customHeight="true" outlineLevel="0" collapsed="false">
      <c r="A1" s="20" t="s">
        <v>32</v>
      </c>
      <c r="B1" s="20" t="s">
        <v>37</v>
      </c>
      <c r="C1" s="20" t="s">
        <v>40</v>
      </c>
    </row>
    <row r="2" customFormat="false" ht="15" hidden="false" customHeight="false" outlineLevel="0" collapsed="false">
      <c r="A2" s="21"/>
      <c r="B2" s="22"/>
      <c r="C2" s="22"/>
    </row>
    <row r="3" customFormat="false" ht="15" hidden="false" customHeight="false" outlineLevel="0" collapsed="false">
      <c r="A3" s="21"/>
      <c r="B3" s="22"/>
      <c r="C3" s="22"/>
    </row>
    <row r="4" customFormat="false" ht="15" hidden="false" customHeight="false" outlineLevel="0" collapsed="false">
      <c r="A4" s="21"/>
      <c r="B4" s="22"/>
      <c r="C4" s="22"/>
    </row>
    <row r="5" customFormat="false" ht="15" hidden="false" customHeight="false" outlineLevel="0" collapsed="false">
      <c r="A5" s="21"/>
      <c r="B5" s="22"/>
      <c r="C5" s="22"/>
    </row>
    <row r="6" customFormat="false" ht="15" hidden="false" customHeight="false" outlineLevel="0" collapsed="false">
      <c r="A6" s="21"/>
      <c r="B6" s="22"/>
      <c r="C6" s="22"/>
    </row>
    <row r="7" customFormat="false" ht="15" hidden="false" customHeight="false" outlineLevel="0" collapsed="false">
      <c r="A7" s="21"/>
      <c r="B7" s="22"/>
      <c r="C7" s="22"/>
    </row>
    <row r="8" customFormat="false" ht="15" hidden="false" customHeight="false" outlineLevel="0" collapsed="false">
      <c r="A8" s="21"/>
      <c r="B8" s="22"/>
      <c r="C8" s="22"/>
    </row>
    <row r="9" customFormat="false" ht="15" hidden="false" customHeight="false" outlineLevel="0" collapsed="false">
      <c r="A9" s="21"/>
      <c r="B9" s="22"/>
      <c r="C9" s="22"/>
    </row>
    <row r="10" customFormat="false" ht="15" hidden="false" customHeight="false" outlineLevel="0" collapsed="false">
      <c r="A10" s="21"/>
      <c r="B10" s="22"/>
      <c r="C10" s="22"/>
    </row>
    <row r="11" customFormat="false" ht="15" hidden="false" customHeight="false" outlineLevel="0" collapsed="false">
      <c r="A11" s="21"/>
      <c r="B11" s="22"/>
      <c r="C11" s="22"/>
    </row>
    <row r="12" customFormat="false" ht="15" hidden="false" customHeight="false" outlineLevel="0" collapsed="false">
      <c r="A12" s="21"/>
      <c r="B12" s="22"/>
      <c r="C12" s="22"/>
    </row>
    <row r="13" customFormat="false" ht="15" hidden="false" customHeight="false" outlineLevel="0" collapsed="false">
      <c r="A13" s="21"/>
      <c r="B13" s="22"/>
      <c r="C13" s="22"/>
    </row>
    <row r="14" customFormat="false" ht="15" hidden="false" customHeight="false" outlineLevel="0" collapsed="false">
      <c r="A14" s="21"/>
      <c r="B14" s="22"/>
      <c r="C14" s="22"/>
    </row>
    <row r="15" customFormat="false" ht="15" hidden="false" customHeight="false" outlineLevel="0" collapsed="false">
      <c r="A15" s="21"/>
      <c r="B15" s="22"/>
      <c r="C15" s="22"/>
    </row>
    <row r="16" customFormat="false" ht="15" hidden="false" customHeight="false" outlineLevel="0" collapsed="false">
      <c r="A16" s="21"/>
      <c r="B16" s="22"/>
      <c r="C16" s="22"/>
    </row>
    <row r="17" customFormat="false" ht="15" hidden="false" customHeight="false" outlineLevel="0" collapsed="false">
      <c r="A17" s="21"/>
      <c r="B17" s="22"/>
      <c r="C17" s="22"/>
    </row>
    <row r="18" customFormat="false" ht="15" hidden="false" customHeight="false" outlineLevel="0" collapsed="false">
      <c r="A18" s="21"/>
      <c r="B18" s="22"/>
      <c r="C18" s="22"/>
    </row>
    <row r="19" customFormat="false" ht="15" hidden="false" customHeight="false" outlineLevel="0" collapsed="false">
      <c r="A19" s="21"/>
      <c r="B19" s="22"/>
      <c r="C19" s="22"/>
    </row>
    <row r="20" customFormat="false" ht="15" hidden="false" customHeight="false" outlineLevel="0" collapsed="false">
      <c r="A20" s="21"/>
      <c r="B20" s="22"/>
      <c r="C20" s="22"/>
    </row>
    <row r="21" customFormat="false" ht="15" hidden="false" customHeight="false" outlineLevel="0" collapsed="false">
      <c r="A21" s="21"/>
      <c r="B21" s="22"/>
      <c r="C21" s="22"/>
    </row>
    <row r="22" customFormat="false" ht="15" hidden="false" customHeight="false" outlineLevel="0" collapsed="false">
      <c r="A22" s="21"/>
      <c r="B22" s="22"/>
      <c r="C22" s="22"/>
    </row>
    <row r="23" customFormat="false" ht="15" hidden="false" customHeight="false" outlineLevel="0" collapsed="false">
      <c r="A23" s="21"/>
      <c r="B23" s="22"/>
      <c r="C23" s="22"/>
    </row>
    <row r="24" customFormat="false" ht="15" hidden="false" customHeight="false" outlineLevel="0" collapsed="false">
      <c r="A24" s="21"/>
      <c r="B24" s="22"/>
      <c r="C24" s="22"/>
    </row>
    <row r="25" customFormat="false" ht="15" hidden="false" customHeight="false" outlineLevel="0" collapsed="false">
      <c r="A25" s="21"/>
      <c r="B25" s="22"/>
      <c r="C25" s="22"/>
    </row>
    <row r="26" customFormat="false" ht="15" hidden="false" customHeight="false" outlineLevel="0" collapsed="false">
      <c r="A26" s="21"/>
      <c r="B26" s="22"/>
      <c r="C26" s="22"/>
    </row>
    <row r="27" customFormat="false" ht="15" hidden="false" customHeight="false" outlineLevel="0" collapsed="false">
      <c r="A27" s="21"/>
      <c r="B27" s="22"/>
      <c r="C27" s="22"/>
    </row>
    <row r="28" customFormat="false" ht="15" hidden="false" customHeight="false" outlineLevel="0" collapsed="false">
      <c r="A28" s="21"/>
      <c r="B28" s="22"/>
      <c r="C28" s="22"/>
    </row>
    <row r="29" customFormat="false" ht="15" hidden="false" customHeight="false" outlineLevel="0" collapsed="false">
      <c r="A29" s="21"/>
      <c r="B29" s="22"/>
      <c r="C29" s="22"/>
    </row>
    <row r="30" customFormat="false" ht="15" hidden="false" customHeight="false" outlineLevel="0" collapsed="false">
      <c r="A30" s="21"/>
      <c r="B30" s="22"/>
      <c r="C30" s="22"/>
    </row>
    <row r="31" customFormat="false" ht="15" hidden="false" customHeight="false" outlineLevel="0" collapsed="false">
      <c r="A31" s="21"/>
      <c r="B31" s="22"/>
      <c r="C31" s="22"/>
    </row>
    <row r="32" customFormat="false" ht="15" hidden="false" customHeight="false" outlineLevel="0" collapsed="false">
      <c r="A32" s="21"/>
      <c r="B32" s="22"/>
      <c r="C32" s="22"/>
    </row>
    <row r="33" customFormat="false" ht="15" hidden="false" customHeight="false" outlineLevel="0" collapsed="false">
      <c r="A33" s="21"/>
      <c r="B33" s="22"/>
      <c r="C33" s="22"/>
    </row>
    <row r="34" customFormat="false" ht="15" hidden="false" customHeight="false" outlineLevel="0" collapsed="false">
      <c r="A34" s="21"/>
      <c r="B34" s="22"/>
      <c r="C34" s="22"/>
    </row>
    <row r="35" customFormat="false" ht="15" hidden="false" customHeight="false" outlineLevel="0" collapsed="false">
      <c r="A35" s="21"/>
      <c r="B35" s="22"/>
      <c r="C35" s="22"/>
    </row>
    <row r="36" customFormat="false" ht="15" hidden="false" customHeight="false" outlineLevel="0" collapsed="false">
      <c r="A36" s="21"/>
      <c r="B36" s="22"/>
      <c r="C36" s="22"/>
    </row>
    <row r="37" customFormat="false" ht="15" hidden="false" customHeight="false" outlineLevel="0" collapsed="false">
      <c r="A37" s="21"/>
      <c r="B37" s="22"/>
      <c r="C37" s="22"/>
    </row>
    <row r="38" customFormat="false" ht="15" hidden="false" customHeight="false" outlineLevel="0" collapsed="false">
      <c r="A38" s="21"/>
      <c r="B38" s="22"/>
      <c r="C38" s="22"/>
    </row>
    <row r="39" customFormat="false" ht="15" hidden="false" customHeight="false" outlineLevel="0" collapsed="false">
      <c r="A39" s="21"/>
      <c r="B39" s="22"/>
      <c r="C39" s="22"/>
    </row>
    <row r="40" customFormat="false" ht="15" hidden="false" customHeight="false" outlineLevel="0" collapsed="false">
      <c r="A40" s="21"/>
      <c r="B40" s="22"/>
      <c r="C40" s="22"/>
    </row>
    <row r="41" customFormat="false" ht="15" hidden="false" customHeight="false" outlineLevel="0" collapsed="false">
      <c r="A41" s="21"/>
      <c r="B41" s="22"/>
      <c r="C41" s="22"/>
    </row>
    <row r="42" customFormat="false" ht="15" hidden="false" customHeight="false" outlineLevel="0" collapsed="false">
      <c r="A42" s="21"/>
      <c r="B42" s="22"/>
      <c r="C42" s="22"/>
    </row>
    <row r="43" customFormat="false" ht="15" hidden="false" customHeight="false" outlineLevel="0" collapsed="false">
      <c r="A43" s="21"/>
      <c r="B43" s="22"/>
      <c r="C43" s="22"/>
    </row>
    <row r="44" customFormat="false" ht="15" hidden="false" customHeight="false" outlineLevel="0" collapsed="false">
      <c r="A44" s="21"/>
      <c r="B44" s="22"/>
      <c r="C44" s="22"/>
    </row>
    <row r="45" customFormat="false" ht="15" hidden="false" customHeight="false" outlineLevel="0" collapsed="false">
      <c r="A45" s="21"/>
      <c r="B45" s="22"/>
      <c r="C45" s="22"/>
    </row>
    <row r="46" customFormat="false" ht="15" hidden="false" customHeight="false" outlineLevel="0" collapsed="false">
      <c r="A46" s="21"/>
      <c r="B46" s="22"/>
      <c r="C46" s="22"/>
    </row>
    <row r="47" customFormat="false" ht="15" hidden="false" customHeight="false" outlineLevel="0" collapsed="false">
      <c r="A47" s="21"/>
      <c r="B47" s="22"/>
      <c r="C47" s="22"/>
    </row>
    <row r="48" customFormat="false" ht="15" hidden="false" customHeight="false" outlineLevel="0" collapsed="false">
      <c r="A48" s="21"/>
      <c r="B48" s="22"/>
      <c r="C48" s="22"/>
    </row>
    <row r="49" customFormat="false" ht="15" hidden="false" customHeight="false" outlineLevel="0" collapsed="false">
      <c r="A49" s="21"/>
      <c r="B49" s="22"/>
      <c r="C49" s="22"/>
    </row>
    <row r="50" customFormat="false" ht="15" hidden="false" customHeight="false" outlineLevel="0" collapsed="false">
      <c r="A50" s="21"/>
      <c r="B50" s="22"/>
      <c r="C50" s="22"/>
    </row>
  </sheetData>
  <dataValidations count="1">
    <dataValidation allowBlank="true" error="Pilih dari daftar." errorStyle="stop" errorTitle="Nilai tidak valid" operator="between" showDropDown="false" showErrorMessage="true" showInputMessage="false" sqref="C2:C50" type="list">
      <formula1>Daftar!$N$2:$N$6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5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34"/>
    <col collapsed="false" customWidth="true" hidden="false" outlineLevel="0" max="3" min="3" style="0" width="13"/>
    <col collapsed="false" customWidth="true" hidden="false" outlineLevel="0" max="4" min="4" style="0" width="12"/>
    <col collapsed="false" customWidth="true" hidden="false" outlineLevel="0" max="5" min="5" style="0" width="20"/>
    <col collapsed="false" customWidth="true" hidden="false" outlineLevel="0" max="6" min="6" style="0" width="11"/>
    <col collapsed="false" customWidth="true" hidden="false" outlineLevel="0" max="7" min="7" style="0" width="18"/>
    <col collapsed="false" customWidth="true" hidden="false" outlineLevel="0" max="8" min="8" style="0" width="34"/>
  </cols>
  <sheetData>
    <row r="1" customFormat="false" ht="30" hidden="false" customHeight="true" outlineLevel="0" collapsed="false">
      <c r="A1" s="20" t="s">
        <v>44</v>
      </c>
      <c r="B1" s="20" t="s">
        <v>47</v>
      </c>
      <c r="C1" s="20" t="s">
        <v>50</v>
      </c>
      <c r="D1" s="20" t="s">
        <v>53</v>
      </c>
      <c r="E1" s="23" t="s">
        <v>56</v>
      </c>
      <c r="F1" s="23" t="s">
        <v>32</v>
      </c>
      <c r="G1" s="20" t="s">
        <v>59</v>
      </c>
      <c r="H1" s="20" t="s">
        <v>63</v>
      </c>
    </row>
    <row r="2" customFormat="false" ht="15" hidden="false" customHeight="false" outlineLevel="0" collapsed="false">
      <c r="A2" s="21"/>
      <c r="B2" s="22"/>
      <c r="C2" s="22"/>
      <c r="D2" s="22"/>
      <c r="E2" s="22"/>
      <c r="F2" s="21"/>
      <c r="G2" s="24"/>
      <c r="H2" s="22"/>
    </row>
    <row r="3" customFormat="false" ht="15" hidden="false" customHeight="false" outlineLevel="0" collapsed="false">
      <c r="A3" s="21"/>
      <c r="B3" s="22"/>
      <c r="C3" s="22"/>
      <c r="D3" s="22"/>
      <c r="E3" s="22"/>
      <c r="F3" s="21"/>
      <c r="G3" s="24"/>
      <c r="H3" s="22"/>
    </row>
    <row r="4" customFormat="false" ht="15" hidden="false" customHeight="false" outlineLevel="0" collapsed="false">
      <c r="A4" s="21"/>
      <c r="B4" s="22"/>
      <c r="C4" s="22"/>
      <c r="D4" s="22"/>
      <c r="E4" s="22"/>
      <c r="F4" s="21"/>
      <c r="G4" s="24"/>
      <c r="H4" s="22"/>
    </row>
    <row r="5" customFormat="false" ht="15" hidden="false" customHeight="false" outlineLevel="0" collapsed="false">
      <c r="A5" s="21"/>
      <c r="B5" s="22"/>
      <c r="C5" s="22"/>
      <c r="D5" s="22"/>
      <c r="E5" s="22"/>
      <c r="F5" s="21"/>
      <c r="G5" s="24"/>
      <c r="H5" s="22"/>
    </row>
    <row r="6" customFormat="false" ht="15" hidden="false" customHeight="false" outlineLevel="0" collapsed="false">
      <c r="A6" s="21"/>
      <c r="B6" s="22"/>
      <c r="C6" s="22"/>
      <c r="D6" s="22"/>
      <c r="E6" s="22"/>
      <c r="F6" s="21"/>
      <c r="G6" s="24"/>
      <c r="H6" s="22"/>
    </row>
    <row r="7" customFormat="false" ht="15" hidden="false" customHeight="false" outlineLevel="0" collapsed="false">
      <c r="A7" s="21"/>
      <c r="B7" s="22"/>
      <c r="C7" s="22"/>
      <c r="D7" s="22"/>
      <c r="E7" s="22"/>
      <c r="F7" s="21"/>
      <c r="G7" s="24"/>
      <c r="H7" s="22"/>
    </row>
    <row r="8" customFormat="false" ht="15" hidden="false" customHeight="false" outlineLevel="0" collapsed="false">
      <c r="A8" s="21"/>
      <c r="B8" s="22"/>
      <c r="C8" s="22"/>
      <c r="D8" s="22"/>
      <c r="E8" s="22"/>
      <c r="F8" s="21"/>
      <c r="G8" s="24"/>
      <c r="H8" s="22"/>
    </row>
    <row r="9" customFormat="false" ht="15" hidden="false" customHeight="false" outlineLevel="0" collapsed="false">
      <c r="A9" s="21"/>
      <c r="B9" s="22"/>
      <c r="C9" s="22"/>
      <c r="D9" s="22"/>
      <c r="E9" s="22"/>
      <c r="F9" s="21"/>
      <c r="G9" s="24"/>
      <c r="H9" s="22"/>
    </row>
    <row r="10" customFormat="false" ht="15" hidden="false" customHeight="false" outlineLevel="0" collapsed="false">
      <c r="A10" s="21"/>
      <c r="B10" s="22"/>
      <c r="C10" s="22"/>
      <c r="D10" s="22"/>
      <c r="E10" s="22"/>
      <c r="F10" s="21"/>
      <c r="G10" s="24"/>
      <c r="H10" s="22"/>
    </row>
    <row r="11" customFormat="false" ht="15" hidden="false" customHeight="false" outlineLevel="0" collapsed="false">
      <c r="A11" s="21"/>
      <c r="B11" s="22"/>
      <c r="C11" s="22"/>
      <c r="D11" s="22"/>
      <c r="E11" s="22"/>
      <c r="F11" s="21"/>
      <c r="G11" s="24"/>
      <c r="H11" s="22"/>
    </row>
    <row r="12" customFormat="false" ht="15" hidden="false" customHeight="false" outlineLevel="0" collapsed="false">
      <c r="A12" s="21"/>
      <c r="B12" s="22"/>
      <c r="C12" s="22"/>
      <c r="D12" s="22"/>
      <c r="E12" s="22"/>
      <c r="F12" s="21"/>
      <c r="G12" s="24"/>
      <c r="H12" s="22"/>
    </row>
    <row r="13" customFormat="false" ht="15" hidden="false" customHeight="false" outlineLevel="0" collapsed="false">
      <c r="A13" s="21"/>
      <c r="B13" s="22"/>
      <c r="C13" s="22"/>
      <c r="D13" s="22"/>
      <c r="E13" s="22"/>
      <c r="F13" s="21"/>
      <c r="G13" s="24"/>
      <c r="H13" s="22"/>
    </row>
    <row r="14" customFormat="false" ht="15" hidden="false" customHeight="false" outlineLevel="0" collapsed="false">
      <c r="A14" s="21"/>
      <c r="B14" s="22"/>
      <c r="C14" s="22"/>
      <c r="D14" s="22"/>
      <c r="E14" s="22"/>
      <c r="F14" s="21"/>
      <c r="G14" s="24"/>
      <c r="H14" s="22"/>
    </row>
    <row r="15" customFormat="false" ht="15" hidden="false" customHeight="false" outlineLevel="0" collapsed="false">
      <c r="A15" s="21"/>
      <c r="B15" s="22"/>
      <c r="C15" s="22"/>
      <c r="D15" s="22"/>
      <c r="E15" s="22"/>
      <c r="F15" s="21"/>
      <c r="G15" s="24"/>
      <c r="H15" s="22"/>
    </row>
    <row r="16" customFormat="false" ht="15" hidden="false" customHeight="false" outlineLevel="0" collapsed="false">
      <c r="A16" s="21"/>
      <c r="B16" s="22"/>
      <c r="C16" s="22"/>
      <c r="D16" s="22"/>
      <c r="E16" s="22"/>
      <c r="F16" s="21"/>
      <c r="G16" s="24"/>
      <c r="H16" s="22"/>
    </row>
    <row r="17" customFormat="false" ht="15" hidden="false" customHeight="false" outlineLevel="0" collapsed="false">
      <c r="A17" s="21"/>
      <c r="B17" s="22"/>
      <c r="C17" s="22"/>
      <c r="D17" s="22"/>
      <c r="E17" s="22"/>
      <c r="F17" s="21"/>
      <c r="G17" s="24"/>
      <c r="H17" s="22"/>
    </row>
    <row r="18" customFormat="false" ht="15" hidden="false" customHeight="false" outlineLevel="0" collapsed="false">
      <c r="A18" s="21"/>
      <c r="B18" s="22"/>
      <c r="C18" s="22"/>
      <c r="D18" s="22"/>
      <c r="E18" s="22"/>
      <c r="F18" s="21"/>
      <c r="G18" s="24"/>
      <c r="H18" s="22"/>
    </row>
    <row r="19" customFormat="false" ht="15" hidden="false" customHeight="false" outlineLevel="0" collapsed="false">
      <c r="A19" s="21"/>
      <c r="B19" s="22"/>
      <c r="C19" s="22"/>
      <c r="D19" s="22"/>
      <c r="E19" s="22"/>
      <c r="F19" s="21"/>
      <c r="G19" s="24"/>
      <c r="H19" s="22"/>
    </row>
    <row r="20" customFormat="false" ht="15" hidden="false" customHeight="false" outlineLevel="0" collapsed="false">
      <c r="A20" s="21"/>
      <c r="B20" s="22"/>
      <c r="C20" s="22"/>
      <c r="D20" s="22"/>
      <c r="E20" s="22"/>
      <c r="F20" s="21"/>
      <c r="G20" s="24"/>
      <c r="H20" s="22"/>
    </row>
    <row r="21" customFormat="false" ht="15" hidden="false" customHeight="false" outlineLevel="0" collapsed="false">
      <c r="A21" s="21"/>
      <c r="B21" s="22"/>
      <c r="C21" s="22"/>
      <c r="D21" s="22"/>
      <c r="E21" s="22"/>
      <c r="F21" s="21"/>
      <c r="G21" s="24"/>
      <c r="H21" s="22"/>
    </row>
    <row r="22" customFormat="false" ht="15" hidden="false" customHeight="false" outlineLevel="0" collapsed="false">
      <c r="A22" s="21"/>
      <c r="B22" s="22"/>
      <c r="C22" s="22"/>
      <c r="D22" s="22"/>
      <c r="E22" s="22"/>
      <c r="F22" s="21"/>
      <c r="G22" s="24"/>
      <c r="H22" s="22"/>
    </row>
    <row r="23" customFormat="false" ht="15" hidden="false" customHeight="false" outlineLevel="0" collapsed="false">
      <c r="A23" s="21"/>
      <c r="B23" s="22"/>
      <c r="C23" s="22"/>
      <c r="D23" s="22"/>
      <c r="E23" s="22"/>
      <c r="F23" s="21"/>
      <c r="G23" s="24"/>
      <c r="H23" s="22"/>
    </row>
    <row r="24" customFormat="false" ht="15" hidden="false" customHeight="false" outlineLevel="0" collapsed="false">
      <c r="A24" s="21"/>
      <c r="B24" s="22"/>
      <c r="C24" s="22"/>
      <c r="D24" s="22"/>
      <c r="E24" s="22"/>
      <c r="F24" s="21"/>
      <c r="G24" s="24"/>
      <c r="H24" s="22"/>
    </row>
    <row r="25" customFormat="false" ht="15" hidden="false" customHeight="false" outlineLevel="0" collapsed="false">
      <c r="A25" s="21"/>
      <c r="B25" s="22"/>
      <c r="C25" s="22"/>
      <c r="D25" s="22"/>
      <c r="E25" s="22"/>
      <c r="F25" s="21"/>
      <c r="G25" s="24"/>
      <c r="H25" s="22"/>
    </row>
    <row r="26" customFormat="false" ht="15" hidden="false" customHeight="false" outlineLevel="0" collapsed="false">
      <c r="A26" s="21"/>
      <c r="B26" s="22"/>
      <c r="C26" s="22"/>
      <c r="D26" s="22"/>
      <c r="E26" s="22"/>
      <c r="F26" s="21"/>
      <c r="G26" s="24"/>
      <c r="H26" s="22"/>
    </row>
    <row r="27" customFormat="false" ht="15" hidden="false" customHeight="false" outlineLevel="0" collapsed="false">
      <c r="A27" s="21"/>
      <c r="B27" s="22"/>
      <c r="C27" s="22"/>
      <c r="D27" s="22"/>
      <c r="E27" s="22"/>
      <c r="F27" s="21"/>
      <c r="G27" s="24"/>
      <c r="H27" s="22"/>
    </row>
    <row r="28" customFormat="false" ht="15" hidden="false" customHeight="false" outlineLevel="0" collapsed="false">
      <c r="A28" s="21"/>
      <c r="B28" s="22"/>
      <c r="C28" s="22"/>
      <c r="D28" s="22"/>
      <c r="E28" s="22"/>
      <c r="F28" s="21"/>
      <c r="G28" s="24"/>
      <c r="H28" s="22"/>
    </row>
    <row r="29" customFormat="false" ht="15" hidden="false" customHeight="false" outlineLevel="0" collapsed="false">
      <c r="A29" s="21"/>
      <c r="B29" s="22"/>
      <c r="C29" s="22"/>
      <c r="D29" s="22"/>
      <c r="E29" s="22"/>
      <c r="F29" s="21"/>
      <c r="G29" s="24"/>
      <c r="H29" s="22"/>
    </row>
    <row r="30" customFormat="false" ht="15" hidden="false" customHeight="false" outlineLevel="0" collapsed="false">
      <c r="A30" s="21"/>
      <c r="B30" s="22"/>
      <c r="C30" s="22"/>
      <c r="D30" s="22"/>
      <c r="E30" s="22"/>
      <c r="F30" s="21"/>
      <c r="G30" s="24"/>
      <c r="H30" s="22"/>
    </row>
    <row r="31" customFormat="false" ht="15" hidden="false" customHeight="false" outlineLevel="0" collapsed="false">
      <c r="A31" s="21"/>
      <c r="B31" s="22"/>
      <c r="C31" s="22"/>
      <c r="D31" s="22"/>
      <c r="E31" s="22"/>
      <c r="F31" s="21"/>
      <c r="G31" s="24"/>
      <c r="H31" s="22"/>
    </row>
    <row r="32" customFormat="false" ht="15" hidden="false" customHeight="false" outlineLevel="0" collapsed="false">
      <c r="A32" s="21"/>
      <c r="B32" s="22"/>
      <c r="C32" s="22"/>
      <c r="D32" s="22"/>
      <c r="E32" s="22"/>
      <c r="F32" s="21"/>
      <c r="G32" s="24"/>
      <c r="H32" s="22"/>
    </row>
    <row r="33" customFormat="false" ht="15" hidden="false" customHeight="false" outlineLevel="0" collapsed="false">
      <c r="A33" s="21"/>
      <c r="B33" s="22"/>
      <c r="C33" s="22"/>
      <c r="D33" s="22"/>
      <c r="E33" s="22"/>
      <c r="F33" s="21"/>
      <c r="G33" s="24"/>
      <c r="H33" s="22"/>
    </row>
    <row r="34" customFormat="false" ht="15" hidden="false" customHeight="false" outlineLevel="0" collapsed="false">
      <c r="A34" s="21"/>
      <c r="B34" s="22"/>
      <c r="C34" s="22"/>
      <c r="D34" s="22"/>
      <c r="E34" s="22"/>
      <c r="F34" s="21"/>
      <c r="G34" s="24"/>
      <c r="H34" s="22"/>
    </row>
    <row r="35" customFormat="false" ht="15" hidden="false" customHeight="false" outlineLevel="0" collapsed="false">
      <c r="A35" s="21"/>
      <c r="B35" s="22"/>
      <c r="C35" s="22"/>
      <c r="D35" s="22"/>
      <c r="E35" s="22"/>
      <c r="F35" s="21"/>
      <c r="G35" s="24"/>
      <c r="H35" s="22"/>
    </row>
    <row r="36" customFormat="false" ht="15" hidden="false" customHeight="false" outlineLevel="0" collapsed="false">
      <c r="A36" s="21"/>
      <c r="B36" s="22"/>
      <c r="C36" s="22"/>
      <c r="D36" s="22"/>
      <c r="E36" s="22"/>
      <c r="F36" s="21"/>
      <c r="G36" s="24"/>
      <c r="H36" s="22"/>
    </row>
    <row r="37" customFormat="false" ht="15" hidden="false" customHeight="false" outlineLevel="0" collapsed="false">
      <c r="A37" s="21"/>
      <c r="B37" s="22"/>
      <c r="C37" s="22"/>
      <c r="D37" s="22"/>
      <c r="E37" s="22"/>
      <c r="F37" s="21"/>
      <c r="G37" s="24"/>
      <c r="H37" s="22"/>
    </row>
    <row r="38" customFormat="false" ht="15" hidden="false" customHeight="false" outlineLevel="0" collapsed="false">
      <c r="A38" s="21"/>
      <c r="B38" s="22"/>
      <c r="C38" s="22"/>
      <c r="D38" s="22"/>
      <c r="E38" s="22"/>
      <c r="F38" s="21"/>
      <c r="G38" s="24"/>
      <c r="H38" s="22"/>
    </row>
    <row r="39" customFormat="false" ht="15" hidden="false" customHeight="false" outlineLevel="0" collapsed="false">
      <c r="A39" s="21"/>
      <c r="B39" s="22"/>
      <c r="C39" s="22"/>
      <c r="D39" s="22"/>
      <c r="E39" s="22"/>
      <c r="F39" s="21"/>
      <c r="G39" s="24"/>
      <c r="H39" s="22"/>
    </row>
    <row r="40" customFormat="false" ht="15" hidden="false" customHeight="false" outlineLevel="0" collapsed="false">
      <c r="A40" s="21"/>
      <c r="B40" s="22"/>
      <c r="C40" s="22"/>
      <c r="D40" s="22"/>
      <c r="E40" s="22"/>
      <c r="F40" s="21"/>
      <c r="G40" s="24"/>
      <c r="H40" s="22"/>
    </row>
    <row r="41" customFormat="false" ht="15" hidden="false" customHeight="false" outlineLevel="0" collapsed="false">
      <c r="A41" s="21"/>
      <c r="B41" s="22"/>
      <c r="C41" s="22"/>
      <c r="D41" s="22"/>
      <c r="E41" s="22"/>
      <c r="F41" s="21"/>
      <c r="G41" s="24"/>
      <c r="H41" s="22"/>
    </row>
    <row r="42" customFormat="false" ht="15" hidden="false" customHeight="false" outlineLevel="0" collapsed="false">
      <c r="A42" s="21"/>
      <c r="B42" s="22"/>
      <c r="C42" s="22"/>
      <c r="D42" s="22"/>
      <c r="E42" s="22"/>
      <c r="F42" s="21"/>
      <c r="G42" s="24"/>
      <c r="H42" s="22"/>
    </row>
    <row r="43" customFormat="false" ht="15" hidden="false" customHeight="false" outlineLevel="0" collapsed="false">
      <c r="A43" s="21"/>
      <c r="B43" s="22"/>
      <c r="C43" s="22"/>
      <c r="D43" s="22"/>
      <c r="E43" s="22"/>
      <c r="F43" s="21"/>
      <c r="G43" s="24"/>
      <c r="H43" s="22"/>
    </row>
    <row r="44" customFormat="false" ht="15" hidden="false" customHeight="false" outlineLevel="0" collapsed="false">
      <c r="A44" s="21"/>
      <c r="B44" s="22"/>
      <c r="C44" s="22"/>
      <c r="D44" s="22"/>
      <c r="E44" s="22"/>
      <c r="F44" s="21"/>
      <c r="G44" s="24"/>
      <c r="H44" s="22"/>
    </row>
    <row r="45" customFormat="false" ht="15" hidden="false" customHeight="false" outlineLevel="0" collapsed="false">
      <c r="A45" s="21"/>
      <c r="B45" s="22"/>
      <c r="C45" s="22"/>
      <c r="D45" s="22"/>
      <c r="E45" s="22"/>
      <c r="F45" s="21"/>
      <c r="G45" s="24"/>
      <c r="H45" s="22"/>
    </row>
    <row r="46" customFormat="false" ht="15" hidden="false" customHeight="false" outlineLevel="0" collapsed="false">
      <c r="A46" s="21"/>
      <c r="B46" s="22"/>
      <c r="C46" s="22"/>
      <c r="D46" s="22"/>
      <c r="E46" s="22"/>
      <c r="F46" s="21"/>
      <c r="G46" s="24"/>
      <c r="H46" s="22"/>
    </row>
    <row r="47" customFormat="false" ht="15" hidden="false" customHeight="false" outlineLevel="0" collapsed="false">
      <c r="A47" s="21"/>
      <c r="B47" s="22"/>
      <c r="C47" s="22"/>
      <c r="D47" s="22"/>
      <c r="E47" s="22"/>
      <c r="F47" s="21"/>
      <c r="G47" s="24"/>
      <c r="H47" s="22"/>
    </row>
    <row r="48" customFormat="false" ht="15" hidden="false" customHeight="false" outlineLevel="0" collapsed="false">
      <c r="A48" s="21"/>
      <c r="B48" s="22"/>
      <c r="C48" s="22"/>
      <c r="D48" s="22"/>
      <c r="E48" s="22"/>
      <c r="F48" s="21"/>
      <c r="G48" s="24"/>
      <c r="H48" s="22"/>
    </row>
    <row r="49" customFormat="false" ht="15" hidden="false" customHeight="false" outlineLevel="0" collapsed="false">
      <c r="A49" s="21"/>
      <c r="B49" s="22"/>
      <c r="C49" s="22"/>
      <c r="D49" s="22"/>
      <c r="E49" s="22"/>
      <c r="F49" s="21"/>
      <c r="G49" s="24"/>
      <c r="H49" s="22"/>
    </row>
    <row r="50" customFormat="false" ht="15" hidden="false" customHeight="false" outlineLevel="0" collapsed="false">
      <c r="A50" s="21"/>
      <c r="B50" s="22"/>
      <c r="C50" s="22"/>
      <c r="D50" s="22"/>
      <c r="E50" s="22"/>
      <c r="F50" s="21"/>
      <c r="G50" s="24"/>
      <c r="H50" s="22"/>
    </row>
    <row r="51" customFormat="false" ht="15" hidden="false" customHeight="false" outlineLevel="0" collapsed="false">
      <c r="A51" s="21"/>
      <c r="B51" s="22"/>
      <c r="C51" s="22"/>
      <c r="D51" s="22"/>
      <c r="E51" s="22"/>
      <c r="F51" s="21"/>
      <c r="G51" s="24"/>
      <c r="H51" s="22"/>
    </row>
    <row r="52" customFormat="false" ht="15" hidden="false" customHeight="false" outlineLevel="0" collapsed="false">
      <c r="A52" s="21"/>
      <c r="B52" s="22"/>
      <c r="C52" s="22"/>
      <c r="D52" s="22"/>
      <c r="E52" s="22"/>
      <c r="F52" s="21"/>
      <c r="G52" s="24"/>
      <c r="H52" s="22"/>
    </row>
    <row r="53" customFormat="false" ht="15" hidden="false" customHeight="false" outlineLevel="0" collapsed="false">
      <c r="A53" s="21"/>
      <c r="B53" s="22"/>
      <c r="C53" s="22"/>
      <c r="D53" s="22"/>
      <c r="E53" s="22"/>
      <c r="F53" s="21"/>
      <c r="G53" s="24"/>
      <c r="H53" s="22"/>
    </row>
    <row r="54" customFormat="false" ht="15" hidden="false" customHeight="false" outlineLevel="0" collapsed="false">
      <c r="A54" s="21"/>
      <c r="B54" s="22"/>
      <c r="C54" s="22"/>
      <c r="D54" s="22"/>
      <c r="E54" s="22"/>
      <c r="F54" s="21"/>
      <c r="G54" s="24"/>
      <c r="H54" s="22"/>
    </row>
    <row r="55" customFormat="false" ht="15" hidden="false" customHeight="false" outlineLevel="0" collapsed="false">
      <c r="A55" s="21"/>
      <c r="B55" s="22"/>
      <c r="C55" s="22"/>
      <c r="D55" s="22"/>
      <c r="E55" s="22"/>
      <c r="F55" s="21"/>
      <c r="G55" s="24"/>
      <c r="H55" s="22"/>
    </row>
    <row r="56" customFormat="false" ht="15" hidden="false" customHeight="false" outlineLevel="0" collapsed="false">
      <c r="A56" s="21"/>
      <c r="B56" s="22"/>
      <c r="C56" s="22"/>
      <c r="D56" s="22"/>
      <c r="E56" s="22"/>
      <c r="F56" s="21"/>
      <c r="G56" s="24"/>
      <c r="H56" s="22"/>
    </row>
    <row r="57" customFormat="false" ht="15" hidden="false" customHeight="false" outlineLevel="0" collapsed="false">
      <c r="A57" s="21"/>
      <c r="B57" s="22"/>
      <c r="C57" s="22"/>
      <c r="D57" s="22"/>
      <c r="E57" s="22"/>
      <c r="F57" s="21"/>
      <c r="G57" s="24"/>
      <c r="H57" s="22"/>
    </row>
    <row r="58" customFormat="false" ht="15" hidden="false" customHeight="false" outlineLevel="0" collapsed="false">
      <c r="A58" s="21"/>
      <c r="B58" s="22"/>
      <c r="C58" s="22"/>
      <c r="D58" s="22"/>
      <c r="E58" s="22"/>
      <c r="F58" s="21"/>
      <c r="G58" s="24"/>
      <c r="H58" s="22"/>
    </row>
    <row r="59" customFormat="false" ht="15" hidden="false" customHeight="false" outlineLevel="0" collapsed="false">
      <c r="A59" s="21"/>
      <c r="B59" s="22"/>
      <c r="C59" s="22"/>
      <c r="D59" s="22"/>
      <c r="E59" s="22"/>
      <c r="F59" s="21"/>
      <c r="G59" s="24"/>
      <c r="H59" s="22"/>
    </row>
    <row r="60" customFormat="false" ht="15" hidden="false" customHeight="false" outlineLevel="0" collapsed="false">
      <c r="A60" s="21"/>
      <c r="B60" s="22"/>
      <c r="C60" s="22"/>
      <c r="D60" s="22"/>
      <c r="E60" s="22"/>
      <c r="F60" s="21"/>
      <c r="G60" s="24"/>
      <c r="H60" s="22"/>
    </row>
    <row r="61" customFormat="false" ht="15" hidden="false" customHeight="false" outlineLevel="0" collapsed="false">
      <c r="A61" s="21"/>
      <c r="B61" s="22"/>
      <c r="C61" s="22"/>
      <c r="D61" s="22"/>
      <c r="E61" s="22"/>
      <c r="F61" s="21"/>
      <c r="G61" s="24"/>
      <c r="H61" s="22"/>
    </row>
    <row r="62" customFormat="false" ht="15" hidden="false" customHeight="false" outlineLevel="0" collapsed="false">
      <c r="A62" s="21"/>
      <c r="B62" s="22"/>
      <c r="C62" s="22"/>
      <c r="D62" s="22"/>
      <c r="E62" s="22"/>
      <c r="F62" s="21"/>
      <c r="G62" s="24"/>
      <c r="H62" s="22"/>
    </row>
    <row r="63" customFormat="false" ht="15" hidden="false" customHeight="false" outlineLevel="0" collapsed="false">
      <c r="A63" s="21"/>
      <c r="B63" s="22"/>
      <c r="C63" s="22"/>
      <c r="D63" s="22"/>
      <c r="E63" s="22"/>
      <c r="F63" s="21"/>
      <c r="G63" s="24"/>
      <c r="H63" s="22"/>
    </row>
    <row r="64" customFormat="false" ht="15" hidden="false" customHeight="false" outlineLevel="0" collapsed="false">
      <c r="A64" s="21"/>
      <c r="B64" s="22"/>
      <c r="C64" s="22"/>
      <c r="D64" s="22"/>
      <c r="E64" s="22"/>
      <c r="F64" s="21"/>
      <c r="G64" s="24"/>
      <c r="H64" s="22"/>
    </row>
    <row r="65" customFormat="false" ht="15" hidden="false" customHeight="false" outlineLevel="0" collapsed="false">
      <c r="A65" s="21"/>
      <c r="B65" s="22"/>
      <c r="C65" s="22"/>
      <c r="D65" s="22"/>
      <c r="E65" s="22"/>
      <c r="F65" s="21"/>
      <c r="G65" s="24"/>
      <c r="H65" s="22"/>
    </row>
    <row r="66" customFormat="false" ht="15" hidden="false" customHeight="false" outlineLevel="0" collapsed="false">
      <c r="A66" s="21"/>
      <c r="B66" s="22"/>
      <c r="C66" s="22"/>
      <c r="D66" s="22"/>
      <c r="E66" s="22"/>
      <c r="F66" s="21"/>
      <c r="G66" s="24"/>
      <c r="H66" s="22"/>
    </row>
    <row r="67" customFormat="false" ht="15" hidden="false" customHeight="false" outlineLevel="0" collapsed="false">
      <c r="A67" s="21"/>
      <c r="B67" s="22"/>
      <c r="C67" s="22"/>
      <c r="D67" s="22"/>
      <c r="E67" s="22"/>
      <c r="F67" s="21"/>
      <c r="G67" s="24"/>
      <c r="H67" s="22"/>
    </row>
    <row r="68" customFormat="false" ht="15" hidden="false" customHeight="false" outlineLevel="0" collapsed="false">
      <c r="A68" s="21"/>
      <c r="B68" s="22"/>
      <c r="C68" s="22"/>
      <c r="D68" s="22"/>
      <c r="E68" s="22"/>
      <c r="F68" s="21"/>
      <c r="G68" s="24"/>
      <c r="H68" s="22"/>
    </row>
    <row r="69" customFormat="false" ht="15" hidden="false" customHeight="false" outlineLevel="0" collapsed="false">
      <c r="A69" s="21"/>
      <c r="B69" s="22"/>
      <c r="C69" s="22"/>
      <c r="D69" s="22"/>
      <c r="E69" s="22"/>
      <c r="F69" s="21"/>
      <c r="G69" s="24"/>
      <c r="H69" s="22"/>
    </row>
    <row r="70" customFormat="false" ht="15" hidden="false" customHeight="false" outlineLevel="0" collapsed="false">
      <c r="A70" s="21"/>
      <c r="B70" s="22"/>
      <c r="C70" s="22"/>
      <c r="D70" s="22"/>
      <c r="E70" s="22"/>
      <c r="F70" s="21"/>
      <c r="G70" s="24"/>
      <c r="H70" s="22"/>
    </row>
    <row r="71" customFormat="false" ht="15" hidden="false" customHeight="false" outlineLevel="0" collapsed="false">
      <c r="A71" s="21"/>
      <c r="B71" s="22"/>
      <c r="C71" s="22"/>
      <c r="D71" s="22"/>
      <c r="E71" s="22"/>
      <c r="F71" s="21"/>
      <c r="G71" s="24"/>
      <c r="H71" s="22"/>
    </row>
    <row r="72" customFormat="false" ht="15" hidden="false" customHeight="false" outlineLevel="0" collapsed="false">
      <c r="A72" s="21"/>
      <c r="B72" s="22"/>
      <c r="C72" s="22"/>
      <c r="D72" s="22"/>
      <c r="E72" s="22"/>
      <c r="F72" s="21"/>
      <c r="G72" s="24"/>
      <c r="H72" s="22"/>
    </row>
    <row r="73" customFormat="false" ht="15" hidden="false" customHeight="false" outlineLevel="0" collapsed="false">
      <c r="A73" s="21"/>
      <c r="B73" s="22"/>
      <c r="C73" s="22"/>
      <c r="D73" s="22"/>
      <c r="E73" s="22"/>
      <c r="F73" s="21"/>
      <c r="G73" s="24"/>
      <c r="H73" s="22"/>
    </row>
    <row r="74" customFormat="false" ht="15" hidden="false" customHeight="false" outlineLevel="0" collapsed="false">
      <c r="A74" s="21"/>
      <c r="B74" s="22"/>
      <c r="C74" s="22"/>
      <c r="D74" s="22"/>
      <c r="E74" s="22"/>
      <c r="F74" s="21"/>
      <c r="G74" s="24"/>
      <c r="H74" s="22"/>
    </row>
    <row r="75" customFormat="false" ht="15" hidden="false" customHeight="false" outlineLevel="0" collapsed="false">
      <c r="A75" s="21"/>
      <c r="B75" s="22"/>
      <c r="C75" s="22"/>
      <c r="D75" s="22"/>
      <c r="E75" s="22"/>
      <c r="F75" s="21"/>
      <c r="G75" s="24"/>
      <c r="H75" s="22"/>
    </row>
    <row r="76" customFormat="false" ht="15" hidden="false" customHeight="false" outlineLevel="0" collapsed="false">
      <c r="A76" s="21"/>
      <c r="B76" s="22"/>
      <c r="C76" s="22"/>
      <c r="D76" s="22"/>
      <c r="E76" s="22"/>
      <c r="F76" s="21"/>
      <c r="G76" s="24"/>
      <c r="H76" s="22"/>
    </row>
    <row r="77" customFormat="false" ht="15" hidden="false" customHeight="false" outlineLevel="0" collapsed="false">
      <c r="A77" s="21"/>
      <c r="B77" s="22"/>
      <c r="C77" s="22"/>
      <c r="D77" s="22"/>
      <c r="E77" s="22"/>
      <c r="F77" s="21"/>
      <c r="G77" s="24"/>
      <c r="H77" s="22"/>
    </row>
    <row r="78" customFormat="false" ht="15" hidden="false" customHeight="false" outlineLevel="0" collapsed="false">
      <c r="A78" s="21"/>
      <c r="B78" s="22"/>
      <c r="C78" s="22"/>
      <c r="D78" s="22"/>
      <c r="E78" s="22"/>
      <c r="F78" s="21"/>
      <c r="G78" s="24"/>
      <c r="H78" s="22"/>
    </row>
    <row r="79" customFormat="false" ht="15" hidden="false" customHeight="false" outlineLevel="0" collapsed="false">
      <c r="A79" s="21"/>
      <c r="B79" s="22"/>
      <c r="C79" s="22"/>
      <c r="D79" s="22"/>
      <c r="E79" s="22"/>
      <c r="F79" s="21"/>
      <c r="G79" s="24"/>
      <c r="H79" s="22"/>
    </row>
    <row r="80" customFormat="false" ht="15" hidden="false" customHeight="false" outlineLevel="0" collapsed="false">
      <c r="A80" s="21"/>
      <c r="B80" s="22"/>
      <c r="C80" s="22"/>
      <c r="D80" s="22"/>
      <c r="E80" s="22"/>
      <c r="F80" s="21"/>
      <c r="G80" s="24"/>
      <c r="H80" s="22"/>
    </row>
    <row r="81" customFormat="false" ht="15" hidden="false" customHeight="false" outlineLevel="0" collapsed="false">
      <c r="A81" s="21"/>
      <c r="B81" s="22"/>
      <c r="C81" s="22"/>
      <c r="D81" s="22"/>
      <c r="E81" s="22"/>
      <c r="F81" s="21"/>
      <c r="G81" s="24"/>
      <c r="H81" s="22"/>
    </row>
    <row r="82" customFormat="false" ht="15" hidden="false" customHeight="false" outlineLevel="0" collapsed="false">
      <c r="A82" s="21"/>
      <c r="B82" s="22"/>
      <c r="C82" s="22"/>
      <c r="D82" s="22"/>
      <c r="E82" s="22"/>
      <c r="F82" s="21"/>
      <c r="G82" s="24"/>
      <c r="H82" s="22"/>
    </row>
    <row r="83" customFormat="false" ht="15" hidden="false" customHeight="false" outlineLevel="0" collapsed="false">
      <c r="A83" s="21"/>
      <c r="B83" s="22"/>
      <c r="C83" s="22"/>
      <c r="D83" s="22"/>
      <c r="E83" s="22"/>
      <c r="F83" s="21"/>
      <c r="G83" s="24"/>
      <c r="H83" s="22"/>
    </row>
    <row r="84" customFormat="false" ht="15" hidden="false" customHeight="false" outlineLevel="0" collapsed="false">
      <c r="A84" s="21"/>
      <c r="B84" s="22"/>
      <c r="C84" s="22"/>
      <c r="D84" s="22"/>
      <c r="E84" s="22"/>
      <c r="F84" s="21"/>
      <c r="G84" s="24"/>
      <c r="H84" s="22"/>
    </row>
    <row r="85" customFormat="false" ht="15" hidden="false" customHeight="false" outlineLevel="0" collapsed="false">
      <c r="A85" s="21"/>
      <c r="B85" s="22"/>
      <c r="C85" s="22"/>
      <c r="D85" s="22"/>
      <c r="E85" s="22"/>
      <c r="F85" s="21"/>
      <c r="G85" s="24"/>
      <c r="H85" s="22"/>
    </row>
    <row r="86" customFormat="false" ht="15" hidden="false" customHeight="false" outlineLevel="0" collapsed="false">
      <c r="A86" s="21"/>
      <c r="B86" s="22"/>
      <c r="C86" s="22"/>
      <c r="D86" s="22"/>
      <c r="E86" s="22"/>
      <c r="F86" s="21"/>
      <c r="G86" s="24"/>
      <c r="H86" s="22"/>
    </row>
    <row r="87" customFormat="false" ht="15" hidden="false" customHeight="false" outlineLevel="0" collapsed="false">
      <c r="A87" s="21"/>
      <c r="B87" s="22"/>
      <c r="C87" s="22"/>
      <c r="D87" s="22"/>
      <c r="E87" s="22"/>
      <c r="F87" s="21"/>
      <c r="G87" s="24"/>
      <c r="H87" s="22"/>
    </row>
    <row r="88" customFormat="false" ht="15" hidden="false" customHeight="false" outlineLevel="0" collapsed="false">
      <c r="A88" s="21"/>
      <c r="B88" s="22"/>
      <c r="C88" s="22"/>
      <c r="D88" s="22"/>
      <c r="E88" s="22"/>
      <c r="F88" s="21"/>
      <c r="G88" s="24"/>
      <c r="H88" s="22"/>
    </row>
    <row r="89" customFormat="false" ht="15" hidden="false" customHeight="false" outlineLevel="0" collapsed="false">
      <c r="A89" s="21"/>
      <c r="B89" s="22"/>
      <c r="C89" s="22"/>
      <c r="D89" s="22"/>
      <c r="E89" s="22"/>
      <c r="F89" s="21"/>
      <c r="G89" s="24"/>
      <c r="H89" s="22"/>
    </row>
    <row r="90" customFormat="false" ht="15" hidden="false" customHeight="false" outlineLevel="0" collapsed="false">
      <c r="A90" s="21"/>
      <c r="B90" s="22"/>
      <c r="C90" s="22"/>
      <c r="D90" s="22"/>
      <c r="E90" s="22"/>
      <c r="F90" s="21"/>
      <c r="G90" s="24"/>
      <c r="H90" s="22"/>
    </row>
    <row r="91" customFormat="false" ht="15" hidden="false" customHeight="false" outlineLevel="0" collapsed="false">
      <c r="A91" s="21"/>
      <c r="B91" s="22"/>
      <c r="C91" s="22"/>
      <c r="D91" s="22"/>
      <c r="E91" s="22"/>
      <c r="F91" s="21"/>
      <c r="G91" s="24"/>
      <c r="H91" s="22"/>
    </row>
    <row r="92" customFormat="false" ht="15" hidden="false" customHeight="false" outlineLevel="0" collapsed="false">
      <c r="A92" s="21"/>
      <c r="B92" s="22"/>
      <c r="C92" s="22"/>
      <c r="D92" s="22"/>
      <c r="E92" s="22"/>
      <c r="F92" s="21"/>
      <c r="G92" s="24"/>
      <c r="H92" s="22"/>
    </row>
    <row r="93" customFormat="false" ht="15" hidden="false" customHeight="false" outlineLevel="0" collapsed="false">
      <c r="A93" s="21"/>
      <c r="B93" s="22"/>
      <c r="C93" s="22"/>
      <c r="D93" s="22"/>
      <c r="E93" s="22"/>
      <c r="F93" s="21"/>
      <c r="G93" s="24"/>
      <c r="H93" s="22"/>
    </row>
    <row r="94" customFormat="false" ht="15" hidden="false" customHeight="false" outlineLevel="0" collapsed="false">
      <c r="A94" s="21"/>
      <c r="B94" s="22"/>
      <c r="C94" s="22"/>
      <c r="D94" s="22"/>
      <c r="E94" s="22"/>
      <c r="F94" s="21"/>
      <c r="G94" s="24"/>
      <c r="H94" s="22"/>
    </row>
    <row r="95" customFormat="false" ht="15" hidden="false" customHeight="false" outlineLevel="0" collapsed="false">
      <c r="A95" s="21"/>
      <c r="B95" s="22"/>
      <c r="C95" s="22"/>
      <c r="D95" s="22"/>
      <c r="E95" s="22"/>
      <c r="F95" s="21"/>
      <c r="G95" s="24"/>
      <c r="H95" s="22"/>
    </row>
    <row r="96" customFormat="false" ht="15" hidden="false" customHeight="false" outlineLevel="0" collapsed="false">
      <c r="A96" s="21"/>
      <c r="B96" s="22"/>
      <c r="C96" s="22"/>
      <c r="D96" s="22"/>
      <c r="E96" s="22"/>
      <c r="F96" s="21"/>
      <c r="G96" s="24"/>
      <c r="H96" s="22"/>
    </row>
    <row r="97" customFormat="false" ht="15" hidden="false" customHeight="false" outlineLevel="0" collapsed="false">
      <c r="A97" s="21"/>
      <c r="B97" s="22"/>
      <c r="C97" s="22"/>
      <c r="D97" s="22"/>
      <c r="E97" s="22"/>
      <c r="F97" s="21"/>
      <c r="G97" s="24"/>
      <c r="H97" s="22"/>
    </row>
    <row r="98" customFormat="false" ht="15" hidden="false" customHeight="false" outlineLevel="0" collapsed="false">
      <c r="A98" s="21"/>
      <c r="B98" s="22"/>
      <c r="C98" s="22"/>
      <c r="D98" s="22"/>
      <c r="E98" s="22"/>
      <c r="F98" s="21"/>
      <c r="G98" s="24"/>
      <c r="H98" s="22"/>
    </row>
    <row r="99" customFormat="false" ht="15" hidden="false" customHeight="false" outlineLevel="0" collapsed="false">
      <c r="A99" s="21"/>
      <c r="B99" s="22"/>
      <c r="C99" s="22"/>
      <c r="D99" s="22"/>
      <c r="E99" s="22"/>
      <c r="F99" s="21"/>
      <c r="G99" s="24"/>
      <c r="H99" s="22"/>
    </row>
    <row r="100" customFormat="false" ht="15" hidden="false" customHeight="false" outlineLevel="0" collapsed="false">
      <c r="A100" s="21"/>
      <c r="B100" s="22"/>
      <c r="C100" s="22"/>
      <c r="D100" s="22"/>
      <c r="E100" s="22"/>
      <c r="F100" s="21"/>
      <c r="G100" s="24"/>
      <c r="H100" s="22"/>
    </row>
    <row r="101" customFormat="false" ht="15" hidden="false" customHeight="false" outlineLevel="0" collapsed="false">
      <c r="A101" s="21"/>
      <c r="B101" s="22"/>
      <c r="C101" s="22"/>
      <c r="D101" s="22"/>
      <c r="E101" s="22"/>
      <c r="F101" s="21"/>
      <c r="G101" s="24"/>
      <c r="H101" s="22"/>
    </row>
    <row r="102" customFormat="false" ht="15" hidden="false" customHeight="false" outlineLevel="0" collapsed="false">
      <c r="A102" s="21"/>
      <c r="B102" s="22"/>
      <c r="C102" s="22"/>
      <c r="D102" s="22"/>
      <c r="E102" s="22"/>
      <c r="F102" s="21"/>
      <c r="G102" s="24"/>
      <c r="H102" s="22"/>
    </row>
    <row r="103" customFormat="false" ht="15" hidden="false" customHeight="false" outlineLevel="0" collapsed="false">
      <c r="A103" s="21"/>
      <c r="B103" s="22"/>
      <c r="C103" s="22"/>
      <c r="D103" s="22"/>
      <c r="E103" s="22"/>
      <c r="F103" s="21"/>
      <c r="G103" s="24"/>
      <c r="H103" s="22"/>
    </row>
    <row r="104" customFormat="false" ht="15" hidden="false" customHeight="false" outlineLevel="0" collapsed="false">
      <c r="A104" s="21"/>
      <c r="B104" s="22"/>
      <c r="C104" s="22"/>
      <c r="D104" s="22"/>
      <c r="E104" s="22"/>
      <c r="F104" s="21"/>
      <c r="G104" s="24"/>
      <c r="H104" s="22"/>
    </row>
    <row r="105" customFormat="false" ht="15" hidden="false" customHeight="false" outlineLevel="0" collapsed="false">
      <c r="A105" s="21"/>
      <c r="B105" s="22"/>
      <c r="C105" s="22"/>
      <c r="D105" s="22"/>
      <c r="E105" s="22"/>
      <c r="F105" s="21"/>
      <c r="G105" s="24"/>
      <c r="H105" s="22"/>
    </row>
    <row r="106" customFormat="false" ht="15" hidden="false" customHeight="false" outlineLevel="0" collapsed="false">
      <c r="A106" s="21"/>
      <c r="B106" s="22"/>
      <c r="C106" s="22"/>
      <c r="D106" s="22"/>
      <c r="E106" s="22"/>
      <c r="F106" s="21"/>
      <c r="G106" s="24"/>
      <c r="H106" s="22"/>
    </row>
    <row r="107" customFormat="false" ht="15" hidden="false" customHeight="false" outlineLevel="0" collapsed="false">
      <c r="A107" s="21"/>
      <c r="B107" s="22"/>
      <c r="C107" s="22"/>
      <c r="D107" s="22"/>
      <c r="E107" s="22"/>
      <c r="F107" s="21"/>
      <c r="G107" s="24"/>
      <c r="H107" s="22"/>
    </row>
    <row r="108" customFormat="false" ht="15" hidden="false" customHeight="false" outlineLevel="0" collapsed="false">
      <c r="A108" s="21"/>
      <c r="B108" s="22"/>
      <c r="C108" s="22"/>
      <c r="D108" s="22"/>
      <c r="E108" s="22"/>
      <c r="F108" s="21"/>
      <c r="G108" s="24"/>
      <c r="H108" s="22"/>
    </row>
    <row r="109" customFormat="false" ht="15" hidden="false" customHeight="false" outlineLevel="0" collapsed="false">
      <c r="A109" s="21"/>
      <c r="B109" s="22"/>
      <c r="C109" s="22"/>
      <c r="D109" s="22"/>
      <c r="E109" s="22"/>
      <c r="F109" s="21"/>
      <c r="G109" s="24"/>
      <c r="H109" s="22"/>
    </row>
    <row r="110" customFormat="false" ht="15" hidden="false" customHeight="false" outlineLevel="0" collapsed="false">
      <c r="A110" s="21"/>
      <c r="B110" s="22"/>
      <c r="C110" s="22"/>
      <c r="D110" s="22"/>
      <c r="E110" s="22"/>
      <c r="F110" s="21"/>
      <c r="G110" s="24"/>
      <c r="H110" s="22"/>
    </row>
    <row r="111" customFormat="false" ht="15" hidden="false" customHeight="false" outlineLevel="0" collapsed="false">
      <c r="A111" s="21"/>
      <c r="B111" s="22"/>
      <c r="C111" s="22"/>
      <c r="D111" s="22"/>
      <c r="E111" s="22"/>
      <c r="F111" s="21"/>
      <c r="G111" s="24"/>
      <c r="H111" s="22"/>
    </row>
    <row r="112" customFormat="false" ht="15" hidden="false" customHeight="false" outlineLevel="0" collapsed="false">
      <c r="A112" s="21"/>
      <c r="B112" s="22"/>
      <c r="C112" s="22"/>
      <c r="D112" s="22"/>
      <c r="E112" s="22"/>
      <c r="F112" s="21"/>
      <c r="G112" s="24"/>
      <c r="H112" s="22"/>
    </row>
    <row r="113" customFormat="false" ht="15" hidden="false" customHeight="false" outlineLevel="0" collapsed="false">
      <c r="A113" s="21"/>
      <c r="B113" s="22"/>
      <c r="C113" s="22"/>
      <c r="D113" s="22"/>
      <c r="E113" s="22"/>
      <c r="F113" s="21"/>
      <c r="G113" s="24"/>
      <c r="H113" s="22"/>
    </row>
    <row r="114" customFormat="false" ht="15" hidden="false" customHeight="false" outlineLevel="0" collapsed="false">
      <c r="A114" s="21"/>
      <c r="B114" s="22"/>
      <c r="C114" s="22"/>
      <c r="D114" s="22"/>
      <c r="E114" s="22"/>
      <c r="F114" s="21"/>
      <c r="G114" s="24"/>
      <c r="H114" s="22"/>
    </row>
    <row r="115" customFormat="false" ht="15" hidden="false" customHeight="false" outlineLevel="0" collapsed="false">
      <c r="A115" s="21"/>
      <c r="B115" s="22"/>
      <c r="C115" s="22"/>
      <c r="D115" s="22"/>
      <c r="E115" s="22"/>
      <c r="F115" s="21"/>
      <c r="G115" s="24"/>
      <c r="H115" s="22"/>
    </row>
    <row r="116" customFormat="false" ht="15" hidden="false" customHeight="false" outlineLevel="0" collapsed="false">
      <c r="A116" s="21"/>
      <c r="B116" s="22"/>
      <c r="C116" s="22"/>
      <c r="D116" s="22"/>
      <c r="E116" s="22"/>
      <c r="F116" s="21"/>
      <c r="G116" s="24"/>
      <c r="H116" s="22"/>
    </row>
    <row r="117" customFormat="false" ht="15" hidden="false" customHeight="false" outlineLevel="0" collapsed="false">
      <c r="A117" s="21"/>
      <c r="B117" s="22"/>
      <c r="C117" s="22"/>
      <c r="D117" s="22"/>
      <c r="E117" s="22"/>
      <c r="F117" s="21"/>
      <c r="G117" s="24"/>
      <c r="H117" s="22"/>
    </row>
    <row r="118" customFormat="false" ht="15" hidden="false" customHeight="false" outlineLevel="0" collapsed="false">
      <c r="A118" s="21"/>
      <c r="B118" s="22"/>
      <c r="C118" s="22"/>
      <c r="D118" s="22"/>
      <c r="E118" s="22"/>
      <c r="F118" s="21"/>
      <c r="G118" s="24"/>
      <c r="H118" s="22"/>
    </row>
    <row r="119" customFormat="false" ht="15" hidden="false" customHeight="false" outlineLevel="0" collapsed="false">
      <c r="A119" s="21"/>
      <c r="B119" s="22"/>
      <c r="C119" s="22"/>
      <c r="D119" s="22"/>
      <c r="E119" s="22"/>
      <c r="F119" s="21"/>
      <c r="G119" s="24"/>
      <c r="H119" s="22"/>
    </row>
    <row r="120" customFormat="false" ht="15" hidden="false" customHeight="false" outlineLevel="0" collapsed="false">
      <c r="A120" s="21"/>
      <c r="B120" s="22"/>
      <c r="C120" s="22"/>
      <c r="D120" s="22"/>
      <c r="E120" s="22"/>
      <c r="F120" s="21"/>
      <c r="G120" s="24"/>
      <c r="H120" s="22"/>
    </row>
    <row r="121" customFormat="false" ht="15" hidden="false" customHeight="false" outlineLevel="0" collapsed="false">
      <c r="A121" s="21"/>
      <c r="B121" s="22"/>
      <c r="C121" s="22"/>
      <c r="D121" s="22"/>
      <c r="E121" s="22"/>
      <c r="F121" s="21"/>
      <c r="G121" s="24"/>
      <c r="H121" s="22"/>
    </row>
    <row r="122" customFormat="false" ht="15" hidden="false" customHeight="false" outlineLevel="0" collapsed="false">
      <c r="A122" s="21"/>
      <c r="B122" s="22"/>
      <c r="C122" s="22"/>
      <c r="D122" s="22"/>
      <c r="E122" s="22"/>
      <c r="F122" s="21"/>
      <c r="G122" s="24"/>
      <c r="H122" s="22"/>
    </row>
    <row r="123" customFormat="false" ht="15" hidden="false" customHeight="false" outlineLevel="0" collapsed="false">
      <c r="A123" s="21"/>
      <c r="B123" s="22"/>
      <c r="C123" s="22"/>
      <c r="D123" s="22"/>
      <c r="E123" s="22"/>
      <c r="F123" s="21"/>
      <c r="G123" s="24"/>
      <c r="H123" s="22"/>
    </row>
    <row r="124" customFormat="false" ht="15" hidden="false" customHeight="false" outlineLevel="0" collapsed="false">
      <c r="A124" s="21"/>
      <c r="B124" s="22"/>
      <c r="C124" s="22"/>
      <c r="D124" s="22"/>
      <c r="E124" s="22"/>
      <c r="F124" s="21"/>
      <c r="G124" s="24"/>
      <c r="H124" s="22"/>
    </row>
    <row r="125" customFormat="false" ht="15" hidden="false" customHeight="false" outlineLevel="0" collapsed="false">
      <c r="A125" s="21"/>
      <c r="B125" s="22"/>
      <c r="C125" s="22"/>
      <c r="D125" s="22"/>
      <c r="E125" s="22"/>
      <c r="F125" s="21"/>
      <c r="G125" s="24"/>
      <c r="H125" s="22"/>
    </row>
    <row r="126" customFormat="false" ht="15" hidden="false" customHeight="false" outlineLevel="0" collapsed="false">
      <c r="A126" s="21"/>
      <c r="B126" s="22"/>
      <c r="C126" s="22"/>
      <c r="D126" s="22"/>
      <c r="E126" s="22"/>
      <c r="F126" s="21"/>
      <c r="G126" s="24"/>
      <c r="H126" s="22"/>
    </row>
    <row r="127" customFormat="false" ht="15" hidden="false" customHeight="false" outlineLevel="0" collapsed="false">
      <c r="A127" s="21"/>
      <c r="B127" s="22"/>
      <c r="C127" s="22"/>
      <c r="D127" s="22"/>
      <c r="E127" s="22"/>
      <c r="F127" s="21"/>
      <c r="G127" s="24"/>
      <c r="H127" s="22"/>
    </row>
    <row r="128" customFormat="false" ht="15" hidden="false" customHeight="false" outlineLevel="0" collapsed="false">
      <c r="A128" s="21"/>
      <c r="B128" s="22"/>
      <c r="C128" s="22"/>
      <c r="D128" s="22"/>
      <c r="E128" s="22"/>
      <c r="F128" s="21"/>
      <c r="G128" s="24"/>
      <c r="H128" s="22"/>
    </row>
    <row r="129" customFormat="false" ht="15" hidden="false" customHeight="false" outlineLevel="0" collapsed="false">
      <c r="A129" s="21"/>
      <c r="B129" s="22"/>
      <c r="C129" s="22"/>
      <c r="D129" s="22"/>
      <c r="E129" s="22"/>
      <c r="F129" s="21"/>
      <c r="G129" s="24"/>
      <c r="H129" s="22"/>
    </row>
    <row r="130" customFormat="false" ht="15" hidden="false" customHeight="false" outlineLevel="0" collapsed="false">
      <c r="A130" s="21"/>
      <c r="B130" s="22"/>
      <c r="C130" s="22"/>
      <c r="D130" s="22"/>
      <c r="E130" s="22"/>
      <c r="F130" s="21"/>
      <c r="G130" s="24"/>
      <c r="H130" s="22"/>
    </row>
    <row r="131" customFormat="false" ht="15" hidden="false" customHeight="false" outlineLevel="0" collapsed="false">
      <c r="A131" s="21"/>
      <c r="B131" s="22"/>
      <c r="C131" s="22"/>
      <c r="D131" s="22"/>
      <c r="E131" s="22"/>
      <c r="F131" s="21"/>
      <c r="G131" s="24"/>
      <c r="H131" s="22"/>
    </row>
    <row r="132" customFormat="false" ht="15" hidden="false" customHeight="false" outlineLevel="0" collapsed="false">
      <c r="A132" s="21"/>
      <c r="B132" s="22"/>
      <c r="C132" s="22"/>
      <c r="D132" s="22"/>
      <c r="E132" s="22"/>
      <c r="F132" s="21"/>
      <c r="G132" s="24"/>
      <c r="H132" s="22"/>
    </row>
    <row r="133" customFormat="false" ht="15" hidden="false" customHeight="false" outlineLevel="0" collapsed="false">
      <c r="A133" s="21"/>
      <c r="B133" s="22"/>
      <c r="C133" s="22"/>
      <c r="D133" s="22"/>
      <c r="E133" s="22"/>
      <c r="F133" s="21"/>
      <c r="G133" s="24"/>
      <c r="H133" s="22"/>
    </row>
    <row r="134" customFormat="false" ht="15" hidden="false" customHeight="false" outlineLevel="0" collapsed="false">
      <c r="A134" s="21"/>
      <c r="B134" s="22"/>
      <c r="C134" s="22"/>
      <c r="D134" s="22"/>
      <c r="E134" s="22"/>
      <c r="F134" s="21"/>
      <c r="G134" s="24"/>
      <c r="H134" s="22"/>
    </row>
    <row r="135" customFormat="false" ht="15" hidden="false" customHeight="false" outlineLevel="0" collapsed="false">
      <c r="A135" s="21"/>
      <c r="B135" s="22"/>
      <c r="C135" s="22"/>
      <c r="D135" s="22"/>
      <c r="E135" s="22"/>
      <c r="F135" s="21"/>
      <c r="G135" s="24"/>
      <c r="H135" s="22"/>
    </row>
    <row r="136" customFormat="false" ht="15" hidden="false" customHeight="false" outlineLevel="0" collapsed="false">
      <c r="A136" s="21"/>
      <c r="B136" s="22"/>
      <c r="C136" s="22"/>
      <c r="D136" s="22"/>
      <c r="E136" s="22"/>
      <c r="F136" s="21"/>
      <c r="G136" s="24"/>
      <c r="H136" s="22"/>
    </row>
    <row r="137" customFormat="false" ht="15" hidden="false" customHeight="false" outlineLevel="0" collapsed="false">
      <c r="A137" s="21"/>
      <c r="B137" s="22"/>
      <c r="C137" s="22"/>
      <c r="D137" s="22"/>
      <c r="E137" s="22"/>
      <c r="F137" s="21"/>
      <c r="G137" s="24"/>
      <c r="H137" s="22"/>
    </row>
    <row r="138" customFormat="false" ht="15" hidden="false" customHeight="false" outlineLevel="0" collapsed="false">
      <c r="A138" s="21"/>
      <c r="B138" s="22"/>
      <c r="C138" s="22"/>
      <c r="D138" s="22"/>
      <c r="E138" s="22"/>
      <c r="F138" s="21"/>
      <c r="G138" s="24"/>
      <c r="H138" s="22"/>
    </row>
    <row r="139" customFormat="false" ht="15" hidden="false" customHeight="false" outlineLevel="0" collapsed="false">
      <c r="A139" s="21"/>
      <c r="B139" s="22"/>
      <c r="C139" s="22"/>
      <c r="D139" s="22"/>
      <c r="E139" s="22"/>
      <c r="F139" s="21"/>
      <c r="G139" s="24"/>
      <c r="H139" s="22"/>
    </row>
    <row r="140" customFormat="false" ht="15" hidden="false" customHeight="false" outlineLevel="0" collapsed="false">
      <c r="A140" s="21"/>
      <c r="B140" s="22"/>
      <c r="C140" s="22"/>
      <c r="D140" s="22"/>
      <c r="E140" s="22"/>
      <c r="F140" s="21"/>
      <c r="G140" s="24"/>
      <c r="H140" s="22"/>
    </row>
    <row r="141" customFormat="false" ht="15" hidden="false" customHeight="false" outlineLevel="0" collapsed="false">
      <c r="A141" s="21"/>
      <c r="B141" s="22"/>
      <c r="C141" s="22"/>
      <c r="D141" s="22"/>
      <c r="E141" s="22"/>
      <c r="F141" s="21"/>
      <c r="G141" s="24"/>
      <c r="H141" s="22"/>
    </row>
    <row r="142" customFormat="false" ht="15" hidden="false" customHeight="false" outlineLevel="0" collapsed="false">
      <c r="A142" s="21"/>
      <c r="B142" s="22"/>
      <c r="C142" s="22"/>
      <c r="D142" s="22"/>
      <c r="E142" s="22"/>
      <c r="F142" s="21"/>
      <c r="G142" s="24"/>
      <c r="H142" s="22"/>
    </row>
    <row r="143" customFormat="false" ht="15" hidden="false" customHeight="false" outlineLevel="0" collapsed="false">
      <c r="A143" s="21"/>
      <c r="B143" s="22"/>
      <c r="C143" s="22"/>
      <c r="D143" s="22"/>
      <c r="E143" s="22"/>
      <c r="F143" s="21"/>
      <c r="G143" s="24"/>
      <c r="H143" s="22"/>
    </row>
    <row r="144" customFormat="false" ht="15" hidden="false" customHeight="false" outlineLevel="0" collapsed="false">
      <c r="A144" s="21"/>
      <c r="B144" s="22"/>
      <c r="C144" s="22"/>
      <c r="D144" s="22"/>
      <c r="E144" s="22"/>
      <c r="F144" s="21"/>
      <c r="G144" s="24"/>
      <c r="H144" s="22"/>
    </row>
    <row r="145" customFormat="false" ht="15" hidden="false" customHeight="false" outlineLevel="0" collapsed="false">
      <c r="A145" s="21"/>
      <c r="B145" s="22"/>
      <c r="C145" s="22"/>
      <c r="D145" s="22"/>
      <c r="E145" s="22"/>
      <c r="F145" s="21"/>
      <c r="G145" s="24"/>
      <c r="H145" s="22"/>
    </row>
    <row r="146" customFormat="false" ht="15" hidden="false" customHeight="false" outlineLevel="0" collapsed="false">
      <c r="A146" s="21"/>
      <c r="B146" s="22"/>
      <c r="C146" s="22"/>
      <c r="D146" s="22"/>
      <c r="E146" s="22"/>
      <c r="F146" s="21"/>
      <c r="G146" s="24"/>
      <c r="H146" s="22"/>
    </row>
    <row r="147" customFormat="false" ht="15" hidden="false" customHeight="false" outlineLevel="0" collapsed="false">
      <c r="A147" s="21"/>
      <c r="B147" s="22"/>
      <c r="C147" s="22"/>
      <c r="D147" s="22"/>
      <c r="E147" s="22"/>
      <c r="F147" s="21"/>
      <c r="G147" s="24"/>
      <c r="H147" s="22"/>
    </row>
    <row r="148" customFormat="false" ht="15" hidden="false" customHeight="false" outlineLevel="0" collapsed="false">
      <c r="A148" s="21"/>
      <c r="B148" s="22"/>
      <c r="C148" s="22"/>
      <c r="D148" s="22"/>
      <c r="E148" s="22"/>
      <c r="F148" s="21"/>
      <c r="G148" s="24"/>
      <c r="H148" s="22"/>
    </row>
    <row r="149" customFormat="false" ht="15" hidden="false" customHeight="false" outlineLevel="0" collapsed="false">
      <c r="A149" s="21"/>
      <c r="B149" s="22"/>
      <c r="C149" s="22"/>
      <c r="D149" s="22"/>
      <c r="E149" s="22"/>
      <c r="F149" s="21"/>
      <c r="G149" s="24"/>
      <c r="H149" s="22"/>
    </row>
    <row r="150" customFormat="false" ht="15" hidden="false" customHeight="false" outlineLevel="0" collapsed="false">
      <c r="A150" s="21"/>
      <c r="B150" s="22"/>
      <c r="C150" s="22"/>
      <c r="D150" s="22"/>
      <c r="E150" s="22"/>
      <c r="F150" s="21"/>
      <c r="G150" s="24"/>
      <c r="H150" s="22"/>
    </row>
    <row r="151" customFormat="false" ht="15" hidden="false" customHeight="false" outlineLevel="0" collapsed="false">
      <c r="A151" s="21"/>
      <c r="B151" s="22"/>
      <c r="C151" s="22"/>
      <c r="D151" s="22"/>
      <c r="E151" s="22"/>
      <c r="F151" s="21"/>
      <c r="G151" s="24"/>
      <c r="H151" s="22"/>
    </row>
  </sheetData>
  <dataValidations count="4">
    <dataValidation allowBlank="true" error="Pilih dari daftar." errorStyle="stop" errorTitle="Nilai tidak valid" operator="between" showDropDown="false" showErrorMessage="true" showInputMessage="false" sqref="C2:C151" type="list">
      <formula1>Daftar!$K$2:$K$4</formula1>
      <formula2>0</formula2>
    </dataValidation>
    <dataValidation allowBlank="true" error="Pilih dari daftar." errorStyle="stop" errorTitle="Nilai tidak valid" operator="between" showDropDown="false" showErrorMessage="true" showInputMessage="false" sqref="D2:D151" type="list">
      <formula1>Daftar!$L$2:$L$3</formula1>
      <formula2>0</formula2>
    </dataValidation>
    <dataValidation allowBlank="true" error="Pilih dari daftar." errorStyle="stop" errorTitle="Nilai tidak valid" operator="between" showDropDown="false" showErrorMessage="true" showInputMessage="false" sqref="E2:E151" type="list">
      <formula1>Daftar!$M$2:$M$10</formula1>
      <formula2>0</formula2>
    </dataValidation>
    <dataValidation allowBlank="true" error="Pilih dari daftar." errorStyle="stop" errorTitle="Nilai tidak valid" operator="between" showDropDown="false" showErrorMessage="true" showInputMessage="false" sqref="F2:F151" type="list">
      <formula1>Unit!$A$2:$A$50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30"/>
    <col collapsed="false" customWidth="true" hidden="false" outlineLevel="0" max="3" min="3" style="0" width="13"/>
    <col collapsed="false" customWidth="true" hidden="false" outlineLevel="0" max="4" min="4" style="0" width="14"/>
    <col collapsed="false" customWidth="true" hidden="false" outlineLevel="0" max="5" min="5" style="0" width="15"/>
    <col collapsed="false" customWidth="true" hidden="false" outlineLevel="0" max="6" min="6" style="0" width="13"/>
    <col collapsed="false" customWidth="true" hidden="false" outlineLevel="0" max="8" min="7" style="0" width="11"/>
    <col collapsed="false" customWidth="true" hidden="false" outlineLevel="0" max="9" min="9" style="0" width="13"/>
    <col collapsed="false" customWidth="true" hidden="false" outlineLevel="0" max="10" min="10" style="0" width="12"/>
    <col collapsed="false" customWidth="true" hidden="false" outlineLevel="0" max="11" min="11" style="0" width="11"/>
    <col collapsed="false" customWidth="true" hidden="false" outlineLevel="0" max="12" min="12" style="0" width="30"/>
  </cols>
  <sheetData>
    <row r="1" customFormat="false" ht="30" hidden="false" customHeight="true" outlineLevel="0" collapsed="false">
      <c r="A1" s="20" t="s">
        <v>67</v>
      </c>
      <c r="B1" s="20" t="s">
        <v>70</v>
      </c>
      <c r="C1" s="20" t="s">
        <v>73</v>
      </c>
      <c r="D1" s="23" t="s">
        <v>76</v>
      </c>
      <c r="E1" s="23" t="s">
        <v>79</v>
      </c>
      <c r="F1" s="20" t="s">
        <v>81</v>
      </c>
      <c r="G1" s="20" t="s">
        <v>84</v>
      </c>
      <c r="H1" s="23" t="s">
        <v>88</v>
      </c>
      <c r="I1" s="23" t="s">
        <v>91</v>
      </c>
      <c r="J1" s="20" t="s">
        <v>44</v>
      </c>
      <c r="K1" s="20" t="s">
        <v>32</v>
      </c>
      <c r="L1" s="20" t="s">
        <v>63</v>
      </c>
    </row>
    <row r="2" customFormat="false" ht="15" hidden="false" customHeight="false" outlineLevel="0" collapsed="false">
      <c r="A2" s="21"/>
      <c r="B2" s="22"/>
      <c r="C2" s="22"/>
      <c r="D2" s="22"/>
      <c r="E2" s="22"/>
      <c r="F2" s="22"/>
      <c r="G2" s="25"/>
      <c r="H2" s="22"/>
      <c r="I2" s="26"/>
      <c r="J2" s="21"/>
      <c r="K2" s="21"/>
      <c r="L2" s="22"/>
    </row>
    <row r="3" customFormat="false" ht="15" hidden="false" customHeight="false" outlineLevel="0" collapsed="false">
      <c r="A3" s="21"/>
      <c r="B3" s="22"/>
      <c r="C3" s="22"/>
      <c r="D3" s="22"/>
      <c r="E3" s="22"/>
      <c r="F3" s="22"/>
      <c r="G3" s="25"/>
      <c r="H3" s="22"/>
      <c r="I3" s="26"/>
      <c r="J3" s="21"/>
      <c r="K3" s="21"/>
      <c r="L3" s="22"/>
    </row>
    <row r="4" customFormat="false" ht="15" hidden="false" customHeight="false" outlineLevel="0" collapsed="false">
      <c r="A4" s="21"/>
      <c r="B4" s="22"/>
      <c r="C4" s="22"/>
      <c r="D4" s="22"/>
      <c r="E4" s="22"/>
      <c r="F4" s="22"/>
      <c r="G4" s="25"/>
      <c r="H4" s="22"/>
      <c r="I4" s="26"/>
      <c r="J4" s="21"/>
      <c r="K4" s="21"/>
      <c r="L4" s="22"/>
    </row>
    <row r="5" customFormat="false" ht="15" hidden="false" customHeight="false" outlineLevel="0" collapsed="false">
      <c r="A5" s="21"/>
      <c r="B5" s="22"/>
      <c r="C5" s="22"/>
      <c r="D5" s="22"/>
      <c r="E5" s="22"/>
      <c r="F5" s="22"/>
      <c r="G5" s="25"/>
      <c r="H5" s="22"/>
      <c r="I5" s="26"/>
      <c r="J5" s="21"/>
      <c r="K5" s="21"/>
      <c r="L5" s="22"/>
    </row>
    <row r="6" customFormat="false" ht="15" hidden="false" customHeight="false" outlineLevel="0" collapsed="false">
      <c r="A6" s="21"/>
      <c r="B6" s="22"/>
      <c r="C6" s="22"/>
      <c r="D6" s="22"/>
      <c r="E6" s="22"/>
      <c r="F6" s="22"/>
      <c r="G6" s="25"/>
      <c r="H6" s="22"/>
      <c r="I6" s="26"/>
      <c r="J6" s="21"/>
      <c r="K6" s="21"/>
      <c r="L6" s="22"/>
    </row>
    <row r="7" customFormat="false" ht="15" hidden="false" customHeight="false" outlineLevel="0" collapsed="false">
      <c r="A7" s="21"/>
      <c r="B7" s="22"/>
      <c r="C7" s="22"/>
      <c r="D7" s="22"/>
      <c r="E7" s="22"/>
      <c r="F7" s="22"/>
      <c r="G7" s="25"/>
      <c r="H7" s="22"/>
      <c r="I7" s="26"/>
      <c r="J7" s="21"/>
      <c r="K7" s="21"/>
      <c r="L7" s="22"/>
    </row>
    <row r="8" customFormat="false" ht="15" hidden="false" customHeight="false" outlineLevel="0" collapsed="false">
      <c r="A8" s="21"/>
      <c r="B8" s="22"/>
      <c r="C8" s="22"/>
      <c r="D8" s="22"/>
      <c r="E8" s="22"/>
      <c r="F8" s="22"/>
      <c r="G8" s="25"/>
      <c r="H8" s="22"/>
      <c r="I8" s="26"/>
      <c r="J8" s="21"/>
      <c r="K8" s="21"/>
      <c r="L8" s="22"/>
    </row>
    <row r="9" customFormat="false" ht="15" hidden="false" customHeight="false" outlineLevel="0" collapsed="false">
      <c r="A9" s="21"/>
      <c r="B9" s="22"/>
      <c r="C9" s="22"/>
      <c r="D9" s="22"/>
      <c r="E9" s="22"/>
      <c r="F9" s="22"/>
      <c r="G9" s="25"/>
      <c r="H9" s="22"/>
      <c r="I9" s="26"/>
      <c r="J9" s="21"/>
      <c r="K9" s="21"/>
      <c r="L9" s="22"/>
    </row>
    <row r="10" customFormat="false" ht="15" hidden="false" customHeight="false" outlineLevel="0" collapsed="false">
      <c r="A10" s="21"/>
      <c r="B10" s="22"/>
      <c r="C10" s="22"/>
      <c r="D10" s="22"/>
      <c r="E10" s="22"/>
      <c r="F10" s="22"/>
      <c r="G10" s="25"/>
      <c r="H10" s="22"/>
      <c r="I10" s="26"/>
      <c r="J10" s="21"/>
      <c r="K10" s="21"/>
      <c r="L10" s="22"/>
    </row>
    <row r="11" customFormat="false" ht="15" hidden="false" customHeight="false" outlineLevel="0" collapsed="false">
      <c r="A11" s="21"/>
      <c r="B11" s="22"/>
      <c r="C11" s="22"/>
      <c r="D11" s="22"/>
      <c r="E11" s="22"/>
      <c r="F11" s="22"/>
      <c r="G11" s="25"/>
      <c r="H11" s="22"/>
      <c r="I11" s="26"/>
      <c r="J11" s="21"/>
      <c r="K11" s="21"/>
      <c r="L11" s="22"/>
    </row>
    <row r="12" customFormat="false" ht="15" hidden="false" customHeight="false" outlineLevel="0" collapsed="false">
      <c r="A12" s="21"/>
      <c r="B12" s="22"/>
      <c r="C12" s="22"/>
      <c r="D12" s="22"/>
      <c r="E12" s="22"/>
      <c r="F12" s="22"/>
      <c r="G12" s="25"/>
      <c r="H12" s="22"/>
      <c r="I12" s="26"/>
      <c r="J12" s="21"/>
      <c r="K12" s="21"/>
      <c r="L12" s="22"/>
    </row>
    <row r="13" customFormat="false" ht="15" hidden="false" customHeight="false" outlineLevel="0" collapsed="false">
      <c r="A13" s="21"/>
      <c r="B13" s="22"/>
      <c r="C13" s="22"/>
      <c r="D13" s="22"/>
      <c r="E13" s="22"/>
      <c r="F13" s="22"/>
      <c r="G13" s="25"/>
      <c r="H13" s="22"/>
      <c r="I13" s="26"/>
      <c r="J13" s="21"/>
      <c r="K13" s="21"/>
      <c r="L13" s="22"/>
    </row>
    <row r="14" customFormat="false" ht="15" hidden="false" customHeight="false" outlineLevel="0" collapsed="false">
      <c r="A14" s="21"/>
      <c r="B14" s="22"/>
      <c r="C14" s="22"/>
      <c r="D14" s="22"/>
      <c r="E14" s="22"/>
      <c r="F14" s="22"/>
      <c r="G14" s="25"/>
      <c r="H14" s="22"/>
      <c r="I14" s="26"/>
      <c r="J14" s="21"/>
      <c r="K14" s="21"/>
      <c r="L14" s="22"/>
    </row>
    <row r="15" customFormat="false" ht="15" hidden="false" customHeight="false" outlineLevel="0" collapsed="false">
      <c r="A15" s="21"/>
      <c r="B15" s="22"/>
      <c r="C15" s="22"/>
      <c r="D15" s="22"/>
      <c r="E15" s="22"/>
      <c r="F15" s="22"/>
      <c r="G15" s="25"/>
      <c r="H15" s="22"/>
      <c r="I15" s="26"/>
      <c r="J15" s="21"/>
      <c r="K15" s="21"/>
      <c r="L15" s="22"/>
    </row>
    <row r="16" customFormat="false" ht="15" hidden="false" customHeight="false" outlineLevel="0" collapsed="false">
      <c r="A16" s="21"/>
      <c r="B16" s="22"/>
      <c r="C16" s="22"/>
      <c r="D16" s="22"/>
      <c r="E16" s="22"/>
      <c r="F16" s="22"/>
      <c r="G16" s="25"/>
      <c r="H16" s="22"/>
      <c r="I16" s="26"/>
      <c r="J16" s="21"/>
      <c r="K16" s="21"/>
      <c r="L16" s="22"/>
    </row>
    <row r="17" customFormat="false" ht="15" hidden="false" customHeight="false" outlineLevel="0" collapsed="false">
      <c r="A17" s="21"/>
      <c r="B17" s="22"/>
      <c r="C17" s="22"/>
      <c r="D17" s="22"/>
      <c r="E17" s="22"/>
      <c r="F17" s="22"/>
      <c r="G17" s="25"/>
      <c r="H17" s="22"/>
      <c r="I17" s="26"/>
      <c r="J17" s="21"/>
      <c r="K17" s="21"/>
      <c r="L17" s="22"/>
    </row>
    <row r="18" customFormat="false" ht="15" hidden="false" customHeight="false" outlineLevel="0" collapsed="false">
      <c r="A18" s="21"/>
      <c r="B18" s="22"/>
      <c r="C18" s="22"/>
      <c r="D18" s="22"/>
      <c r="E18" s="22"/>
      <c r="F18" s="22"/>
      <c r="G18" s="25"/>
      <c r="H18" s="22"/>
      <c r="I18" s="26"/>
      <c r="J18" s="21"/>
      <c r="K18" s="21"/>
      <c r="L18" s="22"/>
    </row>
    <row r="19" customFormat="false" ht="15" hidden="false" customHeight="false" outlineLevel="0" collapsed="false">
      <c r="A19" s="21"/>
      <c r="B19" s="22"/>
      <c r="C19" s="22"/>
      <c r="D19" s="22"/>
      <c r="E19" s="22"/>
      <c r="F19" s="22"/>
      <c r="G19" s="25"/>
      <c r="H19" s="22"/>
      <c r="I19" s="26"/>
      <c r="J19" s="21"/>
      <c r="K19" s="21"/>
      <c r="L19" s="22"/>
    </row>
    <row r="20" customFormat="false" ht="15" hidden="false" customHeight="false" outlineLevel="0" collapsed="false">
      <c r="A20" s="21"/>
      <c r="B20" s="22"/>
      <c r="C20" s="22"/>
      <c r="D20" s="22"/>
      <c r="E20" s="22"/>
      <c r="F20" s="22"/>
      <c r="G20" s="25"/>
      <c r="H20" s="22"/>
      <c r="I20" s="26"/>
      <c r="J20" s="21"/>
      <c r="K20" s="21"/>
      <c r="L20" s="22"/>
    </row>
    <row r="21" customFormat="false" ht="15" hidden="false" customHeight="false" outlineLevel="0" collapsed="false">
      <c r="A21" s="21"/>
      <c r="B21" s="22"/>
      <c r="C21" s="22"/>
      <c r="D21" s="22"/>
      <c r="E21" s="22"/>
      <c r="F21" s="22"/>
      <c r="G21" s="25"/>
      <c r="H21" s="22"/>
      <c r="I21" s="26"/>
      <c r="J21" s="21"/>
      <c r="K21" s="21"/>
      <c r="L21" s="22"/>
    </row>
    <row r="22" customFormat="false" ht="15" hidden="false" customHeight="false" outlineLevel="0" collapsed="false">
      <c r="A22" s="21"/>
      <c r="B22" s="22"/>
      <c r="C22" s="22"/>
      <c r="D22" s="22"/>
      <c r="E22" s="22"/>
      <c r="F22" s="22"/>
      <c r="G22" s="25"/>
      <c r="H22" s="22"/>
      <c r="I22" s="26"/>
      <c r="J22" s="21"/>
      <c r="K22" s="21"/>
      <c r="L22" s="22"/>
    </row>
    <row r="23" customFormat="false" ht="15" hidden="false" customHeight="false" outlineLevel="0" collapsed="false">
      <c r="A23" s="21"/>
      <c r="B23" s="22"/>
      <c r="C23" s="22"/>
      <c r="D23" s="22"/>
      <c r="E23" s="22"/>
      <c r="F23" s="22"/>
      <c r="G23" s="25"/>
      <c r="H23" s="22"/>
      <c r="I23" s="26"/>
      <c r="J23" s="21"/>
      <c r="K23" s="21"/>
      <c r="L23" s="22"/>
    </row>
    <row r="24" customFormat="false" ht="15" hidden="false" customHeight="false" outlineLevel="0" collapsed="false">
      <c r="A24" s="21"/>
      <c r="B24" s="22"/>
      <c r="C24" s="22"/>
      <c r="D24" s="22"/>
      <c r="E24" s="22"/>
      <c r="F24" s="22"/>
      <c r="G24" s="25"/>
      <c r="H24" s="22"/>
      <c r="I24" s="26"/>
      <c r="J24" s="21"/>
      <c r="K24" s="21"/>
      <c r="L24" s="22"/>
    </row>
    <row r="25" customFormat="false" ht="15" hidden="false" customHeight="false" outlineLevel="0" collapsed="false">
      <c r="A25" s="21"/>
      <c r="B25" s="22"/>
      <c r="C25" s="22"/>
      <c r="D25" s="22"/>
      <c r="E25" s="22"/>
      <c r="F25" s="22"/>
      <c r="G25" s="25"/>
      <c r="H25" s="22"/>
      <c r="I25" s="26"/>
      <c r="J25" s="21"/>
      <c r="K25" s="21"/>
      <c r="L25" s="22"/>
    </row>
    <row r="26" customFormat="false" ht="15" hidden="false" customHeight="false" outlineLevel="0" collapsed="false">
      <c r="A26" s="21"/>
      <c r="B26" s="22"/>
      <c r="C26" s="22"/>
      <c r="D26" s="22"/>
      <c r="E26" s="22"/>
      <c r="F26" s="22"/>
      <c r="G26" s="25"/>
      <c r="H26" s="22"/>
      <c r="I26" s="26"/>
      <c r="J26" s="21"/>
      <c r="K26" s="21"/>
      <c r="L26" s="22"/>
    </row>
    <row r="27" customFormat="false" ht="15" hidden="false" customHeight="false" outlineLevel="0" collapsed="false">
      <c r="A27" s="21"/>
      <c r="B27" s="22"/>
      <c r="C27" s="22"/>
      <c r="D27" s="22"/>
      <c r="E27" s="22"/>
      <c r="F27" s="22"/>
      <c r="G27" s="25"/>
      <c r="H27" s="22"/>
      <c r="I27" s="26"/>
      <c r="J27" s="21"/>
      <c r="K27" s="21"/>
      <c r="L27" s="22"/>
    </row>
    <row r="28" customFormat="false" ht="15" hidden="false" customHeight="false" outlineLevel="0" collapsed="false">
      <c r="A28" s="21"/>
      <c r="B28" s="22"/>
      <c r="C28" s="22"/>
      <c r="D28" s="22"/>
      <c r="E28" s="22"/>
      <c r="F28" s="22"/>
      <c r="G28" s="25"/>
      <c r="H28" s="22"/>
      <c r="I28" s="26"/>
      <c r="J28" s="21"/>
      <c r="K28" s="21"/>
      <c r="L28" s="22"/>
    </row>
    <row r="29" customFormat="false" ht="15" hidden="false" customHeight="false" outlineLevel="0" collapsed="false">
      <c r="A29" s="21"/>
      <c r="B29" s="22"/>
      <c r="C29" s="22"/>
      <c r="D29" s="22"/>
      <c r="E29" s="22"/>
      <c r="F29" s="22"/>
      <c r="G29" s="25"/>
      <c r="H29" s="22"/>
      <c r="I29" s="26"/>
      <c r="J29" s="21"/>
      <c r="K29" s="21"/>
      <c r="L29" s="22"/>
    </row>
    <row r="30" customFormat="false" ht="15" hidden="false" customHeight="false" outlineLevel="0" collapsed="false">
      <c r="A30" s="21"/>
      <c r="B30" s="22"/>
      <c r="C30" s="22"/>
      <c r="D30" s="22"/>
      <c r="E30" s="22"/>
      <c r="F30" s="22"/>
      <c r="G30" s="25"/>
      <c r="H30" s="22"/>
      <c r="I30" s="26"/>
      <c r="J30" s="21"/>
      <c r="K30" s="21"/>
      <c r="L30" s="22"/>
    </row>
    <row r="31" customFormat="false" ht="15" hidden="false" customHeight="false" outlineLevel="0" collapsed="false">
      <c r="A31" s="21"/>
      <c r="B31" s="22"/>
      <c r="C31" s="22"/>
      <c r="D31" s="22"/>
      <c r="E31" s="22"/>
      <c r="F31" s="22"/>
      <c r="G31" s="25"/>
      <c r="H31" s="22"/>
      <c r="I31" s="26"/>
      <c r="J31" s="21"/>
      <c r="K31" s="21"/>
      <c r="L31" s="22"/>
    </row>
    <row r="32" customFormat="false" ht="15" hidden="false" customHeight="false" outlineLevel="0" collapsed="false">
      <c r="A32" s="21"/>
      <c r="B32" s="22"/>
      <c r="C32" s="22"/>
      <c r="D32" s="22"/>
      <c r="E32" s="22"/>
      <c r="F32" s="22"/>
      <c r="G32" s="25"/>
      <c r="H32" s="22"/>
      <c r="I32" s="26"/>
      <c r="J32" s="21"/>
      <c r="K32" s="21"/>
      <c r="L32" s="22"/>
    </row>
    <row r="33" customFormat="false" ht="15" hidden="false" customHeight="false" outlineLevel="0" collapsed="false">
      <c r="A33" s="21"/>
      <c r="B33" s="22"/>
      <c r="C33" s="22"/>
      <c r="D33" s="22"/>
      <c r="E33" s="22"/>
      <c r="F33" s="22"/>
      <c r="G33" s="25"/>
      <c r="H33" s="22"/>
      <c r="I33" s="26"/>
      <c r="J33" s="21"/>
      <c r="K33" s="21"/>
      <c r="L33" s="22"/>
    </row>
    <row r="34" customFormat="false" ht="15" hidden="false" customHeight="false" outlineLevel="0" collapsed="false">
      <c r="A34" s="21"/>
      <c r="B34" s="22"/>
      <c r="C34" s="22"/>
      <c r="D34" s="22"/>
      <c r="E34" s="22"/>
      <c r="F34" s="22"/>
      <c r="G34" s="25"/>
      <c r="H34" s="22"/>
      <c r="I34" s="26"/>
      <c r="J34" s="21"/>
      <c r="K34" s="21"/>
      <c r="L34" s="22"/>
    </row>
    <row r="35" customFormat="false" ht="15" hidden="false" customHeight="false" outlineLevel="0" collapsed="false">
      <c r="A35" s="21"/>
      <c r="B35" s="22"/>
      <c r="C35" s="22"/>
      <c r="D35" s="22"/>
      <c r="E35" s="22"/>
      <c r="F35" s="22"/>
      <c r="G35" s="25"/>
      <c r="H35" s="22"/>
      <c r="I35" s="26"/>
      <c r="J35" s="21"/>
      <c r="K35" s="21"/>
      <c r="L35" s="22"/>
    </row>
    <row r="36" customFormat="false" ht="15" hidden="false" customHeight="false" outlineLevel="0" collapsed="false">
      <c r="A36" s="21"/>
      <c r="B36" s="22"/>
      <c r="C36" s="22"/>
      <c r="D36" s="22"/>
      <c r="E36" s="22"/>
      <c r="F36" s="22"/>
      <c r="G36" s="25"/>
      <c r="H36" s="22"/>
      <c r="I36" s="26"/>
      <c r="J36" s="21"/>
      <c r="K36" s="21"/>
      <c r="L36" s="22"/>
    </row>
    <row r="37" customFormat="false" ht="15" hidden="false" customHeight="false" outlineLevel="0" collapsed="false">
      <c r="A37" s="21"/>
      <c r="B37" s="22"/>
      <c r="C37" s="22"/>
      <c r="D37" s="22"/>
      <c r="E37" s="22"/>
      <c r="F37" s="22"/>
      <c r="G37" s="25"/>
      <c r="H37" s="22"/>
      <c r="I37" s="26"/>
      <c r="J37" s="21"/>
      <c r="K37" s="21"/>
      <c r="L37" s="22"/>
    </row>
    <row r="38" customFormat="false" ht="15" hidden="false" customHeight="false" outlineLevel="0" collapsed="false">
      <c r="A38" s="21"/>
      <c r="B38" s="22"/>
      <c r="C38" s="22"/>
      <c r="D38" s="22"/>
      <c r="E38" s="22"/>
      <c r="F38" s="22"/>
      <c r="G38" s="25"/>
      <c r="H38" s="22"/>
      <c r="I38" s="26"/>
      <c r="J38" s="21"/>
      <c r="K38" s="21"/>
      <c r="L38" s="22"/>
    </row>
    <row r="39" customFormat="false" ht="15" hidden="false" customHeight="false" outlineLevel="0" collapsed="false">
      <c r="A39" s="21"/>
      <c r="B39" s="22"/>
      <c r="C39" s="22"/>
      <c r="D39" s="22"/>
      <c r="E39" s="22"/>
      <c r="F39" s="22"/>
      <c r="G39" s="25"/>
      <c r="H39" s="22"/>
      <c r="I39" s="26"/>
      <c r="J39" s="21"/>
      <c r="K39" s="21"/>
      <c r="L39" s="22"/>
    </row>
    <row r="40" customFormat="false" ht="15" hidden="false" customHeight="false" outlineLevel="0" collapsed="false">
      <c r="A40" s="21"/>
      <c r="B40" s="22"/>
      <c r="C40" s="22"/>
      <c r="D40" s="22"/>
      <c r="E40" s="22"/>
      <c r="F40" s="22"/>
      <c r="G40" s="25"/>
      <c r="H40" s="22"/>
      <c r="I40" s="26"/>
      <c r="J40" s="21"/>
      <c r="K40" s="21"/>
      <c r="L40" s="22"/>
    </row>
    <row r="41" customFormat="false" ht="15" hidden="false" customHeight="false" outlineLevel="0" collapsed="false">
      <c r="A41" s="21"/>
      <c r="B41" s="22"/>
      <c r="C41" s="22"/>
      <c r="D41" s="22"/>
      <c r="E41" s="22"/>
      <c r="F41" s="22"/>
      <c r="G41" s="25"/>
      <c r="H41" s="22"/>
      <c r="I41" s="26"/>
      <c r="J41" s="21"/>
      <c r="K41" s="21"/>
      <c r="L41" s="22"/>
    </row>
    <row r="42" customFormat="false" ht="15" hidden="false" customHeight="false" outlineLevel="0" collapsed="false">
      <c r="A42" s="21"/>
      <c r="B42" s="22"/>
      <c r="C42" s="22"/>
      <c r="D42" s="22"/>
      <c r="E42" s="22"/>
      <c r="F42" s="22"/>
      <c r="G42" s="25"/>
      <c r="H42" s="22"/>
      <c r="I42" s="26"/>
      <c r="J42" s="21"/>
      <c r="K42" s="21"/>
      <c r="L42" s="22"/>
    </row>
    <row r="43" customFormat="false" ht="15" hidden="false" customHeight="false" outlineLevel="0" collapsed="false">
      <c r="A43" s="21"/>
      <c r="B43" s="22"/>
      <c r="C43" s="22"/>
      <c r="D43" s="22"/>
      <c r="E43" s="22"/>
      <c r="F43" s="22"/>
      <c r="G43" s="25"/>
      <c r="H43" s="22"/>
      <c r="I43" s="26"/>
      <c r="J43" s="21"/>
      <c r="K43" s="21"/>
      <c r="L43" s="22"/>
    </row>
    <row r="44" customFormat="false" ht="15" hidden="false" customHeight="false" outlineLevel="0" collapsed="false">
      <c r="A44" s="21"/>
      <c r="B44" s="22"/>
      <c r="C44" s="22"/>
      <c r="D44" s="22"/>
      <c r="E44" s="22"/>
      <c r="F44" s="22"/>
      <c r="G44" s="25"/>
      <c r="H44" s="22"/>
      <c r="I44" s="26"/>
      <c r="J44" s="21"/>
      <c r="K44" s="21"/>
      <c r="L44" s="22"/>
    </row>
    <row r="45" customFormat="false" ht="15" hidden="false" customHeight="false" outlineLevel="0" collapsed="false">
      <c r="A45" s="21"/>
      <c r="B45" s="22"/>
      <c r="C45" s="22"/>
      <c r="D45" s="22"/>
      <c r="E45" s="22"/>
      <c r="F45" s="22"/>
      <c r="G45" s="25"/>
      <c r="H45" s="22"/>
      <c r="I45" s="26"/>
      <c r="J45" s="21"/>
      <c r="K45" s="21"/>
      <c r="L45" s="22"/>
    </row>
    <row r="46" customFormat="false" ht="15" hidden="false" customHeight="false" outlineLevel="0" collapsed="false">
      <c r="A46" s="21"/>
      <c r="B46" s="22"/>
      <c r="C46" s="22"/>
      <c r="D46" s="22"/>
      <c r="E46" s="22"/>
      <c r="F46" s="22"/>
      <c r="G46" s="25"/>
      <c r="H46" s="22"/>
      <c r="I46" s="26"/>
      <c r="J46" s="21"/>
      <c r="K46" s="21"/>
      <c r="L46" s="22"/>
    </row>
    <row r="47" customFormat="false" ht="15" hidden="false" customHeight="false" outlineLevel="0" collapsed="false">
      <c r="A47" s="21"/>
      <c r="B47" s="22"/>
      <c r="C47" s="22"/>
      <c r="D47" s="22"/>
      <c r="E47" s="22"/>
      <c r="F47" s="22"/>
      <c r="G47" s="25"/>
      <c r="H47" s="22"/>
      <c r="I47" s="26"/>
      <c r="J47" s="21"/>
      <c r="K47" s="21"/>
      <c r="L47" s="22"/>
    </row>
    <row r="48" customFormat="false" ht="15" hidden="false" customHeight="false" outlineLevel="0" collapsed="false">
      <c r="A48" s="21"/>
      <c r="B48" s="22"/>
      <c r="C48" s="22"/>
      <c r="D48" s="22"/>
      <c r="E48" s="22"/>
      <c r="F48" s="22"/>
      <c r="G48" s="25"/>
      <c r="H48" s="22"/>
      <c r="I48" s="26"/>
      <c r="J48" s="21"/>
      <c r="K48" s="21"/>
      <c r="L48" s="22"/>
    </row>
    <row r="49" customFormat="false" ht="15" hidden="false" customHeight="false" outlineLevel="0" collapsed="false">
      <c r="A49" s="21"/>
      <c r="B49" s="22"/>
      <c r="C49" s="22"/>
      <c r="D49" s="22"/>
      <c r="E49" s="22"/>
      <c r="F49" s="22"/>
      <c r="G49" s="25"/>
      <c r="H49" s="22"/>
      <c r="I49" s="26"/>
      <c r="J49" s="21"/>
      <c r="K49" s="21"/>
      <c r="L49" s="22"/>
    </row>
    <row r="50" customFormat="false" ht="15" hidden="false" customHeight="false" outlineLevel="0" collapsed="false">
      <c r="A50" s="21"/>
      <c r="B50" s="22"/>
      <c r="C50" s="22"/>
      <c r="D50" s="22"/>
      <c r="E50" s="22"/>
      <c r="F50" s="22"/>
      <c r="G50" s="25"/>
      <c r="H50" s="22"/>
      <c r="I50" s="26"/>
      <c r="J50" s="21"/>
      <c r="K50" s="21"/>
      <c r="L50" s="22"/>
    </row>
    <row r="51" customFormat="false" ht="15" hidden="false" customHeight="false" outlineLevel="0" collapsed="false">
      <c r="A51" s="21"/>
      <c r="B51" s="22"/>
      <c r="C51" s="22"/>
      <c r="D51" s="22"/>
      <c r="E51" s="22"/>
      <c r="F51" s="22"/>
      <c r="G51" s="25"/>
      <c r="H51" s="22"/>
      <c r="I51" s="26"/>
      <c r="J51" s="21"/>
      <c r="K51" s="21"/>
      <c r="L51" s="22"/>
    </row>
    <row r="52" customFormat="false" ht="15" hidden="false" customHeight="false" outlineLevel="0" collapsed="false">
      <c r="A52" s="21"/>
      <c r="B52" s="22"/>
      <c r="C52" s="22"/>
      <c r="D52" s="22"/>
      <c r="E52" s="22"/>
      <c r="F52" s="22"/>
      <c r="G52" s="25"/>
      <c r="H52" s="22"/>
      <c r="I52" s="26"/>
      <c r="J52" s="21"/>
      <c r="K52" s="21"/>
      <c r="L52" s="22"/>
    </row>
    <row r="53" customFormat="false" ht="15" hidden="false" customHeight="false" outlineLevel="0" collapsed="false">
      <c r="A53" s="21"/>
      <c r="B53" s="22"/>
      <c r="C53" s="22"/>
      <c r="D53" s="22"/>
      <c r="E53" s="22"/>
      <c r="F53" s="22"/>
      <c r="G53" s="25"/>
      <c r="H53" s="22"/>
      <c r="I53" s="26"/>
      <c r="J53" s="21"/>
      <c r="K53" s="21"/>
      <c r="L53" s="22"/>
    </row>
    <row r="54" customFormat="false" ht="15" hidden="false" customHeight="false" outlineLevel="0" collapsed="false">
      <c r="A54" s="21"/>
      <c r="B54" s="22"/>
      <c r="C54" s="22"/>
      <c r="D54" s="22"/>
      <c r="E54" s="22"/>
      <c r="F54" s="22"/>
      <c r="G54" s="25"/>
      <c r="H54" s="22"/>
      <c r="I54" s="26"/>
      <c r="J54" s="21"/>
      <c r="K54" s="21"/>
      <c r="L54" s="22"/>
    </row>
    <row r="55" customFormat="false" ht="15" hidden="false" customHeight="false" outlineLevel="0" collapsed="false">
      <c r="A55" s="21"/>
      <c r="B55" s="22"/>
      <c r="C55" s="22"/>
      <c r="D55" s="22"/>
      <c r="E55" s="22"/>
      <c r="F55" s="22"/>
      <c r="G55" s="25"/>
      <c r="H55" s="22"/>
      <c r="I55" s="26"/>
      <c r="J55" s="21"/>
      <c r="K55" s="21"/>
      <c r="L55" s="22"/>
    </row>
    <row r="56" customFormat="false" ht="15" hidden="false" customHeight="false" outlineLevel="0" collapsed="false">
      <c r="A56" s="21"/>
      <c r="B56" s="22"/>
      <c r="C56" s="22"/>
      <c r="D56" s="22"/>
      <c r="E56" s="22"/>
      <c r="F56" s="22"/>
      <c r="G56" s="25"/>
      <c r="H56" s="22"/>
      <c r="I56" s="26"/>
      <c r="J56" s="21"/>
      <c r="K56" s="21"/>
      <c r="L56" s="22"/>
    </row>
    <row r="57" customFormat="false" ht="15" hidden="false" customHeight="false" outlineLevel="0" collapsed="false">
      <c r="A57" s="21"/>
      <c r="B57" s="22"/>
      <c r="C57" s="22"/>
      <c r="D57" s="22"/>
      <c r="E57" s="22"/>
      <c r="F57" s="22"/>
      <c r="G57" s="25"/>
      <c r="H57" s="22"/>
      <c r="I57" s="26"/>
      <c r="J57" s="21"/>
      <c r="K57" s="21"/>
      <c r="L57" s="22"/>
    </row>
    <row r="58" customFormat="false" ht="15" hidden="false" customHeight="false" outlineLevel="0" collapsed="false">
      <c r="A58" s="21"/>
      <c r="B58" s="22"/>
      <c r="C58" s="22"/>
      <c r="D58" s="22"/>
      <c r="E58" s="22"/>
      <c r="F58" s="22"/>
      <c r="G58" s="25"/>
      <c r="H58" s="22"/>
      <c r="I58" s="26"/>
      <c r="J58" s="21"/>
      <c r="K58" s="21"/>
      <c r="L58" s="22"/>
    </row>
    <row r="59" customFormat="false" ht="15" hidden="false" customHeight="false" outlineLevel="0" collapsed="false">
      <c r="A59" s="21"/>
      <c r="B59" s="22"/>
      <c r="C59" s="22"/>
      <c r="D59" s="22"/>
      <c r="E59" s="22"/>
      <c r="F59" s="22"/>
      <c r="G59" s="25"/>
      <c r="H59" s="22"/>
      <c r="I59" s="26"/>
      <c r="J59" s="21"/>
      <c r="K59" s="21"/>
      <c r="L59" s="22"/>
    </row>
    <row r="60" customFormat="false" ht="15" hidden="false" customHeight="false" outlineLevel="0" collapsed="false">
      <c r="A60" s="21"/>
      <c r="B60" s="22"/>
      <c r="C60" s="22"/>
      <c r="D60" s="22"/>
      <c r="E60" s="22"/>
      <c r="F60" s="22"/>
      <c r="G60" s="25"/>
      <c r="H60" s="22"/>
      <c r="I60" s="26"/>
      <c r="J60" s="21"/>
      <c r="K60" s="21"/>
      <c r="L60" s="22"/>
    </row>
    <row r="61" customFormat="false" ht="15" hidden="false" customHeight="false" outlineLevel="0" collapsed="false">
      <c r="A61" s="21"/>
      <c r="B61" s="22"/>
      <c r="C61" s="22"/>
      <c r="D61" s="22"/>
      <c r="E61" s="22"/>
      <c r="F61" s="22"/>
      <c r="G61" s="25"/>
      <c r="H61" s="22"/>
      <c r="I61" s="26"/>
      <c r="J61" s="21"/>
      <c r="K61" s="21"/>
      <c r="L61" s="22"/>
    </row>
    <row r="62" customFormat="false" ht="15" hidden="false" customHeight="false" outlineLevel="0" collapsed="false">
      <c r="A62" s="21"/>
      <c r="B62" s="22"/>
      <c r="C62" s="22"/>
      <c r="D62" s="22"/>
      <c r="E62" s="22"/>
      <c r="F62" s="22"/>
      <c r="G62" s="25"/>
      <c r="H62" s="22"/>
      <c r="I62" s="26"/>
      <c r="J62" s="21"/>
      <c r="K62" s="21"/>
      <c r="L62" s="22"/>
    </row>
    <row r="63" customFormat="false" ht="15" hidden="false" customHeight="false" outlineLevel="0" collapsed="false">
      <c r="A63" s="21"/>
      <c r="B63" s="22"/>
      <c r="C63" s="22"/>
      <c r="D63" s="22"/>
      <c r="E63" s="22"/>
      <c r="F63" s="22"/>
      <c r="G63" s="25"/>
      <c r="H63" s="22"/>
      <c r="I63" s="26"/>
      <c r="J63" s="21"/>
      <c r="K63" s="21"/>
      <c r="L63" s="22"/>
    </row>
    <row r="64" customFormat="false" ht="15" hidden="false" customHeight="false" outlineLevel="0" collapsed="false">
      <c r="A64" s="21"/>
      <c r="B64" s="22"/>
      <c r="C64" s="22"/>
      <c r="D64" s="22"/>
      <c r="E64" s="22"/>
      <c r="F64" s="22"/>
      <c r="G64" s="25"/>
      <c r="H64" s="22"/>
      <c r="I64" s="26"/>
      <c r="J64" s="21"/>
      <c r="K64" s="21"/>
      <c r="L64" s="22"/>
    </row>
    <row r="65" customFormat="false" ht="15" hidden="false" customHeight="false" outlineLevel="0" collapsed="false">
      <c r="A65" s="21"/>
      <c r="B65" s="22"/>
      <c r="C65" s="22"/>
      <c r="D65" s="22"/>
      <c r="E65" s="22"/>
      <c r="F65" s="22"/>
      <c r="G65" s="25"/>
      <c r="H65" s="22"/>
      <c r="I65" s="26"/>
      <c r="J65" s="21"/>
      <c r="K65" s="21"/>
      <c r="L65" s="22"/>
    </row>
    <row r="66" customFormat="false" ht="15" hidden="false" customHeight="false" outlineLevel="0" collapsed="false">
      <c r="A66" s="21"/>
      <c r="B66" s="22"/>
      <c r="C66" s="22"/>
      <c r="D66" s="22"/>
      <c r="E66" s="22"/>
      <c r="F66" s="22"/>
      <c r="G66" s="25"/>
      <c r="H66" s="22"/>
      <c r="I66" s="26"/>
      <c r="J66" s="21"/>
      <c r="K66" s="21"/>
      <c r="L66" s="22"/>
    </row>
    <row r="67" customFormat="false" ht="15" hidden="false" customHeight="false" outlineLevel="0" collapsed="false">
      <c r="A67" s="21"/>
      <c r="B67" s="22"/>
      <c r="C67" s="22"/>
      <c r="D67" s="22"/>
      <c r="E67" s="22"/>
      <c r="F67" s="22"/>
      <c r="G67" s="25"/>
      <c r="H67" s="22"/>
      <c r="I67" s="26"/>
      <c r="J67" s="21"/>
      <c r="K67" s="21"/>
      <c r="L67" s="22"/>
    </row>
    <row r="68" customFormat="false" ht="15" hidden="false" customHeight="false" outlineLevel="0" collapsed="false">
      <c r="A68" s="21"/>
      <c r="B68" s="22"/>
      <c r="C68" s="22"/>
      <c r="D68" s="22"/>
      <c r="E68" s="22"/>
      <c r="F68" s="22"/>
      <c r="G68" s="25"/>
      <c r="H68" s="22"/>
      <c r="I68" s="26"/>
      <c r="J68" s="21"/>
      <c r="K68" s="21"/>
      <c r="L68" s="22"/>
    </row>
    <row r="69" customFormat="false" ht="15" hidden="false" customHeight="false" outlineLevel="0" collapsed="false">
      <c r="A69" s="21"/>
      <c r="B69" s="22"/>
      <c r="C69" s="22"/>
      <c r="D69" s="22"/>
      <c r="E69" s="22"/>
      <c r="F69" s="22"/>
      <c r="G69" s="25"/>
      <c r="H69" s="22"/>
      <c r="I69" s="26"/>
      <c r="J69" s="21"/>
      <c r="K69" s="21"/>
      <c r="L69" s="22"/>
    </row>
    <row r="70" customFormat="false" ht="15" hidden="false" customHeight="false" outlineLevel="0" collapsed="false">
      <c r="A70" s="21"/>
      <c r="B70" s="22"/>
      <c r="C70" s="22"/>
      <c r="D70" s="22"/>
      <c r="E70" s="22"/>
      <c r="F70" s="22"/>
      <c r="G70" s="25"/>
      <c r="H70" s="22"/>
      <c r="I70" s="26"/>
      <c r="J70" s="21"/>
      <c r="K70" s="21"/>
      <c r="L70" s="22"/>
    </row>
    <row r="71" customFormat="false" ht="15" hidden="false" customHeight="false" outlineLevel="0" collapsed="false">
      <c r="A71" s="21"/>
      <c r="B71" s="22"/>
      <c r="C71" s="22"/>
      <c r="D71" s="22"/>
      <c r="E71" s="22"/>
      <c r="F71" s="22"/>
      <c r="G71" s="25"/>
      <c r="H71" s="22"/>
      <c r="I71" s="26"/>
      <c r="J71" s="21"/>
      <c r="K71" s="21"/>
      <c r="L71" s="22"/>
    </row>
    <row r="72" customFormat="false" ht="15" hidden="false" customHeight="false" outlineLevel="0" collapsed="false">
      <c r="A72" s="21"/>
      <c r="B72" s="22"/>
      <c r="C72" s="22"/>
      <c r="D72" s="22"/>
      <c r="E72" s="22"/>
      <c r="F72" s="22"/>
      <c r="G72" s="25"/>
      <c r="H72" s="22"/>
      <c r="I72" s="26"/>
      <c r="J72" s="21"/>
      <c r="K72" s="21"/>
      <c r="L72" s="22"/>
    </row>
    <row r="73" customFormat="false" ht="15" hidden="false" customHeight="false" outlineLevel="0" collapsed="false">
      <c r="A73" s="21"/>
      <c r="B73" s="22"/>
      <c r="C73" s="22"/>
      <c r="D73" s="22"/>
      <c r="E73" s="22"/>
      <c r="F73" s="22"/>
      <c r="G73" s="25"/>
      <c r="H73" s="22"/>
      <c r="I73" s="26"/>
      <c r="J73" s="21"/>
      <c r="K73" s="21"/>
      <c r="L73" s="22"/>
    </row>
    <row r="74" customFormat="false" ht="15" hidden="false" customHeight="false" outlineLevel="0" collapsed="false">
      <c r="A74" s="21"/>
      <c r="B74" s="22"/>
      <c r="C74" s="22"/>
      <c r="D74" s="22"/>
      <c r="E74" s="22"/>
      <c r="F74" s="22"/>
      <c r="G74" s="25"/>
      <c r="H74" s="22"/>
      <c r="I74" s="26"/>
      <c r="J74" s="21"/>
      <c r="K74" s="21"/>
      <c r="L74" s="22"/>
    </row>
    <row r="75" customFormat="false" ht="15" hidden="false" customHeight="false" outlineLevel="0" collapsed="false">
      <c r="A75" s="21"/>
      <c r="B75" s="22"/>
      <c r="C75" s="22"/>
      <c r="D75" s="22"/>
      <c r="E75" s="22"/>
      <c r="F75" s="22"/>
      <c r="G75" s="25"/>
      <c r="H75" s="22"/>
      <c r="I75" s="26"/>
      <c r="J75" s="21"/>
      <c r="K75" s="21"/>
      <c r="L75" s="22"/>
    </row>
    <row r="76" customFormat="false" ht="15" hidden="false" customHeight="false" outlineLevel="0" collapsed="false">
      <c r="A76" s="21"/>
      <c r="B76" s="22"/>
      <c r="C76" s="22"/>
      <c r="D76" s="22"/>
      <c r="E76" s="22"/>
      <c r="F76" s="22"/>
      <c r="G76" s="25"/>
      <c r="H76" s="22"/>
      <c r="I76" s="26"/>
      <c r="J76" s="21"/>
      <c r="K76" s="21"/>
      <c r="L76" s="22"/>
    </row>
    <row r="77" customFormat="false" ht="15" hidden="false" customHeight="false" outlineLevel="0" collapsed="false">
      <c r="A77" s="21"/>
      <c r="B77" s="22"/>
      <c r="C77" s="22"/>
      <c r="D77" s="22"/>
      <c r="E77" s="22"/>
      <c r="F77" s="22"/>
      <c r="G77" s="25"/>
      <c r="H77" s="22"/>
      <c r="I77" s="26"/>
      <c r="J77" s="21"/>
      <c r="K77" s="21"/>
      <c r="L77" s="22"/>
    </row>
    <row r="78" customFormat="false" ht="15" hidden="false" customHeight="false" outlineLevel="0" collapsed="false">
      <c r="A78" s="21"/>
      <c r="B78" s="22"/>
      <c r="C78" s="22"/>
      <c r="D78" s="22"/>
      <c r="E78" s="22"/>
      <c r="F78" s="22"/>
      <c r="G78" s="25"/>
      <c r="H78" s="22"/>
      <c r="I78" s="26"/>
      <c r="J78" s="21"/>
      <c r="K78" s="21"/>
      <c r="L78" s="22"/>
    </row>
    <row r="79" customFormat="false" ht="15" hidden="false" customHeight="false" outlineLevel="0" collapsed="false">
      <c r="A79" s="21"/>
      <c r="B79" s="22"/>
      <c r="C79" s="22"/>
      <c r="D79" s="22"/>
      <c r="E79" s="22"/>
      <c r="F79" s="22"/>
      <c r="G79" s="25"/>
      <c r="H79" s="22"/>
      <c r="I79" s="26"/>
      <c r="J79" s="21"/>
      <c r="K79" s="21"/>
      <c r="L79" s="22"/>
    </row>
    <row r="80" customFormat="false" ht="15" hidden="false" customHeight="false" outlineLevel="0" collapsed="false">
      <c r="A80" s="21"/>
      <c r="B80" s="22"/>
      <c r="C80" s="22"/>
      <c r="D80" s="22"/>
      <c r="E80" s="22"/>
      <c r="F80" s="22"/>
      <c r="G80" s="25"/>
      <c r="H80" s="22"/>
      <c r="I80" s="26"/>
      <c r="J80" s="21"/>
      <c r="K80" s="21"/>
      <c r="L80" s="22"/>
    </row>
    <row r="81" customFormat="false" ht="15" hidden="false" customHeight="false" outlineLevel="0" collapsed="false">
      <c r="A81" s="21"/>
      <c r="B81" s="22"/>
      <c r="C81" s="22"/>
      <c r="D81" s="22"/>
      <c r="E81" s="22"/>
      <c r="F81" s="22"/>
      <c r="G81" s="25"/>
      <c r="H81" s="22"/>
      <c r="I81" s="26"/>
      <c r="J81" s="21"/>
      <c r="K81" s="21"/>
      <c r="L81" s="22"/>
    </row>
    <row r="82" customFormat="false" ht="15" hidden="false" customHeight="false" outlineLevel="0" collapsed="false">
      <c r="A82" s="21"/>
      <c r="B82" s="22"/>
      <c r="C82" s="22"/>
      <c r="D82" s="22"/>
      <c r="E82" s="22"/>
      <c r="F82" s="22"/>
      <c r="G82" s="25"/>
      <c r="H82" s="22"/>
      <c r="I82" s="26"/>
      <c r="J82" s="21"/>
      <c r="K82" s="21"/>
      <c r="L82" s="22"/>
    </row>
    <row r="83" customFormat="false" ht="15" hidden="false" customHeight="false" outlineLevel="0" collapsed="false">
      <c r="A83" s="21"/>
      <c r="B83" s="22"/>
      <c r="C83" s="22"/>
      <c r="D83" s="22"/>
      <c r="E83" s="22"/>
      <c r="F83" s="22"/>
      <c r="G83" s="25"/>
      <c r="H83" s="22"/>
      <c r="I83" s="26"/>
      <c r="J83" s="21"/>
      <c r="K83" s="21"/>
      <c r="L83" s="22"/>
    </row>
    <row r="84" customFormat="false" ht="15" hidden="false" customHeight="false" outlineLevel="0" collapsed="false">
      <c r="A84" s="21"/>
      <c r="B84" s="22"/>
      <c r="C84" s="22"/>
      <c r="D84" s="22"/>
      <c r="E84" s="22"/>
      <c r="F84" s="22"/>
      <c r="G84" s="25"/>
      <c r="H84" s="22"/>
      <c r="I84" s="26"/>
      <c r="J84" s="21"/>
      <c r="K84" s="21"/>
      <c r="L84" s="22"/>
    </row>
    <row r="85" customFormat="false" ht="15" hidden="false" customHeight="false" outlineLevel="0" collapsed="false">
      <c r="A85" s="21"/>
      <c r="B85" s="22"/>
      <c r="C85" s="22"/>
      <c r="D85" s="22"/>
      <c r="E85" s="22"/>
      <c r="F85" s="22"/>
      <c r="G85" s="25"/>
      <c r="H85" s="22"/>
      <c r="I85" s="26"/>
      <c r="J85" s="21"/>
      <c r="K85" s="21"/>
      <c r="L85" s="22"/>
    </row>
    <row r="86" customFormat="false" ht="15" hidden="false" customHeight="false" outlineLevel="0" collapsed="false">
      <c r="A86" s="21"/>
      <c r="B86" s="22"/>
      <c r="C86" s="22"/>
      <c r="D86" s="22"/>
      <c r="E86" s="22"/>
      <c r="F86" s="22"/>
      <c r="G86" s="25"/>
      <c r="H86" s="22"/>
      <c r="I86" s="26"/>
      <c r="J86" s="21"/>
      <c r="K86" s="21"/>
      <c r="L86" s="22"/>
    </row>
    <row r="87" customFormat="false" ht="15" hidden="false" customHeight="false" outlineLevel="0" collapsed="false">
      <c r="A87" s="21"/>
      <c r="B87" s="22"/>
      <c r="C87" s="22"/>
      <c r="D87" s="22"/>
      <c r="E87" s="22"/>
      <c r="F87" s="22"/>
      <c r="G87" s="25"/>
      <c r="H87" s="22"/>
      <c r="I87" s="26"/>
      <c r="J87" s="21"/>
      <c r="K87" s="21"/>
      <c r="L87" s="22"/>
    </row>
    <row r="88" customFormat="false" ht="15" hidden="false" customHeight="false" outlineLevel="0" collapsed="false">
      <c r="A88" s="21"/>
      <c r="B88" s="22"/>
      <c r="C88" s="22"/>
      <c r="D88" s="22"/>
      <c r="E88" s="22"/>
      <c r="F88" s="22"/>
      <c r="G88" s="25"/>
      <c r="H88" s="22"/>
      <c r="I88" s="26"/>
      <c r="J88" s="21"/>
      <c r="K88" s="21"/>
      <c r="L88" s="22"/>
    </row>
    <row r="89" customFormat="false" ht="15" hidden="false" customHeight="false" outlineLevel="0" collapsed="false">
      <c r="A89" s="21"/>
      <c r="B89" s="22"/>
      <c r="C89" s="22"/>
      <c r="D89" s="22"/>
      <c r="E89" s="22"/>
      <c r="F89" s="22"/>
      <c r="G89" s="25"/>
      <c r="H89" s="22"/>
      <c r="I89" s="26"/>
      <c r="J89" s="21"/>
      <c r="K89" s="21"/>
      <c r="L89" s="22"/>
    </row>
    <row r="90" customFormat="false" ht="15" hidden="false" customHeight="false" outlineLevel="0" collapsed="false">
      <c r="A90" s="21"/>
      <c r="B90" s="22"/>
      <c r="C90" s="22"/>
      <c r="D90" s="22"/>
      <c r="E90" s="22"/>
      <c r="F90" s="22"/>
      <c r="G90" s="25"/>
      <c r="H90" s="22"/>
      <c r="I90" s="26"/>
      <c r="J90" s="21"/>
      <c r="K90" s="21"/>
      <c r="L90" s="22"/>
    </row>
    <row r="91" customFormat="false" ht="15" hidden="false" customHeight="false" outlineLevel="0" collapsed="false">
      <c r="A91" s="21"/>
      <c r="B91" s="22"/>
      <c r="C91" s="22"/>
      <c r="D91" s="22"/>
      <c r="E91" s="22"/>
      <c r="F91" s="22"/>
      <c r="G91" s="25"/>
      <c r="H91" s="22"/>
      <c r="I91" s="26"/>
      <c r="J91" s="21"/>
      <c r="K91" s="21"/>
      <c r="L91" s="22"/>
    </row>
    <row r="92" customFormat="false" ht="15" hidden="false" customHeight="false" outlineLevel="0" collapsed="false">
      <c r="A92" s="21"/>
      <c r="B92" s="22"/>
      <c r="C92" s="22"/>
      <c r="D92" s="22"/>
      <c r="E92" s="22"/>
      <c r="F92" s="22"/>
      <c r="G92" s="25"/>
      <c r="H92" s="22"/>
      <c r="I92" s="26"/>
      <c r="J92" s="21"/>
      <c r="K92" s="21"/>
      <c r="L92" s="22"/>
    </row>
    <row r="93" customFormat="false" ht="15" hidden="false" customHeight="false" outlineLevel="0" collapsed="false">
      <c r="A93" s="21"/>
      <c r="B93" s="22"/>
      <c r="C93" s="22"/>
      <c r="D93" s="22"/>
      <c r="E93" s="22"/>
      <c r="F93" s="22"/>
      <c r="G93" s="25"/>
      <c r="H93" s="22"/>
      <c r="I93" s="26"/>
      <c r="J93" s="21"/>
      <c r="K93" s="21"/>
      <c r="L93" s="22"/>
    </row>
    <row r="94" customFormat="false" ht="15" hidden="false" customHeight="false" outlineLevel="0" collapsed="false">
      <c r="A94" s="21"/>
      <c r="B94" s="22"/>
      <c r="C94" s="22"/>
      <c r="D94" s="22"/>
      <c r="E94" s="22"/>
      <c r="F94" s="22"/>
      <c r="G94" s="25"/>
      <c r="H94" s="22"/>
      <c r="I94" s="26"/>
      <c r="J94" s="21"/>
      <c r="K94" s="21"/>
      <c r="L94" s="22"/>
    </row>
    <row r="95" customFormat="false" ht="15" hidden="false" customHeight="false" outlineLevel="0" collapsed="false">
      <c r="A95" s="21"/>
      <c r="B95" s="22"/>
      <c r="C95" s="22"/>
      <c r="D95" s="22"/>
      <c r="E95" s="22"/>
      <c r="F95" s="22"/>
      <c r="G95" s="25"/>
      <c r="H95" s="22"/>
      <c r="I95" s="26"/>
      <c r="J95" s="21"/>
      <c r="K95" s="21"/>
      <c r="L95" s="22"/>
    </row>
    <row r="96" customFormat="false" ht="15" hidden="false" customHeight="false" outlineLevel="0" collapsed="false">
      <c r="A96" s="21"/>
      <c r="B96" s="22"/>
      <c r="C96" s="22"/>
      <c r="D96" s="22"/>
      <c r="E96" s="22"/>
      <c r="F96" s="22"/>
      <c r="G96" s="25"/>
      <c r="H96" s="22"/>
      <c r="I96" s="26"/>
      <c r="J96" s="21"/>
      <c r="K96" s="21"/>
      <c r="L96" s="22"/>
    </row>
    <row r="97" customFormat="false" ht="15" hidden="false" customHeight="false" outlineLevel="0" collapsed="false">
      <c r="A97" s="21"/>
      <c r="B97" s="22"/>
      <c r="C97" s="22"/>
      <c r="D97" s="22"/>
      <c r="E97" s="22"/>
      <c r="F97" s="22"/>
      <c r="G97" s="25"/>
      <c r="H97" s="22"/>
      <c r="I97" s="26"/>
      <c r="J97" s="21"/>
      <c r="K97" s="21"/>
      <c r="L97" s="22"/>
    </row>
    <row r="98" customFormat="false" ht="15" hidden="false" customHeight="false" outlineLevel="0" collapsed="false">
      <c r="A98" s="21"/>
      <c r="B98" s="22"/>
      <c r="C98" s="22"/>
      <c r="D98" s="22"/>
      <c r="E98" s="22"/>
      <c r="F98" s="22"/>
      <c r="G98" s="25"/>
      <c r="H98" s="22"/>
      <c r="I98" s="26"/>
      <c r="J98" s="21"/>
      <c r="K98" s="21"/>
      <c r="L98" s="22"/>
    </row>
    <row r="99" customFormat="false" ht="15" hidden="false" customHeight="false" outlineLevel="0" collapsed="false">
      <c r="A99" s="21"/>
      <c r="B99" s="22"/>
      <c r="C99" s="22"/>
      <c r="D99" s="22"/>
      <c r="E99" s="22"/>
      <c r="F99" s="22"/>
      <c r="G99" s="25"/>
      <c r="H99" s="22"/>
      <c r="I99" s="26"/>
      <c r="J99" s="21"/>
      <c r="K99" s="21"/>
      <c r="L99" s="22"/>
    </row>
    <row r="100" customFormat="false" ht="15" hidden="false" customHeight="false" outlineLevel="0" collapsed="false">
      <c r="A100" s="21"/>
      <c r="B100" s="22"/>
      <c r="C100" s="22"/>
      <c r="D100" s="22"/>
      <c r="E100" s="22"/>
      <c r="F100" s="22"/>
      <c r="G100" s="25"/>
      <c r="H100" s="22"/>
      <c r="I100" s="26"/>
      <c r="J100" s="21"/>
      <c r="K100" s="21"/>
      <c r="L100" s="22"/>
    </row>
  </sheetData>
  <dataValidations count="7">
    <dataValidation allowBlank="true" error="Pilih dari daftar." errorStyle="stop" errorTitle="Nilai tidak valid" operator="between" showDropDown="false" showErrorMessage="true" showInputMessage="false" sqref="C2:C100" type="list">
      <formula1>Daftar!$E$2:$E$3</formula1>
      <formula2>0</formula2>
    </dataValidation>
    <dataValidation allowBlank="true" error="Pilih dari daftar." errorStyle="stop" errorTitle="Nilai tidak valid" operator="between" showDropDown="false" showErrorMessage="true" showInputMessage="false" sqref="D2:D100" type="list">
      <formula1>Daftar!$F$2:$F$4</formula1>
      <formula2>0</formula2>
    </dataValidation>
    <dataValidation allowBlank="true" error="Pilih dari daftar." errorStyle="stop" errorTitle="Nilai tidak valid" operator="between" showDropDown="false" showErrorMessage="true" showInputMessage="false" sqref="E2:E100" type="list">
      <formula1>Daftar!$G$2:$G$3</formula1>
      <formula2>0</formula2>
    </dataValidation>
    <dataValidation allowBlank="true" error="Pilih dari daftar." errorStyle="stop" errorTitle="Nilai tidak valid" operator="between" showDropDown="false" showErrorMessage="true" showInputMessage="false" sqref="F2:F100" type="list">
      <formula1>Daftar!$H$2:$H$5</formula1>
      <formula2>0</formula2>
    </dataValidation>
    <dataValidation allowBlank="true" error="Pilih dari daftar." errorStyle="stop" errorTitle="Nilai tidak valid" operator="between" showDropDown="false" showErrorMessage="true" showInputMessage="false" sqref="H2:H100" type="list">
      <formula1>Daftar!$I$2:$I$4</formula1>
      <formula2>0</formula2>
    </dataValidation>
    <dataValidation allowBlank="true" error="Pilih dari daftar." errorStyle="stop" errorTitle="Nilai tidak valid" operator="between" showDropDown="false" showErrorMessage="true" showInputMessage="false" sqref="J2:J100" type="list">
      <formula1>Neraca!$A$2:$A$151</formula1>
      <formula2>0</formula2>
    </dataValidation>
    <dataValidation allowBlank="true" error="Pilih dari daftar." errorStyle="stop" errorTitle="Nilai tidak valid" operator="between" showDropDown="false" showErrorMessage="true" showInputMessage="false" sqref="K2:K100" type="list">
      <formula1>Unit!$A$2:$A$50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20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32"/>
    <col collapsed="false" customWidth="true" hidden="false" outlineLevel="0" max="3" min="3" style="0" width="20"/>
    <col collapsed="false" customWidth="true" hidden="false" outlineLevel="0" max="4" min="4" style="0" width="34"/>
    <col collapsed="false" customWidth="true" hidden="false" outlineLevel="0" max="5" min="5" style="0" width="16"/>
    <col collapsed="false" customWidth="true" hidden="false" outlineLevel="0" max="6" min="6" style="0" width="13"/>
    <col collapsed="false" customWidth="true" hidden="false" outlineLevel="0" max="7" min="7" style="0" width="20"/>
    <col collapsed="false" customWidth="true" hidden="false" outlineLevel="0" max="8" min="8" style="0" width="15"/>
    <col collapsed="false" customWidth="true" hidden="false" outlineLevel="0" max="9" min="9" style="0" width="13"/>
    <col collapsed="false" customWidth="true" hidden="false" outlineLevel="0" max="12" min="10" style="0" width="10"/>
    <col collapsed="false" customWidth="true" hidden="false" outlineLevel="0" max="13" min="13" style="0" width="11"/>
    <col collapsed="false" customWidth="true" hidden="false" outlineLevel="0" max="14" min="14" style="0" width="30"/>
    <col collapsed="false" customWidth="true" hidden="false" outlineLevel="0" max="16" min="15" style="0" width="13"/>
  </cols>
  <sheetData>
    <row r="1" customFormat="false" ht="30" hidden="false" customHeight="true" outlineLevel="0" collapsed="false">
      <c r="A1" s="20" t="s">
        <v>98</v>
      </c>
      <c r="B1" s="20" t="s">
        <v>101</v>
      </c>
      <c r="C1" s="23" t="s">
        <v>104</v>
      </c>
      <c r="D1" s="23" t="s">
        <v>107</v>
      </c>
      <c r="E1" s="23" t="s">
        <v>110</v>
      </c>
      <c r="F1" s="23" t="s">
        <v>112</v>
      </c>
      <c r="G1" s="23" t="s">
        <v>116</v>
      </c>
      <c r="H1" s="23" t="s">
        <v>118</v>
      </c>
      <c r="I1" s="23" t="s">
        <v>121</v>
      </c>
      <c r="J1" s="20" t="s">
        <v>124</v>
      </c>
      <c r="K1" s="23" t="s">
        <v>127</v>
      </c>
      <c r="L1" s="23" t="s">
        <v>130</v>
      </c>
      <c r="M1" s="20" t="s">
        <v>32</v>
      </c>
      <c r="N1" s="23" t="s">
        <v>133</v>
      </c>
      <c r="O1" s="27" t="s">
        <v>135</v>
      </c>
      <c r="P1" s="27" t="s">
        <v>139</v>
      </c>
    </row>
    <row r="2" customFormat="false" ht="15" hidden="false" customHeight="false" outlineLevel="0" collapsed="false">
      <c r="A2" s="21"/>
      <c r="B2" s="22"/>
      <c r="C2" s="21"/>
      <c r="D2" s="22"/>
      <c r="E2" s="22"/>
      <c r="F2" s="28"/>
      <c r="G2" s="22"/>
      <c r="H2" s="21"/>
      <c r="I2" s="28"/>
      <c r="J2" s="22"/>
      <c r="K2" s="22"/>
      <c r="L2" s="22"/>
      <c r="M2" s="21"/>
      <c r="N2" s="22"/>
      <c r="O2" s="29" t="str">
        <f aca="false">IF(A2="","",IF(COUNTIF($A$2:$A$2001,A2)&gt;1,"GANDA","OK"))</f>
        <v/>
      </c>
      <c r="P2" s="29" t="str">
        <f aca="false">IF(A2="","",IF(C2="","KOSONG",IF(AND(LEN(C2)=16,ISNUMBER(--C2)),"OK","TIDAK VALID")))</f>
        <v/>
      </c>
    </row>
    <row r="3" customFormat="false" ht="15" hidden="false" customHeight="false" outlineLevel="0" collapsed="false">
      <c r="A3" s="21"/>
      <c r="B3" s="22"/>
      <c r="C3" s="21"/>
      <c r="D3" s="22"/>
      <c r="E3" s="22"/>
      <c r="F3" s="28"/>
      <c r="G3" s="22"/>
      <c r="H3" s="21"/>
      <c r="I3" s="28"/>
      <c r="J3" s="22"/>
      <c r="K3" s="22"/>
      <c r="L3" s="22"/>
      <c r="M3" s="21"/>
      <c r="N3" s="22"/>
      <c r="O3" s="29" t="str">
        <f aca="false">IF(A3="","",IF(COUNTIF($A$2:$A$2001,A3)&gt;1,"GANDA","OK"))</f>
        <v/>
      </c>
      <c r="P3" s="29" t="str">
        <f aca="false">IF(A3="","",IF(C3="","KOSONG",IF(AND(LEN(C3)=16,ISNUMBER(--C3)),"OK","TIDAK VALID")))</f>
        <v/>
      </c>
    </row>
    <row r="4" customFormat="false" ht="15" hidden="false" customHeight="false" outlineLevel="0" collapsed="false">
      <c r="A4" s="21"/>
      <c r="B4" s="22"/>
      <c r="C4" s="21"/>
      <c r="D4" s="22"/>
      <c r="E4" s="22"/>
      <c r="F4" s="28"/>
      <c r="G4" s="22"/>
      <c r="H4" s="21"/>
      <c r="I4" s="28"/>
      <c r="J4" s="22"/>
      <c r="K4" s="22"/>
      <c r="L4" s="22"/>
      <c r="M4" s="21"/>
      <c r="N4" s="22"/>
      <c r="O4" s="29" t="str">
        <f aca="false">IF(A4="","",IF(COUNTIF($A$2:$A$2001,A4)&gt;1,"GANDA","OK"))</f>
        <v/>
      </c>
      <c r="P4" s="29" t="str">
        <f aca="false">IF(A4="","",IF(C4="","KOSONG",IF(AND(LEN(C4)=16,ISNUMBER(--C4)),"OK","TIDAK VALID")))</f>
        <v/>
      </c>
    </row>
    <row r="5" customFormat="false" ht="15" hidden="false" customHeight="false" outlineLevel="0" collapsed="false">
      <c r="A5" s="21"/>
      <c r="B5" s="22"/>
      <c r="C5" s="21"/>
      <c r="D5" s="22"/>
      <c r="E5" s="22"/>
      <c r="F5" s="28"/>
      <c r="G5" s="22"/>
      <c r="H5" s="21"/>
      <c r="I5" s="28"/>
      <c r="J5" s="22"/>
      <c r="K5" s="22"/>
      <c r="L5" s="22"/>
      <c r="M5" s="21"/>
      <c r="N5" s="22"/>
      <c r="O5" s="29" t="str">
        <f aca="false">IF(A5="","",IF(COUNTIF($A$2:$A$2001,A5)&gt;1,"GANDA","OK"))</f>
        <v/>
      </c>
      <c r="P5" s="29" t="str">
        <f aca="false">IF(A5="","",IF(C5="","KOSONG",IF(AND(LEN(C5)=16,ISNUMBER(--C5)),"OK","TIDAK VALID")))</f>
        <v/>
      </c>
    </row>
    <row r="6" customFormat="false" ht="15" hidden="false" customHeight="false" outlineLevel="0" collapsed="false">
      <c r="A6" s="21"/>
      <c r="B6" s="22"/>
      <c r="C6" s="21"/>
      <c r="D6" s="22"/>
      <c r="E6" s="22"/>
      <c r="F6" s="28"/>
      <c r="G6" s="22"/>
      <c r="H6" s="21"/>
      <c r="I6" s="28"/>
      <c r="J6" s="22"/>
      <c r="K6" s="22"/>
      <c r="L6" s="22"/>
      <c r="M6" s="21"/>
      <c r="N6" s="22"/>
      <c r="O6" s="29" t="str">
        <f aca="false">IF(A6="","",IF(COUNTIF($A$2:$A$2001,A6)&gt;1,"GANDA","OK"))</f>
        <v/>
      </c>
      <c r="P6" s="29" t="str">
        <f aca="false">IF(A6="","",IF(C6="","KOSONG",IF(AND(LEN(C6)=16,ISNUMBER(--C6)),"OK","TIDAK VALID")))</f>
        <v/>
      </c>
    </row>
    <row r="7" customFormat="false" ht="15" hidden="false" customHeight="false" outlineLevel="0" collapsed="false">
      <c r="A7" s="21"/>
      <c r="B7" s="22"/>
      <c r="C7" s="21"/>
      <c r="D7" s="22"/>
      <c r="E7" s="22"/>
      <c r="F7" s="28"/>
      <c r="G7" s="22"/>
      <c r="H7" s="21"/>
      <c r="I7" s="28"/>
      <c r="J7" s="22"/>
      <c r="K7" s="22"/>
      <c r="L7" s="22"/>
      <c r="M7" s="21"/>
      <c r="N7" s="22"/>
      <c r="O7" s="29" t="str">
        <f aca="false">IF(A7="","",IF(COUNTIF($A$2:$A$2001,A7)&gt;1,"GANDA","OK"))</f>
        <v/>
      </c>
      <c r="P7" s="29" t="str">
        <f aca="false">IF(A7="","",IF(C7="","KOSONG",IF(AND(LEN(C7)=16,ISNUMBER(--C7)),"OK","TIDAK VALID")))</f>
        <v/>
      </c>
    </row>
    <row r="8" customFormat="false" ht="15" hidden="false" customHeight="false" outlineLevel="0" collapsed="false">
      <c r="A8" s="21"/>
      <c r="B8" s="22"/>
      <c r="C8" s="21"/>
      <c r="D8" s="22"/>
      <c r="E8" s="22"/>
      <c r="F8" s="28"/>
      <c r="G8" s="22"/>
      <c r="H8" s="21"/>
      <c r="I8" s="28"/>
      <c r="J8" s="22"/>
      <c r="K8" s="22"/>
      <c r="L8" s="22"/>
      <c r="M8" s="21"/>
      <c r="N8" s="22"/>
      <c r="O8" s="29" t="str">
        <f aca="false">IF(A8="","",IF(COUNTIF($A$2:$A$2001,A8)&gt;1,"GANDA","OK"))</f>
        <v/>
      </c>
      <c r="P8" s="29" t="str">
        <f aca="false">IF(A8="","",IF(C8="","KOSONG",IF(AND(LEN(C8)=16,ISNUMBER(--C8)),"OK","TIDAK VALID")))</f>
        <v/>
      </c>
    </row>
    <row r="9" customFormat="false" ht="15" hidden="false" customHeight="false" outlineLevel="0" collapsed="false">
      <c r="A9" s="21"/>
      <c r="B9" s="22"/>
      <c r="C9" s="21"/>
      <c r="D9" s="22"/>
      <c r="E9" s="22"/>
      <c r="F9" s="28"/>
      <c r="G9" s="22"/>
      <c r="H9" s="21"/>
      <c r="I9" s="28"/>
      <c r="J9" s="22"/>
      <c r="K9" s="22"/>
      <c r="L9" s="22"/>
      <c r="M9" s="21"/>
      <c r="N9" s="22"/>
      <c r="O9" s="29" t="str">
        <f aca="false">IF(A9="","",IF(COUNTIF($A$2:$A$2001,A9)&gt;1,"GANDA","OK"))</f>
        <v/>
      </c>
      <c r="P9" s="29" t="str">
        <f aca="false">IF(A9="","",IF(C9="","KOSONG",IF(AND(LEN(C9)=16,ISNUMBER(--C9)),"OK","TIDAK VALID")))</f>
        <v/>
      </c>
    </row>
    <row r="10" customFormat="false" ht="15" hidden="false" customHeight="false" outlineLevel="0" collapsed="false">
      <c r="A10" s="21"/>
      <c r="B10" s="22"/>
      <c r="C10" s="21"/>
      <c r="D10" s="22"/>
      <c r="E10" s="22"/>
      <c r="F10" s="28"/>
      <c r="G10" s="22"/>
      <c r="H10" s="21"/>
      <c r="I10" s="28"/>
      <c r="J10" s="22"/>
      <c r="K10" s="22"/>
      <c r="L10" s="22"/>
      <c r="M10" s="21"/>
      <c r="N10" s="22"/>
      <c r="O10" s="29" t="str">
        <f aca="false">IF(A10="","",IF(COUNTIF($A$2:$A$2001,A10)&gt;1,"GANDA","OK"))</f>
        <v/>
      </c>
      <c r="P10" s="29" t="str">
        <f aca="false">IF(A10="","",IF(C10="","KOSONG",IF(AND(LEN(C10)=16,ISNUMBER(--C10)),"OK","TIDAK VALID")))</f>
        <v/>
      </c>
    </row>
    <row r="11" customFormat="false" ht="15" hidden="false" customHeight="false" outlineLevel="0" collapsed="false">
      <c r="A11" s="21"/>
      <c r="B11" s="22"/>
      <c r="C11" s="21"/>
      <c r="D11" s="22"/>
      <c r="E11" s="22"/>
      <c r="F11" s="28"/>
      <c r="G11" s="22"/>
      <c r="H11" s="21"/>
      <c r="I11" s="28"/>
      <c r="J11" s="22"/>
      <c r="K11" s="22"/>
      <c r="L11" s="22"/>
      <c r="M11" s="21"/>
      <c r="N11" s="22"/>
      <c r="O11" s="29" t="str">
        <f aca="false">IF(A11="","",IF(COUNTIF($A$2:$A$2001,A11)&gt;1,"GANDA","OK"))</f>
        <v/>
      </c>
      <c r="P11" s="29" t="str">
        <f aca="false">IF(A11="","",IF(C11="","KOSONG",IF(AND(LEN(C11)=16,ISNUMBER(--C11)),"OK","TIDAK VALID")))</f>
        <v/>
      </c>
    </row>
    <row r="12" customFormat="false" ht="15" hidden="false" customHeight="false" outlineLevel="0" collapsed="false">
      <c r="A12" s="21"/>
      <c r="B12" s="22"/>
      <c r="C12" s="21"/>
      <c r="D12" s="22"/>
      <c r="E12" s="22"/>
      <c r="F12" s="28"/>
      <c r="G12" s="22"/>
      <c r="H12" s="21"/>
      <c r="I12" s="28"/>
      <c r="J12" s="22"/>
      <c r="K12" s="22"/>
      <c r="L12" s="22"/>
      <c r="M12" s="21"/>
      <c r="N12" s="22"/>
      <c r="O12" s="29" t="str">
        <f aca="false">IF(A12="","",IF(COUNTIF($A$2:$A$2001,A12)&gt;1,"GANDA","OK"))</f>
        <v/>
      </c>
      <c r="P12" s="29" t="str">
        <f aca="false">IF(A12="","",IF(C12="","KOSONG",IF(AND(LEN(C12)=16,ISNUMBER(--C12)),"OK","TIDAK VALID")))</f>
        <v/>
      </c>
    </row>
    <row r="13" customFormat="false" ht="15" hidden="false" customHeight="false" outlineLevel="0" collapsed="false">
      <c r="A13" s="21"/>
      <c r="B13" s="22"/>
      <c r="C13" s="21"/>
      <c r="D13" s="22"/>
      <c r="E13" s="22"/>
      <c r="F13" s="28"/>
      <c r="G13" s="22"/>
      <c r="H13" s="21"/>
      <c r="I13" s="28"/>
      <c r="J13" s="22"/>
      <c r="K13" s="22"/>
      <c r="L13" s="22"/>
      <c r="M13" s="21"/>
      <c r="N13" s="22"/>
      <c r="O13" s="29" t="str">
        <f aca="false">IF(A13="","",IF(COUNTIF($A$2:$A$2001,A13)&gt;1,"GANDA","OK"))</f>
        <v/>
      </c>
      <c r="P13" s="29" t="str">
        <f aca="false">IF(A13="","",IF(C13="","KOSONG",IF(AND(LEN(C13)=16,ISNUMBER(--C13)),"OK","TIDAK VALID")))</f>
        <v/>
      </c>
    </row>
    <row r="14" customFormat="false" ht="15" hidden="false" customHeight="false" outlineLevel="0" collapsed="false">
      <c r="A14" s="21"/>
      <c r="B14" s="22"/>
      <c r="C14" s="21"/>
      <c r="D14" s="22"/>
      <c r="E14" s="22"/>
      <c r="F14" s="28"/>
      <c r="G14" s="22"/>
      <c r="H14" s="21"/>
      <c r="I14" s="28"/>
      <c r="J14" s="22"/>
      <c r="K14" s="22"/>
      <c r="L14" s="22"/>
      <c r="M14" s="21"/>
      <c r="N14" s="22"/>
      <c r="O14" s="29" t="str">
        <f aca="false">IF(A14="","",IF(COUNTIF($A$2:$A$2001,A14)&gt;1,"GANDA","OK"))</f>
        <v/>
      </c>
      <c r="P14" s="29" t="str">
        <f aca="false">IF(A14="","",IF(C14="","KOSONG",IF(AND(LEN(C14)=16,ISNUMBER(--C14)),"OK","TIDAK VALID")))</f>
        <v/>
      </c>
    </row>
    <row r="15" customFormat="false" ht="15" hidden="false" customHeight="false" outlineLevel="0" collapsed="false">
      <c r="A15" s="21"/>
      <c r="B15" s="22"/>
      <c r="C15" s="21"/>
      <c r="D15" s="22"/>
      <c r="E15" s="22"/>
      <c r="F15" s="28"/>
      <c r="G15" s="22"/>
      <c r="H15" s="21"/>
      <c r="I15" s="28"/>
      <c r="J15" s="22"/>
      <c r="K15" s="22"/>
      <c r="L15" s="22"/>
      <c r="M15" s="21"/>
      <c r="N15" s="22"/>
      <c r="O15" s="29" t="str">
        <f aca="false">IF(A15="","",IF(COUNTIF($A$2:$A$2001,A15)&gt;1,"GANDA","OK"))</f>
        <v/>
      </c>
      <c r="P15" s="29" t="str">
        <f aca="false">IF(A15="","",IF(C15="","KOSONG",IF(AND(LEN(C15)=16,ISNUMBER(--C15)),"OK","TIDAK VALID")))</f>
        <v/>
      </c>
    </row>
    <row r="16" customFormat="false" ht="15" hidden="false" customHeight="false" outlineLevel="0" collapsed="false">
      <c r="A16" s="21"/>
      <c r="B16" s="22"/>
      <c r="C16" s="21"/>
      <c r="D16" s="22"/>
      <c r="E16" s="22"/>
      <c r="F16" s="28"/>
      <c r="G16" s="22"/>
      <c r="H16" s="21"/>
      <c r="I16" s="28"/>
      <c r="J16" s="22"/>
      <c r="K16" s="22"/>
      <c r="L16" s="22"/>
      <c r="M16" s="21"/>
      <c r="N16" s="22"/>
      <c r="O16" s="29" t="str">
        <f aca="false">IF(A16="","",IF(COUNTIF($A$2:$A$2001,A16)&gt;1,"GANDA","OK"))</f>
        <v/>
      </c>
      <c r="P16" s="29" t="str">
        <f aca="false">IF(A16="","",IF(C16="","KOSONG",IF(AND(LEN(C16)=16,ISNUMBER(--C16)),"OK","TIDAK VALID")))</f>
        <v/>
      </c>
    </row>
    <row r="17" customFormat="false" ht="15" hidden="false" customHeight="false" outlineLevel="0" collapsed="false">
      <c r="A17" s="21"/>
      <c r="B17" s="22"/>
      <c r="C17" s="21"/>
      <c r="D17" s="22"/>
      <c r="E17" s="22"/>
      <c r="F17" s="28"/>
      <c r="G17" s="22"/>
      <c r="H17" s="21"/>
      <c r="I17" s="28"/>
      <c r="J17" s="22"/>
      <c r="K17" s="22"/>
      <c r="L17" s="22"/>
      <c r="M17" s="21"/>
      <c r="N17" s="22"/>
      <c r="O17" s="29" t="str">
        <f aca="false">IF(A17="","",IF(COUNTIF($A$2:$A$2001,A17)&gt;1,"GANDA","OK"))</f>
        <v/>
      </c>
      <c r="P17" s="29" t="str">
        <f aca="false">IF(A17="","",IF(C17="","KOSONG",IF(AND(LEN(C17)=16,ISNUMBER(--C17)),"OK","TIDAK VALID")))</f>
        <v/>
      </c>
    </row>
    <row r="18" customFormat="false" ht="15" hidden="false" customHeight="false" outlineLevel="0" collapsed="false">
      <c r="A18" s="21"/>
      <c r="B18" s="22"/>
      <c r="C18" s="21"/>
      <c r="D18" s="22"/>
      <c r="E18" s="22"/>
      <c r="F18" s="28"/>
      <c r="G18" s="22"/>
      <c r="H18" s="21"/>
      <c r="I18" s="28"/>
      <c r="J18" s="22"/>
      <c r="K18" s="22"/>
      <c r="L18" s="22"/>
      <c r="M18" s="21"/>
      <c r="N18" s="22"/>
      <c r="O18" s="29" t="str">
        <f aca="false">IF(A18="","",IF(COUNTIF($A$2:$A$2001,A18)&gt;1,"GANDA","OK"))</f>
        <v/>
      </c>
      <c r="P18" s="29" t="str">
        <f aca="false">IF(A18="","",IF(C18="","KOSONG",IF(AND(LEN(C18)=16,ISNUMBER(--C18)),"OK","TIDAK VALID")))</f>
        <v/>
      </c>
    </row>
    <row r="19" customFormat="false" ht="15" hidden="false" customHeight="false" outlineLevel="0" collapsed="false">
      <c r="A19" s="21"/>
      <c r="B19" s="22"/>
      <c r="C19" s="21"/>
      <c r="D19" s="22"/>
      <c r="E19" s="22"/>
      <c r="F19" s="28"/>
      <c r="G19" s="22"/>
      <c r="H19" s="21"/>
      <c r="I19" s="28"/>
      <c r="J19" s="22"/>
      <c r="K19" s="22"/>
      <c r="L19" s="22"/>
      <c r="M19" s="21"/>
      <c r="N19" s="22"/>
      <c r="O19" s="29" t="str">
        <f aca="false">IF(A19="","",IF(COUNTIF($A$2:$A$2001,A19)&gt;1,"GANDA","OK"))</f>
        <v/>
      </c>
      <c r="P19" s="29" t="str">
        <f aca="false">IF(A19="","",IF(C19="","KOSONG",IF(AND(LEN(C19)=16,ISNUMBER(--C19)),"OK","TIDAK VALID")))</f>
        <v/>
      </c>
    </row>
    <row r="20" customFormat="false" ht="15" hidden="false" customHeight="false" outlineLevel="0" collapsed="false">
      <c r="A20" s="21"/>
      <c r="B20" s="22"/>
      <c r="C20" s="21"/>
      <c r="D20" s="22"/>
      <c r="E20" s="22"/>
      <c r="F20" s="28"/>
      <c r="G20" s="22"/>
      <c r="H20" s="21"/>
      <c r="I20" s="28"/>
      <c r="J20" s="22"/>
      <c r="K20" s="22"/>
      <c r="L20" s="22"/>
      <c r="M20" s="21"/>
      <c r="N20" s="22"/>
      <c r="O20" s="29" t="str">
        <f aca="false">IF(A20="","",IF(COUNTIF($A$2:$A$2001,A20)&gt;1,"GANDA","OK"))</f>
        <v/>
      </c>
      <c r="P20" s="29" t="str">
        <f aca="false">IF(A20="","",IF(C20="","KOSONG",IF(AND(LEN(C20)=16,ISNUMBER(--C20)),"OK","TIDAK VALID")))</f>
        <v/>
      </c>
    </row>
    <row r="21" customFormat="false" ht="15" hidden="false" customHeight="false" outlineLevel="0" collapsed="false">
      <c r="A21" s="21"/>
      <c r="B21" s="22"/>
      <c r="C21" s="21"/>
      <c r="D21" s="22"/>
      <c r="E21" s="22"/>
      <c r="F21" s="28"/>
      <c r="G21" s="22"/>
      <c r="H21" s="21"/>
      <c r="I21" s="28"/>
      <c r="J21" s="22"/>
      <c r="K21" s="22"/>
      <c r="L21" s="22"/>
      <c r="M21" s="21"/>
      <c r="N21" s="22"/>
      <c r="O21" s="29" t="str">
        <f aca="false">IF(A21="","",IF(COUNTIF($A$2:$A$2001,A21)&gt;1,"GANDA","OK"))</f>
        <v/>
      </c>
      <c r="P21" s="29" t="str">
        <f aca="false">IF(A21="","",IF(C21="","KOSONG",IF(AND(LEN(C21)=16,ISNUMBER(--C21)),"OK","TIDAK VALID")))</f>
        <v/>
      </c>
    </row>
    <row r="22" customFormat="false" ht="15" hidden="false" customHeight="false" outlineLevel="0" collapsed="false">
      <c r="A22" s="21"/>
      <c r="B22" s="22"/>
      <c r="C22" s="21"/>
      <c r="D22" s="22"/>
      <c r="E22" s="22"/>
      <c r="F22" s="28"/>
      <c r="G22" s="22"/>
      <c r="H22" s="21"/>
      <c r="I22" s="28"/>
      <c r="J22" s="22"/>
      <c r="K22" s="22"/>
      <c r="L22" s="22"/>
      <c r="M22" s="21"/>
      <c r="N22" s="22"/>
      <c r="O22" s="29" t="str">
        <f aca="false">IF(A22="","",IF(COUNTIF($A$2:$A$2001,A22)&gt;1,"GANDA","OK"))</f>
        <v/>
      </c>
      <c r="P22" s="29" t="str">
        <f aca="false">IF(A22="","",IF(C22="","KOSONG",IF(AND(LEN(C22)=16,ISNUMBER(--C22)),"OK","TIDAK VALID")))</f>
        <v/>
      </c>
    </row>
    <row r="23" customFormat="false" ht="15" hidden="false" customHeight="false" outlineLevel="0" collapsed="false">
      <c r="A23" s="21"/>
      <c r="B23" s="22"/>
      <c r="C23" s="21"/>
      <c r="D23" s="22"/>
      <c r="E23" s="22"/>
      <c r="F23" s="28"/>
      <c r="G23" s="22"/>
      <c r="H23" s="21"/>
      <c r="I23" s="28"/>
      <c r="J23" s="22"/>
      <c r="K23" s="22"/>
      <c r="L23" s="22"/>
      <c r="M23" s="21"/>
      <c r="N23" s="22"/>
      <c r="O23" s="29" t="str">
        <f aca="false">IF(A23="","",IF(COUNTIF($A$2:$A$2001,A23)&gt;1,"GANDA","OK"))</f>
        <v/>
      </c>
      <c r="P23" s="29" t="str">
        <f aca="false">IF(A23="","",IF(C23="","KOSONG",IF(AND(LEN(C23)=16,ISNUMBER(--C23)),"OK","TIDAK VALID")))</f>
        <v/>
      </c>
    </row>
    <row r="24" customFormat="false" ht="15" hidden="false" customHeight="false" outlineLevel="0" collapsed="false">
      <c r="A24" s="21"/>
      <c r="B24" s="22"/>
      <c r="C24" s="21"/>
      <c r="D24" s="22"/>
      <c r="E24" s="22"/>
      <c r="F24" s="28"/>
      <c r="G24" s="22"/>
      <c r="H24" s="21"/>
      <c r="I24" s="28"/>
      <c r="J24" s="22"/>
      <c r="K24" s="22"/>
      <c r="L24" s="22"/>
      <c r="M24" s="21"/>
      <c r="N24" s="22"/>
      <c r="O24" s="29" t="str">
        <f aca="false">IF(A24="","",IF(COUNTIF($A$2:$A$2001,A24)&gt;1,"GANDA","OK"))</f>
        <v/>
      </c>
      <c r="P24" s="29" t="str">
        <f aca="false">IF(A24="","",IF(C24="","KOSONG",IF(AND(LEN(C24)=16,ISNUMBER(--C24)),"OK","TIDAK VALID")))</f>
        <v/>
      </c>
    </row>
    <row r="25" customFormat="false" ht="15" hidden="false" customHeight="false" outlineLevel="0" collapsed="false">
      <c r="A25" s="21"/>
      <c r="B25" s="22"/>
      <c r="C25" s="21"/>
      <c r="D25" s="22"/>
      <c r="E25" s="22"/>
      <c r="F25" s="28"/>
      <c r="G25" s="22"/>
      <c r="H25" s="21"/>
      <c r="I25" s="28"/>
      <c r="J25" s="22"/>
      <c r="K25" s="22"/>
      <c r="L25" s="22"/>
      <c r="M25" s="21"/>
      <c r="N25" s="22"/>
      <c r="O25" s="29" t="str">
        <f aca="false">IF(A25="","",IF(COUNTIF($A$2:$A$2001,A25)&gt;1,"GANDA","OK"))</f>
        <v/>
      </c>
      <c r="P25" s="29" t="str">
        <f aca="false">IF(A25="","",IF(C25="","KOSONG",IF(AND(LEN(C25)=16,ISNUMBER(--C25)),"OK","TIDAK VALID")))</f>
        <v/>
      </c>
    </row>
    <row r="26" customFormat="false" ht="15" hidden="false" customHeight="false" outlineLevel="0" collapsed="false">
      <c r="A26" s="21"/>
      <c r="B26" s="22"/>
      <c r="C26" s="21"/>
      <c r="D26" s="22"/>
      <c r="E26" s="22"/>
      <c r="F26" s="28"/>
      <c r="G26" s="22"/>
      <c r="H26" s="21"/>
      <c r="I26" s="28"/>
      <c r="J26" s="22"/>
      <c r="K26" s="22"/>
      <c r="L26" s="22"/>
      <c r="M26" s="21"/>
      <c r="N26" s="22"/>
      <c r="O26" s="29" t="str">
        <f aca="false">IF(A26="","",IF(COUNTIF($A$2:$A$2001,A26)&gt;1,"GANDA","OK"))</f>
        <v/>
      </c>
      <c r="P26" s="29" t="str">
        <f aca="false">IF(A26="","",IF(C26="","KOSONG",IF(AND(LEN(C26)=16,ISNUMBER(--C26)),"OK","TIDAK VALID")))</f>
        <v/>
      </c>
    </row>
    <row r="27" customFormat="false" ht="15" hidden="false" customHeight="false" outlineLevel="0" collapsed="false">
      <c r="A27" s="21"/>
      <c r="B27" s="22"/>
      <c r="C27" s="21"/>
      <c r="D27" s="22"/>
      <c r="E27" s="22"/>
      <c r="F27" s="28"/>
      <c r="G27" s="22"/>
      <c r="H27" s="21"/>
      <c r="I27" s="28"/>
      <c r="J27" s="22"/>
      <c r="K27" s="22"/>
      <c r="L27" s="22"/>
      <c r="M27" s="21"/>
      <c r="N27" s="22"/>
      <c r="O27" s="29" t="str">
        <f aca="false">IF(A27="","",IF(COUNTIF($A$2:$A$2001,A27)&gt;1,"GANDA","OK"))</f>
        <v/>
      </c>
      <c r="P27" s="29" t="str">
        <f aca="false">IF(A27="","",IF(C27="","KOSONG",IF(AND(LEN(C27)=16,ISNUMBER(--C27)),"OK","TIDAK VALID")))</f>
        <v/>
      </c>
    </row>
    <row r="28" customFormat="false" ht="15" hidden="false" customHeight="false" outlineLevel="0" collapsed="false">
      <c r="A28" s="21"/>
      <c r="B28" s="22"/>
      <c r="C28" s="21"/>
      <c r="D28" s="22"/>
      <c r="E28" s="22"/>
      <c r="F28" s="28"/>
      <c r="G28" s="22"/>
      <c r="H28" s="21"/>
      <c r="I28" s="28"/>
      <c r="J28" s="22"/>
      <c r="K28" s="22"/>
      <c r="L28" s="22"/>
      <c r="M28" s="21"/>
      <c r="N28" s="22"/>
      <c r="O28" s="29" t="str">
        <f aca="false">IF(A28="","",IF(COUNTIF($A$2:$A$2001,A28)&gt;1,"GANDA","OK"))</f>
        <v/>
      </c>
      <c r="P28" s="29" t="str">
        <f aca="false">IF(A28="","",IF(C28="","KOSONG",IF(AND(LEN(C28)=16,ISNUMBER(--C28)),"OK","TIDAK VALID")))</f>
        <v/>
      </c>
    </row>
    <row r="29" customFormat="false" ht="15" hidden="false" customHeight="false" outlineLevel="0" collapsed="false">
      <c r="A29" s="21"/>
      <c r="B29" s="22"/>
      <c r="C29" s="21"/>
      <c r="D29" s="22"/>
      <c r="E29" s="22"/>
      <c r="F29" s="28"/>
      <c r="G29" s="22"/>
      <c r="H29" s="21"/>
      <c r="I29" s="28"/>
      <c r="J29" s="22"/>
      <c r="K29" s="22"/>
      <c r="L29" s="22"/>
      <c r="M29" s="21"/>
      <c r="N29" s="22"/>
      <c r="O29" s="29" t="str">
        <f aca="false">IF(A29="","",IF(COUNTIF($A$2:$A$2001,A29)&gt;1,"GANDA","OK"))</f>
        <v/>
      </c>
      <c r="P29" s="29" t="str">
        <f aca="false">IF(A29="","",IF(C29="","KOSONG",IF(AND(LEN(C29)=16,ISNUMBER(--C29)),"OK","TIDAK VALID")))</f>
        <v/>
      </c>
    </row>
    <row r="30" customFormat="false" ht="15" hidden="false" customHeight="false" outlineLevel="0" collapsed="false">
      <c r="A30" s="21"/>
      <c r="B30" s="22"/>
      <c r="C30" s="21"/>
      <c r="D30" s="22"/>
      <c r="E30" s="22"/>
      <c r="F30" s="28"/>
      <c r="G30" s="22"/>
      <c r="H30" s="21"/>
      <c r="I30" s="28"/>
      <c r="J30" s="22"/>
      <c r="K30" s="22"/>
      <c r="L30" s="22"/>
      <c r="M30" s="21"/>
      <c r="N30" s="22"/>
      <c r="O30" s="29" t="str">
        <f aca="false">IF(A30="","",IF(COUNTIF($A$2:$A$2001,A30)&gt;1,"GANDA","OK"))</f>
        <v/>
      </c>
      <c r="P30" s="29" t="str">
        <f aca="false">IF(A30="","",IF(C30="","KOSONG",IF(AND(LEN(C30)=16,ISNUMBER(--C30)),"OK","TIDAK VALID")))</f>
        <v/>
      </c>
    </row>
    <row r="31" customFormat="false" ht="15" hidden="false" customHeight="false" outlineLevel="0" collapsed="false">
      <c r="A31" s="21"/>
      <c r="B31" s="22"/>
      <c r="C31" s="21"/>
      <c r="D31" s="22"/>
      <c r="E31" s="22"/>
      <c r="F31" s="28"/>
      <c r="G31" s="22"/>
      <c r="H31" s="21"/>
      <c r="I31" s="28"/>
      <c r="J31" s="22"/>
      <c r="K31" s="22"/>
      <c r="L31" s="22"/>
      <c r="M31" s="21"/>
      <c r="N31" s="22"/>
      <c r="O31" s="29" t="str">
        <f aca="false">IF(A31="","",IF(COUNTIF($A$2:$A$2001,A31)&gt;1,"GANDA","OK"))</f>
        <v/>
      </c>
      <c r="P31" s="29" t="str">
        <f aca="false">IF(A31="","",IF(C31="","KOSONG",IF(AND(LEN(C31)=16,ISNUMBER(--C31)),"OK","TIDAK VALID")))</f>
        <v/>
      </c>
    </row>
    <row r="32" customFormat="false" ht="15" hidden="false" customHeight="false" outlineLevel="0" collapsed="false">
      <c r="A32" s="21"/>
      <c r="B32" s="22"/>
      <c r="C32" s="21"/>
      <c r="D32" s="22"/>
      <c r="E32" s="22"/>
      <c r="F32" s="28"/>
      <c r="G32" s="22"/>
      <c r="H32" s="21"/>
      <c r="I32" s="28"/>
      <c r="J32" s="22"/>
      <c r="K32" s="22"/>
      <c r="L32" s="22"/>
      <c r="M32" s="21"/>
      <c r="N32" s="22"/>
      <c r="O32" s="29" t="str">
        <f aca="false">IF(A32="","",IF(COUNTIF($A$2:$A$2001,A32)&gt;1,"GANDA","OK"))</f>
        <v/>
      </c>
      <c r="P32" s="29" t="str">
        <f aca="false">IF(A32="","",IF(C32="","KOSONG",IF(AND(LEN(C32)=16,ISNUMBER(--C32)),"OK","TIDAK VALID")))</f>
        <v/>
      </c>
    </row>
    <row r="33" customFormat="false" ht="15" hidden="false" customHeight="false" outlineLevel="0" collapsed="false">
      <c r="A33" s="21"/>
      <c r="B33" s="22"/>
      <c r="C33" s="21"/>
      <c r="D33" s="22"/>
      <c r="E33" s="22"/>
      <c r="F33" s="28"/>
      <c r="G33" s="22"/>
      <c r="H33" s="21"/>
      <c r="I33" s="28"/>
      <c r="J33" s="22"/>
      <c r="K33" s="22"/>
      <c r="L33" s="22"/>
      <c r="M33" s="21"/>
      <c r="N33" s="22"/>
      <c r="O33" s="29" t="str">
        <f aca="false">IF(A33="","",IF(COUNTIF($A$2:$A$2001,A33)&gt;1,"GANDA","OK"))</f>
        <v/>
      </c>
      <c r="P33" s="29" t="str">
        <f aca="false">IF(A33="","",IF(C33="","KOSONG",IF(AND(LEN(C33)=16,ISNUMBER(--C33)),"OK","TIDAK VALID")))</f>
        <v/>
      </c>
    </row>
    <row r="34" customFormat="false" ht="15" hidden="false" customHeight="false" outlineLevel="0" collapsed="false">
      <c r="A34" s="21"/>
      <c r="B34" s="22"/>
      <c r="C34" s="21"/>
      <c r="D34" s="22"/>
      <c r="E34" s="22"/>
      <c r="F34" s="28"/>
      <c r="G34" s="22"/>
      <c r="H34" s="21"/>
      <c r="I34" s="28"/>
      <c r="J34" s="22"/>
      <c r="K34" s="22"/>
      <c r="L34" s="22"/>
      <c r="M34" s="21"/>
      <c r="N34" s="22"/>
      <c r="O34" s="29" t="str">
        <f aca="false">IF(A34="","",IF(COUNTIF($A$2:$A$2001,A34)&gt;1,"GANDA","OK"))</f>
        <v/>
      </c>
      <c r="P34" s="29" t="str">
        <f aca="false">IF(A34="","",IF(C34="","KOSONG",IF(AND(LEN(C34)=16,ISNUMBER(--C34)),"OK","TIDAK VALID")))</f>
        <v/>
      </c>
    </row>
    <row r="35" customFormat="false" ht="15" hidden="false" customHeight="false" outlineLevel="0" collapsed="false">
      <c r="A35" s="21"/>
      <c r="B35" s="22"/>
      <c r="C35" s="21"/>
      <c r="D35" s="22"/>
      <c r="E35" s="22"/>
      <c r="F35" s="28"/>
      <c r="G35" s="22"/>
      <c r="H35" s="21"/>
      <c r="I35" s="28"/>
      <c r="J35" s="22"/>
      <c r="K35" s="22"/>
      <c r="L35" s="22"/>
      <c r="M35" s="21"/>
      <c r="N35" s="22"/>
      <c r="O35" s="29" t="str">
        <f aca="false">IF(A35="","",IF(COUNTIF($A$2:$A$2001,A35)&gt;1,"GANDA","OK"))</f>
        <v/>
      </c>
      <c r="P35" s="29" t="str">
        <f aca="false">IF(A35="","",IF(C35="","KOSONG",IF(AND(LEN(C35)=16,ISNUMBER(--C35)),"OK","TIDAK VALID")))</f>
        <v/>
      </c>
    </row>
    <row r="36" customFormat="false" ht="15" hidden="false" customHeight="false" outlineLevel="0" collapsed="false">
      <c r="A36" s="21"/>
      <c r="B36" s="22"/>
      <c r="C36" s="21"/>
      <c r="D36" s="22"/>
      <c r="E36" s="22"/>
      <c r="F36" s="28"/>
      <c r="G36" s="22"/>
      <c r="H36" s="21"/>
      <c r="I36" s="28"/>
      <c r="J36" s="22"/>
      <c r="K36" s="22"/>
      <c r="L36" s="22"/>
      <c r="M36" s="21"/>
      <c r="N36" s="22"/>
      <c r="O36" s="29" t="str">
        <f aca="false">IF(A36="","",IF(COUNTIF($A$2:$A$2001,A36)&gt;1,"GANDA","OK"))</f>
        <v/>
      </c>
      <c r="P36" s="29" t="str">
        <f aca="false">IF(A36="","",IF(C36="","KOSONG",IF(AND(LEN(C36)=16,ISNUMBER(--C36)),"OK","TIDAK VALID")))</f>
        <v/>
      </c>
    </row>
    <row r="37" customFormat="false" ht="15" hidden="false" customHeight="false" outlineLevel="0" collapsed="false">
      <c r="A37" s="21"/>
      <c r="B37" s="22"/>
      <c r="C37" s="21"/>
      <c r="D37" s="22"/>
      <c r="E37" s="22"/>
      <c r="F37" s="28"/>
      <c r="G37" s="22"/>
      <c r="H37" s="21"/>
      <c r="I37" s="28"/>
      <c r="J37" s="22"/>
      <c r="K37" s="22"/>
      <c r="L37" s="22"/>
      <c r="M37" s="21"/>
      <c r="N37" s="22"/>
      <c r="O37" s="29" t="str">
        <f aca="false">IF(A37="","",IF(COUNTIF($A$2:$A$2001,A37)&gt;1,"GANDA","OK"))</f>
        <v/>
      </c>
      <c r="P37" s="29" t="str">
        <f aca="false">IF(A37="","",IF(C37="","KOSONG",IF(AND(LEN(C37)=16,ISNUMBER(--C37)),"OK","TIDAK VALID")))</f>
        <v/>
      </c>
    </row>
    <row r="38" customFormat="false" ht="15" hidden="false" customHeight="false" outlineLevel="0" collapsed="false">
      <c r="A38" s="21"/>
      <c r="B38" s="22"/>
      <c r="C38" s="21"/>
      <c r="D38" s="22"/>
      <c r="E38" s="22"/>
      <c r="F38" s="28"/>
      <c r="G38" s="22"/>
      <c r="H38" s="21"/>
      <c r="I38" s="28"/>
      <c r="J38" s="22"/>
      <c r="K38" s="22"/>
      <c r="L38" s="22"/>
      <c r="M38" s="21"/>
      <c r="N38" s="22"/>
      <c r="O38" s="29" t="str">
        <f aca="false">IF(A38="","",IF(COUNTIF($A$2:$A$2001,A38)&gt;1,"GANDA","OK"))</f>
        <v/>
      </c>
      <c r="P38" s="29" t="str">
        <f aca="false">IF(A38="","",IF(C38="","KOSONG",IF(AND(LEN(C38)=16,ISNUMBER(--C38)),"OK","TIDAK VALID")))</f>
        <v/>
      </c>
    </row>
    <row r="39" customFormat="false" ht="15" hidden="false" customHeight="false" outlineLevel="0" collapsed="false">
      <c r="A39" s="21"/>
      <c r="B39" s="22"/>
      <c r="C39" s="21"/>
      <c r="D39" s="22"/>
      <c r="E39" s="22"/>
      <c r="F39" s="28"/>
      <c r="G39" s="22"/>
      <c r="H39" s="21"/>
      <c r="I39" s="28"/>
      <c r="J39" s="22"/>
      <c r="K39" s="22"/>
      <c r="L39" s="22"/>
      <c r="M39" s="21"/>
      <c r="N39" s="22"/>
      <c r="O39" s="29" t="str">
        <f aca="false">IF(A39="","",IF(COUNTIF($A$2:$A$2001,A39)&gt;1,"GANDA","OK"))</f>
        <v/>
      </c>
      <c r="P39" s="29" t="str">
        <f aca="false">IF(A39="","",IF(C39="","KOSONG",IF(AND(LEN(C39)=16,ISNUMBER(--C39)),"OK","TIDAK VALID")))</f>
        <v/>
      </c>
    </row>
    <row r="40" customFormat="false" ht="15" hidden="false" customHeight="false" outlineLevel="0" collapsed="false">
      <c r="A40" s="21"/>
      <c r="B40" s="22"/>
      <c r="C40" s="21"/>
      <c r="D40" s="22"/>
      <c r="E40" s="22"/>
      <c r="F40" s="28"/>
      <c r="G40" s="22"/>
      <c r="H40" s="21"/>
      <c r="I40" s="28"/>
      <c r="J40" s="22"/>
      <c r="K40" s="22"/>
      <c r="L40" s="22"/>
      <c r="M40" s="21"/>
      <c r="N40" s="22"/>
      <c r="O40" s="29" t="str">
        <f aca="false">IF(A40="","",IF(COUNTIF($A$2:$A$2001,A40)&gt;1,"GANDA","OK"))</f>
        <v/>
      </c>
      <c r="P40" s="29" t="str">
        <f aca="false">IF(A40="","",IF(C40="","KOSONG",IF(AND(LEN(C40)=16,ISNUMBER(--C40)),"OK","TIDAK VALID")))</f>
        <v/>
      </c>
    </row>
    <row r="41" customFormat="false" ht="15" hidden="false" customHeight="false" outlineLevel="0" collapsed="false">
      <c r="A41" s="21"/>
      <c r="B41" s="22"/>
      <c r="C41" s="21"/>
      <c r="D41" s="22"/>
      <c r="E41" s="22"/>
      <c r="F41" s="28"/>
      <c r="G41" s="22"/>
      <c r="H41" s="21"/>
      <c r="I41" s="28"/>
      <c r="J41" s="22"/>
      <c r="K41" s="22"/>
      <c r="L41" s="22"/>
      <c r="M41" s="21"/>
      <c r="N41" s="22"/>
      <c r="O41" s="29" t="str">
        <f aca="false">IF(A41="","",IF(COUNTIF($A$2:$A$2001,A41)&gt;1,"GANDA","OK"))</f>
        <v/>
      </c>
      <c r="P41" s="29" t="str">
        <f aca="false">IF(A41="","",IF(C41="","KOSONG",IF(AND(LEN(C41)=16,ISNUMBER(--C41)),"OK","TIDAK VALID")))</f>
        <v/>
      </c>
    </row>
    <row r="42" customFormat="false" ht="15" hidden="false" customHeight="false" outlineLevel="0" collapsed="false">
      <c r="A42" s="21"/>
      <c r="B42" s="22"/>
      <c r="C42" s="21"/>
      <c r="D42" s="22"/>
      <c r="E42" s="22"/>
      <c r="F42" s="28"/>
      <c r="G42" s="22"/>
      <c r="H42" s="21"/>
      <c r="I42" s="28"/>
      <c r="J42" s="22"/>
      <c r="K42" s="22"/>
      <c r="L42" s="22"/>
      <c r="M42" s="21"/>
      <c r="N42" s="22"/>
      <c r="O42" s="29" t="str">
        <f aca="false">IF(A42="","",IF(COUNTIF($A$2:$A$2001,A42)&gt;1,"GANDA","OK"))</f>
        <v/>
      </c>
      <c r="P42" s="29" t="str">
        <f aca="false">IF(A42="","",IF(C42="","KOSONG",IF(AND(LEN(C42)=16,ISNUMBER(--C42)),"OK","TIDAK VALID")))</f>
        <v/>
      </c>
    </row>
    <row r="43" customFormat="false" ht="15" hidden="false" customHeight="false" outlineLevel="0" collapsed="false">
      <c r="A43" s="21"/>
      <c r="B43" s="22"/>
      <c r="C43" s="21"/>
      <c r="D43" s="22"/>
      <c r="E43" s="22"/>
      <c r="F43" s="28"/>
      <c r="G43" s="22"/>
      <c r="H43" s="21"/>
      <c r="I43" s="28"/>
      <c r="J43" s="22"/>
      <c r="K43" s="22"/>
      <c r="L43" s="22"/>
      <c r="M43" s="21"/>
      <c r="N43" s="22"/>
      <c r="O43" s="29" t="str">
        <f aca="false">IF(A43="","",IF(COUNTIF($A$2:$A$2001,A43)&gt;1,"GANDA","OK"))</f>
        <v/>
      </c>
      <c r="P43" s="29" t="str">
        <f aca="false">IF(A43="","",IF(C43="","KOSONG",IF(AND(LEN(C43)=16,ISNUMBER(--C43)),"OK","TIDAK VALID")))</f>
        <v/>
      </c>
    </row>
    <row r="44" customFormat="false" ht="15" hidden="false" customHeight="false" outlineLevel="0" collapsed="false">
      <c r="A44" s="21"/>
      <c r="B44" s="22"/>
      <c r="C44" s="21"/>
      <c r="D44" s="22"/>
      <c r="E44" s="22"/>
      <c r="F44" s="28"/>
      <c r="G44" s="22"/>
      <c r="H44" s="21"/>
      <c r="I44" s="28"/>
      <c r="J44" s="22"/>
      <c r="K44" s="22"/>
      <c r="L44" s="22"/>
      <c r="M44" s="21"/>
      <c r="N44" s="22"/>
      <c r="O44" s="29" t="str">
        <f aca="false">IF(A44="","",IF(COUNTIF($A$2:$A$2001,A44)&gt;1,"GANDA","OK"))</f>
        <v/>
      </c>
      <c r="P44" s="29" t="str">
        <f aca="false">IF(A44="","",IF(C44="","KOSONG",IF(AND(LEN(C44)=16,ISNUMBER(--C44)),"OK","TIDAK VALID")))</f>
        <v/>
      </c>
    </row>
    <row r="45" customFormat="false" ht="15" hidden="false" customHeight="false" outlineLevel="0" collapsed="false">
      <c r="A45" s="21"/>
      <c r="B45" s="22"/>
      <c r="C45" s="21"/>
      <c r="D45" s="22"/>
      <c r="E45" s="22"/>
      <c r="F45" s="28"/>
      <c r="G45" s="22"/>
      <c r="H45" s="21"/>
      <c r="I45" s="28"/>
      <c r="J45" s="22"/>
      <c r="K45" s="22"/>
      <c r="L45" s="22"/>
      <c r="M45" s="21"/>
      <c r="N45" s="22"/>
      <c r="O45" s="29" t="str">
        <f aca="false">IF(A45="","",IF(COUNTIF($A$2:$A$2001,A45)&gt;1,"GANDA","OK"))</f>
        <v/>
      </c>
      <c r="P45" s="29" t="str">
        <f aca="false">IF(A45="","",IF(C45="","KOSONG",IF(AND(LEN(C45)=16,ISNUMBER(--C45)),"OK","TIDAK VALID")))</f>
        <v/>
      </c>
    </row>
    <row r="46" customFormat="false" ht="15" hidden="false" customHeight="false" outlineLevel="0" collapsed="false">
      <c r="A46" s="21"/>
      <c r="B46" s="22"/>
      <c r="C46" s="21"/>
      <c r="D46" s="22"/>
      <c r="E46" s="22"/>
      <c r="F46" s="28"/>
      <c r="G46" s="22"/>
      <c r="H46" s="21"/>
      <c r="I46" s="28"/>
      <c r="J46" s="22"/>
      <c r="K46" s="22"/>
      <c r="L46" s="22"/>
      <c r="M46" s="21"/>
      <c r="N46" s="22"/>
      <c r="O46" s="29" t="str">
        <f aca="false">IF(A46="","",IF(COUNTIF($A$2:$A$2001,A46)&gt;1,"GANDA","OK"))</f>
        <v/>
      </c>
      <c r="P46" s="29" t="str">
        <f aca="false">IF(A46="","",IF(C46="","KOSONG",IF(AND(LEN(C46)=16,ISNUMBER(--C46)),"OK","TIDAK VALID")))</f>
        <v/>
      </c>
    </row>
    <row r="47" customFormat="false" ht="15" hidden="false" customHeight="false" outlineLevel="0" collapsed="false">
      <c r="A47" s="21"/>
      <c r="B47" s="22"/>
      <c r="C47" s="21"/>
      <c r="D47" s="22"/>
      <c r="E47" s="22"/>
      <c r="F47" s="28"/>
      <c r="G47" s="22"/>
      <c r="H47" s="21"/>
      <c r="I47" s="28"/>
      <c r="J47" s="22"/>
      <c r="K47" s="22"/>
      <c r="L47" s="22"/>
      <c r="M47" s="21"/>
      <c r="N47" s="22"/>
      <c r="O47" s="29" t="str">
        <f aca="false">IF(A47="","",IF(COUNTIF($A$2:$A$2001,A47)&gt;1,"GANDA","OK"))</f>
        <v/>
      </c>
      <c r="P47" s="29" t="str">
        <f aca="false">IF(A47="","",IF(C47="","KOSONG",IF(AND(LEN(C47)=16,ISNUMBER(--C47)),"OK","TIDAK VALID")))</f>
        <v/>
      </c>
    </row>
    <row r="48" customFormat="false" ht="15" hidden="false" customHeight="false" outlineLevel="0" collapsed="false">
      <c r="A48" s="21"/>
      <c r="B48" s="22"/>
      <c r="C48" s="21"/>
      <c r="D48" s="22"/>
      <c r="E48" s="22"/>
      <c r="F48" s="28"/>
      <c r="G48" s="22"/>
      <c r="H48" s="21"/>
      <c r="I48" s="28"/>
      <c r="J48" s="22"/>
      <c r="K48" s="22"/>
      <c r="L48" s="22"/>
      <c r="M48" s="21"/>
      <c r="N48" s="22"/>
      <c r="O48" s="29" t="str">
        <f aca="false">IF(A48="","",IF(COUNTIF($A$2:$A$2001,A48)&gt;1,"GANDA","OK"))</f>
        <v/>
      </c>
      <c r="P48" s="29" t="str">
        <f aca="false">IF(A48="","",IF(C48="","KOSONG",IF(AND(LEN(C48)=16,ISNUMBER(--C48)),"OK","TIDAK VALID")))</f>
        <v/>
      </c>
    </row>
    <row r="49" customFormat="false" ht="15" hidden="false" customHeight="false" outlineLevel="0" collapsed="false">
      <c r="A49" s="21"/>
      <c r="B49" s="22"/>
      <c r="C49" s="21"/>
      <c r="D49" s="22"/>
      <c r="E49" s="22"/>
      <c r="F49" s="28"/>
      <c r="G49" s="22"/>
      <c r="H49" s="21"/>
      <c r="I49" s="28"/>
      <c r="J49" s="22"/>
      <c r="K49" s="22"/>
      <c r="L49" s="22"/>
      <c r="M49" s="21"/>
      <c r="N49" s="22"/>
      <c r="O49" s="29" t="str">
        <f aca="false">IF(A49="","",IF(COUNTIF($A$2:$A$2001,A49)&gt;1,"GANDA","OK"))</f>
        <v/>
      </c>
      <c r="P49" s="29" t="str">
        <f aca="false">IF(A49="","",IF(C49="","KOSONG",IF(AND(LEN(C49)=16,ISNUMBER(--C49)),"OK","TIDAK VALID")))</f>
        <v/>
      </c>
    </row>
    <row r="50" customFormat="false" ht="15" hidden="false" customHeight="false" outlineLevel="0" collapsed="false">
      <c r="A50" s="21"/>
      <c r="B50" s="22"/>
      <c r="C50" s="21"/>
      <c r="D50" s="22"/>
      <c r="E50" s="22"/>
      <c r="F50" s="28"/>
      <c r="G50" s="22"/>
      <c r="H50" s="21"/>
      <c r="I50" s="28"/>
      <c r="J50" s="22"/>
      <c r="K50" s="22"/>
      <c r="L50" s="22"/>
      <c r="M50" s="21"/>
      <c r="N50" s="22"/>
      <c r="O50" s="29" t="str">
        <f aca="false">IF(A50="","",IF(COUNTIF($A$2:$A$2001,A50)&gt;1,"GANDA","OK"))</f>
        <v/>
      </c>
      <c r="P50" s="29" t="str">
        <f aca="false">IF(A50="","",IF(C50="","KOSONG",IF(AND(LEN(C50)=16,ISNUMBER(--C50)),"OK","TIDAK VALID")))</f>
        <v/>
      </c>
    </row>
    <row r="51" customFormat="false" ht="15" hidden="false" customHeight="false" outlineLevel="0" collapsed="false">
      <c r="A51" s="21"/>
      <c r="B51" s="22"/>
      <c r="C51" s="21"/>
      <c r="D51" s="22"/>
      <c r="E51" s="22"/>
      <c r="F51" s="28"/>
      <c r="G51" s="22"/>
      <c r="H51" s="21"/>
      <c r="I51" s="28"/>
      <c r="J51" s="22"/>
      <c r="K51" s="22"/>
      <c r="L51" s="22"/>
      <c r="M51" s="21"/>
      <c r="N51" s="22"/>
      <c r="O51" s="29" t="str">
        <f aca="false">IF(A51="","",IF(COUNTIF($A$2:$A$2001,A51)&gt;1,"GANDA","OK"))</f>
        <v/>
      </c>
      <c r="P51" s="29" t="str">
        <f aca="false">IF(A51="","",IF(C51="","KOSONG",IF(AND(LEN(C51)=16,ISNUMBER(--C51)),"OK","TIDAK VALID")))</f>
        <v/>
      </c>
    </row>
    <row r="52" customFormat="false" ht="15" hidden="false" customHeight="false" outlineLevel="0" collapsed="false">
      <c r="A52" s="21"/>
      <c r="B52" s="22"/>
      <c r="C52" s="21"/>
      <c r="D52" s="22"/>
      <c r="E52" s="22"/>
      <c r="F52" s="28"/>
      <c r="G52" s="22"/>
      <c r="H52" s="21"/>
      <c r="I52" s="28"/>
      <c r="J52" s="22"/>
      <c r="K52" s="22"/>
      <c r="L52" s="22"/>
      <c r="M52" s="21"/>
      <c r="N52" s="22"/>
      <c r="O52" s="29" t="str">
        <f aca="false">IF(A52="","",IF(COUNTIF($A$2:$A$2001,A52)&gt;1,"GANDA","OK"))</f>
        <v/>
      </c>
      <c r="P52" s="29" t="str">
        <f aca="false">IF(A52="","",IF(C52="","KOSONG",IF(AND(LEN(C52)=16,ISNUMBER(--C52)),"OK","TIDAK VALID")))</f>
        <v/>
      </c>
    </row>
    <row r="53" customFormat="false" ht="15" hidden="false" customHeight="false" outlineLevel="0" collapsed="false">
      <c r="A53" s="21"/>
      <c r="B53" s="22"/>
      <c r="C53" s="21"/>
      <c r="D53" s="22"/>
      <c r="E53" s="22"/>
      <c r="F53" s="28"/>
      <c r="G53" s="22"/>
      <c r="H53" s="21"/>
      <c r="I53" s="28"/>
      <c r="J53" s="22"/>
      <c r="K53" s="22"/>
      <c r="L53" s="22"/>
      <c r="M53" s="21"/>
      <c r="N53" s="22"/>
      <c r="O53" s="29" t="str">
        <f aca="false">IF(A53="","",IF(COUNTIF($A$2:$A$2001,A53)&gt;1,"GANDA","OK"))</f>
        <v/>
      </c>
      <c r="P53" s="29" t="str">
        <f aca="false">IF(A53="","",IF(C53="","KOSONG",IF(AND(LEN(C53)=16,ISNUMBER(--C53)),"OK","TIDAK VALID")))</f>
        <v/>
      </c>
    </row>
    <row r="54" customFormat="false" ht="15" hidden="false" customHeight="false" outlineLevel="0" collapsed="false">
      <c r="A54" s="21"/>
      <c r="B54" s="22"/>
      <c r="C54" s="21"/>
      <c r="D54" s="22"/>
      <c r="E54" s="22"/>
      <c r="F54" s="28"/>
      <c r="G54" s="22"/>
      <c r="H54" s="21"/>
      <c r="I54" s="28"/>
      <c r="J54" s="22"/>
      <c r="K54" s="22"/>
      <c r="L54" s="22"/>
      <c r="M54" s="21"/>
      <c r="N54" s="22"/>
      <c r="O54" s="29" t="str">
        <f aca="false">IF(A54="","",IF(COUNTIF($A$2:$A$2001,A54)&gt;1,"GANDA","OK"))</f>
        <v/>
      </c>
      <c r="P54" s="29" t="str">
        <f aca="false">IF(A54="","",IF(C54="","KOSONG",IF(AND(LEN(C54)=16,ISNUMBER(--C54)),"OK","TIDAK VALID")))</f>
        <v/>
      </c>
    </row>
    <row r="55" customFormat="false" ht="15" hidden="false" customHeight="false" outlineLevel="0" collapsed="false">
      <c r="A55" s="21"/>
      <c r="B55" s="22"/>
      <c r="C55" s="21"/>
      <c r="D55" s="22"/>
      <c r="E55" s="22"/>
      <c r="F55" s="28"/>
      <c r="G55" s="22"/>
      <c r="H55" s="21"/>
      <c r="I55" s="28"/>
      <c r="J55" s="22"/>
      <c r="K55" s="22"/>
      <c r="L55" s="22"/>
      <c r="M55" s="21"/>
      <c r="N55" s="22"/>
      <c r="O55" s="29" t="str">
        <f aca="false">IF(A55="","",IF(COUNTIF($A$2:$A$2001,A55)&gt;1,"GANDA","OK"))</f>
        <v/>
      </c>
      <c r="P55" s="29" t="str">
        <f aca="false">IF(A55="","",IF(C55="","KOSONG",IF(AND(LEN(C55)=16,ISNUMBER(--C55)),"OK","TIDAK VALID")))</f>
        <v/>
      </c>
    </row>
    <row r="56" customFormat="false" ht="15" hidden="false" customHeight="false" outlineLevel="0" collapsed="false">
      <c r="A56" s="21"/>
      <c r="B56" s="22"/>
      <c r="C56" s="21"/>
      <c r="D56" s="22"/>
      <c r="E56" s="22"/>
      <c r="F56" s="28"/>
      <c r="G56" s="22"/>
      <c r="H56" s="21"/>
      <c r="I56" s="28"/>
      <c r="J56" s="22"/>
      <c r="K56" s="22"/>
      <c r="L56" s="22"/>
      <c r="M56" s="21"/>
      <c r="N56" s="22"/>
      <c r="O56" s="29" t="str">
        <f aca="false">IF(A56="","",IF(COUNTIF($A$2:$A$2001,A56)&gt;1,"GANDA","OK"))</f>
        <v/>
      </c>
      <c r="P56" s="29" t="str">
        <f aca="false">IF(A56="","",IF(C56="","KOSONG",IF(AND(LEN(C56)=16,ISNUMBER(--C56)),"OK","TIDAK VALID")))</f>
        <v/>
      </c>
    </row>
    <row r="57" customFormat="false" ht="15" hidden="false" customHeight="false" outlineLevel="0" collapsed="false">
      <c r="A57" s="21"/>
      <c r="B57" s="22"/>
      <c r="C57" s="21"/>
      <c r="D57" s="22"/>
      <c r="E57" s="22"/>
      <c r="F57" s="28"/>
      <c r="G57" s="22"/>
      <c r="H57" s="21"/>
      <c r="I57" s="28"/>
      <c r="J57" s="22"/>
      <c r="K57" s="22"/>
      <c r="L57" s="22"/>
      <c r="M57" s="21"/>
      <c r="N57" s="22"/>
      <c r="O57" s="29" t="str">
        <f aca="false">IF(A57="","",IF(COUNTIF($A$2:$A$2001,A57)&gt;1,"GANDA","OK"))</f>
        <v/>
      </c>
      <c r="P57" s="29" t="str">
        <f aca="false">IF(A57="","",IF(C57="","KOSONG",IF(AND(LEN(C57)=16,ISNUMBER(--C57)),"OK","TIDAK VALID")))</f>
        <v/>
      </c>
    </row>
    <row r="58" customFormat="false" ht="15" hidden="false" customHeight="false" outlineLevel="0" collapsed="false">
      <c r="A58" s="21"/>
      <c r="B58" s="22"/>
      <c r="C58" s="21"/>
      <c r="D58" s="22"/>
      <c r="E58" s="22"/>
      <c r="F58" s="28"/>
      <c r="G58" s="22"/>
      <c r="H58" s="21"/>
      <c r="I58" s="28"/>
      <c r="J58" s="22"/>
      <c r="K58" s="22"/>
      <c r="L58" s="22"/>
      <c r="M58" s="21"/>
      <c r="N58" s="22"/>
      <c r="O58" s="29" t="str">
        <f aca="false">IF(A58="","",IF(COUNTIF($A$2:$A$2001,A58)&gt;1,"GANDA","OK"))</f>
        <v/>
      </c>
      <c r="P58" s="29" t="str">
        <f aca="false">IF(A58="","",IF(C58="","KOSONG",IF(AND(LEN(C58)=16,ISNUMBER(--C58)),"OK","TIDAK VALID")))</f>
        <v/>
      </c>
    </row>
    <row r="59" customFormat="false" ht="15" hidden="false" customHeight="false" outlineLevel="0" collapsed="false">
      <c r="A59" s="21"/>
      <c r="B59" s="22"/>
      <c r="C59" s="21"/>
      <c r="D59" s="22"/>
      <c r="E59" s="22"/>
      <c r="F59" s="28"/>
      <c r="G59" s="22"/>
      <c r="H59" s="21"/>
      <c r="I59" s="28"/>
      <c r="J59" s="22"/>
      <c r="K59" s="22"/>
      <c r="L59" s="22"/>
      <c r="M59" s="21"/>
      <c r="N59" s="22"/>
      <c r="O59" s="29" t="str">
        <f aca="false">IF(A59="","",IF(COUNTIF($A$2:$A$2001,A59)&gt;1,"GANDA","OK"))</f>
        <v/>
      </c>
      <c r="P59" s="29" t="str">
        <f aca="false">IF(A59="","",IF(C59="","KOSONG",IF(AND(LEN(C59)=16,ISNUMBER(--C59)),"OK","TIDAK VALID")))</f>
        <v/>
      </c>
    </row>
    <row r="60" customFormat="false" ht="15" hidden="false" customHeight="false" outlineLevel="0" collapsed="false">
      <c r="A60" s="21"/>
      <c r="B60" s="22"/>
      <c r="C60" s="21"/>
      <c r="D60" s="22"/>
      <c r="E60" s="22"/>
      <c r="F60" s="28"/>
      <c r="G60" s="22"/>
      <c r="H60" s="21"/>
      <c r="I60" s="28"/>
      <c r="J60" s="22"/>
      <c r="K60" s="22"/>
      <c r="L60" s="22"/>
      <c r="M60" s="21"/>
      <c r="N60" s="22"/>
      <c r="O60" s="29" t="str">
        <f aca="false">IF(A60="","",IF(COUNTIF($A$2:$A$2001,A60)&gt;1,"GANDA","OK"))</f>
        <v/>
      </c>
      <c r="P60" s="29" t="str">
        <f aca="false">IF(A60="","",IF(C60="","KOSONG",IF(AND(LEN(C60)=16,ISNUMBER(--C60)),"OK","TIDAK VALID")))</f>
        <v/>
      </c>
    </row>
    <row r="61" customFormat="false" ht="15" hidden="false" customHeight="false" outlineLevel="0" collapsed="false">
      <c r="A61" s="21"/>
      <c r="B61" s="22"/>
      <c r="C61" s="21"/>
      <c r="D61" s="22"/>
      <c r="E61" s="22"/>
      <c r="F61" s="28"/>
      <c r="G61" s="22"/>
      <c r="H61" s="21"/>
      <c r="I61" s="28"/>
      <c r="J61" s="22"/>
      <c r="K61" s="22"/>
      <c r="L61" s="22"/>
      <c r="M61" s="21"/>
      <c r="N61" s="22"/>
      <c r="O61" s="29" t="str">
        <f aca="false">IF(A61="","",IF(COUNTIF($A$2:$A$2001,A61)&gt;1,"GANDA","OK"))</f>
        <v/>
      </c>
      <c r="P61" s="29" t="str">
        <f aca="false">IF(A61="","",IF(C61="","KOSONG",IF(AND(LEN(C61)=16,ISNUMBER(--C61)),"OK","TIDAK VALID")))</f>
        <v/>
      </c>
    </row>
    <row r="62" customFormat="false" ht="15" hidden="false" customHeight="false" outlineLevel="0" collapsed="false">
      <c r="A62" s="21"/>
      <c r="B62" s="22"/>
      <c r="C62" s="21"/>
      <c r="D62" s="22"/>
      <c r="E62" s="22"/>
      <c r="F62" s="28"/>
      <c r="G62" s="22"/>
      <c r="H62" s="21"/>
      <c r="I62" s="28"/>
      <c r="J62" s="22"/>
      <c r="K62" s="22"/>
      <c r="L62" s="22"/>
      <c r="M62" s="21"/>
      <c r="N62" s="22"/>
      <c r="O62" s="29" t="str">
        <f aca="false">IF(A62="","",IF(COUNTIF($A$2:$A$2001,A62)&gt;1,"GANDA","OK"))</f>
        <v/>
      </c>
      <c r="P62" s="29" t="str">
        <f aca="false">IF(A62="","",IF(C62="","KOSONG",IF(AND(LEN(C62)=16,ISNUMBER(--C62)),"OK","TIDAK VALID")))</f>
        <v/>
      </c>
    </row>
    <row r="63" customFormat="false" ht="15" hidden="false" customHeight="false" outlineLevel="0" collapsed="false">
      <c r="A63" s="21"/>
      <c r="B63" s="22"/>
      <c r="C63" s="21"/>
      <c r="D63" s="22"/>
      <c r="E63" s="22"/>
      <c r="F63" s="28"/>
      <c r="G63" s="22"/>
      <c r="H63" s="21"/>
      <c r="I63" s="28"/>
      <c r="J63" s="22"/>
      <c r="K63" s="22"/>
      <c r="L63" s="22"/>
      <c r="M63" s="21"/>
      <c r="N63" s="22"/>
      <c r="O63" s="29" t="str">
        <f aca="false">IF(A63="","",IF(COUNTIF($A$2:$A$2001,A63)&gt;1,"GANDA","OK"))</f>
        <v/>
      </c>
      <c r="P63" s="29" t="str">
        <f aca="false">IF(A63="","",IF(C63="","KOSONG",IF(AND(LEN(C63)=16,ISNUMBER(--C63)),"OK","TIDAK VALID")))</f>
        <v/>
      </c>
    </row>
    <row r="64" customFormat="false" ht="15" hidden="false" customHeight="false" outlineLevel="0" collapsed="false">
      <c r="A64" s="21"/>
      <c r="B64" s="22"/>
      <c r="C64" s="21"/>
      <c r="D64" s="22"/>
      <c r="E64" s="22"/>
      <c r="F64" s="28"/>
      <c r="G64" s="22"/>
      <c r="H64" s="21"/>
      <c r="I64" s="28"/>
      <c r="J64" s="22"/>
      <c r="K64" s="22"/>
      <c r="L64" s="22"/>
      <c r="M64" s="21"/>
      <c r="N64" s="22"/>
      <c r="O64" s="29" t="str">
        <f aca="false">IF(A64="","",IF(COUNTIF($A$2:$A$2001,A64)&gt;1,"GANDA","OK"))</f>
        <v/>
      </c>
      <c r="P64" s="29" t="str">
        <f aca="false">IF(A64="","",IF(C64="","KOSONG",IF(AND(LEN(C64)=16,ISNUMBER(--C64)),"OK","TIDAK VALID")))</f>
        <v/>
      </c>
    </row>
    <row r="65" customFormat="false" ht="15" hidden="false" customHeight="false" outlineLevel="0" collapsed="false">
      <c r="A65" s="21"/>
      <c r="B65" s="22"/>
      <c r="C65" s="21"/>
      <c r="D65" s="22"/>
      <c r="E65" s="22"/>
      <c r="F65" s="28"/>
      <c r="G65" s="22"/>
      <c r="H65" s="21"/>
      <c r="I65" s="28"/>
      <c r="J65" s="22"/>
      <c r="K65" s="22"/>
      <c r="L65" s="22"/>
      <c r="M65" s="21"/>
      <c r="N65" s="22"/>
      <c r="O65" s="29" t="str">
        <f aca="false">IF(A65="","",IF(COUNTIF($A$2:$A$2001,A65)&gt;1,"GANDA","OK"))</f>
        <v/>
      </c>
      <c r="P65" s="29" t="str">
        <f aca="false">IF(A65="","",IF(C65="","KOSONG",IF(AND(LEN(C65)=16,ISNUMBER(--C65)),"OK","TIDAK VALID")))</f>
        <v/>
      </c>
    </row>
    <row r="66" customFormat="false" ht="15" hidden="false" customHeight="false" outlineLevel="0" collapsed="false">
      <c r="A66" s="21"/>
      <c r="B66" s="22"/>
      <c r="C66" s="21"/>
      <c r="D66" s="22"/>
      <c r="E66" s="22"/>
      <c r="F66" s="28"/>
      <c r="G66" s="22"/>
      <c r="H66" s="21"/>
      <c r="I66" s="28"/>
      <c r="J66" s="22"/>
      <c r="K66" s="22"/>
      <c r="L66" s="22"/>
      <c r="M66" s="21"/>
      <c r="N66" s="22"/>
      <c r="O66" s="29" t="str">
        <f aca="false">IF(A66="","",IF(COUNTIF($A$2:$A$2001,A66)&gt;1,"GANDA","OK"))</f>
        <v/>
      </c>
      <c r="P66" s="29" t="str">
        <f aca="false">IF(A66="","",IF(C66="","KOSONG",IF(AND(LEN(C66)=16,ISNUMBER(--C66)),"OK","TIDAK VALID")))</f>
        <v/>
      </c>
    </row>
    <row r="67" customFormat="false" ht="15" hidden="false" customHeight="false" outlineLevel="0" collapsed="false">
      <c r="A67" s="21"/>
      <c r="B67" s="22"/>
      <c r="C67" s="21"/>
      <c r="D67" s="22"/>
      <c r="E67" s="22"/>
      <c r="F67" s="28"/>
      <c r="G67" s="22"/>
      <c r="H67" s="21"/>
      <c r="I67" s="28"/>
      <c r="J67" s="22"/>
      <c r="K67" s="22"/>
      <c r="L67" s="22"/>
      <c r="M67" s="21"/>
      <c r="N67" s="22"/>
      <c r="O67" s="29" t="str">
        <f aca="false">IF(A67="","",IF(COUNTIF($A$2:$A$2001,A67)&gt;1,"GANDA","OK"))</f>
        <v/>
      </c>
      <c r="P67" s="29" t="str">
        <f aca="false">IF(A67="","",IF(C67="","KOSONG",IF(AND(LEN(C67)=16,ISNUMBER(--C67)),"OK","TIDAK VALID")))</f>
        <v/>
      </c>
    </row>
    <row r="68" customFormat="false" ht="15" hidden="false" customHeight="false" outlineLevel="0" collapsed="false">
      <c r="A68" s="21"/>
      <c r="B68" s="22"/>
      <c r="C68" s="21"/>
      <c r="D68" s="22"/>
      <c r="E68" s="22"/>
      <c r="F68" s="28"/>
      <c r="G68" s="22"/>
      <c r="H68" s="21"/>
      <c r="I68" s="28"/>
      <c r="J68" s="22"/>
      <c r="K68" s="22"/>
      <c r="L68" s="22"/>
      <c r="M68" s="21"/>
      <c r="N68" s="22"/>
      <c r="O68" s="29" t="str">
        <f aca="false">IF(A68="","",IF(COUNTIF($A$2:$A$2001,A68)&gt;1,"GANDA","OK"))</f>
        <v/>
      </c>
      <c r="P68" s="29" t="str">
        <f aca="false">IF(A68="","",IF(C68="","KOSONG",IF(AND(LEN(C68)=16,ISNUMBER(--C68)),"OK","TIDAK VALID")))</f>
        <v/>
      </c>
    </row>
    <row r="69" customFormat="false" ht="15" hidden="false" customHeight="false" outlineLevel="0" collapsed="false">
      <c r="A69" s="21"/>
      <c r="B69" s="22"/>
      <c r="C69" s="21"/>
      <c r="D69" s="22"/>
      <c r="E69" s="22"/>
      <c r="F69" s="28"/>
      <c r="G69" s="22"/>
      <c r="H69" s="21"/>
      <c r="I69" s="28"/>
      <c r="J69" s="22"/>
      <c r="K69" s="22"/>
      <c r="L69" s="22"/>
      <c r="M69" s="21"/>
      <c r="N69" s="22"/>
      <c r="O69" s="29" t="str">
        <f aca="false">IF(A69="","",IF(COUNTIF($A$2:$A$2001,A69)&gt;1,"GANDA","OK"))</f>
        <v/>
      </c>
      <c r="P69" s="29" t="str">
        <f aca="false">IF(A69="","",IF(C69="","KOSONG",IF(AND(LEN(C69)=16,ISNUMBER(--C69)),"OK","TIDAK VALID")))</f>
        <v/>
      </c>
    </row>
    <row r="70" customFormat="false" ht="15" hidden="false" customHeight="false" outlineLevel="0" collapsed="false">
      <c r="A70" s="21"/>
      <c r="B70" s="22"/>
      <c r="C70" s="21"/>
      <c r="D70" s="22"/>
      <c r="E70" s="22"/>
      <c r="F70" s="28"/>
      <c r="G70" s="22"/>
      <c r="H70" s="21"/>
      <c r="I70" s="28"/>
      <c r="J70" s="22"/>
      <c r="K70" s="22"/>
      <c r="L70" s="22"/>
      <c r="M70" s="21"/>
      <c r="N70" s="22"/>
      <c r="O70" s="29" t="str">
        <f aca="false">IF(A70="","",IF(COUNTIF($A$2:$A$2001,A70)&gt;1,"GANDA","OK"))</f>
        <v/>
      </c>
      <c r="P70" s="29" t="str">
        <f aca="false">IF(A70="","",IF(C70="","KOSONG",IF(AND(LEN(C70)=16,ISNUMBER(--C70)),"OK","TIDAK VALID")))</f>
        <v/>
      </c>
    </row>
    <row r="71" customFormat="false" ht="15" hidden="false" customHeight="false" outlineLevel="0" collapsed="false">
      <c r="A71" s="21"/>
      <c r="B71" s="22"/>
      <c r="C71" s="21"/>
      <c r="D71" s="22"/>
      <c r="E71" s="22"/>
      <c r="F71" s="28"/>
      <c r="G71" s="22"/>
      <c r="H71" s="21"/>
      <c r="I71" s="28"/>
      <c r="J71" s="22"/>
      <c r="K71" s="22"/>
      <c r="L71" s="22"/>
      <c r="M71" s="21"/>
      <c r="N71" s="22"/>
      <c r="O71" s="29" t="str">
        <f aca="false">IF(A71="","",IF(COUNTIF($A$2:$A$2001,A71)&gt;1,"GANDA","OK"))</f>
        <v/>
      </c>
      <c r="P71" s="29" t="str">
        <f aca="false">IF(A71="","",IF(C71="","KOSONG",IF(AND(LEN(C71)=16,ISNUMBER(--C71)),"OK","TIDAK VALID")))</f>
        <v/>
      </c>
    </row>
    <row r="72" customFormat="false" ht="15" hidden="false" customHeight="false" outlineLevel="0" collapsed="false">
      <c r="A72" s="21"/>
      <c r="B72" s="22"/>
      <c r="C72" s="21"/>
      <c r="D72" s="22"/>
      <c r="E72" s="22"/>
      <c r="F72" s="28"/>
      <c r="G72" s="22"/>
      <c r="H72" s="21"/>
      <c r="I72" s="28"/>
      <c r="J72" s="22"/>
      <c r="K72" s="22"/>
      <c r="L72" s="22"/>
      <c r="M72" s="21"/>
      <c r="N72" s="22"/>
      <c r="O72" s="29" t="str">
        <f aca="false">IF(A72="","",IF(COUNTIF($A$2:$A$2001,A72)&gt;1,"GANDA","OK"))</f>
        <v/>
      </c>
      <c r="P72" s="29" t="str">
        <f aca="false">IF(A72="","",IF(C72="","KOSONG",IF(AND(LEN(C72)=16,ISNUMBER(--C72)),"OK","TIDAK VALID")))</f>
        <v/>
      </c>
    </row>
    <row r="73" customFormat="false" ht="15" hidden="false" customHeight="false" outlineLevel="0" collapsed="false">
      <c r="A73" s="21"/>
      <c r="B73" s="22"/>
      <c r="C73" s="21"/>
      <c r="D73" s="22"/>
      <c r="E73" s="22"/>
      <c r="F73" s="28"/>
      <c r="G73" s="22"/>
      <c r="H73" s="21"/>
      <c r="I73" s="28"/>
      <c r="J73" s="22"/>
      <c r="K73" s="22"/>
      <c r="L73" s="22"/>
      <c r="M73" s="21"/>
      <c r="N73" s="22"/>
      <c r="O73" s="29" t="str">
        <f aca="false">IF(A73="","",IF(COUNTIF($A$2:$A$2001,A73)&gt;1,"GANDA","OK"))</f>
        <v/>
      </c>
      <c r="P73" s="29" t="str">
        <f aca="false">IF(A73="","",IF(C73="","KOSONG",IF(AND(LEN(C73)=16,ISNUMBER(--C73)),"OK","TIDAK VALID")))</f>
        <v/>
      </c>
    </row>
    <row r="74" customFormat="false" ht="15" hidden="false" customHeight="false" outlineLevel="0" collapsed="false">
      <c r="A74" s="21"/>
      <c r="B74" s="22"/>
      <c r="C74" s="21"/>
      <c r="D74" s="22"/>
      <c r="E74" s="22"/>
      <c r="F74" s="28"/>
      <c r="G74" s="22"/>
      <c r="H74" s="21"/>
      <c r="I74" s="28"/>
      <c r="J74" s="22"/>
      <c r="K74" s="22"/>
      <c r="L74" s="22"/>
      <c r="M74" s="21"/>
      <c r="N74" s="22"/>
      <c r="O74" s="29" t="str">
        <f aca="false">IF(A74="","",IF(COUNTIF($A$2:$A$2001,A74)&gt;1,"GANDA","OK"))</f>
        <v/>
      </c>
      <c r="P74" s="29" t="str">
        <f aca="false">IF(A74="","",IF(C74="","KOSONG",IF(AND(LEN(C74)=16,ISNUMBER(--C74)),"OK","TIDAK VALID")))</f>
        <v/>
      </c>
    </row>
    <row r="75" customFormat="false" ht="15" hidden="false" customHeight="false" outlineLevel="0" collapsed="false">
      <c r="A75" s="21"/>
      <c r="B75" s="22"/>
      <c r="C75" s="21"/>
      <c r="D75" s="22"/>
      <c r="E75" s="22"/>
      <c r="F75" s="28"/>
      <c r="G75" s="22"/>
      <c r="H75" s="21"/>
      <c r="I75" s="28"/>
      <c r="J75" s="22"/>
      <c r="K75" s="22"/>
      <c r="L75" s="22"/>
      <c r="M75" s="21"/>
      <c r="N75" s="22"/>
      <c r="O75" s="29" t="str">
        <f aca="false">IF(A75="","",IF(COUNTIF($A$2:$A$2001,A75)&gt;1,"GANDA","OK"))</f>
        <v/>
      </c>
      <c r="P75" s="29" t="str">
        <f aca="false">IF(A75="","",IF(C75="","KOSONG",IF(AND(LEN(C75)=16,ISNUMBER(--C75)),"OK","TIDAK VALID")))</f>
        <v/>
      </c>
    </row>
    <row r="76" customFormat="false" ht="15" hidden="false" customHeight="false" outlineLevel="0" collapsed="false">
      <c r="A76" s="21"/>
      <c r="B76" s="22"/>
      <c r="C76" s="21"/>
      <c r="D76" s="22"/>
      <c r="E76" s="22"/>
      <c r="F76" s="28"/>
      <c r="G76" s="22"/>
      <c r="H76" s="21"/>
      <c r="I76" s="28"/>
      <c r="J76" s="22"/>
      <c r="K76" s="22"/>
      <c r="L76" s="22"/>
      <c r="M76" s="21"/>
      <c r="N76" s="22"/>
      <c r="O76" s="29" t="str">
        <f aca="false">IF(A76="","",IF(COUNTIF($A$2:$A$2001,A76)&gt;1,"GANDA","OK"))</f>
        <v/>
      </c>
      <c r="P76" s="29" t="str">
        <f aca="false">IF(A76="","",IF(C76="","KOSONG",IF(AND(LEN(C76)=16,ISNUMBER(--C76)),"OK","TIDAK VALID")))</f>
        <v/>
      </c>
    </row>
    <row r="77" customFormat="false" ht="15" hidden="false" customHeight="false" outlineLevel="0" collapsed="false">
      <c r="A77" s="21"/>
      <c r="B77" s="22"/>
      <c r="C77" s="21"/>
      <c r="D77" s="22"/>
      <c r="E77" s="22"/>
      <c r="F77" s="28"/>
      <c r="G77" s="22"/>
      <c r="H77" s="21"/>
      <c r="I77" s="28"/>
      <c r="J77" s="22"/>
      <c r="K77" s="22"/>
      <c r="L77" s="22"/>
      <c r="M77" s="21"/>
      <c r="N77" s="22"/>
      <c r="O77" s="29" t="str">
        <f aca="false">IF(A77="","",IF(COUNTIF($A$2:$A$2001,A77)&gt;1,"GANDA","OK"))</f>
        <v/>
      </c>
      <c r="P77" s="29" t="str">
        <f aca="false">IF(A77="","",IF(C77="","KOSONG",IF(AND(LEN(C77)=16,ISNUMBER(--C77)),"OK","TIDAK VALID")))</f>
        <v/>
      </c>
    </row>
    <row r="78" customFormat="false" ht="15" hidden="false" customHeight="false" outlineLevel="0" collapsed="false">
      <c r="A78" s="21"/>
      <c r="B78" s="22"/>
      <c r="C78" s="21"/>
      <c r="D78" s="22"/>
      <c r="E78" s="22"/>
      <c r="F78" s="28"/>
      <c r="G78" s="22"/>
      <c r="H78" s="21"/>
      <c r="I78" s="28"/>
      <c r="J78" s="22"/>
      <c r="K78" s="22"/>
      <c r="L78" s="22"/>
      <c r="M78" s="21"/>
      <c r="N78" s="22"/>
      <c r="O78" s="29" t="str">
        <f aca="false">IF(A78="","",IF(COUNTIF($A$2:$A$2001,A78)&gt;1,"GANDA","OK"))</f>
        <v/>
      </c>
      <c r="P78" s="29" t="str">
        <f aca="false">IF(A78="","",IF(C78="","KOSONG",IF(AND(LEN(C78)=16,ISNUMBER(--C78)),"OK","TIDAK VALID")))</f>
        <v/>
      </c>
    </row>
    <row r="79" customFormat="false" ht="15" hidden="false" customHeight="false" outlineLevel="0" collapsed="false">
      <c r="A79" s="21"/>
      <c r="B79" s="22"/>
      <c r="C79" s="21"/>
      <c r="D79" s="22"/>
      <c r="E79" s="22"/>
      <c r="F79" s="28"/>
      <c r="G79" s="22"/>
      <c r="H79" s="21"/>
      <c r="I79" s="28"/>
      <c r="J79" s="22"/>
      <c r="K79" s="22"/>
      <c r="L79" s="22"/>
      <c r="M79" s="21"/>
      <c r="N79" s="22"/>
      <c r="O79" s="29" t="str">
        <f aca="false">IF(A79="","",IF(COUNTIF($A$2:$A$2001,A79)&gt;1,"GANDA","OK"))</f>
        <v/>
      </c>
      <c r="P79" s="29" t="str">
        <f aca="false">IF(A79="","",IF(C79="","KOSONG",IF(AND(LEN(C79)=16,ISNUMBER(--C79)),"OK","TIDAK VALID")))</f>
        <v/>
      </c>
    </row>
    <row r="80" customFormat="false" ht="15" hidden="false" customHeight="false" outlineLevel="0" collapsed="false">
      <c r="A80" s="21"/>
      <c r="B80" s="22"/>
      <c r="C80" s="21"/>
      <c r="D80" s="22"/>
      <c r="E80" s="22"/>
      <c r="F80" s="28"/>
      <c r="G80" s="22"/>
      <c r="H80" s="21"/>
      <c r="I80" s="28"/>
      <c r="J80" s="22"/>
      <c r="K80" s="22"/>
      <c r="L80" s="22"/>
      <c r="M80" s="21"/>
      <c r="N80" s="22"/>
      <c r="O80" s="29" t="str">
        <f aca="false">IF(A80="","",IF(COUNTIF($A$2:$A$2001,A80)&gt;1,"GANDA","OK"))</f>
        <v/>
      </c>
      <c r="P80" s="29" t="str">
        <f aca="false">IF(A80="","",IF(C80="","KOSONG",IF(AND(LEN(C80)=16,ISNUMBER(--C80)),"OK","TIDAK VALID")))</f>
        <v/>
      </c>
    </row>
    <row r="81" customFormat="false" ht="15" hidden="false" customHeight="false" outlineLevel="0" collapsed="false">
      <c r="A81" s="21"/>
      <c r="B81" s="22"/>
      <c r="C81" s="21"/>
      <c r="D81" s="22"/>
      <c r="E81" s="22"/>
      <c r="F81" s="28"/>
      <c r="G81" s="22"/>
      <c r="H81" s="21"/>
      <c r="I81" s="28"/>
      <c r="J81" s="22"/>
      <c r="K81" s="22"/>
      <c r="L81" s="22"/>
      <c r="M81" s="21"/>
      <c r="N81" s="22"/>
      <c r="O81" s="29" t="str">
        <f aca="false">IF(A81="","",IF(COUNTIF($A$2:$A$2001,A81)&gt;1,"GANDA","OK"))</f>
        <v/>
      </c>
      <c r="P81" s="29" t="str">
        <f aca="false">IF(A81="","",IF(C81="","KOSONG",IF(AND(LEN(C81)=16,ISNUMBER(--C81)),"OK","TIDAK VALID")))</f>
        <v/>
      </c>
    </row>
    <row r="82" customFormat="false" ht="15" hidden="false" customHeight="false" outlineLevel="0" collapsed="false">
      <c r="A82" s="21"/>
      <c r="B82" s="22"/>
      <c r="C82" s="21"/>
      <c r="D82" s="22"/>
      <c r="E82" s="22"/>
      <c r="F82" s="28"/>
      <c r="G82" s="22"/>
      <c r="H82" s="21"/>
      <c r="I82" s="28"/>
      <c r="J82" s="22"/>
      <c r="K82" s="22"/>
      <c r="L82" s="22"/>
      <c r="M82" s="21"/>
      <c r="N82" s="22"/>
      <c r="O82" s="29" t="str">
        <f aca="false">IF(A82="","",IF(COUNTIF($A$2:$A$2001,A82)&gt;1,"GANDA","OK"))</f>
        <v/>
      </c>
      <c r="P82" s="29" t="str">
        <f aca="false">IF(A82="","",IF(C82="","KOSONG",IF(AND(LEN(C82)=16,ISNUMBER(--C82)),"OK","TIDAK VALID")))</f>
        <v/>
      </c>
    </row>
    <row r="83" customFormat="false" ht="15" hidden="false" customHeight="false" outlineLevel="0" collapsed="false">
      <c r="A83" s="21"/>
      <c r="B83" s="22"/>
      <c r="C83" s="21"/>
      <c r="D83" s="22"/>
      <c r="E83" s="22"/>
      <c r="F83" s="28"/>
      <c r="G83" s="22"/>
      <c r="H83" s="21"/>
      <c r="I83" s="28"/>
      <c r="J83" s="22"/>
      <c r="K83" s="22"/>
      <c r="L83" s="22"/>
      <c r="M83" s="21"/>
      <c r="N83" s="22"/>
      <c r="O83" s="29" t="str">
        <f aca="false">IF(A83="","",IF(COUNTIF($A$2:$A$2001,A83)&gt;1,"GANDA","OK"))</f>
        <v/>
      </c>
      <c r="P83" s="29" t="str">
        <f aca="false">IF(A83="","",IF(C83="","KOSONG",IF(AND(LEN(C83)=16,ISNUMBER(--C83)),"OK","TIDAK VALID")))</f>
        <v/>
      </c>
    </row>
    <row r="84" customFormat="false" ht="15" hidden="false" customHeight="false" outlineLevel="0" collapsed="false">
      <c r="A84" s="21"/>
      <c r="B84" s="22"/>
      <c r="C84" s="21"/>
      <c r="D84" s="22"/>
      <c r="E84" s="22"/>
      <c r="F84" s="28"/>
      <c r="G84" s="22"/>
      <c r="H84" s="21"/>
      <c r="I84" s="28"/>
      <c r="J84" s="22"/>
      <c r="K84" s="22"/>
      <c r="L84" s="22"/>
      <c r="M84" s="21"/>
      <c r="N84" s="22"/>
      <c r="O84" s="29" t="str">
        <f aca="false">IF(A84="","",IF(COUNTIF($A$2:$A$2001,A84)&gt;1,"GANDA","OK"))</f>
        <v/>
      </c>
      <c r="P84" s="29" t="str">
        <f aca="false">IF(A84="","",IF(C84="","KOSONG",IF(AND(LEN(C84)=16,ISNUMBER(--C84)),"OK","TIDAK VALID")))</f>
        <v/>
      </c>
    </row>
    <row r="85" customFormat="false" ht="15" hidden="false" customHeight="false" outlineLevel="0" collapsed="false">
      <c r="A85" s="21"/>
      <c r="B85" s="22"/>
      <c r="C85" s="21"/>
      <c r="D85" s="22"/>
      <c r="E85" s="22"/>
      <c r="F85" s="28"/>
      <c r="G85" s="22"/>
      <c r="H85" s="21"/>
      <c r="I85" s="28"/>
      <c r="J85" s="22"/>
      <c r="K85" s="22"/>
      <c r="L85" s="22"/>
      <c r="M85" s="21"/>
      <c r="N85" s="22"/>
      <c r="O85" s="29" t="str">
        <f aca="false">IF(A85="","",IF(COUNTIF($A$2:$A$2001,A85)&gt;1,"GANDA","OK"))</f>
        <v/>
      </c>
      <c r="P85" s="29" t="str">
        <f aca="false">IF(A85="","",IF(C85="","KOSONG",IF(AND(LEN(C85)=16,ISNUMBER(--C85)),"OK","TIDAK VALID")))</f>
        <v/>
      </c>
    </row>
    <row r="86" customFormat="false" ht="15" hidden="false" customHeight="false" outlineLevel="0" collapsed="false">
      <c r="A86" s="21"/>
      <c r="B86" s="22"/>
      <c r="C86" s="21"/>
      <c r="D86" s="22"/>
      <c r="E86" s="22"/>
      <c r="F86" s="28"/>
      <c r="G86" s="22"/>
      <c r="H86" s="21"/>
      <c r="I86" s="28"/>
      <c r="J86" s="22"/>
      <c r="K86" s="22"/>
      <c r="L86" s="22"/>
      <c r="M86" s="21"/>
      <c r="N86" s="22"/>
      <c r="O86" s="29" t="str">
        <f aca="false">IF(A86="","",IF(COUNTIF($A$2:$A$2001,A86)&gt;1,"GANDA","OK"))</f>
        <v/>
      </c>
      <c r="P86" s="29" t="str">
        <f aca="false">IF(A86="","",IF(C86="","KOSONG",IF(AND(LEN(C86)=16,ISNUMBER(--C86)),"OK","TIDAK VALID")))</f>
        <v/>
      </c>
    </row>
    <row r="87" customFormat="false" ht="15" hidden="false" customHeight="false" outlineLevel="0" collapsed="false">
      <c r="A87" s="21"/>
      <c r="B87" s="22"/>
      <c r="C87" s="21"/>
      <c r="D87" s="22"/>
      <c r="E87" s="22"/>
      <c r="F87" s="28"/>
      <c r="G87" s="22"/>
      <c r="H87" s="21"/>
      <c r="I87" s="28"/>
      <c r="J87" s="22"/>
      <c r="K87" s="22"/>
      <c r="L87" s="22"/>
      <c r="M87" s="21"/>
      <c r="N87" s="22"/>
      <c r="O87" s="29" t="str">
        <f aca="false">IF(A87="","",IF(COUNTIF($A$2:$A$2001,A87)&gt;1,"GANDA","OK"))</f>
        <v/>
      </c>
      <c r="P87" s="29" t="str">
        <f aca="false">IF(A87="","",IF(C87="","KOSONG",IF(AND(LEN(C87)=16,ISNUMBER(--C87)),"OK","TIDAK VALID")))</f>
        <v/>
      </c>
    </row>
    <row r="88" customFormat="false" ht="15" hidden="false" customHeight="false" outlineLevel="0" collapsed="false">
      <c r="A88" s="21"/>
      <c r="B88" s="22"/>
      <c r="C88" s="21"/>
      <c r="D88" s="22"/>
      <c r="E88" s="22"/>
      <c r="F88" s="28"/>
      <c r="G88" s="22"/>
      <c r="H88" s="21"/>
      <c r="I88" s="28"/>
      <c r="J88" s="22"/>
      <c r="K88" s="22"/>
      <c r="L88" s="22"/>
      <c r="M88" s="21"/>
      <c r="N88" s="22"/>
      <c r="O88" s="29" t="str">
        <f aca="false">IF(A88="","",IF(COUNTIF($A$2:$A$2001,A88)&gt;1,"GANDA","OK"))</f>
        <v/>
      </c>
      <c r="P88" s="29" t="str">
        <f aca="false">IF(A88="","",IF(C88="","KOSONG",IF(AND(LEN(C88)=16,ISNUMBER(--C88)),"OK","TIDAK VALID")))</f>
        <v/>
      </c>
    </row>
    <row r="89" customFormat="false" ht="15" hidden="false" customHeight="false" outlineLevel="0" collapsed="false">
      <c r="A89" s="21"/>
      <c r="B89" s="22"/>
      <c r="C89" s="21"/>
      <c r="D89" s="22"/>
      <c r="E89" s="22"/>
      <c r="F89" s="28"/>
      <c r="G89" s="22"/>
      <c r="H89" s="21"/>
      <c r="I89" s="28"/>
      <c r="J89" s="22"/>
      <c r="K89" s="22"/>
      <c r="L89" s="22"/>
      <c r="M89" s="21"/>
      <c r="N89" s="22"/>
      <c r="O89" s="29" t="str">
        <f aca="false">IF(A89="","",IF(COUNTIF($A$2:$A$2001,A89)&gt;1,"GANDA","OK"))</f>
        <v/>
      </c>
      <c r="P89" s="29" t="str">
        <f aca="false">IF(A89="","",IF(C89="","KOSONG",IF(AND(LEN(C89)=16,ISNUMBER(--C89)),"OK","TIDAK VALID")))</f>
        <v/>
      </c>
    </row>
    <row r="90" customFormat="false" ht="15" hidden="false" customHeight="false" outlineLevel="0" collapsed="false">
      <c r="A90" s="21"/>
      <c r="B90" s="22"/>
      <c r="C90" s="21"/>
      <c r="D90" s="22"/>
      <c r="E90" s="22"/>
      <c r="F90" s="28"/>
      <c r="G90" s="22"/>
      <c r="H90" s="21"/>
      <c r="I90" s="28"/>
      <c r="J90" s="22"/>
      <c r="K90" s="22"/>
      <c r="L90" s="22"/>
      <c r="M90" s="21"/>
      <c r="N90" s="22"/>
      <c r="O90" s="29" t="str">
        <f aca="false">IF(A90="","",IF(COUNTIF($A$2:$A$2001,A90)&gt;1,"GANDA","OK"))</f>
        <v/>
      </c>
      <c r="P90" s="29" t="str">
        <f aca="false">IF(A90="","",IF(C90="","KOSONG",IF(AND(LEN(C90)=16,ISNUMBER(--C90)),"OK","TIDAK VALID")))</f>
        <v/>
      </c>
    </row>
    <row r="91" customFormat="false" ht="15" hidden="false" customHeight="false" outlineLevel="0" collapsed="false">
      <c r="A91" s="21"/>
      <c r="B91" s="22"/>
      <c r="C91" s="21"/>
      <c r="D91" s="22"/>
      <c r="E91" s="22"/>
      <c r="F91" s="28"/>
      <c r="G91" s="22"/>
      <c r="H91" s="21"/>
      <c r="I91" s="28"/>
      <c r="J91" s="22"/>
      <c r="K91" s="22"/>
      <c r="L91" s="22"/>
      <c r="M91" s="21"/>
      <c r="N91" s="22"/>
      <c r="O91" s="29" t="str">
        <f aca="false">IF(A91="","",IF(COUNTIF($A$2:$A$2001,A91)&gt;1,"GANDA","OK"))</f>
        <v/>
      </c>
      <c r="P91" s="29" t="str">
        <f aca="false">IF(A91="","",IF(C91="","KOSONG",IF(AND(LEN(C91)=16,ISNUMBER(--C91)),"OK","TIDAK VALID")))</f>
        <v/>
      </c>
    </row>
    <row r="92" customFormat="false" ht="15" hidden="false" customHeight="false" outlineLevel="0" collapsed="false">
      <c r="A92" s="21"/>
      <c r="B92" s="22"/>
      <c r="C92" s="21"/>
      <c r="D92" s="22"/>
      <c r="E92" s="22"/>
      <c r="F92" s="28"/>
      <c r="G92" s="22"/>
      <c r="H92" s="21"/>
      <c r="I92" s="28"/>
      <c r="J92" s="22"/>
      <c r="K92" s="22"/>
      <c r="L92" s="22"/>
      <c r="M92" s="21"/>
      <c r="N92" s="22"/>
      <c r="O92" s="29" t="str">
        <f aca="false">IF(A92="","",IF(COUNTIF($A$2:$A$2001,A92)&gt;1,"GANDA","OK"))</f>
        <v/>
      </c>
      <c r="P92" s="29" t="str">
        <f aca="false">IF(A92="","",IF(C92="","KOSONG",IF(AND(LEN(C92)=16,ISNUMBER(--C92)),"OK","TIDAK VALID")))</f>
        <v/>
      </c>
    </row>
    <row r="93" customFormat="false" ht="15" hidden="false" customHeight="false" outlineLevel="0" collapsed="false">
      <c r="A93" s="21"/>
      <c r="B93" s="22"/>
      <c r="C93" s="21"/>
      <c r="D93" s="22"/>
      <c r="E93" s="22"/>
      <c r="F93" s="28"/>
      <c r="G93" s="22"/>
      <c r="H93" s="21"/>
      <c r="I93" s="28"/>
      <c r="J93" s="22"/>
      <c r="K93" s="22"/>
      <c r="L93" s="22"/>
      <c r="M93" s="21"/>
      <c r="N93" s="22"/>
      <c r="O93" s="29" t="str">
        <f aca="false">IF(A93="","",IF(COUNTIF($A$2:$A$2001,A93)&gt;1,"GANDA","OK"))</f>
        <v/>
      </c>
      <c r="P93" s="29" t="str">
        <f aca="false">IF(A93="","",IF(C93="","KOSONG",IF(AND(LEN(C93)=16,ISNUMBER(--C93)),"OK","TIDAK VALID")))</f>
        <v/>
      </c>
    </row>
    <row r="94" customFormat="false" ht="15" hidden="false" customHeight="false" outlineLevel="0" collapsed="false">
      <c r="A94" s="21"/>
      <c r="B94" s="22"/>
      <c r="C94" s="21"/>
      <c r="D94" s="22"/>
      <c r="E94" s="22"/>
      <c r="F94" s="28"/>
      <c r="G94" s="22"/>
      <c r="H94" s="21"/>
      <c r="I94" s="28"/>
      <c r="J94" s="22"/>
      <c r="K94" s="22"/>
      <c r="L94" s="22"/>
      <c r="M94" s="21"/>
      <c r="N94" s="22"/>
      <c r="O94" s="29" t="str">
        <f aca="false">IF(A94="","",IF(COUNTIF($A$2:$A$2001,A94)&gt;1,"GANDA","OK"))</f>
        <v/>
      </c>
      <c r="P94" s="29" t="str">
        <f aca="false">IF(A94="","",IF(C94="","KOSONG",IF(AND(LEN(C94)=16,ISNUMBER(--C94)),"OK","TIDAK VALID")))</f>
        <v/>
      </c>
    </row>
    <row r="95" customFormat="false" ht="15" hidden="false" customHeight="false" outlineLevel="0" collapsed="false">
      <c r="A95" s="21"/>
      <c r="B95" s="22"/>
      <c r="C95" s="21"/>
      <c r="D95" s="22"/>
      <c r="E95" s="22"/>
      <c r="F95" s="28"/>
      <c r="G95" s="22"/>
      <c r="H95" s="21"/>
      <c r="I95" s="28"/>
      <c r="J95" s="22"/>
      <c r="K95" s="22"/>
      <c r="L95" s="22"/>
      <c r="M95" s="21"/>
      <c r="N95" s="22"/>
      <c r="O95" s="29" t="str">
        <f aca="false">IF(A95="","",IF(COUNTIF($A$2:$A$2001,A95)&gt;1,"GANDA","OK"))</f>
        <v/>
      </c>
      <c r="P95" s="29" t="str">
        <f aca="false">IF(A95="","",IF(C95="","KOSONG",IF(AND(LEN(C95)=16,ISNUMBER(--C95)),"OK","TIDAK VALID")))</f>
        <v/>
      </c>
    </row>
    <row r="96" customFormat="false" ht="15" hidden="false" customHeight="false" outlineLevel="0" collapsed="false">
      <c r="A96" s="21"/>
      <c r="B96" s="22"/>
      <c r="C96" s="21"/>
      <c r="D96" s="22"/>
      <c r="E96" s="22"/>
      <c r="F96" s="28"/>
      <c r="G96" s="22"/>
      <c r="H96" s="21"/>
      <c r="I96" s="28"/>
      <c r="J96" s="22"/>
      <c r="K96" s="22"/>
      <c r="L96" s="22"/>
      <c r="M96" s="21"/>
      <c r="N96" s="22"/>
      <c r="O96" s="29" t="str">
        <f aca="false">IF(A96="","",IF(COUNTIF($A$2:$A$2001,A96)&gt;1,"GANDA","OK"))</f>
        <v/>
      </c>
      <c r="P96" s="29" t="str">
        <f aca="false">IF(A96="","",IF(C96="","KOSONG",IF(AND(LEN(C96)=16,ISNUMBER(--C96)),"OK","TIDAK VALID")))</f>
        <v/>
      </c>
    </row>
    <row r="97" customFormat="false" ht="15" hidden="false" customHeight="false" outlineLevel="0" collapsed="false">
      <c r="A97" s="21"/>
      <c r="B97" s="22"/>
      <c r="C97" s="21"/>
      <c r="D97" s="22"/>
      <c r="E97" s="22"/>
      <c r="F97" s="28"/>
      <c r="G97" s="22"/>
      <c r="H97" s="21"/>
      <c r="I97" s="28"/>
      <c r="J97" s="22"/>
      <c r="K97" s="22"/>
      <c r="L97" s="22"/>
      <c r="M97" s="21"/>
      <c r="N97" s="22"/>
      <c r="O97" s="29" t="str">
        <f aca="false">IF(A97="","",IF(COUNTIF($A$2:$A$2001,A97)&gt;1,"GANDA","OK"))</f>
        <v/>
      </c>
      <c r="P97" s="29" t="str">
        <f aca="false">IF(A97="","",IF(C97="","KOSONG",IF(AND(LEN(C97)=16,ISNUMBER(--C97)),"OK","TIDAK VALID")))</f>
        <v/>
      </c>
    </row>
    <row r="98" customFormat="false" ht="15" hidden="false" customHeight="false" outlineLevel="0" collapsed="false">
      <c r="A98" s="21"/>
      <c r="B98" s="22"/>
      <c r="C98" s="21"/>
      <c r="D98" s="22"/>
      <c r="E98" s="22"/>
      <c r="F98" s="28"/>
      <c r="G98" s="22"/>
      <c r="H98" s="21"/>
      <c r="I98" s="28"/>
      <c r="J98" s="22"/>
      <c r="K98" s="22"/>
      <c r="L98" s="22"/>
      <c r="M98" s="21"/>
      <c r="N98" s="22"/>
      <c r="O98" s="29" t="str">
        <f aca="false">IF(A98="","",IF(COUNTIF($A$2:$A$2001,A98)&gt;1,"GANDA","OK"))</f>
        <v/>
      </c>
      <c r="P98" s="29" t="str">
        <f aca="false">IF(A98="","",IF(C98="","KOSONG",IF(AND(LEN(C98)=16,ISNUMBER(--C98)),"OK","TIDAK VALID")))</f>
        <v/>
      </c>
    </row>
    <row r="99" customFormat="false" ht="15" hidden="false" customHeight="false" outlineLevel="0" collapsed="false">
      <c r="A99" s="21"/>
      <c r="B99" s="22"/>
      <c r="C99" s="21"/>
      <c r="D99" s="22"/>
      <c r="E99" s="22"/>
      <c r="F99" s="28"/>
      <c r="G99" s="22"/>
      <c r="H99" s="21"/>
      <c r="I99" s="28"/>
      <c r="J99" s="22"/>
      <c r="K99" s="22"/>
      <c r="L99" s="22"/>
      <c r="M99" s="21"/>
      <c r="N99" s="22"/>
      <c r="O99" s="29" t="str">
        <f aca="false">IF(A99="","",IF(COUNTIF($A$2:$A$2001,A99)&gt;1,"GANDA","OK"))</f>
        <v/>
      </c>
      <c r="P99" s="29" t="str">
        <f aca="false">IF(A99="","",IF(C99="","KOSONG",IF(AND(LEN(C99)=16,ISNUMBER(--C99)),"OK","TIDAK VALID")))</f>
        <v/>
      </c>
    </row>
    <row r="100" customFormat="false" ht="15" hidden="false" customHeight="false" outlineLevel="0" collapsed="false">
      <c r="A100" s="21"/>
      <c r="B100" s="22"/>
      <c r="C100" s="21"/>
      <c r="D100" s="22"/>
      <c r="E100" s="22"/>
      <c r="F100" s="28"/>
      <c r="G100" s="22"/>
      <c r="H100" s="21"/>
      <c r="I100" s="28"/>
      <c r="J100" s="22"/>
      <c r="K100" s="22"/>
      <c r="L100" s="22"/>
      <c r="M100" s="21"/>
      <c r="N100" s="22"/>
      <c r="O100" s="29" t="str">
        <f aca="false">IF(A100="","",IF(COUNTIF($A$2:$A$2001,A100)&gt;1,"GANDA","OK"))</f>
        <v/>
      </c>
      <c r="P100" s="29" t="str">
        <f aca="false">IF(A100="","",IF(C100="","KOSONG",IF(AND(LEN(C100)=16,ISNUMBER(--C100)),"OK","TIDAK VALID")))</f>
        <v/>
      </c>
    </row>
    <row r="101" customFormat="false" ht="15" hidden="false" customHeight="false" outlineLevel="0" collapsed="false">
      <c r="A101" s="21"/>
      <c r="B101" s="22"/>
      <c r="C101" s="21"/>
      <c r="D101" s="22"/>
      <c r="E101" s="22"/>
      <c r="F101" s="28"/>
      <c r="G101" s="22"/>
      <c r="H101" s="21"/>
      <c r="I101" s="28"/>
      <c r="J101" s="22"/>
      <c r="K101" s="22"/>
      <c r="L101" s="22"/>
      <c r="M101" s="21"/>
      <c r="N101" s="22"/>
      <c r="O101" s="29" t="str">
        <f aca="false">IF(A101="","",IF(COUNTIF($A$2:$A$2001,A101)&gt;1,"GANDA","OK"))</f>
        <v/>
      </c>
      <c r="P101" s="29" t="str">
        <f aca="false">IF(A101="","",IF(C101="","KOSONG",IF(AND(LEN(C101)=16,ISNUMBER(--C101)),"OK","TIDAK VALID")))</f>
        <v/>
      </c>
    </row>
    <row r="102" customFormat="false" ht="15" hidden="false" customHeight="false" outlineLevel="0" collapsed="false">
      <c r="A102" s="21"/>
      <c r="B102" s="22"/>
      <c r="C102" s="21"/>
      <c r="D102" s="22"/>
      <c r="E102" s="22"/>
      <c r="F102" s="28"/>
      <c r="G102" s="22"/>
      <c r="H102" s="21"/>
      <c r="I102" s="28"/>
      <c r="J102" s="22"/>
      <c r="K102" s="22"/>
      <c r="L102" s="22"/>
      <c r="M102" s="21"/>
      <c r="N102" s="22"/>
      <c r="O102" s="29" t="str">
        <f aca="false">IF(A102="","",IF(COUNTIF($A$2:$A$2001,A102)&gt;1,"GANDA","OK"))</f>
        <v/>
      </c>
      <c r="P102" s="29" t="str">
        <f aca="false">IF(A102="","",IF(C102="","KOSONG",IF(AND(LEN(C102)=16,ISNUMBER(--C102)),"OK","TIDAK VALID")))</f>
        <v/>
      </c>
    </row>
    <row r="103" customFormat="false" ht="15" hidden="false" customHeight="false" outlineLevel="0" collapsed="false">
      <c r="A103" s="21"/>
      <c r="B103" s="22"/>
      <c r="C103" s="21"/>
      <c r="D103" s="22"/>
      <c r="E103" s="22"/>
      <c r="F103" s="28"/>
      <c r="G103" s="22"/>
      <c r="H103" s="21"/>
      <c r="I103" s="28"/>
      <c r="J103" s="22"/>
      <c r="K103" s="22"/>
      <c r="L103" s="22"/>
      <c r="M103" s="21"/>
      <c r="N103" s="22"/>
      <c r="O103" s="29" t="str">
        <f aca="false">IF(A103="","",IF(COUNTIF($A$2:$A$2001,A103)&gt;1,"GANDA","OK"))</f>
        <v/>
      </c>
      <c r="P103" s="29" t="str">
        <f aca="false">IF(A103="","",IF(C103="","KOSONG",IF(AND(LEN(C103)=16,ISNUMBER(--C103)),"OK","TIDAK VALID")))</f>
        <v/>
      </c>
    </row>
    <row r="104" customFormat="false" ht="15" hidden="false" customHeight="false" outlineLevel="0" collapsed="false">
      <c r="A104" s="21"/>
      <c r="B104" s="22"/>
      <c r="C104" s="21"/>
      <c r="D104" s="22"/>
      <c r="E104" s="22"/>
      <c r="F104" s="28"/>
      <c r="G104" s="22"/>
      <c r="H104" s="21"/>
      <c r="I104" s="28"/>
      <c r="J104" s="22"/>
      <c r="K104" s="22"/>
      <c r="L104" s="22"/>
      <c r="M104" s="21"/>
      <c r="N104" s="22"/>
      <c r="O104" s="29" t="str">
        <f aca="false">IF(A104="","",IF(COUNTIF($A$2:$A$2001,A104)&gt;1,"GANDA","OK"))</f>
        <v/>
      </c>
      <c r="P104" s="29" t="str">
        <f aca="false">IF(A104="","",IF(C104="","KOSONG",IF(AND(LEN(C104)=16,ISNUMBER(--C104)),"OK","TIDAK VALID")))</f>
        <v/>
      </c>
    </row>
    <row r="105" customFormat="false" ht="15" hidden="false" customHeight="false" outlineLevel="0" collapsed="false">
      <c r="A105" s="21"/>
      <c r="B105" s="22"/>
      <c r="C105" s="21"/>
      <c r="D105" s="22"/>
      <c r="E105" s="22"/>
      <c r="F105" s="28"/>
      <c r="G105" s="22"/>
      <c r="H105" s="21"/>
      <c r="I105" s="28"/>
      <c r="J105" s="22"/>
      <c r="K105" s="22"/>
      <c r="L105" s="22"/>
      <c r="M105" s="21"/>
      <c r="N105" s="22"/>
      <c r="O105" s="29" t="str">
        <f aca="false">IF(A105="","",IF(COUNTIF($A$2:$A$2001,A105)&gt;1,"GANDA","OK"))</f>
        <v/>
      </c>
      <c r="P105" s="29" t="str">
        <f aca="false">IF(A105="","",IF(C105="","KOSONG",IF(AND(LEN(C105)=16,ISNUMBER(--C105)),"OK","TIDAK VALID")))</f>
        <v/>
      </c>
    </row>
    <row r="106" customFormat="false" ht="15" hidden="false" customHeight="false" outlineLevel="0" collapsed="false">
      <c r="A106" s="21"/>
      <c r="B106" s="22"/>
      <c r="C106" s="21"/>
      <c r="D106" s="22"/>
      <c r="E106" s="22"/>
      <c r="F106" s="28"/>
      <c r="G106" s="22"/>
      <c r="H106" s="21"/>
      <c r="I106" s="28"/>
      <c r="J106" s="22"/>
      <c r="K106" s="22"/>
      <c r="L106" s="22"/>
      <c r="M106" s="21"/>
      <c r="N106" s="22"/>
      <c r="O106" s="29" t="str">
        <f aca="false">IF(A106="","",IF(COUNTIF($A$2:$A$2001,A106)&gt;1,"GANDA","OK"))</f>
        <v/>
      </c>
      <c r="P106" s="29" t="str">
        <f aca="false">IF(A106="","",IF(C106="","KOSONG",IF(AND(LEN(C106)=16,ISNUMBER(--C106)),"OK","TIDAK VALID")))</f>
        <v/>
      </c>
    </row>
    <row r="107" customFormat="false" ht="15" hidden="false" customHeight="false" outlineLevel="0" collapsed="false">
      <c r="A107" s="21"/>
      <c r="B107" s="22"/>
      <c r="C107" s="21"/>
      <c r="D107" s="22"/>
      <c r="E107" s="22"/>
      <c r="F107" s="28"/>
      <c r="G107" s="22"/>
      <c r="H107" s="21"/>
      <c r="I107" s="28"/>
      <c r="J107" s="22"/>
      <c r="K107" s="22"/>
      <c r="L107" s="22"/>
      <c r="M107" s="21"/>
      <c r="N107" s="22"/>
      <c r="O107" s="29" t="str">
        <f aca="false">IF(A107="","",IF(COUNTIF($A$2:$A$2001,A107)&gt;1,"GANDA","OK"))</f>
        <v/>
      </c>
      <c r="P107" s="29" t="str">
        <f aca="false">IF(A107="","",IF(C107="","KOSONG",IF(AND(LEN(C107)=16,ISNUMBER(--C107)),"OK","TIDAK VALID")))</f>
        <v/>
      </c>
    </row>
    <row r="108" customFormat="false" ht="15" hidden="false" customHeight="false" outlineLevel="0" collapsed="false">
      <c r="A108" s="21"/>
      <c r="B108" s="22"/>
      <c r="C108" s="21"/>
      <c r="D108" s="22"/>
      <c r="E108" s="22"/>
      <c r="F108" s="28"/>
      <c r="G108" s="22"/>
      <c r="H108" s="21"/>
      <c r="I108" s="28"/>
      <c r="J108" s="22"/>
      <c r="K108" s="22"/>
      <c r="L108" s="22"/>
      <c r="M108" s="21"/>
      <c r="N108" s="22"/>
      <c r="O108" s="29" t="str">
        <f aca="false">IF(A108="","",IF(COUNTIF($A$2:$A$2001,A108)&gt;1,"GANDA","OK"))</f>
        <v/>
      </c>
      <c r="P108" s="29" t="str">
        <f aca="false">IF(A108="","",IF(C108="","KOSONG",IF(AND(LEN(C108)=16,ISNUMBER(--C108)),"OK","TIDAK VALID")))</f>
        <v/>
      </c>
    </row>
    <row r="109" customFormat="false" ht="15" hidden="false" customHeight="false" outlineLevel="0" collapsed="false">
      <c r="A109" s="21"/>
      <c r="B109" s="22"/>
      <c r="C109" s="21"/>
      <c r="D109" s="22"/>
      <c r="E109" s="22"/>
      <c r="F109" s="28"/>
      <c r="G109" s="22"/>
      <c r="H109" s="21"/>
      <c r="I109" s="28"/>
      <c r="J109" s="22"/>
      <c r="K109" s="22"/>
      <c r="L109" s="22"/>
      <c r="M109" s="21"/>
      <c r="N109" s="22"/>
      <c r="O109" s="29" t="str">
        <f aca="false">IF(A109="","",IF(COUNTIF($A$2:$A$2001,A109)&gt;1,"GANDA","OK"))</f>
        <v/>
      </c>
      <c r="P109" s="29" t="str">
        <f aca="false">IF(A109="","",IF(C109="","KOSONG",IF(AND(LEN(C109)=16,ISNUMBER(--C109)),"OK","TIDAK VALID")))</f>
        <v/>
      </c>
    </row>
    <row r="110" customFormat="false" ht="15" hidden="false" customHeight="false" outlineLevel="0" collapsed="false">
      <c r="A110" s="21"/>
      <c r="B110" s="22"/>
      <c r="C110" s="21"/>
      <c r="D110" s="22"/>
      <c r="E110" s="22"/>
      <c r="F110" s="28"/>
      <c r="G110" s="22"/>
      <c r="H110" s="21"/>
      <c r="I110" s="28"/>
      <c r="J110" s="22"/>
      <c r="K110" s="22"/>
      <c r="L110" s="22"/>
      <c r="M110" s="21"/>
      <c r="N110" s="22"/>
      <c r="O110" s="29" t="str">
        <f aca="false">IF(A110="","",IF(COUNTIF($A$2:$A$2001,A110)&gt;1,"GANDA","OK"))</f>
        <v/>
      </c>
      <c r="P110" s="29" t="str">
        <f aca="false">IF(A110="","",IF(C110="","KOSONG",IF(AND(LEN(C110)=16,ISNUMBER(--C110)),"OK","TIDAK VALID")))</f>
        <v/>
      </c>
    </row>
    <row r="111" customFormat="false" ht="15" hidden="false" customHeight="false" outlineLevel="0" collapsed="false">
      <c r="A111" s="21"/>
      <c r="B111" s="22"/>
      <c r="C111" s="21"/>
      <c r="D111" s="22"/>
      <c r="E111" s="22"/>
      <c r="F111" s="28"/>
      <c r="G111" s="22"/>
      <c r="H111" s="21"/>
      <c r="I111" s="28"/>
      <c r="J111" s="22"/>
      <c r="K111" s="22"/>
      <c r="L111" s="22"/>
      <c r="M111" s="21"/>
      <c r="N111" s="22"/>
      <c r="O111" s="29" t="str">
        <f aca="false">IF(A111="","",IF(COUNTIF($A$2:$A$2001,A111)&gt;1,"GANDA","OK"))</f>
        <v/>
      </c>
      <c r="P111" s="29" t="str">
        <f aca="false">IF(A111="","",IF(C111="","KOSONG",IF(AND(LEN(C111)=16,ISNUMBER(--C111)),"OK","TIDAK VALID")))</f>
        <v/>
      </c>
    </row>
    <row r="112" customFormat="false" ht="15" hidden="false" customHeight="false" outlineLevel="0" collapsed="false">
      <c r="A112" s="21"/>
      <c r="B112" s="22"/>
      <c r="C112" s="21"/>
      <c r="D112" s="22"/>
      <c r="E112" s="22"/>
      <c r="F112" s="28"/>
      <c r="G112" s="22"/>
      <c r="H112" s="21"/>
      <c r="I112" s="28"/>
      <c r="J112" s="22"/>
      <c r="K112" s="22"/>
      <c r="L112" s="22"/>
      <c r="M112" s="21"/>
      <c r="N112" s="22"/>
      <c r="O112" s="29" t="str">
        <f aca="false">IF(A112="","",IF(COUNTIF($A$2:$A$2001,A112)&gt;1,"GANDA","OK"))</f>
        <v/>
      </c>
      <c r="P112" s="29" t="str">
        <f aca="false">IF(A112="","",IF(C112="","KOSONG",IF(AND(LEN(C112)=16,ISNUMBER(--C112)),"OK","TIDAK VALID")))</f>
        <v/>
      </c>
    </row>
    <row r="113" customFormat="false" ht="15" hidden="false" customHeight="false" outlineLevel="0" collapsed="false">
      <c r="A113" s="21"/>
      <c r="B113" s="22"/>
      <c r="C113" s="21"/>
      <c r="D113" s="22"/>
      <c r="E113" s="22"/>
      <c r="F113" s="28"/>
      <c r="G113" s="22"/>
      <c r="H113" s="21"/>
      <c r="I113" s="28"/>
      <c r="J113" s="22"/>
      <c r="K113" s="22"/>
      <c r="L113" s="22"/>
      <c r="M113" s="21"/>
      <c r="N113" s="22"/>
      <c r="O113" s="29" t="str">
        <f aca="false">IF(A113="","",IF(COUNTIF($A$2:$A$2001,A113)&gt;1,"GANDA","OK"))</f>
        <v/>
      </c>
      <c r="P113" s="29" t="str">
        <f aca="false">IF(A113="","",IF(C113="","KOSONG",IF(AND(LEN(C113)=16,ISNUMBER(--C113)),"OK","TIDAK VALID")))</f>
        <v/>
      </c>
    </row>
    <row r="114" customFormat="false" ht="15" hidden="false" customHeight="false" outlineLevel="0" collapsed="false">
      <c r="A114" s="21"/>
      <c r="B114" s="22"/>
      <c r="C114" s="21"/>
      <c r="D114" s="22"/>
      <c r="E114" s="22"/>
      <c r="F114" s="28"/>
      <c r="G114" s="22"/>
      <c r="H114" s="21"/>
      <c r="I114" s="28"/>
      <c r="J114" s="22"/>
      <c r="K114" s="22"/>
      <c r="L114" s="22"/>
      <c r="M114" s="21"/>
      <c r="N114" s="22"/>
      <c r="O114" s="29" t="str">
        <f aca="false">IF(A114="","",IF(COUNTIF($A$2:$A$2001,A114)&gt;1,"GANDA","OK"))</f>
        <v/>
      </c>
      <c r="P114" s="29" t="str">
        <f aca="false">IF(A114="","",IF(C114="","KOSONG",IF(AND(LEN(C114)=16,ISNUMBER(--C114)),"OK","TIDAK VALID")))</f>
        <v/>
      </c>
    </row>
    <row r="115" customFormat="false" ht="15" hidden="false" customHeight="false" outlineLevel="0" collapsed="false">
      <c r="A115" s="21"/>
      <c r="B115" s="22"/>
      <c r="C115" s="21"/>
      <c r="D115" s="22"/>
      <c r="E115" s="22"/>
      <c r="F115" s="28"/>
      <c r="G115" s="22"/>
      <c r="H115" s="21"/>
      <c r="I115" s="28"/>
      <c r="J115" s="22"/>
      <c r="K115" s="22"/>
      <c r="L115" s="22"/>
      <c r="M115" s="21"/>
      <c r="N115" s="22"/>
      <c r="O115" s="29" t="str">
        <f aca="false">IF(A115="","",IF(COUNTIF($A$2:$A$2001,A115)&gt;1,"GANDA","OK"))</f>
        <v/>
      </c>
      <c r="P115" s="29" t="str">
        <f aca="false">IF(A115="","",IF(C115="","KOSONG",IF(AND(LEN(C115)=16,ISNUMBER(--C115)),"OK","TIDAK VALID")))</f>
        <v/>
      </c>
    </row>
    <row r="116" customFormat="false" ht="15" hidden="false" customHeight="false" outlineLevel="0" collapsed="false">
      <c r="A116" s="21"/>
      <c r="B116" s="22"/>
      <c r="C116" s="21"/>
      <c r="D116" s="22"/>
      <c r="E116" s="22"/>
      <c r="F116" s="28"/>
      <c r="G116" s="22"/>
      <c r="H116" s="21"/>
      <c r="I116" s="28"/>
      <c r="J116" s="22"/>
      <c r="K116" s="22"/>
      <c r="L116" s="22"/>
      <c r="M116" s="21"/>
      <c r="N116" s="22"/>
      <c r="O116" s="29" t="str">
        <f aca="false">IF(A116="","",IF(COUNTIF($A$2:$A$2001,A116)&gt;1,"GANDA","OK"))</f>
        <v/>
      </c>
      <c r="P116" s="29" t="str">
        <f aca="false">IF(A116="","",IF(C116="","KOSONG",IF(AND(LEN(C116)=16,ISNUMBER(--C116)),"OK","TIDAK VALID")))</f>
        <v/>
      </c>
    </row>
    <row r="117" customFormat="false" ht="15" hidden="false" customHeight="false" outlineLevel="0" collapsed="false">
      <c r="A117" s="21"/>
      <c r="B117" s="22"/>
      <c r="C117" s="21"/>
      <c r="D117" s="22"/>
      <c r="E117" s="22"/>
      <c r="F117" s="28"/>
      <c r="G117" s="22"/>
      <c r="H117" s="21"/>
      <c r="I117" s="28"/>
      <c r="J117" s="22"/>
      <c r="K117" s="22"/>
      <c r="L117" s="22"/>
      <c r="M117" s="21"/>
      <c r="N117" s="22"/>
      <c r="O117" s="29" t="str">
        <f aca="false">IF(A117="","",IF(COUNTIF($A$2:$A$2001,A117)&gt;1,"GANDA","OK"))</f>
        <v/>
      </c>
      <c r="P117" s="29" t="str">
        <f aca="false">IF(A117="","",IF(C117="","KOSONG",IF(AND(LEN(C117)=16,ISNUMBER(--C117)),"OK","TIDAK VALID")))</f>
        <v/>
      </c>
    </row>
    <row r="118" customFormat="false" ht="15" hidden="false" customHeight="false" outlineLevel="0" collapsed="false">
      <c r="A118" s="21"/>
      <c r="B118" s="22"/>
      <c r="C118" s="21"/>
      <c r="D118" s="22"/>
      <c r="E118" s="22"/>
      <c r="F118" s="28"/>
      <c r="G118" s="22"/>
      <c r="H118" s="21"/>
      <c r="I118" s="28"/>
      <c r="J118" s="22"/>
      <c r="K118" s="22"/>
      <c r="L118" s="22"/>
      <c r="M118" s="21"/>
      <c r="N118" s="22"/>
      <c r="O118" s="29" t="str">
        <f aca="false">IF(A118="","",IF(COUNTIF($A$2:$A$2001,A118)&gt;1,"GANDA","OK"))</f>
        <v/>
      </c>
      <c r="P118" s="29" t="str">
        <f aca="false">IF(A118="","",IF(C118="","KOSONG",IF(AND(LEN(C118)=16,ISNUMBER(--C118)),"OK","TIDAK VALID")))</f>
        <v/>
      </c>
    </row>
    <row r="119" customFormat="false" ht="15" hidden="false" customHeight="false" outlineLevel="0" collapsed="false">
      <c r="A119" s="21"/>
      <c r="B119" s="22"/>
      <c r="C119" s="21"/>
      <c r="D119" s="22"/>
      <c r="E119" s="22"/>
      <c r="F119" s="28"/>
      <c r="G119" s="22"/>
      <c r="H119" s="21"/>
      <c r="I119" s="28"/>
      <c r="J119" s="22"/>
      <c r="K119" s="22"/>
      <c r="L119" s="22"/>
      <c r="M119" s="21"/>
      <c r="N119" s="22"/>
      <c r="O119" s="29" t="str">
        <f aca="false">IF(A119="","",IF(COUNTIF($A$2:$A$2001,A119)&gt;1,"GANDA","OK"))</f>
        <v/>
      </c>
      <c r="P119" s="29" t="str">
        <f aca="false">IF(A119="","",IF(C119="","KOSONG",IF(AND(LEN(C119)=16,ISNUMBER(--C119)),"OK","TIDAK VALID")))</f>
        <v/>
      </c>
    </row>
    <row r="120" customFormat="false" ht="15" hidden="false" customHeight="false" outlineLevel="0" collapsed="false">
      <c r="A120" s="21"/>
      <c r="B120" s="22"/>
      <c r="C120" s="21"/>
      <c r="D120" s="22"/>
      <c r="E120" s="22"/>
      <c r="F120" s="28"/>
      <c r="G120" s="22"/>
      <c r="H120" s="21"/>
      <c r="I120" s="28"/>
      <c r="J120" s="22"/>
      <c r="K120" s="22"/>
      <c r="L120" s="22"/>
      <c r="M120" s="21"/>
      <c r="N120" s="22"/>
      <c r="O120" s="29" t="str">
        <f aca="false">IF(A120="","",IF(COUNTIF($A$2:$A$2001,A120)&gt;1,"GANDA","OK"))</f>
        <v/>
      </c>
      <c r="P120" s="29" t="str">
        <f aca="false">IF(A120="","",IF(C120="","KOSONG",IF(AND(LEN(C120)=16,ISNUMBER(--C120)),"OK","TIDAK VALID")))</f>
        <v/>
      </c>
    </row>
    <row r="121" customFormat="false" ht="15" hidden="false" customHeight="false" outlineLevel="0" collapsed="false">
      <c r="A121" s="21"/>
      <c r="B121" s="22"/>
      <c r="C121" s="21"/>
      <c r="D121" s="22"/>
      <c r="E121" s="22"/>
      <c r="F121" s="28"/>
      <c r="G121" s="22"/>
      <c r="H121" s="21"/>
      <c r="I121" s="28"/>
      <c r="J121" s="22"/>
      <c r="K121" s="22"/>
      <c r="L121" s="22"/>
      <c r="M121" s="21"/>
      <c r="N121" s="22"/>
      <c r="O121" s="29" t="str">
        <f aca="false">IF(A121="","",IF(COUNTIF($A$2:$A$2001,A121)&gt;1,"GANDA","OK"))</f>
        <v/>
      </c>
      <c r="P121" s="29" t="str">
        <f aca="false">IF(A121="","",IF(C121="","KOSONG",IF(AND(LEN(C121)=16,ISNUMBER(--C121)),"OK","TIDAK VALID")))</f>
        <v/>
      </c>
    </row>
    <row r="122" customFormat="false" ht="15" hidden="false" customHeight="false" outlineLevel="0" collapsed="false">
      <c r="A122" s="21"/>
      <c r="B122" s="22"/>
      <c r="C122" s="21"/>
      <c r="D122" s="22"/>
      <c r="E122" s="22"/>
      <c r="F122" s="28"/>
      <c r="G122" s="22"/>
      <c r="H122" s="21"/>
      <c r="I122" s="28"/>
      <c r="J122" s="22"/>
      <c r="K122" s="22"/>
      <c r="L122" s="22"/>
      <c r="M122" s="21"/>
      <c r="N122" s="22"/>
      <c r="O122" s="29" t="str">
        <f aca="false">IF(A122="","",IF(COUNTIF($A$2:$A$2001,A122)&gt;1,"GANDA","OK"))</f>
        <v/>
      </c>
      <c r="P122" s="29" t="str">
        <f aca="false">IF(A122="","",IF(C122="","KOSONG",IF(AND(LEN(C122)=16,ISNUMBER(--C122)),"OK","TIDAK VALID")))</f>
        <v/>
      </c>
    </row>
    <row r="123" customFormat="false" ht="15" hidden="false" customHeight="false" outlineLevel="0" collapsed="false">
      <c r="A123" s="21"/>
      <c r="B123" s="22"/>
      <c r="C123" s="21"/>
      <c r="D123" s="22"/>
      <c r="E123" s="22"/>
      <c r="F123" s="28"/>
      <c r="G123" s="22"/>
      <c r="H123" s="21"/>
      <c r="I123" s="28"/>
      <c r="J123" s="22"/>
      <c r="K123" s="22"/>
      <c r="L123" s="22"/>
      <c r="M123" s="21"/>
      <c r="N123" s="22"/>
      <c r="O123" s="29" t="str">
        <f aca="false">IF(A123="","",IF(COUNTIF($A$2:$A$2001,A123)&gt;1,"GANDA","OK"))</f>
        <v/>
      </c>
      <c r="P123" s="29" t="str">
        <f aca="false">IF(A123="","",IF(C123="","KOSONG",IF(AND(LEN(C123)=16,ISNUMBER(--C123)),"OK","TIDAK VALID")))</f>
        <v/>
      </c>
    </row>
    <row r="124" customFormat="false" ht="15" hidden="false" customHeight="false" outlineLevel="0" collapsed="false">
      <c r="A124" s="21"/>
      <c r="B124" s="22"/>
      <c r="C124" s="21"/>
      <c r="D124" s="22"/>
      <c r="E124" s="22"/>
      <c r="F124" s="28"/>
      <c r="G124" s="22"/>
      <c r="H124" s="21"/>
      <c r="I124" s="28"/>
      <c r="J124" s="22"/>
      <c r="K124" s="22"/>
      <c r="L124" s="22"/>
      <c r="M124" s="21"/>
      <c r="N124" s="22"/>
      <c r="O124" s="29" t="str">
        <f aca="false">IF(A124="","",IF(COUNTIF($A$2:$A$2001,A124)&gt;1,"GANDA","OK"))</f>
        <v/>
      </c>
      <c r="P124" s="29" t="str">
        <f aca="false">IF(A124="","",IF(C124="","KOSONG",IF(AND(LEN(C124)=16,ISNUMBER(--C124)),"OK","TIDAK VALID")))</f>
        <v/>
      </c>
    </row>
    <row r="125" customFormat="false" ht="15" hidden="false" customHeight="false" outlineLevel="0" collapsed="false">
      <c r="A125" s="21"/>
      <c r="B125" s="22"/>
      <c r="C125" s="21"/>
      <c r="D125" s="22"/>
      <c r="E125" s="22"/>
      <c r="F125" s="28"/>
      <c r="G125" s="22"/>
      <c r="H125" s="21"/>
      <c r="I125" s="28"/>
      <c r="J125" s="22"/>
      <c r="K125" s="22"/>
      <c r="L125" s="22"/>
      <c r="M125" s="21"/>
      <c r="N125" s="22"/>
      <c r="O125" s="29" t="str">
        <f aca="false">IF(A125="","",IF(COUNTIF($A$2:$A$2001,A125)&gt;1,"GANDA","OK"))</f>
        <v/>
      </c>
      <c r="P125" s="29" t="str">
        <f aca="false">IF(A125="","",IF(C125="","KOSONG",IF(AND(LEN(C125)=16,ISNUMBER(--C125)),"OK","TIDAK VALID")))</f>
        <v/>
      </c>
    </row>
    <row r="126" customFormat="false" ht="15" hidden="false" customHeight="false" outlineLevel="0" collapsed="false">
      <c r="A126" s="21"/>
      <c r="B126" s="22"/>
      <c r="C126" s="21"/>
      <c r="D126" s="22"/>
      <c r="E126" s="22"/>
      <c r="F126" s="28"/>
      <c r="G126" s="22"/>
      <c r="H126" s="21"/>
      <c r="I126" s="28"/>
      <c r="J126" s="22"/>
      <c r="K126" s="22"/>
      <c r="L126" s="22"/>
      <c r="M126" s="21"/>
      <c r="N126" s="22"/>
      <c r="O126" s="29" t="str">
        <f aca="false">IF(A126="","",IF(COUNTIF($A$2:$A$2001,A126)&gt;1,"GANDA","OK"))</f>
        <v/>
      </c>
      <c r="P126" s="29" t="str">
        <f aca="false">IF(A126="","",IF(C126="","KOSONG",IF(AND(LEN(C126)=16,ISNUMBER(--C126)),"OK","TIDAK VALID")))</f>
        <v/>
      </c>
    </row>
    <row r="127" customFormat="false" ht="15" hidden="false" customHeight="false" outlineLevel="0" collapsed="false">
      <c r="A127" s="21"/>
      <c r="B127" s="22"/>
      <c r="C127" s="21"/>
      <c r="D127" s="22"/>
      <c r="E127" s="22"/>
      <c r="F127" s="28"/>
      <c r="G127" s="22"/>
      <c r="H127" s="21"/>
      <c r="I127" s="28"/>
      <c r="J127" s="22"/>
      <c r="K127" s="22"/>
      <c r="L127" s="22"/>
      <c r="M127" s="21"/>
      <c r="N127" s="22"/>
      <c r="O127" s="29" t="str">
        <f aca="false">IF(A127="","",IF(COUNTIF($A$2:$A$2001,A127)&gt;1,"GANDA","OK"))</f>
        <v/>
      </c>
      <c r="P127" s="29" t="str">
        <f aca="false">IF(A127="","",IF(C127="","KOSONG",IF(AND(LEN(C127)=16,ISNUMBER(--C127)),"OK","TIDAK VALID")))</f>
        <v/>
      </c>
    </row>
    <row r="128" customFormat="false" ht="15" hidden="false" customHeight="false" outlineLevel="0" collapsed="false">
      <c r="A128" s="21"/>
      <c r="B128" s="22"/>
      <c r="C128" s="21"/>
      <c r="D128" s="22"/>
      <c r="E128" s="22"/>
      <c r="F128" s="28"/>
      <c r="G128" s="22"/>
      <c r="H128" s="21"/>
      <c r="I128" s="28"/>
      <c r="J128" s="22"/>
      <c r="K128" s="22"/>
      <c r="L128" s="22"/>
      <c r="M128" s="21"/>
      <c r="N128" s="22"/>
      <c r="O128" s="29" t="str">
        <f aca="false">IF(A128="","",IF(COUNTIF($A$2:$A$2001,A128)&gt;1,"GANDA","OK"))</f>
        <v/>
      </c>
      <c r="P128" s="29" t="str">
        <f aca="false">IF(A128="","",IF(C128="","KOSONG",IF(AND(LEN(C128)=16,ISNUMBER(--C128)),"OK","TIDAK VALID")))</f>
        <v/>
      </c>
    </row>
    <row r="129" customFormat="false" ht="15" hidden="false" customHeight="false" outlineLevel="0" collapsed="false">
      <c r="A129" s="21"/>
      <c r="B129" s="22"/>
      <c r="C129" s="21"/>
      <c r="D129" s="22"/>
      <c r="E129" s="22"/>
      <c r="F129" s="28"/>
      <c r="G129" s="22"/>
      <c r="H129" s="21"/>
      <c r="I129" s="28"/>
      <c r="J129" s="22"/>
      <c r="K129" s="22"/>
      <c r="L129" s="22"/>
      <c r="M129" s="21"/>
      <c r="N129" s="22"/>
      <c r="O129" s="29" t="str">
        <f aca="false">IF(A129="","",IF(COUNTIF($A$2:$A$2001,A129)&gt;1,"GANDA","OK"))</f>
        <v/>
      </c>
      <c r="P129" s="29" t="str">
        <f aca="false">IF(A129="","",IF(C129="","KOSONG",IF(AND(LEN(C129)=16,ISNUMBER(--C129)),"OK","TIDAK VALID")))</f>
        <v/>
      </c>
    </row>
    <row r="130" customFormat="false" ht="15" hidden="false" customHeight="false" outlineLevel="0" collapsed="false">
      <c r="A130" s="21"/>
      <c r="B130" s="22"/>
      <c r="C130" s="21"/>
      <c r="D130" s="22"/>
      <c r="E130" s="22"/>
      <c r="F130" s="28"/>
      <c r="G130" s="22"/>
      <c r="H130" s="21"/>
      <c r="I130" s="28"/>
      <c r="J130" s="22"/>
      <c r="K130" s="22"/>
      <c r="L130" s="22"/>
      <c r="M130" s="21"/>
      <c r="N130" s="22"/>
      <c r="O130" s="29" t="str">
        <f aca="false">IF(A130="","",IF(COUNTIF($A$2:$A$2001,A130)&gt;1,"GANDA","OK"))</f>
        <v/>
      </c>
      <c r="P130" s="29" t="str">
        <f aca="false">IF(A130="","",IF(C130="","KOSONG",IF(AND(LEN(C130)=16,ISNUMBER(--C130)),"OK","TIDAK VALID")))</f>
        <v/>
      </c>
    </row>
    <row r="131" customFormat="false" ht="15" hidden="false" customHeight="false" outlineLevel="0" collapsed="false">
      <c r="A131" s="21"/>
      <c r="B131" s="22"/>
      <c r="C131" s="21"/>
      <c r="D131" s="22"/>
      <c r="E131" s="22"/>
      <c r="F131" s="28"/>
      <c r="G131" s="22"/>
      <c r="H131" s="21"/>
      <c r="I131" s="28"/>
      <c r="J131" s="22"/>
      <c r="K131" s="22"/>
      <c r="L131" s="22"/>
      <c r="M131" s="21"/>
      <c r="N131" s="22"/>
      <c r="O131" s="29" t="str">
        <f aca="false">IF(A131="","",IF(COUNTIF($A$2:$A$2001,A131)&gt;1,"GANDA","OK"))</f>
        <v/>
      </c>
      <c r="P131" s="29" t="str">
        <f aca="false">IF(A131="","",IF(C131="","KOSONG",IF(AND(LEN(C131)=16,ISNUMBER(--C131)),"OK","TIDAK VALID")))</f>
        <v/>
      </c>
    </row>
    <row r="132" customFormat="false" ht="15" hidden="false" customHeight="false" outlineLevel="0" collapsed="false">
      <c r="A132" s="21"/>
      <c r="B132" s="22"/>
      <c r="C132" s="21"/>
      <c r="D132" s="22"/>
      <c r="E132" s="22"/>
      <c r="F132" s="28"/>
      <c r="G132" s="22"/>
      <c r="H132" s="21"/>
      <c r="I132" s="28"/>
      <c r="J132" s="22"/>
      <c r="K132" s="22"/>
      <c r="L132" s="22"/>
      <c r="M132" s="21"/>
      <c r="N132" s="22"/>
      <c r="O132" s="29" t="str">
        <f aca="false">IF(A132="","",IF(COUNTIF($A$2:$A$2001,A132)&gt;1,"GANDA","OK"))</f>
        <v/>
      </c>
      <c r="P132" s="29" t="str">
        <f aca="false">IF(A132="","",IF(C132="","KOSONG",IF(AND(LEN(C132)=16,ISNUMBER(--C132)),"OK","TIDAK VALID")))</f>
        <v/>
      </c>
    </row>
    <row r="133" customFormat="false" ht="15" hidden="false" customHeight="false" outlineLevel="0" collapsed="false">
      <c r="A133" s="21"/>
      <c r="B133" s="22"/>
      <c r="C133" s="21"/>
      <c r="D133" s="22"/>
      <c r="E133" s="22"/>
      <c r="F133" s="28"/>
      <c r="G133" s="22"/>
      <c r="H133" s="21"/>
      <c r="I133" s="28"/>
      <c r="J133" s="22"/>
      <c r="K133" s="22"/>
      <c r="L133" s="22"/>
      <c r="M133" s="21"/>
      <c r="N133" s="22"/>
      <c r="O133" s="29" t="str">
        <f aca="false">IF(A133="","",IF(COUNTIF($A$2:$A$2001,A133)&gt;1,"GANDA","OK"))</f>
        <v/>
      </c>
      <c r="P133" s="29" t="str">
        <f aca="false">IF(A133="","",IF(C133="","KOSONG",IF(AND(LEN(C133)=16,ISNUMBER(--C133)),"OK","TIDAK VALID")))</f>
        <v/>
      </c>
    </row>
    <row r="134" customFormat="false" ht="15" hidden="false" customHeight="false" outlineLevel="0" collapsed="false">
      <c r="A134" s="21"/>
      <c r="B134" s="22"/>
      <c r="C134" s="21"/>
      <c r="D134" s="22"/>
      <c r="E134" s="22"/>
      <c r="F134" s="28"/>
      <c r="G134" s="22"/>
      <c r="H134" s="21"/>
      <c r="I134" s="28"/>
      <c r="J134" s="22"/>
      <c r="K134" s="22"/>
      <c r="L134" s="22"/>
      <c r="M134" s="21"/>
      <c r="N134" s="22"/>
      <c r="O134" s="29" t="str">
        <f aca="false">IF(A134="","",IF(COUNTIF($A$2:$A$2001,A134)&gt;1,"GANDA","OK"))</f>
        <v/>
      </c>
      <c r="P134" s="29" t="str">
        <f aca="false">IF(A134="","",IF(C134="","KOSONG",IF(AND(LEN(C134)=16,ISNUMBER(--C134)),"OK","TIDAK VALID")))</f>
        <v/>
      </c>
    </row>
    <row r="135" customFormat="false" ht="15" hidden="false" customHeight="false" outlineLevel="0" collapsed="false">
      <c r="A135" s="21"/>
      <c r="B135" s="22"/>
      <c r="C135" s="21"/>
      <c r="D135" s="22"/>
      <c r="E135" s="22"/>
      <c r="F135" s="28"/>
      <c r="G135" s="22"/>
      <c r="H135" s="21"/>
      <c r="I135" s="28"/>
      <c r="J135" s="22"/>
      <c r="K135" s="22"/>
      <c r="L135" s="22"/>
      <c r="M135" s="21"/>
      <c r="N135" s="22"/>
      <c r="O135" s="29" t="str">
        <f aca="false">IF(A135="","",IF(COUNTIF($A$2:$A$2001,A135)&gt;1,"GANDA","OK"))</f>
        <v/>
      </c>
      <c r="P135" s="29" t="str">
        <f aca="false">IF(A135="","",IF(C135="","KOSONG",IF(AND(LEN(C135)=16,ISNUMBER(--C135)),"OK","TIDAK VALID")))</f>
        <v/>
      </c>
    </row>
    <row r="136" customFormat="false" ht="15" hidden="false" customHeight="false" outlineLevel="0" collapsed="false">
      <c r="A136" s="21"/>
      <c r="B136" s="22"/>
      <c r="C136" s="21"/>
      <c r="D136" s="22"/>
      <c r="E136" s="22"/>
      <c r="F136" s="28"/>
      <c r="G136" s="22"/>
      <c r="H136" s="21"/>
      <c r="I136" s="28"/>
      <c r="J136" s="22"/>
      <c r="K136" s="22"/>
      <c r="L136" s="22"/>
      <c r="M136" s="21"/>
      <c r="N136" s="22"/>
      <c r="O136" s="29" t="str">
        <f aca="false">IF(A136="","",IF(COUNTIF($A$2:$A$2001,A136)&gt;1,"GANDA","OK"))</f>
        <v/>
      </c>
      <c r="P136" s="29" t="str">
        <f aca="false">IF(A136="","",IF(C136="","KOSONG",IF(AND(LEN(C136)=16,ISNUMBER(--C136)),"OK","TIDAK VALID")))</f>
        <v/>
      </c>
    </row>
    <row r="137" customFormat="false" ht="15" hidden="false" customHeight="false" outlineLevel="0" collapsed="false">
      <c r="A137" s="21"/>
      <c r="B137" s="22"/>
      <c r="C137" s="21"/>
      <c r="D137" s="22"/>
      <c r="E137" s="22"/>
      <c r="F137" s="28"/>
      <c r="G137" s="22"/>
      <c r="H137" s="21"/>
      <c r="I137" s="28"/>
      <c r="J137" s="22"/>
      <c r="K137" s="22"/>
      <c r="L137" s="22"/>
      <c r="M137" s="21"/>
      <c r="N137" s="22"/>
      <c r="O137" s="29" t="str">
        <f aca="false">IF(A137="","",IF(COUNTIF($A$2:$A$2001,A137)&gt;1,"GANDA","OK"))</f>
        <v/>
      </c>
      <c r="P137" s="29" t="str">
        <f aca="false">IF(A137="","",IF(C137="","KOSONG",IF(AND(LEN(C137)=16,ISNUMBER(--C137)),"OK","TIDAK VALID")))</f>
        <v/>
      </c>
    </row>
    <row r="138" customFormat="false" ht="15" hidden="false" customHeight="false" outlineLevel="0" collapsed="false">
      <c r="A138" s="21"/>
      <c r="B138" s="22"/>
      <c r="C138" s="21"/>
      <c r="D138" s="22"/>
      <c r="E138" s="22"/>
      <c r="F138" s="28"/>
      <c r="G138" s="22"/>
      <c r="H138" s="21"/>
      <c r="I138" s="28"/>
      <c r="J138" s="22"/>
      <c r="K138" s="22"/>
      <c r="L138" s="22"/>
      <c r="M138" s="21"/>
      <c r="N138" s="22"/>
      <c r="O138" s="29" t="str">
        <f aca="false">IF(A138="","",IF(COUNTIF($A$2:$A$2001,A138)&gt;1,"GANDA","OK"))</f>
        <v/>
      </c>
      <c r="P138" s="29" t="str">
        <f aca="false">IF(A138="","",IF(C138="","KOSONG",IF(AND(LEN(C138)=16,ISNUMBER(--C138)),"OK","TIDAK VALID")))</f>
        <v/>
      </c>
    </row>
    <row r="139" customFormat="false" ht="15" hidden="false" customHeight="false" outlineLevel="0" collapsed="false">
      <c r="A139" s="21"/>
      <c r="B139" s="22"/>
      <c r="C139" s="21"/>
      <c r="D139" s="22"/>
      <c r="E139" s="22"/>
      <c r="F139" s="28"/>
      <c r="G139" s="22"/>
      <c r="H139" s="21"/>
      <c r="I139" s="28"/>
      <c r="J139" s="22"/>
      <c r="K139" s="22"/>
      <c r="L139" s="22"/>
      <c r="M139" s="21"/>
      <c r="N139" s="22"/>
      <c r="O139" s="29" t="str">
        <f aca="false">IF(A139="","",IF(COUNTIF($A$2:$A$2001,A139)&gt;1,"GANDA","OK"))</f>
        <v/>
      </c>
      <c r="P139" s="29" t="str">
        <f aca="false">IF(A139="","",IF(C139="","KOSONG",IF(AND(LEN(C139)=16,ISNUMBER(--C139)),"OK","TIDAK VALID")))</f>
        <v/>
      </c>
    </row>
    <row r="140" customFormat="false" ht="15" hidden="false" customHeight="false" outlineLevel="0" collapsed="false">
      <c r="A140" s="21"/>
      <c r="B140" s="22"/>
      <c r="C140" s="21"/>
      <c r="D140" s="22"/>
      <c r="E140" s="22"/>
      <c r="F140" s="28"/>
      <c r="G140" s="22"/>
      <c r="H140" s="21"/>
      <c r="I140" s="28"/>
      <c r="J140" s="22"/>
      <c r="K140" s="22"/>
      <c r="L140" s="22"/>
      <c r="M140" s="21"/>
      <c r="N140" s="22"/>
      <c r="O140" s="29" t="str">
        <f aca="false">IF(A140="","",IF(COUNTIF($A$2:$A$2001,A140)&gt;1,"GANDA","OK"))</f>
        <v/>
      </c>
      <c r="P140" s="29" t="str">
        <f aca="false">IF(A140="","",IF(C140="","KOSONG",IF(AND(LEN(C140)=16,ISNUMBER(--C140)),"OK","TIDAK VALID")))</f>
        <v/>
      </c>
    </row>
    <row r="141" customFormat="false" ht="15" hidden="false" customHeight="false" outlineLevel="0" collapsed="false">
      <c r="A141" s="21"/>
      <c r="B141" s="22"/>
      <c r="C141" s="21"/>
      <c r="D141" s="22"/>
      <c r="E141" s="22"/>
      <c r="F141" s="28"/>
      <c r="G141" s="22"/>
      <c r="H141" s="21"/>
      <c r="I141" s="28"/>
      <c r="J141" s="22"/>
      <c r="K141" s="22"/>
      <c r="L141" s="22"/>
      <c r="M141" s="21"/>
      <c r="N141" s="22"/>
      <c r="O141" s="29" t="str">
        <f aca="false">IF(A141="","",IF(COUNTIF($A$2:$A$2001,A141)&gt;1,"GANDA","OK"))</f>
        <v/>
      </c>
      <c r="P141" s="29" t="str">
        <f aca="false">IF(A141="","",IF(C141="","KOSONG",IF(AND(LEN(C141)=16,ISNUMBER(--C141)),"OK","TIDAK VALID")))</f>
        <v/>
      </c>
    </row>
    <row r="142" customFormat="false" ht="15" hidden="false" customHeight="false" outlineLevel="0" collapsed="false">
      <c r="A142" s="21"/>
      <c r="B142" s="22"/>
      <c r="C142" s="21"/>
      <c r="D142" s="22"/>
      <c r="E142" s="22"/>
      <c r="F142" s="28"/>
      <c r="G142" s="22"/>
      <c r="H142" s="21"/>
      <c r="I142" s="28"/>
      <c r="J142" s="22"/>
      <c r="K142" s="22"/>
      <c r="L142" s="22"/>
      <c r="M142" s="21"/>
      <c r="N142" s="22"/>
      <c r="O142" s="29" t="str">
        <f aca="false">IF(A142="","",IF(COUNTIF($A$2:$A$2001,A142)&gt;1,"GANDA","OK"))</f>
        <v/>
      </c>
      <c r="P142" s="29" t="str">
        <f aca="false">IF(A142="","",IF(C142="","KOSONG",IF(AND(LEN(C142)=16,ISNUMBER(--C142)),"OK","TIDAK VALID")))</f>
        <v/>
      </c>
    </row>
    <row r="143" customFormat="false" ht="15" hidden="false" customHeight="false" outlineLevel="0" collapsed="false">
      <c r="A143" s="21"/>
      <c r="B143" s="22"/>
      <c r="C143" s="21"/>
      <c r="D143" s="22"/>
      <c r="E143" s="22"/>
      <c r="F143" s="28"/>
      <c r="G143" s="22"/>
      <c r="H143" s="21"/>
      <c r="I143" s="28"/>
      <c r="J143" s="22"/>
      <c r="K143" s="22"/>
      <c r="L143" s="22"/>
      <c r="M143" s="21"/>
      <c r="N143" s="22"/>
      <c r="O143" s="29" t="str">
        <f aca="false">IF(A143="","",IF(COUNTIF($A$2:$A$2001,A143)&gt;1,"GANDA","OK"))</f>
        <v/>
      </c>
      <c r="P143" s="29" t="str">
        <f aca="false">IF(A143="","",IF(C143="","KOSONG",IF(AND(LEN(C143)=16,ISNUMBER(--C143)),"OK","TIDAK VALID")))</f>
        <v/>
      </c>
    </row>
    <row r="144" customFormat="false" ht="15" hidden="false" customHeight="false" outlineLevel="0" collapsed="false">
      <c r="A144" s="21"/>
      <c r="B144" s="22"/>
      <c r="C144" s="21"/>
      <c r="D144" s="22"/>
      <c r="E144" s="22"/>
      <c r="F144" s="28"/>
      <c r="G144" s="22"/>
      <c r="H144" s="21"/>
      <c r="I144" s="28"/>
      <c r="J144" s="22"/>
      <c r="K144" s="22"/>
      <c r="L144" s="22"/>
      <c r="M144" s="21"/>
      <c r="N144" s="22"/>
      <c r="O144" s="29" t="str">
        <f aca="false">IF(A144="","",IF(COUNTIF($A$2:$A$2001,A144)&gt;1,"GANDA","OK"))</f>
        <v/>
      </c>
      <c r="P144" s="29" t="str">
        <f aca="false">IF(A144="","",IF(C144="","KOSONG",IF(AND(LEN(C144)=16,ISNUMBER(--C144)),"OK","TIDAK VALID")))</f>
        <v/>
      </c>
    </row>
    <row r="145" customFormat="false" ht="15" hidden="false" customHeight="false" outlineLevel="0" collapsed="false">
      <c r="A145" s="21"/>
      <c r="B145" s="22"/>
      <c r="C145" s="21"/>
      <c r="D145" s="22"/>
      <c r="E145" s="22"/>
      <c r="F145" s="28"/>
      <c r="G145" s="22"/>
      <c r="H145" s="21"/>
      <c r="I145" s="28"/>
      <c r="J145" s="22"/>
      <c r="K145" s="22"/>
      <c r="L145" s="22"/>
      <c r="M145" s="21"/>
      <c r="N145" s="22"/>
      <c r="O145" s="29" t="str">
        <f aca="false">IF(A145="","",IF(COUNTIF($A$2:$A$2001,A145)&gt;1,"GANDA","OK"))</f>
        <v/>
      </c>
      <c r="P145" s="29" t="str">
        <f aca="false">IF(A145="","",IF(C145="","KOSONG",IF(AND(LEN(C145)=16,ISNUMBER(--C145)),"OK","TIDAK VALID")))</f>
        <v/>
      </c>
    </row>
    <row r="146" customFormat="false" ht="15" hidden="false" customHeight="false" outlineLevel="0" collapsed="false">
      <c r="A146" s="21"/>
      <c r="B146" s="22"/>
      <c r="C146" s="21"/>
      <c r="D146" s="22"/>
      <c r="E146" s="22"/>
      <c r="F146" s="28"/>
      <c r="G146" s="22"/>
      <c r="H146" s="21"/>
      <c r="I146" s="28"/>
      <c r="J146" s="22"/>
      <c r="K146" s="22"/>
      <c r="L146" s="22"/>
      <c r="M146" s="21"/>
      <c r="N146" s="22"/>
      <c r="O146" s="29" t="str">
        <f aca="false">IF(A146="","",IF(COUNTIF($A$2:$A$2001,A146)&gt;1,"GANDA","OK"))</f>
        <v/>
      </c>
      <c r="P146" s="29" t="str">
        <f aca="false">IF(A146="","",IF(C146="","KOSONG",IF(AND(LEN(C146)=16,ISNUMBER(--C146)),"OK","TIDAK VALID")))</f>
        <v/>
      </c>
    </row>
    <row r="147" customFormat="false" ht="15" hidden="false" customHeight="false" outlineLevel="0" collapsed="false">
      <c r="A147" s="21"/>
      <c r="B147" s="22"/>
      <c r="C147" s="21"/>
      <c r="D147" s="22"/>
      <c r="E147" s="22"/>
      <c r="F147" s="28"/>
      <c r="G147" s="22"/>
      <c r="H147" s="21"/>
      <c r="I147" s="28"/>
      <c r="J147" s="22"/>
      <c r="K147" s="22"/>
      <c r="L147" s="22"/>
      <c r="M147" s="21"/>
      <c r="N147" s="22"/>
      <c r="O147" s="29" t="str">
        <f aca="false">IF(A147="","",IF(COUNTIF($A$2:$A$2001,A147)&gt;1,"GANDA","OK"))</f>
        <v/>
      </c>
      <c r="P147" s="29" t="str">
        <f aca="false">IF(A147="","",IF(C147="","KOSONG",IF(AND(LEN(C147)=16,ISNUMBER(--C147)),"OK","TIDAK VALID")))</f>
        <v/>
      </c>
    </row>
    <row r="148" customFormat="false" ht="15" hidden="false" customHeight="false" outlineLevel="0" collapsed="false">
      <c r="A148" s="21"/>
      <c r="B148" s="22"/>
      <c r="C148" s="21"/>
      <c r="D148" s="22"/>
      <c r="E148" s="22"/>
      <c r="F148" s="28"/>
      <c r="G148" s="22"/>
      <c r="H148" s="21"/>
      <c r="I148" s="28"/>
      <c r="J148" s="22"/>
      <c r="K148" s="22"/>
      <c r="L148" s="22"/>
      <c r="M148" s="21"/>
      <c r="N148" s="22"/>
      <c r="O148" s="29" t="str">
        <f aca="false">IF(A148="","",IF(COUNTIF($A$2:$A$2001,A148)&gt;1,"GANDA","OK"))</f>
        <v/>
      </c>
      <c r="P148" s="29" t="str">
        <f aca="false">IF(A148="","",IF(C148="","KOSONG",IF(AND(LEN(C148)=16,ISNUMBER(--C148)),"OK","TIDAK VALID")))</f>
        <v/>
      </c>
    </row>
    <row r="149" customFormat="false" ht="15" hidden="false" customHeight="false" outlineLevel="0" collapsed="false">
      <c r="A149" s="21"/>
      <c r="B149" s="22"/>
      <c r="C149" s="21"/>
      <c r="D149" s="22"/>
      <c r="E149" s="22"/>
      <c r="F149" s="28"/>
      <c r="G149" s="22"/>
      <c r="H149" s="21"/>
      <c r="I149" s="28"/>
      <c r="J149" s="22"/>
      <c r="K149" s="22"/>
      <c r="L149" s="22"/>
      <c r="M149" s="21"/>
      <c r="N149" s="22"/>
      <c r="O149" s="29" t="str">
        <f aca="false">IF(A149="","",IF(COUNTIF($A$2:$A$2001,A149)&gt;1,"GANDA","OK"))</f>
        <v/>
      </c>
      <c r="P149" s="29" t="str">
        <f aca="false">IF(A149="","",IF(C149="","KOSONG",IF(AND(LEN(C149)=16,ISNUMBER(--C149)),"OK","TIDAK VALID")))</f>
        <v/>
      </c>
    </row>
    <row r="150" customFormat="false" ht="15" hidden="false" customHeight="false" outlineLevel="0" collapsed="false">
      <c r="A150" s="21"/>
      <c r="B150" s="22"/>
      <c r="C150" s="21"/>
      <c r="D150" s="22"/>
      <c r="E150" s="22"/>
      <c r="F150" s="28"/>
      <c r="G150" s="22"/>
      <c r="H150" s="21"/>
      <c r="I150" s="28"/>
      <c r="J150" s="22"/>
      <c r="K150" s="22"/>
      <c r="L150" s="22"/>
      <c r="M150" s="21"/>
      <c r="N150" s="22"/>
      <c r="O150" s="29" t="str">
        <f aca="false">IF(A150="","",IF(COUNTIF($A$2:$A$2001,A150)&gt;1,"GANDA","OK"))</f>
        <v/>
      </c>
      <c r="P150" s="29" t="str">
        <f aca="false">IF(A150="","",IF(C150="","KOSONG",IF(AND(LEN(C150)=16,ISNUMBER(--C150)),"OK","TIDAK VALID")))</f>
        <v/>
      </c>
    </row>
    <row r="151" customFormat="false" ht="15" hidden="false" customHeight="false" outlineLevel="0" collapsed="false">
      <c r="A151" s="21"/>
      <c r="B151" s="22"/>
      <c r="C151" s="21"/>
      <c r="D151" s="22"/>
      <c r="E151" s="22"/>
      <c r="F151" s="28"/>
      <c r="G151" s="22"/>
      <c r="H151" s="21"/>
      <c r="I151" s="28"/>
      <c r="J151" s="22"/>
      <c r="K151" s="22"/>
      <c r="L151" s="22"/>
      <c r="M151" s="21"/>
      <c r="N151" s="22"/>
      <c r="O151" s="29" t="str">
        <f aca="false">IF(A151="","",IF(COUNTIF($A$2:$A$2001,A151)&gt;1,"GANDA","OK"))</f>
        <v/>
      </c>
      <c r="P151" s="29" t="str">
        <f aca="false">IF(A151="","",IF(C151="","KOSONG",IF(AND(LEN(C151)=16,ISNUMBER(--C151)),"OK","TIDAK VALID")))</f>
        <v/>
      </c>
    </row>
    <row r="152" customFormat="false" ht="15" hidden="false" customHeight="false" outlineLevel="0" collapsed="false">
      <c r="A152" s="21"/>
      <c r="B152" s="22"/>
      <c r="C152" s="21"/>
      <c r="D152" s="22"/>
      <c r="E152" s="22"/>
      <c r="F152" s="28"/>
      <c r="G152" s="22"/>
      <c r="H152" s="21"/>
      <c r="I152" s="28"/>
      <c r="J152" s="22"/>
      <c r="K152" s="22"/>
      <c r="L152" s="22"/>
      <c r="M152" s="21"/>
      <c r="N152" s="22"/>
      <c r="O152" s="29" t="str">
        <f aca="false">IF(A152="","",IF(COUNTIF($A$2:$A$2001,A152)&gt;1,"GANDA","OK"))</f>
        <v/>
      </c>
      <c r="P152" s="29" t="str">
        <f aca="false">IF(A152="","",IF(C152="","KOSONG",IF(AND(LEN(C152)=16,ISNUMBER(--C152)),"OK","TIDAK VALID")))</f>
        <v/>
      </c>
    </row>
    <row r="153" customFormat="false" ht="15" hidden="false" customHeight="false" outlineLevel="0" collapsed="false">
      <c r="A153" s="21"/>
      <c r="B153" s="22"/>
      <c r="C153" s="21"/>
      <c r="D153" s="22"/>
      <c r="E153" s="22"/>
      <c r="F153" s="28"/>
      <c r="G153" s="22"/>
      <c r="H153" s="21"/>
      <c r="I153" s="28"/>
      <c r="J153" s="22"/>
      <c r="K153" s="22"/>
      <c r="L153" s="22"/>
      <c r="M153" s="21"/>
      <c r="N153" s="22"/>
      <c r="O153" s="29" t="str">
        <f aca="false">IF(A153="","",IF(COUNTIF($A$2:$A$2001,A153)&gt;1,"GANDA","OK"))</f>
        <v/>
      </c>
      <c r="P153" s="29" t="str">
        <f aca="false">IF(A153="","",IF(C153="","KOSONG",IF(AND(LEN(C153)=16,ISNUMBER(--C153)),"OK","TIDAK VALID")))</f>
        <v/>
      </c>
    </row>
    <row r="154" customFormat="false" ht="15" hidden="false" customHeight="false" outlineLevel="0" collapsed="false">
      <c r="A154" s="21"/>
      <c r="B154" s="22"/>
      <c r="C154" s="21"/>
      <c r="D154" s="22"/>
      <c r="E154" s="22"/>
      <c r="F154" s="28"/>
      <c r="G154" s="22"/>
      <c r="H154" s="21"/>
      <c r="I154" s="28"/>
      <c r="J154" s="22"/>
      <c r="K154" s="22"/>
      <c r="L154" s="22"/>
      <c r="M154" s="21"/>
      <c r="N154" s="22"/>
      <c r="O154" s="29" t="str">
        <f aca="false">IF(A154="","",IF(COUNTIF($A$2:$A$2001,A154)&gt;1,"GANDA","OK"))</f>
        <v/>
      </c>
      <c r="P154" s="29" t="str">
        <f aca="false">IF(A154="","",IF(C154="","KOSONG",IF(AND(LEN(C154)=16,ISNUMBER(--C154)),"OK","TIDAK VALID")))</f>
        <v/>
      </c>
    </row>
    <row r="155" customFormat="false" ht="15" hidden="false" customHeight="false" outlineLevel="0" collapsed="false">
      <c r="A155" s="21"/>
      <c r="B155" s="22"/>
      <c r="C155" s="21"/>
      <c r="D155" s="22"/>
      <c r="E155" s="22"/>
      <c r="F155" s="28"/>
      <c r="G155" s="22"/>
      <c r="H155" s="21"/>
      <c r="I155" s="28"/>
      <c r="J155" s="22"/>
      <c r="K155" s="22"/>
      <c r="L155" s="22"/>
      <c r="M155" s="21"/>
      <c r="N155" s="22"/>
      <c r="O155" s="29" t="str">
        <f aca="false">IF(A155="","",IF(COUNTIF($A$2:$A$2001,A155)&gt;1,"GANDA","OK"))</f>
        <v/>
      </c>
      <c r="P155" s="29" t="str">
        <f aca="false">IF(A155="","",IF(C155="","KOSONG",IF(AND(LEN(C155)=16,ISNUMBER(--C155)),"OK","TIDAK VALID")))</f>
        <v/>
      </c>
    </row>
    <row r="156" customFormat="false" ht="15" hidden="false" customHeight="false" outlineLevel="0" collapsed="false">
      <c r="A156" s="21"/>
      <c r="B156" s="22"/>
      <c r="C156" s="21"/>
      <c r="D156" s="22"/>
      <c r="E156" s="22"/>
      <c r="F156" s="28"/>
      <c r="G156" s="22"/>
      <c r="H156" s="21"/>
      <c r="I156" s="28"/>
      <c r="J156" s="22"/>
      <c r="K156" s="22"/>
      <c r="L156" s="22"/>
      <c r="M156" s="21"/>
      <c r="N156" s="22"/>
      <c r="O156" s="29" t="str">
        <f aca="false">IF(A156="","",IF(COUNTIF($A$2:$A$2001,A156)&gt;1,"GANDA","OK"))</f>
        <v/>
      </c>
      <c r="P156" s="29" t="str">
        <f aca="false">IF(A156="","",IF(C156="","KOSONG",IF(AND(LEN(C156)=16,ISNUMBER(--C156)),"OK","TIDAK VALID")))</f>
        <v/>
      </c>
    </row>
    <row r="157" customFormat="false" ht="15" hidden="false" customHeight="false" outlineLevel="0" collapsed="false">
      <c r="A157" s="21"/>
      <c r="B157" s="22"/>
      <c r="C157" s="21"/>
      <c r="D157" s="22"/>
      <c r="E157" s="22"/>
      <c r="F157" s="28"/>
      <c r="G157" s="22"/>
      <c r="H157" s="21"/>
      <c r="I157" s="28"/>
      <c r="J157" s="22"/>
      <c r="K157" s="22"/>
      <c r="L157" s="22"/>
      <c r="M157" s="21"/>
      <c r="N157" s="22"/>
      <c r="O157" s="29" t="str">
        <f aca="false">IF(A157="","",IF(COUNTIF($A$2:$A$2001,A157)&gt;1,"GANDA","OK"))</f>
        <v/>
      </c>
      <c r="P157" s="29" t="str">
        <f aca="false">IF(A157="","",IF(C157="","KOSONG",IF(AND(LEN(C157)=16,ISNUMBER(--C157)),"OK","TIDAK VALID")))</f>
        <v/>
      </c>
    </row>
    <row r="158" customFormat="false" ht="15" hidden="false" customHeight="false" outlineLevel="0" collapsed="false">
      <c r="A158" s="21"/>
      <c r="B158" s="22"/>
      <c r="C158" s="21"/>
      <c r="D158" s="22"/>
      <c r="E158" s="22"/>
      <c r="F158" s="28"/>
      <c r="G158" s="22"/>
      <c r="H158" s="21"/>
      <c r="I158" s="28"/>
      <c r="J158" s="22"/>
      <c r="K158" s="22"/>
      <c r="L158" s="22"/>
      <c r="M158" s="21"/>
      <c r="N158" s="22"/>
      <c r="O158" s="29" t="str">
        <f aca="false">IF(A158="","",IF(COUNTIF($A$2:$A$2001,A158)&gt;1,"GANDA","OK"))</f>
        <v/>
      </c>
      <c r="P158" s="29" t="str">
        <f aca="false">IF(A158="","",IF(C158="","KOSONG",IF(AND(LEN(C158)=16,ISNUMBER(--C158)),"OK","TIDAK VALID")))</f>
        <v/>
      </c>
    </row>
    <row r="159" customFormat="false" ht="15" hidden="false" customHeight="false" outlineLevel="0" collapsed="false">
      <c r="A159" s="21"/>
      <c r="B159" s="22"/>
      <c r="C159" s="21"/>
      <c r="D159" s="22"/>
      <c r="E159" s="22"/>
      <c r="F159" s="28"/>
      <c r="G159" s="22"/>
      <c r="H159" s="21"/>
      <c r="I159" s="28"/>
      <c r="J159" s="22"/>
      <c r="K159" s="22"/>
      <c r="L159" s="22"/>
      <c r="M159" s="21"/>
      <c r="N159" s="22"/>
      <c r="O159" s="29" t="str">
        <f aca="false">IF(A159="","",IF(COUNTIF($A$2:$A$2001,A159)&gt;1,"GANDA","OK"))</f>
        <v/>
      </c>
      <c r="P159" s="29" t="str">
        <f aca="false">IF(A159="","",IF(C159="","KOSONG",IF(AND(LEN(C159)=16,ISNUMBER(--C159)),"OK","TIDAK VALID")))</f>
        <v/>
      </c>
    </row>
    <row r="160" customFormat="false" ht="15" hidden="false" customHeight="false" outlineLevel="0" collapsed="false">
      <c r="A160" s="21"/>
      <c r="B160" s="22"/>
      <c r="C160" s="21"/>
      <c r="D160" s="22"/>
      <c r="E160" s="22"/>
      <c r="F160" s="28"/>
      <c r="G160" s="22"/>
      <c r="H160" s="21"/>
      <c r="I160" s="28"/>
      <c r="J160" s="22"/>
      <c r="K160" s="22"/>
      <c r="L160" s="22"/>
      <c r="M160" s="21"/>
      <c r="N160" s="22"/>
      <c r="O160" s="29" t="str">
        <f aca="false">IF(A160="","",IF(COUNTIF($A$2:$A$2001,A160)&gt;1,"GANDA","OK"))</f>
        <v/>
      </c>
      <c r="P160" s="29" t="str">
        <f aca="false">IF(A160="","",IF(C160="","KOSONG",IF(AND(LEN(C160)=16,ISNUMBER(--C160)),"OK","TIDAK VALID")))</f>
        <v/>
      </c>
    </row>
    <row r="161" customFormat="false" ht="15" hidden="false" customHeight="false" outlineLevel="0" collapsed="false">
      <c r="A161" s="21"/>
      <c r="B161" s="22"/>
      <c r="C161" s="21"/>
      <c r="D161" s="22"/>
      <c r="E161" s="22"/>
      <c r="F161" s="28"/>
      <c r="G161" s="22"/>
      <c r="H161" s="21"/>
      <c r="I161" s="28"/>
      <c r="J161" s="22"/>
      <c r="K161" s="22"/>
      <c r="L161" s="22"/>
      <c r="M161" s="21"/>
      <c r="N161" s="22"/>
      <c r="O161" s="29" t="str">
        <f aca="false">IF(A161="","",IF(COUNTIF($A$2:$A$2001,A161)&gt;1,"GANDA","OK"))</f>
        <v/>
      </c>
      <c r="P161" s="29" t="str">
        <f aca="false">IF(A161="","",IF(C161="","KOSONG",IF(AND(LEN(C161)=16,ISNUMBER(--C161)),"OK","TIDAK VALID")))</f>
        <v/>
      </c>
    </row>
    <row r="162" customFormat="false" ht="15" hidden="false" customHeight="false" outlineLevel="0" collapsed="false">
      <c r="A162" s="21"/>
      <c r="B162" s="22"/>
      <c r="C162" s="21"/>
      <c r="D162" s="22"/>
      <c r="E162" s="22"/>
      <c r="F162" s="28"/>
      <c r="G162" s="22"/>
      <c r="H162" s="21"/>
      <c r="I162" s="28"/>
      <c r="J162" s="22"/>
      <c r="K162" s="22"/>
      <c r="L162" s="22"/>
      <c r="M162" s="21"/>
      <c r="N162" s="22"/>
      <c r="O162" s="29" t="str">
        <f aca="false">IF(A162="","",IF(COUNTIF($A$2:$A$2001,A162)&gt;1,"GANDA","OK"))</f>
        <v/>
      </c>
      <c r="P162" s="29" t="str">
        <f aca="false">IF(A162="","",IF(C162="","KOSONG",IF(AND(LEN(C162)=16,ISNUMBER(--C162)),"OK","TIDAK VALID")))</f>
        <v/>
      </c>
    </row>
    <row r="163" customFormat="false" ht="15" hidden="false" customHeight="false" outlineLevel="0" collapsed="false">
      <c r="A163" s="21"/>
      <c r="B163" s="22"/>
      <c r="C163" s="21"/>
      <c r="D163" s="22"/>
      <c r="E163" s="22"/>
      <c r="F163" s="28"/>
      <c r="G163" s="22"/>
      <c r="H163" s="21"/>
      <c r="I163" s="28"/>
      <c r="J163" s="22"/>
      <c r="K163" s="22"/>
      <c r="L163" s="22"/>
      <c r="M163" s="21"/>
      <c r="N163" s="22"/>
      <c r="O163" s="29" t="str">
        <f aca="false">IF(A163="","",IF(COUNTIF($A$2:$A$2001,A163)&gt;1,"GANDA","OK"))</f>
        <v/>
      </c>
      <c r="P163" s="29" t="str">
        <f aca="false">IF(A163="","",IF(C163="","KOSONG",IF(AND(LEN(C163)=16,ISNUMBER(--C163)),"OK","TIDAK VALID")))</f>
        <v/>
      </c>
    </row>
    <row r="164" customFormat="false" ht="15" hidden="false" customHeight="false" outlineLevel="0" collapsed="false">
      <c r="A164" s="21"/>
      <c r="B164" s="22"/>
      <c r="C164" s="21"/>
      <c r="D164" s="22"/>
      <c r="E164" s="22"/>
      <c r="F164" s="28"/>
      <c r="G164" s="22"/>
      <c r="H164" s="21"/>
      <c r="I164" s="28"/>
      <c r="J164" s="22"/>
      <c r="K164" s="22"/>
      <c r="L164" s="22"/>
      <c r="M164" s="21"/>
      <c r="N164" s="22"/>
      <c r="O164" s="29" t="str">
        <f aca="false">IF(A164="","",IF(COUNTIF($A$2:$A$2001,A164)&gt;1,"GANDA","OK"))</f>
        <v/>
      </c>
      <c r="P164" s="29" t="str">
        <f aca="false">IF(A164="","",IF(C164="","KOSONG",IF(AND(LEN(C164)=16,ISNUMBER(--C164)),"OK","TIDAK VALID")))</f>
        <v/>
      </c>
    </row>
    <row r="165" customFormat="false" ht="15" hidden="false" customHeight="false" outlineLevel="0" collapsed="false">
      <c r="A165" s="21"/>
      <c r="B165" s="22"/>
      <c r="C165" s="21"/>
      <c r="D165" s="22"/>
      <c r="E165" s="22"/>
      <c r="F165" s="28"/>
      <c r="G165" s="22"/>
      <c r="H165" s="21"/>
      <c r="I165" s="28"/>
      <c r="J165" s="22"/>
      <c r="K165" s="22"/>
      <c r="L165" s="22"/>
      <c r="M165" s="21"/>
      <c r="N165" s="22"/>
      <c r="O165" s="29" t="str">
        <f aca="false">IF(A165="","",IF(COUNTIF($A$2:$A$2001,A165)&gt;1,"GANDA","OK"))</f>
        <v/>
      </c>
      <c r="P165" s="29" t="str">
        <f aca="false">IF(A165="","",IF(C165="","KOSONG",IF(AND(LEN(C165)=16,ISNUMBER(--C165)),"OK","TIDAK VALID")))</f>
        <v/>
      </c>
    </row>
    <row r="166" customFormat="false" ht="15" hidden="false" customHeight="false" outlineLevel="0" collapsed="false">
      <c r="A166" s="21"/>
      <c r="B166" s="22"/>
      <c r="C166" s="21"/>
      <c r="D166" s="22"/>
      <c r="E166" s="22"/>
      <c r="F166" s="28"/>
      <c r="G166" s="22"/>
      <c r="H166" s="21"/>
      <c r="I166" s="28"/>
      <c r="J166" s="22"/>
      <c r="K166" s="22"/>
      <c r="L166" s="22"/>
      <c r="M166" s="21"/>
      <c r="N166" s="22"/>
      <c r="O166" s="29" t="str">
        <f aca="false">IF(A166="","",IF(COUNTIF($A$2:$A$2001,A166)&gt;1,"GANDA","OK"))</f>
        <v/>
      </c>
      <c r="P166" s="29" t="str">
        <f aca="false">IF(A166="","",IF(C166="","KOSONG",IF(AND(LEN(C166)=16,ISNUMBER(--C166)),"OK","TIDAK VALID")))</f>
        <v/>
      </c>
    </row>
    <row r="167" customFormat="false" ht="15" hidden="false" customHeight="false" outlineLevel="0" collapsed="false">
      <c r="A167" s="21"/>
      <c r="B167" s="22"/>
      <c r="C167" s="21"/>
      <c r="D167" s="22"/>
      <c r="E167" s="22"/>
      <c r="F167" s="28"/>
      <c r="G167" s="22"/>
      <c r="H167" s="21"/>
      <c r="I167" s="28"/>
      <c r="J167" s="22"/>
      <c r="K167" s="22"/>
      <c r="L167" s="22"/>
      <c r="M167" s="21"/>
      <c r="N167" s="22"/>
      <c r="O167" s="29" t="str">
        <f aca="false">IF(A167="","",IF(COUNTIF($A$2:$A$2001,A167)&gt;1,"GANDA","OK"))</f>
        <v/>
      </c>
      <c r="P167" s="29" t="str">
        <f aca="false">IF(A167="","",IF(C167="","KOSONG",IF(AND(LEN(C167)=16,ISNUMBER(--C167)),"OK","TIDAK VALID")))</f>
        <v/>
      </c>
    </row>
    <row r="168" customFormat="false" ht="15" hidden="false" customHeight="false" outlineLevel="0" collapsed="false">
      <c r="A168" s="21"/>
      <c r="B168" s="22"/>
      <c r="C168" s="21"/>
      <c r="D168" s="22"/>
      <c r="E168" s="22"/>
      <c r="F168" s="28"/>
      <c r="G168" s="22"/>
      <c r="H168" s="21"/>
      <c r="I168" s="28"/>
      <c r="J168" s="22"/>
      <c r="K168" s="22"/>
      <c r="L168" s="22"/>
      <c r="M168" s="21"/>
      <c r="N168" s="22"/>
      <c r="O168" s="29" t="str">
        <f aca="false">IF(A168="","",IF(COUNTIF($A$2:$A$2001,A168)&gt;1,"GANDA","OK"))</f>
        <v/>
      </c>
      <c r="P168" s="29" t="str">
        <f aca="false">IF(A168="","",IF(C168="","KOSONG",IF(AND(LEN(C168)=16,ISNUMBER(--C168)),"OK","TIDAK VALID")))</f>
        <v/>
      </c>
    </row>
    <row r="169" customFormat="false" ht="15" hidden="false" customHeight="false" outlineLevel="0" collapsed="false">
      <c r="A169" s="21"/>
      <c r="B169" s="22"/>
      <c r="C169" s="21"/>
      <c r="D169" s="22"/>
      <c r="E169" s="22"/>
      <c r="F169" s="28"/>
      <c r="G169" s="22"/>
      <c r="H169" s="21"/>
      <c r="I169" s="28"/>
      <c r="J169" s="22"/>
      <c r="K169" s="22"/>
      <c r="L169" s="22"/>
      <c r="M169" s="21"/>
      <c r="N169" s="22"/>
      <c r="O169" s="29" t="str">
        <f aca="false">IF(A169="","",IF(COUNTIF($A$2:$A$2001,A169)&gt;1,"GANDA","OK"))</f>
        <v/>
      </c>
      <c r="P169" s="29" t="str">
        <f aca="false">IF(A169="","",IF(C169="","KOSONG",IF(AND(LEN(C169)=16,ISNUMBER(--C169)),"OK","TIDAK VALID")))</f>
        <v/>
      </c>
    </row>
    <row r="170" customFormat="false" ht="15" hidden="false" customHeight="false" outlineLevel="0" collapsed="false">
      <c r="A170" s="21"/>
      <c r="B170" s="22"/>
      <c r="C170" s="21"/>
      <c r="D170" s="22"/>
      <c r="E170" s="22"/>
      <c r="F170" s="28"/>
      <c r="G170" s="22"/>
      <c r="H170" s="21"/>
      <c r="I170" s="28"/>
      <c r="J170" s="22"/>
      <c r="K170" s="22"/>
      <c r="L170" s="22"/>
      <c r="M170" s="21"/>
      <c r="N170" s="22"/>
      <c r="O170" s="29" t="str">
        <f aca="false">IF(A170="","",IF(COUNTIF($A$2:$A$2001,A170)&gt;1,"GANDA","OK"))</f>
        <v/>
      </c>
      <c r="P170" s="29" t="str">
        <f aca="false">IF(A170="","",IF(C170="","KOSONG",IF(AND(LEN(C170)=16,ISNUMBER(--C170)),"OK","TIDAK VALID")))</f>
        <v/>
      </c>
    </row>
    <row r="171" customFormat="false" ht="15" hidden="false" customHeight="false" outlineLevel="0" collapsed="false">
      <c r="A171" s="21"/>
      <c r="B171" s="22"/>
      <c r="C171" s="21"/>
      <c r="D171" s="22"/>
      <c r="E171" s="22"/>
      <c r="F171" s="28"/>
      <c r="G171" s="22"/>
      <c r="H171" s="21"/>
      <c r="I171" s="28"/>
      <c r="J171" s="22"/>
      <c r="K171" s="22"/>
      <c r="L171" s="22"/>
      <c r="M171" s="21"/>
      <c r="N171" s="22"/>
      <c r="O171" s="29" t="str">
        <f aca="false">IF(A171="","",IF(COUNTIF($A$2:$A$2001,A171)&gt;1,"GANDA","OK"))</f>
        <v/>
      </c>
      <c r="P171" s="29" t="str">
        <f aca="false">IF(A171="","",IF(C171="","KOSONG",IF(AND(LEN(C171)=16,ISNUMBER(--C171)),"OK","TIDAK VALID")))</f>
        <v/>
      </c>
    </row>
    <row r="172" customFormat="false" ht="15" hidden="false" customHeight="false" outlineLevel="0" collapsed="false">
      <c r="A172" s="21"/>
      <c r="B172" s="22"/>
      <c r="C172" s="21"/>
      <c r="D172" s="22"/>
      <c r="E172" s="22"/>
      <c r="F172" s="28"/>
      <c r="G172" s="22"/>
      <c r="H172" s="21"/>
      <c r="I172" s="28"/>
      <c r="J172" s="22"/>
      <c r="K172" s="22"/>
      <c r="L172" s="22"/>
      <c r="M172" s="21"/>
      <c r="N172" s="22"/>
      <c r="O172" s="29" t="str">
        <f aca="false">IF(A172="","",IF(COUNTIF($A$2:$A$2001,A172)&gt;1,"GANDA","OK"))</f>
        <v/>
      </c>
      <c r="P172" s="29" t="str">
        <f aca="false">IF(A172="","",IF(C172="","KOSONG",IF(AND(LEN(C172)=16,ISNUMBER(--C172)),"OK","TIDAK VALID")))</f>
        <v/>
      </c>
    </row>
    <row r="173" customFormat="false" ht="15" hidden="false" customHeight="false" outlineLevel="0" collapsed="false">
      <c r="A173" s="21"/>
      <c r="B173" s="22"/>
      <c r="C173" s="21"/>
      <c r="D173" s="22"/>
      <c r="E173" s="22"/>
      <c r="F173" s="28"/>
      <c r="G173" s="22"/>
      <c r="H173" s="21"/>
      <c r="I173" s="28"/>
      <c r="J173" s="22"/>
      <c r="K173" s="22"/>
      <c r="L173" s="22"/>
      <c r="M173" s="21"/>
      <c r="N173" s="22"/>
      <c r="O173" s="29" t="str">
        <f aca="false">IF(A173="","",IF(COUNTIF($A$2:$A$2001,A173)&gt;1,"GANDA","OK"))</f>
        <v/>
      </c>
      <c r="P173" s="29" t="str">
        <f aca="false">IF(A173="","",IF(C173="","KOSONG",IF(AND(LEN(C173)=16,ISNUMBER(--C173)),"OK","TIDAK VALID")))</f>
        <v/>
      </c>
    </row>
    <row r="174" customFormat="false" ht="15" hidden="false" customHeight="false" outlineLevel="0" collapsed="false">
      <c r="A174" s="21"/>
      <c r="B174" s="22"/>
      <c r="C174" s="21"/>
      <c r="D174" s="22"/>
      <c r="E174" s="22"/>
      <c r="F174" s="28"/>
      <c r="G174" s="22"/>
      <c r="H174" s="21"/>
      <c r="I174" s="28"/>
      <c r="J174" s="22"/>
      <c r="K174" s="22"/>
      <c r="L174" s="22"/>
      <c r="M174" s="21"/>
      <c r="N174" s="22"/>
      <c r="O174" s="29" t="str">
        <f aca="false">IF(A174="","",IF(COUNTIF($A$2:$A$2001,A174)&gt;1,"GANDA","OK"))</f>
        <v/>
      </c>
      <c r="P174" s="29" t="str">
        <f aca="false">IF(A174="","",IF(C174="","KOSONG",IF(AND(LEN(C174)=16,ISNUMBER(--C174)),"OK","TIDAK VALID")))</f>
        <v/>
      </c>
    </row>
    <row r="175" customFormat="false" ht="15" hidden="false" customHeight="false" outlineLevel="0" collapsed="false">
      <c r="A175" s="21"/>
      <c r="B175" s="22"/>
      <c r="C175" s="21"/>
      <c r="D175" s="22"/>
      <c r="E175" s="22"/>
      <c r="F175" s="28"/>
      <c r="G175" s="22"/>
      <c r="H175" s="21"/>
      <c r="I175" s="28"/>
      <c r="J175" s="22"/>
      <c r="K175" s="22"/>
      <c r="L175" s="22"/>
      <c r="M175" s="21"/>
      <c r="N175" s="22"/>
      <c r="O175" s="29" t="str">
        <f aca="false">IF(A175="","",IF(COUNTIF($A$2:$A$2001,A175)&gt;1,"GANDA","OK"))</f>
        <v/>
      </c>
      <c r="P175" s="29" t="str">
        <f aca="false">IF(A175="","",IF(C175="","KOSONG",IF(AND(LEN(C175)=16,ISNUMBER(--C175)),"OK","TIDAK VALID")))</f>
        <v/>
      </c>
    </row>
    <row r="176" customFormat="false" ht="15" hidden="false" customHeight="false" outlineLevel="0" collapsed="false">
      <c r="A176" s="21"/>
      <c r="B176" s="22"/>
      <c r="C176" s="21"/>
      <c r="D176" s="22"/>
      <c r="E176" s="22"/>
      <c r="F176" s="28"/>
      <c r="G176" s="22"/>
      <c r="H176" s="21"/>
      <c r="I176" s="28"/>
      <c r="J176" s="22"/>
      <c r="K176" s="22"/>
      <c r="L176" s="22"/>
      <c r="M176" s="21"/>
      <c r="N176" s="22"/>
      <c r="O176" s="29" t="str">
        <f aca="false">IF(A176="","",IF(COUNTIF($A$2:$A$2001,A176)&gt;1,"GANDA","OK"))</f>
        <v/>
      </c>
      <c r="P176" s="29" t="str">
        <f aca="false">IF(A176="","",IF(C176="","KOSONG",IF(AND(LEN(C176)=16,ISNUMBER(--C176)),"OK","TIDAK VALID")))</f>
        <v/>
      </c>
    </row>
    <row r="177" customFormat="false" ht="15" hidden="false" customHeight="false" outlineLevel="0" collapsed="false">
      <c r="A177" s="21"/>
      <c r="B177" s="22"/>
      <c r="C177" s="21"/>
      <c r="D177" s="22"/>
      <c r="E177" s="22"/>
      <c r="F177" s="28"/>
      <c r="G177" s="22"/>
      <c r="H177" s="21"/>
      <c r="I177" s="28"/>
      <c r="J177" s="22"/>
      <c r="K177" s="22"/>
      <c r="L177" s="22"/>
      <c r="M177" s="21"/>
      <c r="N177" s="22"/>
      <c r="O177" s="29" t="str">
        <f aca="false">IF(A177="","",IF(COUNTIF($A$2:$A$2001,A177)&gt;1,"GANDA","OK"))</f>
        <v/>
      </c>
      <c r="P177" s="29" t="str">
        <f aca="false">IF(A177="","",IF(C177="","KOSONG",IF(AND(LEN(C177)=16,ISNUMBER(--C177)),"OK","TIDAK VALID")))</f>
        <v/>
      </c>
    </row>
    <row r="178" customFormat="false" ht="15" hidden="false" customHeight="false" outlineLevel="0" collapsed="false">
      <c r="A178" s="21"/>
      <c r="B178" s="22"/>
      <c r="C178" s="21"/>
      <c r="D178" s="22"/>
      <c r="E178" s="22"/>
      <c r="F178" s="28"/>
      <c r="G178" s="22"/>
      <c r="H178" s="21"/>
      <c r="I178" s="28"/>
      <c r="J178" s="22"/>
      <c r="K178" s="22"/>
      <c r="L178" s="22"/>
      <c r="M178" s="21"/>
      <c r="N178" s="22"/>
      <c r="O178" s="29" t="str">
        <f aca="false">IF(A178="","",IF(COUNTIF($A$2:$A$2001,A178)&gt;1,"GANDA","OK"))</f>
        <v/>
      </c>
      <c r="P178" s="29" t="str">
        <f aca="false">IF(A178="","",IF(C178="","KOSONG",IF(AND(LEN(C178)=16,ISNUMBER(--C178)),"OK","TIDAK VALID")))</f>
        <v/>
      </c>
    </row>
    <row r="179" customFormat="false" ht="15" hidden="false" customHeight="false" outlineLevel="0" collapsed="false">
      <c r="A179" s="21"/>
      <c r="B179" s="22"/>
      <c r="C179" s="21"/>
      <c r="D179" s="22"/>
      <c r="E179" s="22"/>
      <c r="F179" s="28"/>
      <c r="G179" s="22"/>
      <c r="H179" s="21"/>
      <c r="I179" s="28"/>
      <c r="J179" s="22"/>
      <c r="K179" s="22"/>
      <c r="L179" s="22"/>
      <c r="M179" s="21"/>
      <c r="N179" s="22"/>
      <c r="O179" s="29" t="str">
        <f aca="false">IF(A179="","",IF(COUNTIF($A$2:$A$2001,A179)&gt;1,"GANDA","OK"))</f>
        <v/>
      </c>
      <c r="P179" s="29" t="str">
        <f aca="false">IF(A179="","",IF(C179="","KOSONG",IF(AND(LEN(C179)=16,ISNUMBER(--C179)),"OK","TIDAK VALID")))</f>
        <v/>
      </c>
    </row>
    <row r="180" customFormat="false" ht="15" hidden="false" customHeight="false" outlineLevel="0" collapsed="false">
      <c r="A180" s="21"/>
      <c r="B180" s="22"/>
      <c r="C180" s="21"/>
      <c r="D180" s="22"/>
      <c r="E180" s="22"/>
      <c r="F180" s="28"/>
      <c r="G180" s="22"/>
      <c r="H180" s="21"/>
      <c r="I180" s="28"/>
      <c r="J180" s="22"/>
      <c r="K180" s="22"/>
      <c r="L180" s="22"/>
      <c r="M180" s="21"/>
      <c r="N180" s="22"/>
      <c r="O180" s="29" t="str">
        <f aca="false">IF(A180="","",IF(COUNTIF($A$2:$A$2001,A180)&gt;1,"GANDA","OK"))</f>
        <v/>
      </c>
      <c r="P180" s="29" t="str">
        <f aca="false">IF(A180="","",IF(C180="","KOSONG",IF(AND(LEN(C180)=16,ISNUMBER(--C180)),"OK","TIDAK VALID")))</f>
        <v/>
      </c>
    </row>
    <row r="181" customFormat="false" ht="15" hidden="false" customHeight="false" outlineLevel="0" collapsed="false">
      <c r="A181" s="21"/>
      <c r="B181" s="22"/>
      <c r="C181" s="21"/>
      <c r="D181" s="22"/>
      <c r="E181" s="22"/>
      <c r="F181" s="28"/>
      <c r="G181" s="22"/>
      <c r="H181" s="21"/>
      <c r="I181" s="28"/>
      <c r="J181" s="22"/>
      <c r="K181" s="22"/>
      <c r="L181" s="22"/>
      <c r="M181" s="21"/>
      <c r="N181" s="22"/>
      <c r="O181" s="29" t="str">
        <f aca="false">IF(A181="","",IF(COUNTIF($A$2:$A$2001,A181)&gt;1,"GANDA","OK"))</f>
        <v/>
      </c>
      <c r="P181" s="29" t="str">
        <f aca="false">IF(A181="","",IF(C181="","KOSONG",IF(AND(LEN(C181)=16,ISNUMBER(--C181)),"OK","TIDAK VALID")))</f>
        <v/>
      </c>
    </row>
    <row r="182" customFormat="false" ht="15" hidden="false" customHeight="false" outlineLevel="0" collapsed="false">
      <c r="A182" s="21"/>
      <c r="B182" s="22"/>
      <c r="C182" s="21"/>
      <c r="D182" s="22"/>
      <c r="E182" s="22"/>
      <c r="F182" s="28"/>
      <c r="G182" s="22"/>
      <c r="H182" s="21"/>
      <c r="I182" s="28"/>
      <c r="J182" s="22"/>
      <c r="K182" s="22"/>
      <c r="L182" s="22"/>
      <c r="M182" s="21"/>
      <c r="N182" s="22"/>
      <c r="O182" s="29" t="str">
        <f aca="false">IF(A182="","",IF(COUNTIF($A$2:$A$2001,A182)&gt;1,"GANDA","OK"))</f>
        <v/>
      </c>
      <c r="P182" s="29" t="str">
        <f aca="false">IF(A182="","",IF(C182="","KOSONG",IF(AND(LEN(C182)=16,ISNUMBER(--C182)),"OK","TIDAK VALID")))</f>
        <v/>
      </c>
    </row>
    <row r="183" customFormat="false" ht="15" hidden="false" customHeight="false" outlineLevel="0" collapsed="false">
      <c r="A183" s="21"/>
      <c r="B183" s="22"/>
      <c r="C183" s="21"/>
      <c r="D183" s="22"/>
      <c r="E183" s="22"/>
      <c r="F183" s="28"/>
      <c r="G183" s="22"/>
      <c r="H183" s="21"/>
      <c r="I183" s="28"/>
      <c r="J183" s="22"/>
      <c r="K183" s="22"/>
      <c r="L183" s="22"/>
      <c r="M183" s="21"/>
      <c r="N183" s="22"/>
      <c r="O183" s="29" t="str">
        <f aca="false">IF(A183="","",IF(COUNTIF($A$2:$A$2001,A183)&gt;1,"GANDA","OK"))</f>
        <v/>
      </c>
      <c r="P183" s="29" t="str">
        <f aca="false">IF(A183="","",IF(C183="","KOSONG",IF(AND(LEN(C183)=16,ISNUMBER(--C183)),"OK","TIDAK VALID")))</f>
        <v/>
      </c>
    </row>
    <row r="184" customFormat="false" ht="15" hidden="false" customHeight="false" outlineLevel="0" collapsed="false">
      <c r="A184" s="21"/>
      <c r="B184" s="22"/>
      <c r="C184" s="21"/>
      <c r="D184" s="22"/>
      <c r="E184" s="22"/>
      <c r="F184" s="28"/>
      <c r="G184" s="22"/>
      <c r="H184" s="21"/>
      <c r="I184" s="28"/>
      <c r="J184" s="22"/>
      <c r="K184" s="22"/>
      <c r="L184" s="22"/>
      <c r="M184" s="21"/>
      <c r="N184" s="22"/>
      <c r="O184" s="29" t="str">
        <f aca="false">IF(A184="","",IF(COUNTIF($A$2:$A$2001,A184)&gt;1,"GANDA","OK"))</f>
        <v/>
      </c>
      <c r="P184" s="29" t="str">
        <f aca="false">IF(A184="","",IF(C184="","KOSONG",IF(AND(LEN(C184)=16,ISNUMBER(--C184)),"OK","TIDAK VALID")))</f>
        <v/>
      </c>
    </row>
    <row r="185" customFormat="false" ht="15" hidden="false" customHeight="false" outlineLevel="0" collapsed="false">
      <c r="A185" s="21"/>
      <c r="B185" s="22"/>
      <c r="C185" s="21"/>
      <c r="D185" s="22"/>
      <c r="E185" s="22"/>
      <c r="F185" s="28"/>
      <c r="G185" s="22"/>
      <c r="H185" s="21"/>
      <c r="I185" s="28"/>
      <c r="J185" s="22"/>
      <c r="K185" s="22"/>
      <c r="L185" s="22"/>
      <c r="M185" s="21"/>
      <c r="N185" s="22"/>
      <c r="O185" s="29" t="str">
        <f aca="false">IF(A185="","",IF(COUNTIF($A$2:$A$2001,A185)&gt;1,"GANDA","OK"))</f>
        <v/>
      </c>
      <c r="P185" s="29" t="str">
        <f aca="false">IF(A185="","",IF(C185="","KOSONG",IF(AND(LEN(C185)=16,ISNUMBER(--C185)),"OK","TIDAK VALID")))</f>
        <v/>
      </c>
    </row>
    <row r="186" customFormat="false" ht="15" hidden="false" customHeight="false" outlineLevel="0" collapsed="false">
      <c r="A186" s="21"/>
      <c r="B186" s="22"/>
      <c r="C186" s="21"/>
      <c r="D186" s="22"/>
      <c r="E186" s="22"/>
      <c r="F186" s="28"/>
      <c r="G186" s="22"/>
      <c r="H186" s="21"/>
      <c r="I186" s="28"/>
      <c r="J186" s="22"/>
      <c r="K186" s="22"/>
      <c r="L186" s="22"/>
      <c r="M186" s="21"/>
      <c r="N186" s="22"/>
      <c r="O186" s="29" t="str">
        <f aca="false">IF(A186="","",IF(COUNTIF($A$2:$A$2001,A186)&gt;1,"GANDA","OK"))</f>
        <v/>
      </c>
      <c r="P186" s="29" t="str">
        <f aca="false">IF(A186="","",IF(C186="","KOSONG",IF(AND(LEN(C186)=16,ISNUMBER(--C186)),"OK","TIDAK VALID")))</f>
        <v/>
      </c>
    </row>
    <row r="187" customFormat="false" ht="15" hidden="false" customHeight="false" outlineLevel="0" collapsed="false">
      <c r="A187" s="21"/>
      <c r="B187" s="22"/>
      <c r="C187" s="21"/>
      <c r="D187" s="22"/>
      <c r="E187" s="22"/>
      <c r="F187" s="28"/>
      <c r="G187" s="22"/>
      <c r="H187" s="21"/>
      <c r="I187" s="28"/>
      <c r="J187" s="22"/>
      <c r="K187" s="22"/>
      <c r="L187" s="22"/>
      <c r="M187" s="21"/>
      <c r="N187" s="22"/>
      <c r="O187" s="29" t="str">
        <f aca="false">IF(A187="","",IF(COUNTIF($A$2:$A$2001,A187)&gt;1,"GANDA","OK"))</f>
        <v/>
      </c>
      <c r="P187" s="29" t="str">
        <f aca="false">IF(A187="","",IF(C187="","KOSONG",IF(AND(LEN(C187)=16,ISNUMBER(--C187)),"OK","TIDAK VALID")))</f>
        <v/>
      </c>
    </row>
    <row r="188" customFormat="false" ht="15" hidden="false" customHeight="false" outlineLevel="0" collapsed="false">
      <c r="A188" s="21"/>
      <c r="B188" s="22"/>
      <c r="C188" s="21"/>
      <c r="D188" s="22"/>
      <c r="E188" s="22"/>
      <c r="F188" s="28"/>
      <c r="G188" s="22"/>
      <c r="H188" s="21"/>
      <c r="I188" s="28"/>
      <c r="J188" s="22"/>
      <c r="K188" s="22"/>
      <c r="L188" s="22"/>
      <c r="M188" s="21"/>
      <c r="N188" s="22"/>
      <c r="O188" s="29" t="str">
        <f aca="false">IF(A188="","",IF(COUNTIF($A$2:$A$2001,A188)&gt;1,"GANDA","OK"))</f>
        <v/>
      </c>
      <c r="P188" s="29" t="str">
        <f aca="false">IF(A188="","",IF(C188="","KOSONG",IF(AND(LEN(C188)=16,ISNUMBER(--C188)),"OK","TIDAK VALID")))</f>
        <v/>
      </c>
    </row>
    <row r="189" customFormat="false" ht="15" hidden="false" customHeight="false" outlineLevel="0" collapsed="false">
      <c r="A189" s="21"/>
      <c r="B189" s="22"/>
      <c r="C189" s="21"/>
      <c r="D189" s="22"/>
      <c r="E189" s="22"/>
      <c r="F189" s="28"/>
      <c r="G189" s="22"/>
      <c r="H189" s="21"/>
      <c r="I189" s="28"/>
      <c r="J189" s="22"/>
      <c r="K189" s="22"/>
      <c r="L189" s="22"/>
      <c r="M189" s="21"/>
      <c r="N189" s="22"/>
      <c r="O189" s="29" t="str">
        <f aca="false">IF(A189="","",IF(COUNTIF($A$2:$A$2001,A189)&gt;1,"GANDA","OK"))</f>
        <v/>
      </c>
      <c r="P189" s="29" t="str">
        <f aca="false">IF(A189="","",IF(C189="","KOSONG",IF(AND(LEN(C189)=16,ISNUMBER(--C189)),"OK","TIDAK VALID")))</f>
        <v/>
      </c>
    </row>
    <row r="190" customFormat="false" ht="15" hidden="false" customHeight="false" outlineLevel="0" collapsed="false">
      <c r="A190" s="21"/>
      <c r="B190" s="22"/>
      <c r="C190" s="21"/>
      <c r="D190" s="22"/>
      <c r="E190" s="22"/>
      <c r="F190" s="28"/>
      <c r="G190" s="22"/>
      <c r="H190" s="21"/>
      <c r="I190" s="28"/>
      <c r="J190" s="22"/>
      <c r="K190" s="22"/>
      <c r="L190" s="22"/>
      <c r="M190" s="21"/>
      <c r="N190" s="22"/>
      <c r="O190" s="29" t="str">
        <f aca="false">IF(A190="","",IF(COUNTIF($A$2:$A$2001,A190)&gt;1,"GANDA","OK"))</f>
        <v/>
      </c>
      <c r="P190" s="29" t="str">
        <f aca="false">IF(A190="","",IF(C190="","KOSONG",IF(AND(LEN(C190)=16,ISNUMBER(--C190)),"OK","TIDAK VALID")))</f>
        <v/>
      </c>
    </row>
    <row r="191" customFormat="false" ht="15" hidden="false" customHeight="false" outlineLevel="0" collapsed="false">
      <c r="A191" s="21"/>
      <c r="B191" s="22"/>
      <c r="C191" s="21"/>
      <c r="D191" s="22"/>
      <c r="E191" s="22"/>
      <c r="F191" s="28"/>
      <c r="G191" s="22"/>
      <c r="H191" s="21"/>
      <c r="I191" s="28"/>
      <c r="J191" s="22"/>
      <c r="K191" s="22"/>
      <c r="L191" s="22"/>
      <c r="M191" s="21"/>
      <c r="N191" s="22"/>
      <c r="O191" s="29" t="str">
        <f aca="false">IF(A191="","",IF(COUNTIF($A$2:$A$2001,A191)&gt;1,"GANDA","OK"))</f>
        <v/>
      </c>
      <c r="P191" s="29" t="str">
        <f aca="false">IF(A191="","",IF(C191="","KOSONG",IF(AND(LEN(C191)=16,ISNUMBER(--C191)),"OK","TIDAK VALID")))</f>
        <v/>
      </c>
    </row>
    <row r="192" customFormat="false" ht="15" hidden="false" customHeight="false" outlineLevel="0" collapsed="false">
      <c r="A192" s="21"/>
      <c r="B192" s="22"/>
      <c r="C192" s="21"/>
      <c r="D192" s="22"/>
      <c r="E192" s="22"/>
      <c r="F192" s="28"/>
      <c r="G192" s="22"/>
      <c r="H192" s="21"/>
      <c r="I192" s="28"/>
      <c r="J192" s="22"/>
      <c r="K192" s="22"/>
      <c r="L192" s="22"/>
      <c r="M192" s="21"/>
      <c r="N192" s="22"/>
      <c r="O192" s="29" t="str">
        <f aca="false">IF(A192="","",IF(COUNTIF($A$2:$A$2001,A192)&gt;1,"GANDA","OK"))</f>
        <v/>
      </c>
      <c r="P192" s="29" t="str">
        <f aca="false">IF(A192="","",IF(C192="","KOSONG",IF(AND(LEN(C192)=16,ISNUMBER(--C192)),"OK","TIDAK VALID")))</f>
        <v/>
      </c>
    </row>
    <row r="193" customFormat="false" ht="15" hidden="false" customHeight="false" outlineLevel="0" collapsed="false">
      <c r="A193" s="21"/>
      <c r="B193" s="22"/>
      <c r="C193" s="21"/>
      <c r="D193" s="22"/>
      <c r="E193" s="22"/>
      <c r="F193" s="28"/>
      <c r="G193" s="22"/>
      <c r="H193" s="21"/>
      <c r="I193" s="28"/>
      <c r="J193" s="22"/>
      <c r="K193" s="22"/>
      <c r="L193" s="22"/>
      <c r="M193" s="21"/>
      <c r="N193" s="22"/>
      <c r="O193" s="29" t="str">
        <f aca="false">IF(A193="","",IF(COUNTIF($A$2:$A$2001,A193)&gt;1,"GANDA","OK"))</f>
        <v/>
      </c>
      <c r="P193" s="29" t="str">
        <f aca="false">IF(A193="","",IF(C193="","KOSONG",IF(AND(LEN(C193)=16,ISNUMBER(--C193)),"OK","TIDAK VALID")))</f>
        <v/>
      </c>
    </row>
    <row r="194" customFormat="false" ht="15" hidden="false" customHeight="false" outlineLevel="0" collapsed="false">
      <c r="A194" s="21"/>
      <c r="B194" s="22"/>
      <c r="C194" s="21"/>
      <c r="D194" s="22"/>
      <c r="E194" s="22"/>
      <c r="F194" s="28"/>
      <c r="G194" s="22"/>
      <c r="H194" s="21"/>
      <c r="I194" s="28"/>
      <c r="J194" s="22"/>
      <c r="K194" s="22"/>
      <c r="L194" s="22"/>
      <c r="M194" s="21"/>
      <c r="N194" s="22"/>
      <c r="O194" s="29" t="str">
        <f aca="false">IF(A194="","",IF(COUNTIF($A$2:$A$2001,A194)&gt;1,"GANDA","OK"))</f>
        <v/>
      </c>
      <c r="P194" s="29" t="str">
        <f aca="false">IF(A194="","",IF(C194="","KOSONG",IF(AND(LEN(C194)=16,ISNUMBER(--C194)),"OK","TIDAK VALID")))</f>
        <v/>
      </c>
    </row>
    <row r="195" customFormat="false" ht="15" hidden="false" customHeight="false" outlineLevel="0" collapsed="false">
      <c r="A195" s="21"/>
      <c r="B195" s="22"/>
      <c r="C195" s="21"/>
      <c r="D195" s="22"/>
      <c r="E195" s="22"/>
      <c r="F195" s="28"/>
      <c r="G195" s="22"/>
      <c r="H195" s="21"/>
      <c r="I195" s="28"/>
      <c r="J195" s="22"/>
      <c r="K195" s="22"/>
      <c r="L195" s="22"/>
      <c r="M195" s="21"/>
      <c r="N195" s="22"/>
      <c r="O195" s="29" t="str">
        <f aca="false">IF(A195="","",IF(COUNTIF($A$2:$A$2001,A195)&gt;1,"GANDA","OK"))</f>
        <v/>
      </c>
      <c r="P195" s="29" t="str">
        <f aca="false">IF(A195="","",IF(C195="","KOSONG",IF(AND(LEN(C195)=16,ISNUMBER(--C195)),"OK","TIDAK VALID")))</f>
        <v/>
      </c>
    </row>
    <row r="196" customFormat="false" ht="15" hidden="false" customHeight="false" outlineLevel="0" collapsed="false">
      <c r="A196" s="21"/>
      <c r="B196" s="22"/>
      <c r="C196" s="21"/>
      <c r="D196" s="22"/>
      <c r="E196" s="22"/>
      <c r="F196" s="28"/>
      <c r="G196" s="22"/>
      <c r="H196" s="21"/>
      <c r="I196" s="28"/>
      <c r="J196" s="22"/>
      <c r="K196" s="22"/>
      <c r="L196" s="22"/>
      <c r="M196" s="21"/>
      <c r="N196" s="22"/>
      <c r="O196" s="29" t="str">
        <f aca="false">IF(A196="","",IF(COUNTIF($A$2:$A$2001,A196)&gt;1,"GANDA","OK"))</f>
        <v/>
      </c>
      <c r="P196" s="29" t="str">
        <f aca="false">IF(A196="","",IF(C196="","KOSONG",IF(AND(LEN(C196)=16,ISNUMBER(--C196)),"OK","TIDAK VALID")))</f>
        <v/>
      </c>
    </row>
    <row r="197" customFormat="false" ht="15" hidden="false" customHeight="false" outlineLevel="0" collapsed="false">
      <c r="A197" s="21"/>
      <c r="B197" s="22"/>
      <c r="C197" s="21"/>
      <c r="D197" s="22"/>
      <c r="E197" s="22"/>
      <c r="F197" s="28"/>
      <c r="G197" s="22"/>
      <c r="H197" s="21"/>
      <c r="I197" s="28"/>
      <c r="J197" s="22"/>
      <c r="K197" s="22"/>
      <c r="L197" s="22"/>
      <c r="M197" s="21"/>
      <c r="N197" s="22"/>
      <c r="O197" s="29" t="str">
        <f aca="false">IF(A197="","",IF(COUNTIF($A$2:$A$2001,A197)&gt;1,"GANDA","OK"))</f>
        <v/>
      </c>
      <c r="P197" s="29" t="str">
        <f aca="false">IF(A197="","",IF(C197="","KOSONG",IF(AND(LEN(C197)=16,ISNUMBER(--C197)),"OK","TIDAK VALID")))</f>
        <v/>
      </c>
    </row>
    <row r="198" customFormat="false" ht="15" hidden="false" customHeight="false" outlineLevel="0" collapsed="false">
      <c r="A198" s="21"/>
      <c r="B198" s="22"/>
      <c r="C198" s="21"/>
      <c r="D198" s="22"/>
      <c r="E198" s="22"/>
      <c r="F198" s="28"/>
      <c r="G198" s="22"/>
      <c r="H198" s="21"/>
      <c r="I198" s="28"/>
      <c r="J198" s="22"/>
      <c r="K198" s="22"/>
      <c r="L198" s="22"/>
      <c r="M198" s="21"/>
      <c r="N198" s="22"/>
      <c r="O198" s="29" t="str">
        <f aca="false">IF(A198="","",IF(COUNTIF($A$2:$A$2001,A198)&gt;1,"GANDA","OK"))</f>
        <v/>
      </c>
      <c r="P198" s="29" t="str">
        <f aca="false">IF(A198="","",IF(C198="","KOSONG",IF(AND(LEN(C198)=16,ISNUMBER(--C198)),"OK","TIDAK VALID")))</f>
        <v/>
      </c>
    </row>
    <row r="199" customFormat="false" ht="15" hidden="false" customHeight="false" outlineLevel="0" collapsed="false">
      <c r="A199" s="21"/>
      <c r="B199" s="22"/>
      <c r="C199" s="21"/>
      <c r="D199" s="22"/>
      <c r="E199" s="22"/>
      <c r="F199" s="28"/>
      <c r="G199" s="22"/>
      <c r="H199" s="21"/>
      <c r="I199" s="28"/>
      <c r="J199" s="22"/>
      <c r="K199" s="22"/>
      <c r="L199" s="22"/>
      <c r="M199" s="21"/>
      <c r="N199" s="22"/>
      <c r="O199" s="29" t="str">
        <f aca="false">IF(A199="","",IF(COUNTIF($A$2:$A$2001,A199)&gt;1,"GANDA","OK"))</f>
        <v/>
      </c>
      <c r="P199" s="29" t="str">
        <f aca="false">IF(A199="","",IF(C199="","KOSONG",IF(AND(LEN(C199)=16,ISNUMBER(--C199)),"OK","TIDAK VALID")))</f>
        <v/>
      </c>
    </row>
    <row r="200" customFormat="false" ht="15" hidden="false" customHeight="false" outlineLevel="0" collapsed="false">
      <c r="A200" s="21"/>
      <c r="B200" s="22"/>
      <c r="C200" s="21"/>
      <c r="D200" s="22"/>
      <c r="E200" s="22"/>
      <c r="F200" s="28"/>
      <c r="G200" s="22"/>
      <c r="H200" s="21"/>
      <c r="I200" s="28"/>
      <c r="J200" s="22"/>
      <c r="K200" s="22"/>
      <c r="L200" s="22"/>
      <c r="M200" s="21"/>
      <c r="N200" s="22"/>
      <c r="O200" s="29" t="str">
        <f aca="false">IF(A200="","",IF(COUNTIF($A$2:$A$2001,A200)&gt;1,"GANDA","OK"))</f>
        <v/>
      </c>
      <c r="P200" s="29" t="str">
        <f aca="false">IF(A200="","",IF(C200="","KOSONG",IF(AND(LEN(C200)=16,ISNUMBER(--C200)),"OK","TIDAK VALID")))</f>
        <v/>
      </c>
    </row>
    <row r="201" customFormat="false" ht="15" hidden="false" customHeight="false" outlineLevel="0" collapsed="false">
      <c r="A201" s="21"/>
      <c r="B201" s="22"/>
      <c r="C201" s="21"/>
      <c r="D201" s="22"/>
      <c r="E201" s="22"/>
      <c r="F201" s="28"/>
      <c r="G201" s="22"/>
      <c r="H201" s="21"/>
      <c r="I201" s="28"/>
      <c r="J201" s="22"/>
      <c r="K201" s="22"/>
      <c r="L201" s="22"/>
      <c r="M201" s="21"/>
      <c r="N201" s="22"/>
      <c r="O201" s="29" t="str">
        <f aca="false">IF(A201="","",IF(COUNTIF($A$2:$A$2001,A201)&gt;1,"GANDA","OK"))</f>
        <v/>
      </c>
      <c r="P201" s="29" t="str">
        <f aca="false">IF(A201="","",IF(C201="","KOSONG",IF(AND(LEN(C201)=16,ISNUMBER(--C201)),"OK","TIDAK VALID")))</f>
        <v/>
      </c>
    </row>
    <row r="202" customFormat="false" ht="15" hidden="false" customHeight="false" outlineLevel="0" collapsed="false">
      <c r="A202" s="21"/>
      <c r="B202" s="22"/>
      <c r="C202" s="21"/>
      <c r="D202" s="22"/>
      <c r="E202" s="22"/>
      <c r="F202" s="28"/>
      <c r="G202" s="22"/>
      <c r="H202" s="21"/>
      <c r="I202" s="28"/>
      <c r="J202" s="22"/>
      <c r="K202" s="22"/>
      <c r="L202" s="22"/>
      <c r="M202" s="21"/>
      <c r="N202" s="22"/>
      <c r="O202" s="29" t="str">
        <f aca="false">IF(A202="","",IF(COUNTIF($A$2:$A$2001,A202)&gt;1,"GANDA","OK"))</f>
        <v/>
      </c>
      <c r="P202" s="29" t="str">
        <f aca="false">IF(A202="","",IF(C202="","KOSONG",IF(AND(LEN(C202)=16,ISNUMBER(--C202)),"OK","TIDAK VALID")))</f>
        <v/>
      </c>
    </row>
    <row r="203" customFormat="false" ht="15" hidden="false" customHeight="false" outlineLevel="0" collapsed="false">
      <c r="A203" s="21"/>
      <c r="B203" s="22"/>
      <c r="C203" s="21"/>
      <c r="D203" s="22"/>
      <c r="E203" s="22"/>
      <c r="F203" s="28"/>
      <c r="G203" s="22"/>
      <c r="H203" s="21"/>
      <c r="I203" s="28"/>
      <c r="J203" s="22"/>
      <c r="K203" s="22"/>
      <c r="L203" s="22"/>
      <c r="M203" s="21"/>
      <c r="N203" s="22"/>
      <c r="O203" s="29" t="str">
        <f aca="false">IF(A203="","",IF(COUNTIF($A$2:$A$2001,A203)&gt;1,"GANDA","OK"))</f>
        <v/>
      </c>
      <c r="P203" s="29" t="str">
        <f aca="false">IF(A203="","",IF(C203="","KOSONG",IF(AND(LEN(C203)=16,ISNUMBER(--C203)),"OK","TIDAK VALID")))</f>
        <v/>
      </c>
    </row>
    <row r="204" customFormat="false" ht="15" hidden="false" customHeight="false" outlineLevel="0" collapsed="false">
      <c r="A204" s="21"/>
      <c r="B204" s="22"/>
      <c r="C204" s="21"/>
      <c r="D204" s="22"/>
      <c r="E204" s="22"/>
      <c r="F204" s="28"/>
      <c r="G204" s="22"/>
      <c r="H204" s="21"/>
      <c r="I204" s="28"/>
      <c r="J204" s="22"/>
      <c r="K204" s="22"/>
      <c r="L204" s="22"/>
      <c r="M204" s="21"/>
      <c r="N204" s="22"/>
      <c r="O204" s="29" t="str">
        <f aca="false">IF(A204="","",IF(COUNTIF($A$2:$A$2001,A204)&gt;1,"GANDA","OK"))</f>
        <v/>
      </c>
      <c r="P204" s="29" t="str">
        <f aca="false">IF(A204="","",IF(C204="","KOSONG",IF(AND(LEN(C204)=16,ISNUMBER(--C204)),"OK","TIDAK VALID")))</f>
        <v/>
      </c>
    </row>
    <row r="205" customFormat="false" ht="15" hidden="false" customHeight="false" outlineLevel="0" collapsed="false">
      <c r="A205" s="21"/>
      <c r="B205" s="22"/>
      <c r="C205" s="21"/>
      <c r="D205" s="22"/>
      <c r="E205" s="22"/>
      <c r="F205" s="28"/>
      <c r="G205" s="22"/>
      <c r="H205" s="21"/>
      <c r="I205" s="28"/>
      <c r="J205" s="22"/>
      <c r="K205" s="22"/>
      <c r="L205" s="22"/>
      <c r="M205" s="21"/>
      <c r="N205" s="22"/>
      <c r="O205" s="29" t="str">
        <f aca="false">IF(A205="","",IF(COUNTIF($A$2:$A$2001,A205)&gt;1,"GANDA","OK"))</f>
        <v/>
      </c>
      <c r="P205" s="29" t="str">
        <f aca="false">IF(A205="","",IF(C205="","KOSONG",IF(AND(LEN(C205)=16,ISNUMBER(--C205)),"OK","TIDAK VALID")))</f>
        <v/>
      </c>
    </row>
    <row r="206" customFormat="false" ht="15" hidden="false" customHeight="false" outlineLevel="0" collapsed="false">
      <c r="A206" s="21"/>
      <c r="B206" s="22"/>
      <c r="C206" s="21"/>
      <c r="D206" s="22"/>
      <c r="E206" s="22"/>
      <c r="F206" s="28"/>
      <c r="G206" s="22"/>
      <c r="H206" s="21"/>
      <c r="I206" s="28"/>
      <c r="J206" s="22"/>
      <c r="K206" s="22"/>
      <c r="L206" s="22"/>
      <c r="M206" s="21"/>
      <c r="N206" s="22"/>
      <c r="O206" s="29" t="str">
        <f aca="false">IF(A206="","",IF(COUNTIF($A$2:$A$2001,A206)&gt;1,"GANDA","OK"))</f>
        <v/>
      </c>
      <c r="P206" s="29" t="str">
        <f aca="false">IF(A206="","",IF(C206="","KOSONG",IF(AND(LEN(C206)=16,ISNUMBER(--C206)),"OK","TIDAK VALID")))</f>
        <v/>
      </c>
    </row>
    <row r="207" customFormat="false" ht="15" hidden="false" customHeight="false" outlineLevel="0" collapsed="false">
      <c r="A207" s="21"/>
      <c r="B207" s="22"/>
      <c r="C207" s="21"/>
      <c r="D207" s="22"/>
      <c r="E207" s="22"/>
      <c r="F207" s="28"/>
      <c r="G207" s="22"/>
      <c r="H207" s="21"/>
      <c r="I207" s="28"/>
      <c r="J207" s="22"/>
      <c r="K207" s="22"/>
      <c r="L207" s="22"/>
      <c r="M207" s="21"/>
      <c r="N207" s="22"/>
      <c r="O207" s="29" t="str">
        <f aca="false">IF(A207="","",IF(COUNTIF($A$2:$A$2001,A207)&gt;1,"GANDA","OK"))</f>
        <v/>
      </c>
      <c r="P207" s="29" t="str">
        <f aca="false">IF(A207="","",IF(C207="","KOSONG",IF(AND(LEN(C207)=16,ISNUMBER(--C207)),"OK","TIDAK VALID")))</f>
        <v/>
      </c>
    </row>
    <row r="208" customFormat="false" ht="15" hidden="false" customHeight="false" outlineLevel="0" collapsed="false">
      <c r="A208" s="21"/>
      <c r="B208" s="22"/>
      <c r="C208" s="21"/>
      <c r="D208" s="22"/>
      <c r="E208" s="22"/>
      <c r="F208" s="28"/>
      <c r="G208" s="22"/>
      <c r="H208" s="21"/>
      <c r="I208" s="28"/>
      <c r="J208" s="22"/>
      <c r="K208" s="22"/>
      <c r="L208" s="22"/>
      <c r="M208" s="21"/>
      <c r="N208" s="22"/>
      <c r="O208" s="29" t="str">
        <f aca="false">IF(A208="","",IF(COUNTIF($A$2:$A$2001,A208)&gt;1,"GANDA","OK"))</f>
        <v/>
      </c>
      <c r="P208" s="29" t="str">
        <f aca="false">IF(A208="","",IF(C208="","KOSONG",IF(AND(LEN(C208)=16,ISNUMBER(--C208)),"OK","TIDAK VALID")))</f>
        <v/>
      </c>
    </row>
    <row r="209" customFormat="false" ht="15" hidden="false" customHeight="false" outlineLevel="0" collapsed="false">
      <c r="A209" s="21"/>
      <c r="B209" s="22"/>
      <c r="C209" s="21"/>
      <c r="D209" s="22"/>
      <c r="E209" s="22"/>
      <c r="F209" s="28"/>
      <c r="G209" s="22"/>
      <c r="H209" s="21"/>
      <c r="I209" s="28"/>
      <c r="J209" s="22"/>
      <c r="K209" s="22"/>
      <c r="L209" s="22"/>
      <c r="M209" s="21"/>
      <c r="N209" s="22"/>
      <c r="O209" s="29" t="str">
        <f aca="false">IF(A209="","",IF(COUNTIF($A$2:$A$2001,A209)&gt;1,"GANDA","OK"))</f>
        <v/>
      </c>
      <c r="P209" s="29" t="str">
        <f aca="false">IF(A209="","",IF(C209="","KOSONG",IF(AND(LEN(C209)=16,ISNUMBER(--C209)),"OK","TIDAK VALID")))</f>
        <v/>
      </c>
    </row>
    <row r="210" customFormat="false" ht="15" hidden="false" customHeight="false" outlineLevel="0" collapsed="false">
      <c r="A210" s="21"/>
      <c r="B210" s="22"/>
      <c r="C210" s="21"/>
      <c r="D210" s="22"/>
      <c r="E210" s="22"/>
      <c r="F210" s="28"/>
      <c r="G210" s="22"/>
      <c r="H210" s="21"/>
      <c r="I210" s="28"/>
      <c r="J210" s="22"/>
      <c r="K210" s="22"/>
      <c r="L210" s="22"/>
      <c r="M210" s="21"/>
      <c r="N210" s="22"/>
      <c r="O210" s="29" t="str">
        <f aca="false">IF(A210="","",IF(COUNTIF($A$2:$A$2001,A210)&gt;1,"GANDA","OK"))</f>
        <v/>
      </c>
      <c r="P210" s="29" t="str">
        <f aca="false">IF(A210="","",IF(C210="","KOSONG",IF(AND(LEN(C210)=16,ISNUMBER(--C210)),"OK","TIDAK VALID")))</f>
        <v/>
      </c>
    </row>
    <row r="211" customFormat="false" ht="15" hidden="false" customHeight="false" outlineLevel="0" collapsed="false">
      <c r="A211" s="21"/>
      <c r="B211" s="22"/>
      <c r="C211" s="21"/>
      <c r="D211" s="22"/>
      <c r="E211" s="22"/>
      <c r="F211" s="28"/>
      <c r="G211" s="22"/>
      <c r="H211" s="21"/>
      <c r="I211" s="28"/>
      <c r="J211" s="22"/>
      <c r="K211" s="22"/>
      <c r="L211" s="22"/>
      <c r="M211" s="21"/>
      <c r="N211" s="22"/>
      <c r="O211" s="29" t="str">
        <f aca="false">IF(A211="","",IF(COUNTIF($A$2:$A$2001,A211)&gt;1,"GANDA","OK"))</f>
        <v/>
      </c>
      <c r="P211" s="29" t="str">
        <f aca="false">IF(A211="","",IF(C211="","KOSONG",IF(AND(LEN(C211)=16,ISNUMBER(--C211)),"OK","TIDAK VALID")))</f>
        <v/>
      </c>
    </row>
    <row r="212" customFormat="false" ht="15" hidden="false" customHeight="false" outlineLevel="0" collapsed="false">
      <c r="A212" s="21"/>
      <c r="B212" s="22"/>
      <c r="C212" s="21"/>
      <c r="D212" s="22"/>
      <c r="E212" s="22"/>
      <c r="F212" s="28"/>
      <c r="G212" s="22"/>
      <c r="H212" s="21"/>
      <c r="I212" s="28"/>
      <c r="J212" s="22"/>
      <c r="K212" s="22"/>
      <c r="L212" s="22"/>
      <c r="M212" s="21"/>
      <c r="N212" s="22"/>
      <c r="O212" s="29" t="str">
        <f aca="false">IF(A212="","",IF(COUNTIF($A$2:$A$2001,A212)&gt;1,"GANDA","OK"))</f>
        <v/>
      </c>
      <c r="P212" s="29" t="str">
        <f aca="false">IF(A212="","",IF(C212="","KOSONG",IF(AND(LEN(C212)=16,ISNUMBER(--C212)),"OK","TIDAK VALID")))</f>
        <v/>
      </c>
    </row>
    <row r="213" customFormat="false" ht="15" hidden="false" customHeight="false" outlineLevel="0" collapsed="false">
      <c r="A213" s="21"/>
      <c r="B213" s="22"/>
      <c r="C213" s="21"/>
      <c r="D213" s="22"/>
      <c r="E213" s="22"/>
      <c r="F213" s="28"/>
      <c r="G213" s="22"/>
      <c r="H213" s="21"/>
      <c r="I213" s="28"/>
      <c r="J213" s="22"/>
      <c r="K213" s="22"/>
      <c r="L213" s="22"/>
      <c r="M213" s="21"/>
      <c r="N213" s="22"/>
      <c r="O213" s="29" t="str">
        <f aca="false">IF(A213="","",IF(COUNTIF($A$2:$A$2001,A213)&gt;1,"GANDA","OK"))</f>
        <v/>
      </c>
      <c r="P213" s="29" t="str">
        <f aca="false">IF(A213="","",IF(C213="","KOSONG",IF(AND(LEN(C213)=16,ISNUMBER(--C213)),"OK","TIDAK VALID")))</f>
        <v/>
      </c>
    </row>
    <row r="214" customFormat="false" ht="15" hidden="false" customHeight="false" outlineLevel="0" collapsed="false">
      <c r="A214" s="21"/>
      <c r="B214" s="22"/>
      <c r="C214" s="21"/>
      <c r="D214" s="22"/>
      <c r="E214" s="22"/>
      <c r="F214" s="28"/>
      <c r="G214" s="22"/>
      <c r="H214" s="21"/>
      <c r="I214" s="28"/>
      <c r="J214" s="22"/>
      <c r="K214" s="22"/>
      <c r="L214" s="22"/>
      <c r="M214" s="21"/>
      <c r="N214" s="22"/>
      <c r="O214" s="29" t="str">
        <f aca="false">IF(A214="","",IF(COUNTIF($A$2:$A$2001,A214)&gt;1,"GANDA","OK"))</f>
        <v/>
      </c>
      <c r="P214" s="29" t="str">
        <f aca="false">IF(A214="","",IF(C214="","KOSONG",IF(AND(LEN(C214)=16,ISNUMBER(--C214)),"OK","TIDAK VALID")))</f>
        <v/>
      </c>
    </row>
    <row r="215" customFormat="false" ht="15" hidden="false" customHeight="false" outlineLevel="0" collapsed="false">
      <c r="A215" s="21"/>
      <c r="B215" s="22"/>
      <c r="C215" s="21"/>
      <c r="D215" s="22"/>
      <c r="E215" s="22"/>
      <c r="F215" s="28"/>
      <c r="G215" s="22"/>
      <c r="H215" s="21"/>
      <c r="I215" s="28"/>
      <c r="J215" s="22"/>
      <c r="K215" s="22"/>
      <c r="L215" s="22"/>
      <c r="M215" s="21"/>
      <c r="N215" s="22"/>
      <c r="O215" s="29" t="str">
        <f aca="false">IF(A215="","",IF(COUNTIF($A$2:$A$2001,A215)&gt;1,"GANDA","OK"))</f>
        <v/>
      </c>
      <c r="P215" s="29" t="str">
        <f aca="false">IF(A215="","",IF(C215="","KOSONG",IF(AND(LEN(C215)=16,ISNUMBER(--C215)),"OK","TIDAK VALID")))</f>
        <v/>
      </c>
    </row>
    <row r="216" customFormat="false" ht="15" hidden="false" customHeight="false" outlineLevel="0" collapsed="false">
      <c r="A216" s="21"/>
      <c r="B216" s="22"/>
      <c r="C216" s="21"/>
      <c r="D216" s="22"/>
      <c r="E216" s="22"/>
      <c r="F216" s="28"/>
      <c r="G216" s="22"/>
      <c r="H216" s="21"/>
      <c r="I216" s="28"/>
      <c r="J216" s="22"/>
      <c r="K216" s="22"/>
      <c r="L216" s="22"/>
      <c r="M216" s="21"/>
      <c r="N216" s="22"/>
      <c r="O216" s="29" t="str">
        <f aca="false">IF(A216="","",IF(COUNTIF($A$2:$A$2001,A216)&gt;1,"GANDA","OK"))</f>
        <v/>
      </c>
      <c r="P216" s="29" t="str">
        <f aca="false">IF(A216="","",IF(C216="","KOSONG",IF(AND(LEN(C216)=16,ISNUMBER(--C216)),"OK","TIDAK VALID")))</f>
        <v/>
      </c>
    </row>
    <row r="217" customFormat="false" ht="15" hidden="false" customHeight="false" outlineLevel="0" collapsed="false">
      <c r="A217" s="21"/>
      <c r="B217" s="22"/>
      <c r="C217" s="21"/>
      <c r="D217" s="22"/>
      <c r="E217" s="22"/>
      <c r="F217" s="28"/>
      <c r="G217" s="22"/>
      <c r="H217" s="21"/>
      <c r="I217" s="28"/>
      <c r="J217" s="22"/>
      <c r="K217" s="22"/>
      <c r="L217" s="22"/>
      <c r="M217" s="21"/>
      <c r="N217" s="22"/>
      <c r="O217" s="29" t="str">
        <f aca="false">IF(A217="","",IF(COUNTIF($A$2:$A$2001,A217)&gt;1,"GANDA","OK"))</f>
        <v/>
      </c>
      <c r="P217" s="29" t="str">
        <f aca="false">IF(A217="","",IF(C217="","KOSONG",IF(AND(LEN(C217)=16,ISNUMBER(--C217)),"OK","TIDAK VALID")))</f>
        <v/>
      </c>
    </row>
    <row r="218" customFormat="false" ht="15" hidden="false" customHeight="false" outlineLevel="0" collapsed="false">
      <c r="A218" s="21"/>
      <c r="B218" s="22"/>
      <c r="C218" s="21"/>
      <c r="D218" s="22"/>
      <c r="E218" s="22"/>
      <c r="F218" s="28"/>
      <c r="G218" s="22"/>
      <c r="H218" s="21"/>
      <c r="I218" s="28"/>
      <c r="J218" s="22"/>
      <c r="K218" s="22"/>
      <c r="L218" s="22"/>
      <c r="M218" s="21"/>
      <c r="N218" s="22"/>
      <c r="O218" s="29" t="str">
        <f aca="false">IF(A218="","",IF(COUNTIF($A$2:$A$2001,A218)&gt;1,"GANDA","OK"))</f>
        <v/>
      </c>
      <c r="P218" s="29" t="str">
        <f aca="false">IF(A218="","",IF(C218="","KOSONG",IF(AND(LEN(C218)=16,ISNUMBER(--C218)),"OK","TIDAK VALID")))</f>
        <v/>
      </c>
    </row>
    <row r="219" customFormat="false" ht="15" hidden="false" customHeight="false" outlineLevel="0" collapsed="false">
      <c r="A219" s="21"/>
      <c r="B219" s="22"/>
      <c r="C219" s="21"/>
      <c r="D219" s="22"/>
      <c r="E219" s="22"/>
      <c r="F219" s="28"/>
      <c r="G219" s="22"/>
      <c r="H219" s="21"/>
      <c r="I219" s="28"/>
      <c r="J219" s="22"/>
      <c r="K219" s="22"/>
      <c r="L219" s="22"/>
      <c r="M219" s="21"/>
      <c r="N219" s="22"/>
      <c r="O219" s="29" t="str">
        <f aca="false">IF(A219="","",IF(COUNTIF($A$2:$A$2001,A219)&gt;1,"GANDA","OK"))</f>
        <v/>
      </c>
      <c r="P219" s="29" t="str">
        <f aca="false">IF(A219="","",IF(C219="","KOSONG",IF(AND(LEN(C219)=16,ISNUMBER(--C219)),"OK","TIDAK VALID")))</f>
        <v/>
      </c>
    </row>
    <row r="220" customFormat="false" ht="15" hidden="false" customHeight="false" outlineLevel="0" collapsed="false">
      <c r="A220" s="21"/>
      <c r="B220" s="22"/>
      <c r="C220" s="21"/>
      <c r="D220" s="22"/>
      <c r="E220" s="22"/>
      <c r="F220" s="28"/>
      <c r="G220" s="22"/>
      <c r="H220" s="21"/>
      <c r="I220" s="28"/>
      <c r="J220" s="22"/>
      <c r="K220" s="22"/>
      <c r="L220" s="22"/>
      <c r="M220" s="21"/>
      <c r="N220" s="22"/>
      <c r="O220" s="29" t="str">
        <f aca="false">IF(A220="","",IF(COUNTIF($A$2:$A$2001,A220)&gt;1,"GANDA","OK"))</f>
        <v/>
      </c>
      <c r="P220" s="29" t="str">
        <f aca="false">IF(A220="","",IF(C220="","KOSONG",IF(AND(LEN(C220)=16,ISNUMBER(--C220)),"OK","TIDAK VALID")))</f>
        <v/>
      </c>
    </row>
    <row r="221" customFormat="false" ht="15" hidden="false" customHeight="false" outlineLevel="0" collapsed="false">
      <c r="A221" s="21"/>
      <c r="B221" s="22"/>
      <c r="C221" s="21"/>
      <c r="D221" s="22"/>
      <c r="E221" s="22"/>
      <c r="F221" s="28"/>
      <c r="G221" s="22"/>
      <c r="H221" s="21"/>
      <c r="I221" s="28"/>
      <c r="J221" s="22"/>
      <c r="K221" s="22"/>
      <c r="L221" s="22"/>
      <c r="M221" s="21"/>
      <c r="N221" s="22"/>
      <c r="O221" s="29" t="str">
        <f aca="false">IF(A221="","",IF(COUNTIF($A$2:$A$2001,A221)&gt;1,"GANDA","OK"))</f>
        <v/>
      </c>
      <c r="P221" s="29" t="str">
        <f aca="false">IF(A221="","",IF(C221="","KOSONG",IF(AND(LEN(C221)=16,ISNUMBER(--C221)),"OK","TIDAK VALID")))</f>
        <v/>
      </c>
    </row>
    <row r="222" customFormat="false" ht="15" hidden="false" customHeight="false" outlineLevel="0" collapsed="false">
      <c r="A222" s="21"/>
      <c r="B222" s="22"/>
      <c r="C222" s="21"/>
      <c r="D222" s="22"/>
      <c r="E222" s="22"/>
      <c r="F222" s="28"/>
      <c r="G222" s="22"/>
      <c r="H222" s="21"/>
      <c r="I222" s="28"/>
      <c r="J222" s="22"/>
      <c r="K222" s="22"/>
      <c r="L222" s="22"/>
      <c r="M222" s="21"/>
      <c r="N222" s="22"/>
      <c r="O222" s="29" t="str">
        <f aca="false">IF(A222="","",IF(COUNTIF($A$2:$A$2001,A222)&gt;1,"GANDA","OK"))</f>
        <v/>
      </c>
      <c r="P222" s="29" t="str">
        <f aca="false">IF(A222="","",IF(C222="","KOSONG",IF(AND(LEN(C222)=16,ISNUMBER(--C222)),"OK","TIDAK VALID")))</f>
        <v/>
      </c>
    </row>
    <row r="223" customFormat="false" ht="15" hidden="false" customHeight="false" outlineLevel="0" collapsed="false">
      <c r="A223" s="21"/>
      <c r="B223" s="22"/>
      <c r="C223" s="21"/>
      <c r="D223" s="22"/>
      <c r="E223" s="22"/>
      <c r="F223" s="28"/>
      <c r="G223" s="22"/>
      <c r="H223" s="21"/>
      <c r="I223" s="28"/>
      <c r="J223" s="22"/>
      <c r="K223" s="22"/>
      <c r="L223" s="22"/>
      <c r="M223" s="21"/>
      <c r="N223" s="22"/>
      <c r="O223" s="29" t="str">
        <f aca="false">IF(A223="","",IF(COUNTIF($A$2:$A$2001,A223)&gt;1,"GANDA","OK"))</f>
        <v/>
      </c>
      <c r="P223" s="29" t="str">
        <f aca="false">IF(A223="","",IF(C223="","KOSONG",IF(AND(LEN(C223)=16,ISNUMBER(--C223)),"OK","TIDAK VALID")))</f>
        <v/>
      </c>
    </row>
    <row r="224" customFormat="false" ht="15" hidden="false" customHeight="false" outlineLevel="0" collapsed="false">
      <c r="A224" s="21"/>
      <c r="B224" s="22"/>
      <c r="C224" s="21"/>
      <c r="D224" s="22"/>
      <c r="E224" s="22"/>
      <c r="F224" s="28"/>
      <c r="G224" s="22"/>
      <c r="H224" s="21"/>
      <c r="I224" s="28"/>
      <c r="J224" s="22"/>
      <c r="K224" s="22"/>
      <c r="L224" s="22"/>
      <c r="M224" s="21"/>
      <c r="N224" s="22"/>
      <c r="O224" s="29" t="str">
        <f aca="false">IF(A224="","",IF(COUNTIF($A$2:$A$2001,A224)&gt;1,"GANDA","OK"))</f>
        <v/>
      </c>
      <c r="P224" s="29" t="str">
        <f aca="false">IF(A224="","",IF(C224="","KOSONG",IF(AND(LEN(C224)=16,ISNUMBER(--C224)),"OK","TIDAK VALID")))</f>
        <v/>
      </c>
    </row>
    <row r="225" customFormat="false" ht="15" hidden="false" customHeight="false" outlineLevel="0" collapsed="false">
      <c r="A225" s="21"/>
      <c r="B225" s="22"/>
      <c r="C225" s="21"/>
      <c r="D225" s="22"/>
      <c r="E225" s="22"/>
      <c r="F225" s="28"/>
      <c r="G225" s="22"/>
      <c r="H225" s="21"/>
      <c r="I225" s="28"/>
      <c r="J225" s="22"/>
      <c r="K225" s="22"/>
      <c r="L225" s="22"/>
      <c r="M225" s="21"/>
      <c r="N225" s="22"/>
      <c r="O225" s="29" t="str">
        <f aca="false">IF(A225="","",IF(COUNTIF($A$2:$A$2001,A225)&gt;1,"GANDA","OK"))</f>
        <v/>
      </c>
      <c r="P225" s="29" t="str">
        <f aca="false">IF(A225="","",IF(C225="","KOSONG",IF(AND(LEN(C225)=16,ISNUMBER(--C225)),"OK","TIDAK VALID")))</f>
        <v/>
      </c>
    </row>
    <row r="226" customFormat="false" ht="15" hidden="false" customHeight="false" outlineLevel="0" collapsed="false">
      <c r="A226" s="21"/>
      <c r="B226" s="22"/>
      <c r="C226" s="21"/>
      <c r="D226" s="22"/>
      <c r="E226" s="22"/>
      <c r="F226" s="28"/>
      <c r="G226" s="22"/>
      <c r="H226" s="21"/>
      <c r="I226" s="28"/>
      <c r="J226" s="22"/>
      <c r="K226" s="22"/>
      <c r="L226" s="22"/>
      <c r="M226" s="21"/>
      <c r="N226" s="22"/>
      <c r="O226" s="29" t="str">
        <f aca="false">IF(A226="","",IF(COUNTIF($A$2:$A$2001,A226)&gt;1,"GANDA","OK"))</f>
        <v/>
      </c>
      <c r="P226" s="29" t="str">
        <f aca="false">IF(A226="","",IF(C226="","KOSONG",IF(AND(LEN(C226)=16,ISNUMBER(--C226)),"OK","TIDAK VALID")))</f>
        <v/>
      </c>
    </row>
    <row r="227" customFormat="false" ht="15" hidden="false" customHeight="false" outlineLevel="0" collapsed="false">
      <c r="A227" s="21"/>
      <c r="B227" s="22"/>
      <c r="C227" s="21"/>
      <c r="D227" s="22"/>
      <c r="E227" s="22"/>
      <c r="F227" s="28"/>
      <c r="G227" s="22"/>
      <c r="H227" s="21"/>
      <c r="I227" s="28"/>
      <c r="J227" s="22"/>
      <c r="K227" s="22"/>
      <c r="L227" s="22"/>
      <c r="M227" s="21"/>
      <c r="N227" s="22"/>
      <c r="O227" s="29" t="str">
        <f aca="false">IF(A227="","",IF(COUNTIF($A$2:$A$2001,A227)&gt;1,"GANDA","OK"))</f>
        <v/>
      </c>
      <c r="P227" s="29" t="str">
        <f aca="false">IF(A227="","",IF(C227="","KOSONG",IF(AND(LEN(C227)=16,ISNUMBER(--C227)),"OK","TIDAK VALID")))</f>
        <v/>
      </c>
    </row>
    <row r="228" customFormat="false" ht="15" hidden="false" customHeight="false" outlineLevel="0" collapsed="false">
      <c r="A228" s="21"/>
      <c r="B228" s="22"/>
      <c r="C228" s="21"/>
      <c r="D228" s="22"/>
      <c r="E228" s="22"/>
      <c r="F228" s="28"/>
      <c r="G228" s="22"/>
      <c r="H228" s="21"/>
      <c r="I228" s="28"/>
      <c r="J228" s="22"/>
      <c r="K228" s="22"/>
      <c r="L228" s="22"/>
      <c r="M228" s="21"/>
      <c r="N228" s="22"/>
      <c r="O228" s="29" t="str">
        <f aca="false">IF(A228="","",IF(COUNTIF($A$2:$A$2001,A228)&gt;1,"GANDA","OK"))</f>
        <v/>
      </c>
      <c r="P228" s="29" t="str">
        <f aca="false">IF(A228="","",IF(C228="","KOSONG",IF(AND(LEN(C228)=16,ISNUMBER(--C228)),"OK","TIDAK VALID")))</f>
        <v/>
      </c>
    </row>
    <row r="229" customFormat="false" ht="15" hidden="false" customHeight="false" outlineLevel="0" collapsed="false">
      <c r="A229" s="21"/>
      <c r="B229" s="22"/>
      <c r="C229" s="21"/>
      <c r="D229" s="22"/>
      <c r="E229" s="22"/>
      <c r="F229" s="28"/>
      <c r="G229" s="22"/>
      <c r="H229" s="21"/>
      <c r="I229" s="28"/>
      <c r="J229" s="22"/>
      <c r="K229" s="22"/>
      <c r="L229" s="22"/>
      <c r="M229" s="21"/>
      <c r="N229" s="22"/>
      <c r="O229" s="29" t="str">
        <f aca="false">IF(A229="","",IF(COUNTIF($A$2:$A$2001,A229)&gt;1,"GANDA","OK"))</f>
        <v/>
      </c>
      <c r="P229" s="29" t="str">
        <f aca="false">IF(A229="","",IF(C229="","KOSONG",IF(AND(LEN(C229)=16,ISNUMBER(--C229)),"OK","TIDAK VALID")))</f>
        <v/>
      </c>
    </row>
    <row r="230" customFormat="false" ht="15" hidden="false" customHeight="false" outlineLevel="0" collapsed="false">
      <c r="A230" s="21"/>
      <c r="B230" s="22"/>
      <c r="C230" s="21"/>
      <c r="D230" s="22"/>
      <c r="E230" s="22"/>
      <c r="F230" s="28"/>
      <c r="G230" s="22"/>
      <c r="H230" s="21"/>
      <c r="I230" s="28"/>
      <c r="J230" s="22"/>
      <c r="K230" s="22"/>
      <c r="L230" s="22"/>
      <c r="M230" s="21"/>
      <c r="N230" s="22"/>
      <c r="O230" s="29" t="str">
        <f aca="false">IF(A230="","",IF(COUNTIF($A$2:$A$2001,A230)&gt;1,"GANDA","OK"))</f>
        <v/>
      </c>
      <c r="P230" s="29" t="str">
        <f aca="false">IF(A230="","",IF(C230="","KOSONG",IF(AND(LEN(C230)=16,ISNUMBER(--C230)),"OK","TIDAK VALID")))</f>
        <v/>
      </c>
    </row>
    <row r="231" customFormat="false" ht="15" hidden="false" customHeight="false" outlineLevel="0" collapsed="false">
      <c r="A231" s="21"/>
      <c r="B231" s="22"/>
      <c r="C231" s="21"/>
      <c r="D231" s="22"/>
      <c r="E231" s="22"/>
      <c r="F231" s="28"/>
      <c r="G231" s="22"/>
      <c r="H231" s="21"/>
      <c r="I231" s="28"/>
      <c r="J231" s="22"/>
      <c r="K231" s="22"/>
      <c r="L231" s="22"/>
      <c r="M231" s="21"/>
      <c r="N231" s="22"/>
      <c r="O231" s="29" t="str">
        <f aca="false">IF(A231="","",IF(COUNTIF($A$2:$A$2001,A231)&gt;1,"GANDA","OK"))</f>
        <v/>
      </c>
      <c r="P231" s="29" t="str">
        <f aca="false">IF(A231="","",IF(C231="","KOSONG",IF(AND(LEN(C231)=16,ISNUMBER(--C231)),"OK","TIDAK VALID")))</f>
        <v/>
      </c>
    </row>
    <row r="232" customFormat="false" ht="15" hidden="false" customHeight="false" outlineLevel="0" collapsed="false">
      <c r="A232" s="21"/>
      <c r="B232" s="22"/>
      <c r="C232" s="21"/>
      <c r="D232" s="22"/>
      <c r="E232" s="22"/>
      <c r="F232" s="28"/>
      <c r="G232" s="22"/>
      <c r="H232" s="21"/>
      <c r="I232" s="28"/>
      <c r="J232" s="22"/>
      <c r="K232" s="22"/>
      <c r="L232" s="22"/>
      <c r="M232" s="21"/>
      <c r="N232" s="22"/>
      <c r="O232" s="29" t="str">
        <f aca="false">IF(A232="","",IF(COUNTIF($A$2:$A$2001,A232)&gt;1,"GANDA","OK"))</f>
        <v/>
      </c>
      <c r="P232" s="29" t="str">
        <f aca="false">IF(A232="","",IF(C232="","KOSONG",IF(AND(LEN(C232)=16,ISNUMBER(--C232)),"OK","TIDAK VALID")))</f>
        <v/>
      </c>
    </row>
    <row r="233" customFormat="false" ht="15" hidden="false" customHeight="false" outlineLevel="0" collapsed="false">
      <c r="A233" s="21"/>
      <c r="B233" s="22"/>
      <c r="C233" s="21"/>
      <c r="D233" s="22"/>
      <c r="E233" s="22"/>
      <c r="F233" s="28"/>
      <c r="G233" s="22"/>
      <c r="H233" s="21"/>
      <c r="I233" s="28"/>
      <c r="J233" s="22"/>
      <c r="K233" s="22"/>
      <c r="L233" s="22"/>
      <c r="M233" s="21"/>
      <c r="N233" s="22"/>
      <c r="O233" s="29" t="str">
        <f aca="false">IF(A233="","",IF(COUNTIF($A$2:$A$2001,A233)&gt;1,"GANDA","OK"))</f>
        <v/>
      </c>
      <c r="P233" s="29" t="str">
        <f aca="false">IF(A233="","",IF(C233="","KOSONG",IF(AND(LEN(C233)=16,ISNUMBER(--C233)),"OK","TIDAK VALID")))</f>
        <v/>
      </c>
    </row>
    <row r="234" customFormat="false" ht="15" hidden="false" customHeight="false" outlineLevel="0" collapsed="false">
      <c r="A234" s="21"/>
      <c r="B234" s="22"/>
      <c r="C234" s="21"/>
      <c r="D234" s="22"/>
      <c r="E234" s="22"/>
      <c r="F234" s="28"/>
      <c r="G234" s="22"/>
      <c r="H234" s="21"/>
      <c r="I234" s="28"/>
      <c r="J234" s="22"/>
      <c r="K234" s="22"/>
      <c r="L234" s="22"/>
      <c r="M234" s="21"/>
      <c r="N234" s="22"/>
      <c r="O234" s="29" t="str">
        <f aca="false">IF(A234="","",IF(COUNTIF($A$2:$A$2001,A234)&gt;1,"GANDA","OK"))</f>
        <v/>
      </c>
      <c r="P234" s="29" t="str">
        <f aca="false">IF(A234="","",IF(C234="","KOSONG",IF(AND(LEN(C234)=16,ISNUMBER(--C234)),"OK","TIDAK VALID")))</f>
        <v/>
      </c>
    </row>
    <row r="235" customFormat="false" ht="15" hidden="false" customHeight="false" outlineLevel="0" collapsed="false">
      <c r="A235" s="21"/>
      <c r="B235" s="22"/>
      <c r="C235" s="21"/>
      <c r="D235" s="22"/>
      <c r="E235" s="22"/>
      <c r="F235" s="28"/>
      <c r="G235" s="22"/>
      <c r="H235" s="21"/>
      <c r="I235" s="28"/>
      <c r="J235" s="22"/>
      <c r="K235" s="22"/>
      <c r="L235" s="22"/>
      <c r="M235" s="21"/>
      <c r="N235" s="22"/>
      <c r="O235" s="29" t="str">
        <f aca="false">IF(A235="","",IF(COUNTIF($A$2:$A$2001,A235)&gt;1,"GANDA","OK"))</f>
        <v/>
      </c>
      <c r="P235" s="29" t="str">
        <f aca="false">IF(A235="","",IF(C235="","KOSONG",IF(AND(LEN(C235)=16,ISNUMBER(--C235)),"OK","TIDAK VALID")))</f>
        <v/>
      </c>
    </row>
    <row r="236" customFormat="false" ht="15" hidden="false" customHeight="false" outlineLevel="0" collapsed="false">
      <c r="A236" s="21"/>
      <c r="B236" s="22"/>
      <c r="C236" s="21"/>
      <c r="D236" s="22"/>
      <c r="E236" s="22"/>
      <c r="F236" s="28"/>
      <c r="G236" s="22"/>
      <c r="H236" s="21"/>
      <c r="I236" s="28"/>
      <c r="J236" s="22"/>
      <c r="K236" s="22"/>
      <c r="L236" s="22"/>
      <c r="M236" s="21"/>
      <c r="N236" s="22"/>
      <c r="O236" s="29" t="str">
        <f aca="false">IF(A236="","",IF(COUNTIF($A$2:$A$2001,A236)&gt;1,"GANDA","OK"))</f>
        <v/>
      </c>
      <c r="P236" s="29" t="str">
        <f aca="false">IF(A236="","",IF(C236="","KOSONG",IF(AND(LEN(C236)=16,ISNUMBER(--C236)),"OK","TIDAK VALID")))</f>
        <v/>
      </c>
    </row>
    <row r="237" customFormat="false" ht="15" hidden="false" customHeight="false" outlineLevel="0" collapsed="false">
      <c r="A237" s="21"/>
      <c r="B237" s="22"/>
      <c r="C237" s="21"/>
      <c r="D237" s="22"/>
      <c r="E237" s="22"/>
      <c r="F237" s="28"/>
      <c r="G237" s="22"/>
      <c r="H237" s="21"/>
      <c r="I237" s="28"/>
      <c r="J237" s="22"/>
      <c r="K237" s="22"/>
      <c r="L237" s="22"/>
      <c r="M237" s="21"/>
      <c r="N237" s="22"/>
      <c r="O237" s="29" t="str">
        <f aca="false">IF(A237="","",IF(COUNTIF($A$2:$A$2001,A237)&gt;1,"GANDA","OK"))</f>
        <v/>
      </c>
      <c r="P237" s="29" t="str">
        <f aca="false">IF(A237="","",IF(C237="","KOSONG",IF(AND(LEN(C237)=16,ISNUMBER(--C237)),"OK","TIDAK VALID")))</f>
        <v/>
      </c>
    </row>
    <row r="238" customFormat="false" ht="15" hidden="false" customHeight="false" outlineLevel="0" collapsed="false">
      <c r="A238" s="21"/>
      <c r="B238" s="22"/>
      <c r="C238" s="21"/>
      <c r="D238" s="22"/>
      <c r="E238" s="22"/>
      <c r="F238" s="28"/>
      <c r="G238" s="22"/>
      <c r="H238" s="21"/>
      <c r="I238" s="28"/>
      <c r="J238" s="22"/>
      <c r="K238" s="22"/>
      <c r="L238" s="22"/>
      <c r="M238" s="21"/>
      <c r="N238" s="22"/>
      <c r="O238" s="29" t="str">
        <f aca="false">IF(A238="","",IF(COUNTIF($A$2:$A$2001,A238)&gt;1,"GANDA","OK"))</f>
        <v/>
      </c>
      <c r="P238" s="29" t="str">
        <f aca="false">IF(A238="","",IF(C238="","KOSONG",IF(AND(LEN(C238)=16,ISNUMBER(--C238)),"OK","TIDAK VALID")))</f>
        <v/>
      </c>
    </row>
    <row r="239" customFormat="false" ht="15" hidden="false" customHeight="false" outlineLevel="0" collapsed="false">
      <c r="A239" s="21"/>
      <c r="B239" s="22"/>
      <c r="C239" s="21"/>
      <c r="D239" s="22"/>
      <c r="E239" s="22"/>
      <c r="F239" s="28"/>
      <c r="G239" s="22"/>
      <c r="H239" s="21"/>
      <c r="I239" s="28"/>
      <c r="J239" s="22"/>
      <c r="K239" s="22"/>
      <c r="L239" s="22"/>
      <c r="M239" s="21"/>
      <c r="N239" s="22"/>
      <c r="O239" s="29" t="str">
        <f aca="false">IF(A239="","",IF(COUNTIF($A$2:$A$2001,A239)&gt;1,"GANDA","OK"))</f>
        <v/>
      </c>
      <c r="P239" s="29" t="str">
        <f aca="false">IF(A239="","",IF(C239="","KOSONG",IF(AND(LEN(C239)=16,ISNUMBER(--C239)),"OK","TIDAK VALID")))</f>
        <v/>
      </c>
    </row>
    <row r="240" customFormat="false" ht="15" hidden="false" customHeight="false" outlineLevel="0" collapsed="false">
      <c r="A240" s="21"/>
      <c r="B240" s="22"/>
      <c r="C240" s="21"/>
      <c r="D240" s="22"/>
      <c r="E240" s="22"/>
      <c r="F240" s="28"/>
      <c r="G240" s="22"/>
      <c r="H240" s="21"/>
      <c r="I240" s="28"/>
      <c r="J240" s="22"/>
      <c r="K240" s="22"/>
      <c r="L240" s="22"/>
      <c r="M240" s="21"/>
      <c r="N240" s="22"/>
      <c r="O240" s="29" t="str">
        <f aca="false">IF(A240="","",IF(COUNTIF($A$2:$A$2001,A240)&gt;1,"GANDA","OK"))</f>
        <v/>
      </c>
      <c r="P240" s="29" t="str">
        <f aca="false">IF(A240="","",IF(C240="","KOSONG",IF(AND(LEN(C240)=16,ISNUMBER(--C240)),"OK","TIDAK VALID")))</f>
        <v/>
      </c>
    </row>
    <row r="241" customFormat="false" ht="15" hidden="false" customHeight="false" outlineLevel="0" collapsed="false">
      <c r="A241" s="21"/>
      <c r="B241" s="22"/>
      <c r="C241" s="21"/>
      <c r="D241" s="22"/>
      <c r="E241" s="22"/>
      <c r="F241" s="28"/>
      <c r="G241" s="22"/>
      <c r="H241" s="21"/>
      <c r="I241" s="28"/>
      <c r="J241" s="22"/>
      <c r="K241" s="22"/>
      <c r="L241" s="22"/>
      <c r="M241" s="21"/>
      <c r="N241" s="22"/>
      <c r="O241" s="29" t="str">
        <f aca="false">IF(A241="","",IF(COUNTIF($A$2:$A$2001,A241)&gt;1,"GANDA","OK"))</f>
        <v/>
      </c>
      <c r="P241" s="29" t="str">
        <f aca="false">IF(A241="","",IF(C241="","KOSONG",IF(AND(LEN(C241)=16,ISNUMBER(--C241)),"OK","TIDAK VALID")))</f>
        <v/>
      </c>
    </row>
    <row r="242" customFormat="false" ht="15" hidden="false" customHeight="false" outlineLevel="0" collapsed="false">
      <c r="A242" s="21"/>
      <c r="B242" s="22"/>
      <c r="C242" s="21"/>
      <c r="D242" s="22"/>
      <c r="E242" s="22"/>
      <c r="F242" s="28"/>
      <c r="G242" s="22"/>
      <c r="H242" s="21"/>
      <c r="I242" s="28"/>
      <c r="J242" s="22"/>
      <c r="K242" s="22"/>
      <c r="L242" s="22"/>
      <c r="M242" s="21"/>
      <c r="N242" s="22"/>
      <c r="O242" s="29" t="str">
        <f aca="false">IF(A242="","",IF(COUNTIF($A$2:$A$2001,A242)&gt;1,"GANDA","OK"))</f>
        <v/>
      </c>
      <c r="P242" s="29" t="str">
        <f aca="false">IF(A242="","",IF(C242="","KOSONG",IF(AND(LEN(C242)=16,ISNUMBER(--C242)),"OK","TIDAK VALID")))</f>
        <v/>
      </c>
    </row>
    <row r="243" customFormat="false" ht="15" hidden="false" customHeight="false" outlineLevel="0" collapsed="false">
      <c r="A243" s="21"/>
      <c r="B243" s="22"/>
      <c r="C243" s="21"/>
      <c r="D243" s="22"/>
      <c r="E243" s="22"/>
      <c r="F243" s="28"/>
      <c r="G243" s="22"/>
      <c r="H243" s="21"/>
      <c r="I243" s="28"/>
      <c r="J243" s="22"/>
      <c r="K243" s="22"/>
      <c r="L243" s="22"/>
      <c r="M243" s="21"/>
      <c r="N243" s="22"/>
      <c r="O243" s="29" t="str">
        <f aca="false">IF(A243="","",IF(COUNTIF($A$2:$A$2001,A243)&gt;1,"GANDA","OK"))</f>
        <v/>
      </c>
      <c r="P243" s="29" t="str">
        <f aca="false">IF(A243="","",IF(C243="","KOSONG",IF(AND(LEN(C243)=16,ISNUMBER(--C243)),"OK","TIDAK VALID")))</f>
        <v/>
      </c>
    </row>
    <row r="244" customFormat="false" ht="15" hidden="false" customHeight="false" outlineLevel="0" collapsed="false">
      <c r="A244" s="21"/>
      <c r="B244" s="22"/>
      <c r="C244" s="21"/>
      <c r="D244" s="22"/>
      <c r="E244" s="22"/>
      <c r="F244" s="28"/>
      <c r="G244" s="22"/>
      <c r="H244" s="21"/>
      <c r="I244" s="28"/>
      <c r="J244" s="22"/>
      <c r="K244" s="22"/>
      <c r="L244" s="22"/>
      <c r="M244" s="21"/>
      <c r="N244" s="22"/>
      <c r="O244" s="29" t="str">
        <f aca="false">IF(A244="","",IF(COUNTIF($A$2:$A$2001,A244)&gt;1,"GANDA","OK"))</f>
        <v/>
      </c>
      <c r="P244" s="29" t="str">
        <f aca="false">IF(A244="","",IF(C244="","KOSONG",IF(AND(LEN(C244)=16,ISNUMBER(--C244)),"OK","TIDAK VALID")))</f>
        <v/>
      </c>
    </row>
    <row r="245" customFormat="false" ht="15" hidden="false" customHeight="false" outlineLevel="0" collapsed="false">
      <c r="A245" s="21"/>
      <c r="B245" s="22"/>
      <c r="C245" s="21"/>
      <c r="D245" s="22"/>
      <c r="E245" s="22"/>
      <c r="F245" s="28"/>
      <c r="G245" s="22"/>
      <c r="H245" s="21"/>
      <c r="I245" s="28"/>
      <c r="J245" s="22"/>
      <c r="K245" s="22"/>
      <c r="L245" s="22"/>
      <c r="M245" s="21"/>
      <c r="N245" s="22"/>
      <c r="O245" s="29" t="str">
        <f aca="false">IF(A245="","",IF(COUNTIF($A$2:$A$2001,A245)&gt;1,"GANDA","OK"))</f>
        <v/>
      </c>
      <c r="P245" s="29" t="str">
        <f aca="false">IF(A245="","",IF(C245="","KOSONG",IF(AND(LEN(C245)=16,ISNUMBER(--C245)),"OK","TIDAK VALID")))</f>
        <v/>
      </c>
    </row>
    <row r="246" customFormat="false" ht="15" hidden="false" customHeight="false" outlineLevel="0" collapsed="false">
      <c r="A246" s="21"/>
      <c r="B246" s="22"/>
      <c r="C246" s="21"/>
      <c r="D246" s="22"/>
      <c r="E246" s="22"/>
      <c r="F246" s="28"/>
      <c r="G246" s="22"/>
      <c r="H246" s="21"/>
      <c r="I246" s="28"/>
      <c r="J246" s="22"/>
      <c r="K246" s="22"/>
      <c r="L246" s="22"/>
      <c r="M246" s="21"/>
      <c r="N246" s="22"/>
      <c r="O246" s="29" t="str">
        <f aca="false">IF(A246="","",IF(COUNTIF($A$2:$A$2001,A246)&gt;1,"GANDA","OK"))</f>
        <v/>
      </c>
      <c r="P246" s="29" t="str">
        <f aca="false">IF(A246="","",IF(C246="","KOSONG",IF(AND(LEN(C246)=16,ISNUMBER(--C246)),"OK","TIDAK VALID")))</f>
        <v/>
      </c>
    </row>
    <row r="247" customFormat="false" ht="15" hidden="false" customHeight="false" outlineLevel="0" collapsed="false">
      <c r="A247" s="21"/>
      <c r="B247" s="22"/>
      <c r="C247" s="21"/>
      <c r="D247" s="22"/>
      <c r="E247" s="22"/>
      <c r="F247" s="28"/>
      <c r="G247" s="22"/>
      <c r="H247" s="21"/>
      <c r="I247" s="28"/>
      <c r="J247" s="22"/>
      <c r="K247" s="22"/>
      <c r="L247" s="22"/>
      <c r="M247" s="21"/>
      <c r="N247" s="22"/>
      <c r="O247" s="29" t="str">
        <f aca="false">IF(A247="","",IF(COUNTIF($A$2:$A$2001,A247)&gt;1,"GANDA","OK"))</f>
        <v/>
      </c>
      <c r="P247" s="29" t="str">
        <f aca="false">IF(A247="","",IF(C247="","KOSONG",IF(AND(LEN(C247)=16,ISNUMBER(--C247)),"OK","TIDAK VALID")))</f>
        <v/>
      </c>
    </row>
    <row r="248" customFormat="false" ht="15" hidden="false" customHeight="false" outlineLevel="0" collapsed="false">
      <c r="A248" s="21"/>
      <c r="B248" s="22"/>
      <c r="C248" s="21"/>
      <c r="D248" s="22"/>
      <c r="E248" s="22"/>
      <c r="F248" s="28"/>
      <c r="G248" s="22"/>
      <c r="H248" s="21"/>
      <c r="I248" s="28"/>
      <c r="J248" s="22"/>
      <c r="K248" s="22"/>
      <c r="L248" s="22"/>
      <c r="M248" s="21"/>
      <c r="N248" s="22"/>
      <c r="O248" s="29" t="str">
        <f aca="false">IF(A248="","",IF(COUNTIF($A$2:$A$2001,A248)&gt;1,"GANDA","OK"))</f>
        <v/>
      </c>
      <c r="P248" s="29" t="str">
        <f aca="false">IF(A248="","",IF(C248="","KOSONG",IF(AND(LEN(C248)=16,ISNUMBER(--C248)),"OK","TIDAK VALID")))</f>
        <v/>
      </c>
    </row>
    <row r="249" customFormat="false" ht="15" hidden="false" customHeight="false" outlineLevel="0" collapsed="false">
      <c r="A249" s="21"/>
      <c r="B249" s="22"/>
      <c r="C249" s="21"/>
      <c r="D249" s="22"/>
      <c r="E249" s="22"/>
      <c r="F249" s="28"/>
      <c r="G249" s="22"/>
      <c r="H249" s="21"/>
      <c r="I249" s="28"/>
      <c r="J249" s="22"/>
      <c r="K249" s="22"/>
      <c r="L249" s="22"/>
      <c r="M249" s="21"/>
      <c r="N249" s="22"/>
      <c r="O249" s="29" t="str">
        <f aca="false">IF(A249="","",IF(COUNTIF($A$2:$A$2001,A249)&gt;1,"GANDA","OK"))</f>
        <v/>
      </c>
      <c r="P249" s="29" t="str">
        <f aca="false">IF(A249="","",IF(C249="","KOSONG",IF(AND(LEN(C249)=16,ISNUMBER(--C249)),"OK","TIDAK VALID")))</f>
        <v/>
      </c>
    </row>
    <row r="250" customFormat="false" ht="15" hidden="false" customHeight="false" outlineLevel="0" collapsed="false">
      <c r="A250" s="21"/>
      <c r="B250" s="22"/>
      <c r="C250" s="21"/>
      <c r="D250" s="22"/>
      <c r="E250" s="22"/>
      <c r="F250" s="28"/>
      <c r="G250" s="22"/>
      <c r="H250" s="21"/>
      <c r="I250" s="28"/>
      <c r="J250" s="22"/>
      <c r="K250" s="22"/>
      <c r="L250" s="22"/>
      <c r="M250" s="21"/>
      <c r="N250" s="22"/>
      <c r="O250" s="29" t="str">
        <f aca="false">IF(A250="","",IF(COUNTIF($A$2:$A$2001,A250)&gt;1,"GANDA","OK"))</f>
        <v/>
      </c>
      <c r="P250" s="29" t="str">
        <f aca="false">IF(A250="","",IF(C250="","KOSONG",IF(AND(LEN(C250)=16,ISNUMBER(--C250)),"OK","TIDAK VALID")))</f>
        <v/>
      </c>
    </row>
    <row r="251" customFormat="false" ht="15" hidden="false" customHeight="false" outlineLevel="0" collapsed="false">
      <c r="A251" s="21"/>
      <c r="B251" s="22"/>
      <c r="C251" s="21"/>
      <c r="D251" s="22"/>
      <c r="E251" s="22"/>
      <c r="F251" s="28"/>
      <c r="G251" s="22"/>
      <c r="H251" s="21"/>
      <c r="I251" s="28"/>
      <c r="J251" s="22"/>
      <c r="K251" s="22"/>
      <c r="L251" s="22"/>
      <c r="M251" s="21"/>
      <c r="N251" s="22"/>
      <c r="O251" s="29" t="str">
        <f aca="false">IF(A251="","",IF(COUNTIF($A$2:$A$2001,A251)&gt;1,"GANDA","OK"))</f>
        <v/>
      </c>
      <c r="P251" s="29" t="str">
        <f aca="false">IF(A251="","",IF(C251="","KOSONG",IF(AND(LEN(C251)=16,ISNUMBER(--C251)),"OK","TIDAK VALID")))</f>
        <v/>
      </c>
    </row>
    <row r="252" customFormat="false" ht="15" hidden="false" customHeight="false" outlineLevel="0" collapsed="false">
      <c r="A252" s="21"/>
      <c r="B252" s="22"/>
      <c r="C252" s="21"/>
      <c r="D252" s="22"/>
      <c r="E252" s="22"/>
      <c r="F252" s="28"/>
      <c r="G252" s="22"/>
      <c r="H252" s="21"/>
      <c r="I252" s="28"/>
      <c r="J252" s="22"/>
      <c r="K252" s="22"/>
      <c r="L252" s="22"/>
      <c r="M252" s="21"/>
      <c r="N252" s="22"/>
      <c r="O252" s="29" t="str">
        <f aca="false">IF(A252="","",IF(COUNTIF($A$2:$A$2001,A252)&gt;1,"GANDA","OK"))</f>
        <v/>
      </c>
      <c r="P252" s="29" t="str">
        <f aca="false">IF(A252="","",IF(C252="","KOSONG",IF(AND(LEN(C252)=16,ISNUMBER(--C252)),"OK","TIDAK VALID")))</f>
        <v/>
      </c>
    </row>
    <row r="253" customFormat="false" ht="15" hidden="false" customHeight="false" outlineLevel="0" collapsed="false">
      <c r="A253" s="21"/>
      <c r="B253" s="22"/>
      <c r="C253" s="21"/>
      <c r="D253" s="22"/>
      <c r="E253" s="22"/>
      <c r="F253" s="28"/>
      <c r="G253" s="22"/>
      <c r="H253" s="21"/>
      <c r="I253" s="28"/>
      <c r="J253" s="22"/>
      <c r="K253" s="22"/>
      <c r="L253" s="22"/>
      <c r="M253" s="21"/>
      <c r="N253" s="22"/>
      <c r="O253" s="29" t="str">
        <f aca="false">IF(A253="","",IF(COUNTIF($A$2:$A$2001,A253)&gt;1,"GANDA","OK"))</f>
        <v/>
      </c>
      <c r="P253" s="29" t="str">
        <f aca="false">IF(A253="","",IF(C253="","KOSONG",IF(AND(LEN(C253)=16,ISNUMBER(--C253)),"OK","TIDAK VALID")))</f>
        <v/>
      </c>
    </row>
    <row r="254" customFormat="false" ht="15" hidden="false" customHeight="false" outlineLevel="0" collapsed="false">
      <c r="A254" s="21"/>
      <c r="B254" s="22"/>
      <c r="C254" s="21"/>
      <c r="D254" s="22"/>
      <c r="E254" s="22"/>
      <c r="F254" s="28"/>
      <c r="G254" s="22"/>
      <c r="H254" s="21"/>
      <c r="I254" s="28"/>
      <c r="J254" s="22"/>
      <c r="K254" s="22"/>
      <c r="L254" s="22"/>
      <c r="M254" s="21"/>
      <c r="N254" s="22"/>
      <c r="O254" s="29" t="str">
        <f aca="false">IF(A254="","",IF(COUNTIF($A$2:$A$2001,A254)&gt;1,"GANDA","OK"))</f>
        <v/>
      </c>
      <c r="P254" s="29" t="str">
        <f aca="false">IF(A254="","",IF(C254="","KOSONG",IF(AND(LEN(C254)=16,ISNUMBER(--C254)),"OK","TIDAK VALID")))</f>
        <v/>
      </c>
    </row>
    <row r="255" customFormat="false" ht="15" hidden="false" customHeight="false" outlineLevel="0" collapsed="false">
      <c r="A255" s="21"/>
      <c r="B255" s="22"/>
      <c r="C255" s="21"/>
      <c r="D255" s="22"/>
      <c r="E255" s="22"/>
      <c r="F255" s="28"/>
      <c r="G255" s="22"/>
      <c r="H255" s="21"/>
      <c r="I255" s="28"/>
      <c r="J255" s="22"/>
      <c r="K255" s="22"/>
      <c r="L255" s="22"/>
      <c r="M255" s="21"/>
      <c r="N255" s="22"/>
      <c r="O255" s="29" t="str">
        <f aca="false">IF(A255="","",IF(COUNTIF($A$2:$A$2001,A255)&gt;1,"GANDA","OK"))</f>
        <v/>
      </c>
      <c r="P255" s="29" t="str">
        <f aca="false">IF(A255="","",IF(C255="","KOSONG",IF(AND(LEN(C255)=16,ISNUMBER(--C255)),"OK","TIDAK VALID")))</f>
        <v/>
      </c>
    </row>
    <row r="256" customFormat="false" ht="15" hidden="false" customHeight="false" outlineLevel="0" collapsed="false">
      <c r="A256" s="21"/>
      <c r="B256" s="22"/>
      <c r="C256" s="21"/>
      <c r="D256" s="22"/>
      <c r="E256" s="22"/>
      <c r="F256" s="28"/>
      <c r="G256" s="22"/>
      <c r="H256" s="21"/>
      <c r="I256" s="28"/>
      <c r="J256" s="22"/>
      <c r="K256" s="22"/>
      <c r="L256" s="22"/>
      <c r="M256" s="21"/>
      <c r="N256" s="22"/>
      <c r="O256" s="29" t="str">
        <f aca="false">IF(A256="","",IF(COUNTIF($A$2:$A$2001,A256)&gt;1,"GANDA","OK"))</f>
        <v/>
      </c>
      <c r="P256" s="29" t="str">
        <f aca="false">IF(A256="","",IF(C256="","KOSONG",IF(AND(LEN(C256)=16,ISNUMBER(--C256)),"OK","TIDAK VALID")))</f>
        <v/>
      </c>
    </row>
    <row r="257" customFormat="false" ht="15" hidden="false" customHeight="false" outlineLevel="0" collapsed="false">
      <c r="A257" s="21"/>
      <c r="B257" s="22"/>
      <c r="C257" s="21"/>
      <c r="D257" s="22"/>
      <c r="E257" s="22"/>
      <c r="F257" s="28"/>
      <c r="G257" s="22"/>
      <c r="H257" s="21"/>
      <c r="I257" s="28"/>
      <c r="J257" s="22"/>
      <c r="K257" s="22"/>
      <c r="L257" s="22"/>
      <c r="M257" s="21"/>
      <c r="N257" s="22"/>
      <c r="O257" s="29" t="str">
        <f aca="false">IF(A257="","",IF(COUNTIF($A$2:$A$2001,A257)&gt;1,"GANDA","OK"))</f>
        <v/>
      </c>
      <c r="P257" s="29" t="str">
        <f aca="false">IF(A257="","",IF(C257="","KOSONG",IF(AND(LEN(C257)=16,ISNUMBER(--C257)),"OK","TIDAK VALID")))</f>
        <v/>
      </c>
    </row>
    <row r="258" customFormat="false" ht="15" hidden="false" customHeight="false" outlineLevel="0" collapsed="false">
      <c r="A258" s="21"/>
      <c r="B258" s="22"/>
      <c r="C258" s="21"/>
      <c r="D258" s="22"/>
      <c r="E258" s="22"/>
      <c r="F258" s="28"/>
      <c r="G258" s="22"/>
      <c r="H258" s="21"/>
      <c r="I258" s="28"/>
      <c r="J258" s="22"/>
      <c r="K258" s="22"/>
      <c r="L258" s="22"/>
      <c r="M258" s="21"/>
      <c r="N258" s="22"/>
      <c r="O258" s="29" t="str">
        <f aca="false">IF(A258="","",IF(COUNTIF($A$2:$A$2001,A258)&gt;1,"GANDA","OK"))</f>
        <v/>
      </c>
      <c r="P258" s="29" t="str">
        <f aca="false">IF(A258="","",IF(C258="","KOSONG",IF(AND(LEN(C258)=16,ISNUMBER(--C258)),"OK","TIDAK VALID")))</f>
        <v/>
      </c>
    </row>
    <row r="259" customFormat="false" ht="15" hidden="false" customHeight="false" outlineLevel="0" collapsed="false">
      <c r="A259" s="21"/>
      <c r="B259" s="22"/>
      <c r="C259" s="21"/>
      <c r="D259" s="22"/>
      <c r="E259" s="22"/>
      <c r="F259" s="28"/>
      <c r="G259" s="22"/>
      <c r="H259" s="21"/>
      <c r="I259" s="28"/>
      <c r="J259" s="22"/>
      <c r="K259" s="22"/>
      <c r="L259" s="22"/>
      <c r="M259" s="21"/>
      <c r="N259" s="22"/>
      <c r="O259" s="29" t="str">
        <f aca="false">IF(A259="","",IF(COUNTIF($A$2:$A$2001,A259)&gt;1,"GANDA","OK"))</f>
        <v/>
      </c>
      <c r="P259" s="29" t="str">
        <f aca="false">IF(A259="","",IF(C259="","KOSONG",IF(AND(LEN(C259)=16,ISNUMBER(--C259)),"OK","TIDAK VALID")))</f>
        <v/>
      </c>
    </row>
    <row r="260" customFormat="false" ht="15" hidden="false" customHeight="false" outlineLevel="0" collapsed="false">
      <c r="A260" s="21"/>
      <c r="B260" s="22"/>
      <c r="C260" s="21"/>
      <c r="D260" s="22"/>
      <c r="E260" s="22"/>
      <c r="F260" s="28"/>
      <c r="G260" s="22"/>
      <c r="H260" s="21"/>
      <c r="I260" s="28"/>
      <c r="J260" s="22"/>
      <c r="K260" s="22"/>
      <c r="L260" s="22"/>
      <c r="M260" s="21"/>
      <c r="N260" s="22"/>
      <c r="O260" s="29" t="str">
        <f aca="false">IF(A260="","",IF(COUNTIF($A$2:$A$2001,A260)&gt;1,"GANDA","OK"))</f>
        <v/>
      </c>
      <c r="P260" s="29" t="str">
        <f aca="false">IF(A260="","",IF(C260="","KOSONG",IF(AND(LEN(C260)=16,ISNUMBER(--C260)),"OK","TIDAK VALID")))</f>
        <v/>
      </c>
    </row>
    <row r="261" customFormat="false" ht="15" hidden="false" customHeight="false" outlineLevel="0" collapsed="false">
      <c r="A261" s="21"/>
      <c r="B261" s="22"/>
      <c r="C261" s="21"/>
      <c r="D261" s="22"/>
      <c r="E261" s="22"/>
      <c r="F261" s="28"/>
      <c r="G261" s="22"/>
      <c r="H261" s="21"/>
      <c r="I261" s="28"/>
      <c r="J261" s="22"/>
      <c r="K261" s="22"/>
      <c r="L261" s="22"/>
      <c r="M261" s="21"/>
      <c r="N261" s="22"/>
      <c r="O261" s="29" t="str">
        <f aca="false">IF(A261="","",IF(COUNTIF($A$2:$A$2001,A261)&gt;1,"GANDA","OK"))</f>
        <v/>
      </c>
      <c r="P261" s="29" t="str">
        <f aca="false">IF(A261="","",IF(C261="","KOSONG",IF(AND(LEN(C261)=16,ISNUMBER(--C261)),"OK","TIDAK VALID")))</f>
        <v/>
      </c>
    </row>
    <row r="262" customFormat="false" ht="15" hidden="false" customHeight="false" outlineLevel="0" collapsed="false">
      <c r="A262" s="21"/>
      <c r="B262" s="22"/>
      <c r="C262" s="21"/>
      <c r="D262" s="22"/>
      <c r="E262" s="22"/>
      <c r="F262" s="28"/>
      <c r="G262" s="22"/>
      <c r="H262" s="21"/>
      <c r="I262" s="28"/>
      <c r="J262" s="22"/>
      <c r="K262" s="22"/>
      <c r="L262" s="22"/>
      <c r="M262" s="21"/>
      <c r="N262" s="22"/>
      <c r="O262" s="29" t="str">
        <f aca="false">IF(A262="","",IF(COUNTIF($A$2:$A$2001,A262)&gt;1,"GANDA","OK"))</f>
        <v/>
      </c>
      <c r="P262" s="29" t="str">
        <f aca="false">IF(A262="","",IF(C262="","KOSONG",IF(AND(LEN(C262)=16,ISNUMBER(--C262)),"OK","TIDAK VALID")))</f>
        <v/>
      </c>
    </row>
    <row r="263" customFormat="false" ht="15" hidden="false" customHeight="false" outlineLevel="0" collapsed="false">
      <c r="A263" s="21"/>
      <c r="B263" s="22"/>
      <c r="C263" s="21"/>
      <c r="D263" s="22"/>
      <c r="E263" s="22"/>
      <c r="F263" s="28"/>
      <c r="G263" s="22"/>
      <c r="H263" s="21"/>
      <c r="I263" s="28"/>
      <c r="J263" s="22"/>
      <c r="K263" s="22"/>
      <c r="L263" s="22"/>
      <c r="M263" s="21"/>
      <c r="N263" s="22"/>
      <c r="O263" s="29" t="str">
        <f aca="false">IF(A263="","",IF(COUNTIF($A$2:$A$2001,A263)&gt;1,"GANDA","OK"))</f>
        <v/>
      </c>
      <c r="P263" s="29" t="str">
        <f aca="false">IF(A263="","",IF(C263="","KOSONG",IF(AND(LEN(C263)=16,ISNUMBER(--C263)),"OK","TIDAK VALID")))</f>
        <v/>
      </c>
    </row>
    <row r="264" customFormat="false" ht="15" hidden="false" customHeight="false" outlineLevel="0" collapsed="false">
      <c r="A264" s="21"/>
      <c r="B264" s="22"/>
      <c r="C264" s="21"/>
      <c r="D264" s="22"/>
      <c r="E264" s="22"/>
      <c r="F264" s="28"/>
      <c r="G264" s="22"/>
      <c r="H264" s="21"/>
      <c r="I264" s="28"/>
      <c r="J264" s="22"/>
      <c r="K264" s="22"/>
      <c r="L264" s="22"/>
      <c r="M264" s="21"/>
      <c r="N264" s="22"/>
      <c r="O264" s="29" t="str">
        <f aca="false">IF(A264="","",IF(COUNTIF($A$2:$A$2001,A264)&gt;1,"GANDA","OK"))</f>
        <v/>
      </c>
      <c r="P264" s="29" t="str">
        <f aca="false">IF(A264="","",IF(C264="","KOSONG",IF(AND(LEN(C264)=16,ISNUMBER(--C264)),"OK","TIDAK VALID")))</f>
        <v/>
      </c>
    </row>
    <row r="265" customFormat="false" ht="15" hidden="false" customHeight="false" outlineLevel="0" collapsed="false">
      <c r="A265" s="21"/>
      <c r="B265" s="22"/>
      <c r="C265" s="21"/>
      <c r="D265" s="22"/>
      <c r="E265" s="22"/>
      <c r="F265" s="28"/>
      <c r="G265" s="22"/>
      <c r="H265" s="21"/>
      <c r="I265" s="28"/>
      <c r="J265" s="22"/>
      <c r="K265" s="22"/>
      <c r="L265" s="22"/>
      <c r="M265" s="21"/>
      <c r="N265" s="22"/>
      <c r="O265" s="29" t="str">
        <f aca="false">IF(A265="","",IF(COUNTIF($A$2:$A$2001,A265)&gt;1,"GANDA","OK"))</f>
        <v/>
      </c>
      <c r="P265" s="29" t="str">
        <f aca="false">IF(A265="","",IF(C265="","KOSONG",IF(AND(LEN(C265)=16,ISNUMBER(--C265)),"OK","TIDAK VALID")))</f>
        <v/>
      </c>
    </row>
    <row r="266" customFormat="false" ht="15" hidden="false" customHeight="false" outlineLevel="0" collapsed="false">
      <c r="A266" s="21"/>
      <c r="B266" s="22"/>
      <c r="C266" s="21"/>
      <c r="D266" s="22"/>
      <c r="E266" s="22"/>
      <c r="F266" s="28"/>
      <c r="G266" s="22"/>
      <c r="H266" s="21"/>
      <c r="I266" s="28"/>
      <c r="J266" s="22"/>
      <c r="K266" s="22"/>
      <c r="L266" s="22"/>
      <c r="M266" s="21"/>
      <c r="N266" s="22"/>
      <c r="O266" s="29" t="str">
        <f aca="false">IF(A266="","",IF(COUNTIF($A$2:$A$2001,A266)&gt;1,"GANDA","OK"))</f>
        <v/>
      </c>
      <c r="P266" s="29" t="str">
        <f aca="false">IF(A266="","",IF(C266="","KOSONG",IF(AND(LEN(C266)=16,ISNUMBER(--C266)),"OK","TIDAK VALID")))</f>
        <v/>
      </c>
    </row>
    <row r="267" customFormat="false" ht="15" hidden="false" customHeight="false" outlineLevel="0" collapsed="false">
      <c r="A267" s="21"/>
      <c r="B267" s="22"/>
      <c r="C267" s="21"/>
      <c r="D267" s="22"/>
      <c r="E267" s="22"/>
      <c r="F267" s="28"/>
      <c r="G267" s="22"/>
      <c r="H267" s="21"/>
      <c r="I267" s="28"/>
      <c r="J267" s="22"/>
      <c r="K267" s="22"/>
      <c r="L267" s="22"/>
      <c r="M267" s="21"/>
      <c r="N267" s="22"/>
      <c r="O267" s="29" t="str">
        <f aca="false">IF(A267="","",IF(COUNTIF($A$2:$A$2001,A267)&gt;1,"GANDA","OK"))</f>
        <v/>
      </c>
      <c r="P267" s="29" t="str">
        <f aca="false">IF(A267="","",IF(C267="","KOSONG",IF(AND(LEN(C267)=16,ISNUMBER(--C267)),"OK","TIDAK VALID")))</f>
        <v/>
      </c>
    </row>
    <row r="268" customFormat="false" ht="15" hidden="false" customHeight="false" outlineLevel="0" collapsed="false">
      <c r="A268" s="21"/>
      <c r="B268" s="22"/>
      <c r="C268" s="21"/>
      <c r="D268" s="22"/>
      <c r="E268" s="22"/>
      <c r="F268" s="28"/>
      <c r="G268" s="22"/>
      <c r="H268" s="21"/>
      <c r="I268" s="28"/>
      <c r="J268" s="22"/>
      <c r="K268" s="22"/>
      <c r="L268" s="22"/>
      <c r="M268" s="21"/>
      <c r="N268" s="22"/>
      <c r="O268" s="29" t="str">
        <f aca="false">IF(A268="","",IF(COUNTIF($A$2:$A$2001,A268)&gt;1,"GANDA","OK"))</f>
        <v/>
      </c>
      <c r="P268" s="29" t="str">
        <f aca="false">IF(A268="","",IF(C268="","KOSONG",IF(AND(LEN(C268)=16,ISNUMBER(--C268)),"OK","TIDAK VALID")))</f>
        <v/>
      </c>
    </row>
    <row r="269" customFormat="false" ht="15" hidden="false" customHeight="false" outlineLevel="0" collapsed="false">
      <c r="A269" s="21"/>
      <c r="B269" s="22"/>
      <c r="C269" s="21"/>
      <c r="D269" s="22"/>
      <c r="E269" s="22"/>
      <c r="F269" s="28"/>
      <c r="G269" s="22"/>
      <c r="H269" s="21"/>
      <c r="I269" s="28"/>
      <c r="J269" s="22"/>
      <c r="K269" s="22"/>
      <c r="L269" s="22"/>
      <c r="M269" s="21"/>
      <c r="N269" s="22"/>
      <c r="O269" s="29" t="str">
        <f aca="false">IF(A269="","",IF(COUNTIF($A$2:$A$2001,A269)&gt;1,"GANDA","OK"))</f>
        <v/>
      </c>
      <c r="P269" s="29" t="str">
        <f aca="false">IF(A269="","",IF(C269="","KOSONG",IF(AND(LEN(C269)=16,ISNUMBER(--C269)),"OK","TIDAK VALID")))</f>
        <v/>
      </c>
    </row>
    <row r="270" customFormat="false" ht="15" hidden="false" customHeight="false" outlineLevel="0" collapsed="false">
      <c r="A270" s="21"/>
      <c r="B270" s="22"/>
      <c r="C270" s="21"/>
      <c r="D270" s="22"/>
      <c r="E270" s="22"/>
      <c r="F270" s="28"/>
      <c r="G270" s="22"/>
      <c r="H270" s="21"/>
      <c r="I270" s="28"/>
      <c r="J270" s="22"/>
      <c r="K270" s="22"/>
      <c r="L270" s="22"/>
      <c r="M270" s="21"/>
      <c r="N270" s="22"/>
      <c r="O270" s="29" t="str">
        <f aca="false">IF(A270="","",IF(COUNTIF($A$2:$A$2001,A270)&gt;1,"GANDA","OK"))</f>
        <v/>
      </c>
      <c r="P270" s="29" t="str">
        <f aca="false">IF(A270="","",IF(C270="","KOSONG",IF(AND(LEN(C270)=16,ISNUMBER(--C270)),"OK","TIDAK VALID")))</f>
        <v/>
      </c>
    </row>
    <row r="271" customFormat="false" ht="15" hidden="false" customHeight="false" outlineLevel="0" collapsed="false">
      <c r="A271" s="21"/>
      <c r="B271" s="22"/>
      <c r="C271" s="21"/>
      <c r="D271" s="22"/>
      <c r="E271" s="22"/>
      <c r="F271" s="28"/>
      <c r="G271" s="22"/>
      <c r="H271" s="21"/>
      <c r="I271" s="28"/>
      <c r="J271" s="22"/>
      <c r="K271" s="22"/>
      <c r="L271" s="22"/>
      <c r="M271" s="21"/>
      <c r="N271" s="22"/>
      <c r="O271" s="29" t="str">
        <f aca="false">IF(A271="","",IF(COUNTIF($A$2:$A$2001,A271)&gt;1,"GANDA","OK"))</f>
        <v/>
      </c>
      <c r="P271" s="29" t="str">
        <f aca="false">IF(A271="","",IF(C271="","KOSONG",IF(AND(LEN(C271)=16,ISNUMBER(--C271)),"OK","TIDAK VALID")))</f>
        <v/>
      </c>
    </row>
    <row r="272" customFormat="false" ht="15" hidden="false" customHeight="false" outlineLevel="0" collapsed="false">
      <c r="A272" s="21"/>
      <c r="B272" s="22"/>
      <c r="C272" s="21"/>
      <c r="D272" s="22"/>
      <c r="E272" s="22"/>
      <c r="F272" s="28"/>
      <c r="G272" s="22"/>
      <c r="H272" s="21"/>
      <c r="I272" s="28"/>
      <c r="J272" s="22"/>
      <c r="K272" s="22"/>
      <c r="L272" s="22"/>
      <c r="M272" s="21"/>
      <c r="N272" s="22"/>
      <c r="O272" s="29" t="str">
        <f aca="false">IF(A272="","",IF(COUNTIF($A$2:$A$2001,A272)&gt;1,"GANDA","OK"))</f>
        <v/>
      </c>
      <c r="P272" s="29" t="str">
        <f aca="false">IF(A272="","",IF(C272="","KOSONG",IF(AND(LEN(C272)=16,ISNUMBER(--C272)),"OK","TIDAK VALID")))</f>
        <v/>
      </c>
    </row>
    <row r="273" customFormat="false" ht="15" hidden="false" customHeight="false" outlineLevel="0" collapsed="false">
      <c r="A273" s="21"/>
      <c r="B273" s="22"/>
      <c r="C273" s="21"/>
      <c r="D273" s="22"/>
      <c r="E273" s="22"/>
      <c r="F273" s="28"/>
      <c r="G273" s="22"/>
      <c r="H273" s="21"/>
      <c r="I273" s="28"/>
      <c r="J273" s="22"/>
      <c r="K273" s="22"/>
      <c r="L273" s="22"/>
      <c r="M273" s="21"/>
      <c r="N273" s="22"/>
      <c r="O273" s="29" t="str">
        <f aca="false">IF(A273="","",IF(COUNTIF($A$2:$A$2001,A273)&gt;1,"GANDA","OK"))</f>
        <v/>
      </c>
      <c r="P273" s="29" t="str">
        <f aca="false">IF(A273="","",IF(C273="","KOSONG",IF(AND(LEN(C273)=16,ISNUMBER(--C273)),"OK","TIDAK VALID")))</f>
        <v/>
      </c>
    </row>
    <row r="274" customFormat="false" ht="15" hidden="false" customHeight="false" outlineLevel="0" collapsed="false">
      <c r="A274" s="21"/>
      <c r="B274" s="22"/>
      <c r="C274" s="21"/>
      <c r="D274" s="22"/>
      <c r="E274" s="22"/>
      <c r="F274" s="28"/>
      <c r="G274" s="22"/>
      <c r="H274" s="21"/>
      <c r="I274" s="28"/>
      <c r="J274" s="22"/>
      <c r="K274" s="22"/>
      <c r="L274" s="22"/>
      <c r="M274" s="21"/>
      <c r="N274" s="22"/>
      <c r="O274" s="29" t="str">
        <f aca="false">IF(A274="","",IF(COUNTIF($A$2:$A$2001,A274)&gt;1,"GANDA","OK"))</f>
        <v/>
      </c>
      <c r="P274" s="29" t="str">
        <f aca="false">IF(A274="","",IF(C274="","KOSONG",IF(AND(LEN(C274)=16,ISNUMBER(--C274)),"OK","TIDAK VALID")))</f>
        <v/>
      </c>
    </row>
    <row r="275" customFormat="false" ht="15" hidden="false" customHeight="false" outlineLevel="0" collapsed="false">
      <c r="A275" s="21"/>
      <c r="B275" s="22"/>
      <c r="C275" s="21"/>
      <c r="D275" s="22"/>
      <c r="E275" s="22"/>
      <c r="F275" s="28"/>
      <c r="G275" s="22"/>
      <c r="H275" s="21"/>
      <c r="I275" s="28"/>
      <c r="J275" s="22"/>
      <c r="K275" s="22"/>
      <c r="L275" s="22"/>
      <c r="M275" s="21"/>
      <c r="N275" s="22"/>
      <c r="O275" s="29" t="str">
        <f aca="false">IF(A275="","",IF(COUNTIF($A$2:$A$2001,A275)&gt;1,"GANDA","OK"))</f>
        <v/>
      </c>
      <c r="P275" s="29" t="str">
        <f aca="false">IF(A275="","",IF(C275="","KOSONG",IF(AND(LEN(C275)=16,ISNUMBER(--C275)),"OK","TIDAK VALID")))</f>
        <v/>
      </c>
    </row>
    <row r="276" customFormat="false" ht="15" hidden="false" customHeight="false" outlineLevel="0" collapsed="false">
      <c r="A276" s="21"/>
      <c r="B276" s="22"/>
      <c r="C276" s="21"/>
      <c r="D276" s="22"/>
      <c r="E276" s="22"/>
      <c r="F276" s="28"/>
      <c r="G276" s="22"/>
      <c r="H276" s="21"/>
      <c r="I276" s="28"/>
      <c r="J276" s="22"/>
      <c r="K276" s="22"/>
      <c r="L276" s="22"/>
      <c r="M276" s="21"/>
      <c r="N276" s="22"/>
      <c r="O276" s="29" t="str">
        <f aca="false">IF(A276="","",IF(COUNTIF($A$2:$A$2001,A276)&gt;1,"GANDA","OK"))</f>
        <v/>
      </c>
      <c r="P276" s="29" t="str">
        <f aca="false">IF(A276="","",IF(C276="","KOSONG",IF(AND(LEN(C276)=16,ISNUMBER(--C276)),"OK","TIDAK VALID")))</f>
        <v/>
      </c>
    </row>
    <row r="277" customFormat="false" ht="15" hidden="false" customHeight="false" outlineLevel="0" collapsed="false">
      <c r="A277" s="21"/>
      <c r="B277" s="22"/>
      <c r="C277" s="21"/>
      <c r="D277" s="22"/>
      <c r="E277" s="22"/>
      <c r="F277" s="28"/>
      <c r="G277" s="22"/>
      <c r="H277" s="21"/>
      <c r="I277" s="28"/>
      <c r="J277" s="22"/>
      <c r="K277" s="22"/>
      <c r="L277" s="22"/>
      <c r="M277" s="21"/>
      <c r="N277" s="22"/>
      <c r="O277" s="29" t="str">
        <f aca="false">IF(A277="","",IF(COUNTIF($A$2:$A$2001,A277)&gt;1,"GANDA","OK"))</f>
        <v/>
      </c>
      <c r="P277" s="29" t="str">
        <f aca="false">IF(A277="","",IF(C277="","KOSONG",IF(AND(LEN(C277)=16,ISNUMBER(--C277)),"OK","TIDAK VALID")))</f>
        <v/>
      </c>
    </row>
    <row r="278" customFormat="false" ht="15" hidden="false" customHeight="false" outlineLevel="0" collapsed="false">
      <c r="A278" s="21"/>
      <c r="B278" s="22"/>
      <c r="C278" s="21"/>
      <c r="D278" s="22"/>
      <c r="E278" s="22"/>
      <c r="F278" s="28"/>
      <c r="G278" s="22"/>
      <c r="H278" s="21"/>
      <c r="I278" s="28"/>
      <c r="J278" s="22"/>
      <c r="K278" s="22"/>
      <c r="L278" s="22"/>
      <c r="M278" s="21"/>
      <c r="N278" s="22"/>
      <c r="O278" s="29" t="str">
        <f aca="false">IF(A278="","",IF(COUNTIF($A$2:$A$2001,A278)&gt;1,"GANDA","OK"))</f>
        <v/>
      </c>
      <c r="P278" s="29" t="str">
        <f aca="false">IF(A278="","",IF(C278="","KOSONG",IF(AND(LEN(C278)=16,ISNUMBER(--C278)),"OK","TIDAK VALID")))</f>
        <v/>
      </c>
    </row>
    <row r="279" customFormat="false" ht="15" hidden="false" customHeight="false" outlineLevel="0" collapsed="false">
      <c r="A279" s="21"/>
      <c r="B279" s="22"/>
      <c r="C279" s="21"/>
      <c r="D279" s="22"/>
      <c r="E279" s="22"/>
      <c r="F279" s="28"/>
      <c r="G279" s="22"/>
      <c r="H279" s="21"/>
      <c r="I279" s="28"/>
      <c r="J279" s="22"/>
      <c r="K279" s="22"/>
      <c r="L279" s="22"/>
      <c r="M279" s="21"/>
      <c r="N279" s="22"/>
      <c r="O279" s="29" t="str">
        <f aca="false">IF(A279="","",IF(COUNTIF($A$2:$A$2001,A279)&gt;1,"GANDA","OK"))</f>
        <v/>
      </c>
      <c r="P279" s="29" t="str">
        <f aca="false">IF(A279="","",IF(C279="","KOSONG",IF(AND(LEN(C279)=16,ISNUMBER(--C279)),"OK","TIDAK VALID")))</f>
        <v/>
      </c>
    </row>
    <row r="280" customFormat="false" ht="15" hidden="false" customHeight="false" outlineLevel="0" collapsed="false">
      <c r="A280" s="21"/>
      <c r="B280" s="22"/>
      <c r="C280" s="21"/>
      <c r="D280" s="22"/>
      <c r="E280" s="22"/>
      <c r="F280" s="28"/>
      <c r="G280" s="22"/>
      <c r="H280" s="21"/>
      <c r="I280" s="28"/>
      <c r="J280" s="22"/>
      <c r="K280" s="22"/>
      <c r="L280" s="22"/>
      <c r="M280" s="21"/>
      <c r="N280" s="22"/>
      <c r="O280" s="29" t="str">
        <f aca="false">IF(A280="","",IF(COUNTIF($A$2:$A$2001,A280)&gt;1,"GANDA","OK"))</f>
        <v/>
      </c>
      <c r="P280" s="29" t="str">
        <f aca="false">IF(A280="","",IF(C280="","KOSONG",IF(AND(LEN(C280)=16,ISNUMBER(--C280)),"OK","TIDAK VALID")))</f>
        <v/>
      </c>
    </row>
    <row r="281" customFormat="false" ht="15" hidden="false" customHeight="false" outlineLevel="0" collapsed="false">
      <c r="A281" s="21"/>
      <c r="B281" s="22"/>
      <c r="C281" s="21"/>
      <c r="D281" s="22"/>
      <c r="E281" s="22"/>
      <c r="F281" s="28"/>
      <c r="G281" s="22"/>
      <c r="H281" s="21"/>
      <c r="I281" s="28"/>
      <c r="J281" s="22"/>
      <c r="K281" s="22"/>
      <c r="L281" s="22"/>
      <c r="M281" s="21"/>
      <c r="N281" s="22"/>
      <c r="O281" s="29" t="str">
        <f aca="false">IF(A281="","",IF(COUNTIF($A$2:$A$2001,A281)&gt;1,"GANDA","OK"))</f>
        <v/>
      </c>
      <c r="P281" s="29" t="str">
        <f aca="false">IF(A281="","",IF(C281="","KOSONG",IF(AND(LEN(C281)=16,ISNUMBER(--C281)),"OK","TIDAK VALID")))</f>
        <v/>
      </c>
    </row>
    <row r="282" customFormat="false" ht="15" hidden="false" customHeight="false" outlineLevel="0" collapsed="false">
      <c r="A282" s="21"/>
      <c r="B282" s="22"/>
      <c r="C282" s="21"/>
      <c r="D282" s="22"/>
      <c r="E282" s="22"/>
      <c r="F282" s="28"/>
      <c r="G282" s="22"/>
      <c r="H282" s="21"/>
      <c r="I282" s="28"/>
      <c r="J282" s="22"/>
      <c r="K282" s="22"/>
      <c r="L282" s="22"/>
      <c r="M282" s="21"/>
      <c r="N282" s="22"/>
      <c r="O282" s="29" t="str">
        <f aca="false">IF(A282="","",IF(COUNTIF($A$2:$A$2001,A282)&gt;1,"GANDA","OK"))</f>
        <v/>
      </c>
      <c r="P282" s="29" t="str">
        <f aca="false">IF(A282="","",IF(C282="","KOSONG",IF(AND(LEN(C282)=16,ISNUMBER(--C282)),"OK","TIDAK VALID")))</f>
        <v/>
      </c>
    </row>
    <row r="283" customFormat="false" ht="15" hidden="false" customHeight="false" outlineLevel="0" collapsed="false">
      <c r="A283" s="21"/>
      <c r="B283" s="22"/>
      <c r="C283" s="21"/>
      <c r="D283" s="22"/>
      <c r="E283" s="22"/>
      <c r="F283" s="28"/>
      <c r="G283" s="22"/>
      <c r="H283" s="21"/>
      <c r="I283" s="28"/>
      <c r="J283" s="22"/>
      <c r="K283" s="22"/>
      <c r="L283" s="22"/>
      <c r="M283" s="21"/>
      <c r="N283" s="22"/>
      <c r="O283" s="29" t="str">
        <f aca="false">IF(A283="","",IF(COUNTIF($A$2:$A$2001,A283)&gt;1,"GANDA","OK"))</f>
        <v/>
      </c>
      <c r="P283" s="29" t="str">
        <f aca="false">IF(A283="","",IF(C283="","KOSONG",IF(AND(LEN(C283)=16,ISNUMBER(--C283)),"OK","TIDAK VALID")))</f>
        <v/>
      </c>
    </row>
    <row r="284" customFormat="false" ht="15" hidden="false" customHeight="false" outlineLevel="0" collapsed="false">
      <c r="A284" s="21"/>
      <c r="B284" s="22"/>
      <c r="C284" s="21"/>
      <c r="D284" s="22"/>
      <c r="E284" s="22"/>
      <c r="F284" s="28"/>
      <c r="G284" s="22"/>
      <c r="H284" s="21"/>
      <c r="I284" s="28"/>
      <c r="J284" s="22"/>
      <c r="K284" s="22"/>
      <c r="L284" s="22"/>
      <c r="M284" s="21"/>
      <c r="N284" s="22"/>
      <c r="O284" s="29" t="str">
        <f aca="false">IF(A284="","",IF(COUNTIF($A$2:$A$2001,A284)&gt;1,"GANDA","OK"))</f>
        <v/>
      </c>
      <c r="P284" s="29" t="str">
        <f aca="false">IF(A284="","",IF(C284="","KOSONG",IF(AND(LEN(C284)=16,ISNUMBER(--C284)),"OK","TIDAK VALID")))</f>
        <v/>
      </c>
    </row>
    <row r="285" customFormat="false" ht="15" hidden="false" customHeight="false" outlineLevel="0" collapsed="false">
      <c r="A285" s="21"/>
      <c r="B285" s="22"/>
      <c r="C285" s="21"/>
      <c r="D285" s="22"/>
      <c r="E285" s="22"/>
      <c r="F285" s="28"/>
      <c r="G285" s="22"/>
      <c r="H285" s="21"/>
      <c r="I285" s="28"/>
      <c r="J285" s="22"/>
      <c r="K285" s="22"/>
      <c r="L285" s="22"/>
      <c r="M285" s="21"/>
      <c r="N285" s="22"/>
      <c r="O285" s="29" t="str">
        <f aca="false">IF(A285="","",IF(COUNTIF($A$2:$A$2001,A285)&gt;1,"GANDA","OK"))</f>
        <v/>
      </c>
      <c r="P285" s="29" t="str">
        <f aca="false">IF(A285="","",IF(C285="","KOSONG",IF(AND(LEN(C285)=16,ISNUMBER(--C285)),"OK","TIDAK VALID")))</f>
        <v/>
      </c>
    </row>
    <row r="286" customFormat="false" ht="15" hidden="false" customHeight="false" outlineLevel="0" collapsed="false">
      <c r="A286" s="21"/>
      <c r="B286" s="22"/>
      <c r="C286" s="21"/>
      <c r="D286" s="22"/>
      <c r="E286" s="22"/>
      <c r="F286" s="28"/>
      <c r="G286" s="22"/>
      <c r="H286" s="21"/>
      <c r="I286" s="28"/>
      <c r="J286" s="22"/>
      <c r="K286" s="22"/>
      <c r="L286" s="22"/>
      <c r="M286" s="21"/>
      <c r="N286" s="22"/>
      <c r="O286" s="29" t="str">
        <f aca="false">IF(A286="","",IF(COUNTIF($A$2:$A$2001,A286)&gt;1,"GANDA","OK"))</f>
        <v/>
      </c>
      <c r="P286" s="29" t="str">
        <f aca="false">IF(A286="","",IF(C286="","KOSONG",IF(AND(LEN(C286)=16,ISNUMBER(--C286)),"OK","TIDAK VALID")))</f>
        <v/>
      </c>
    </row>
    <row r="287" customFormat="false" ht="15" hidden="false" customHeight="false" outlineLevel="0" collapsed="false">
      <c r="A287" s="21"/>
      <c r="B287" s="22"/>
      <c r="C287" s="21"/>
      <c r="D287" s="22"/>
      <c r="E287" s="22"/>
      <c r="F287" s="28"/>
      <c r="G287" s="22"/>
      <c r="H287" s="21"/>
      <c r="I287" s="28"/>
      <c r="J287" s="22"/>
      <c r="K287" s="22"/>
      <c r="L287" s="22"/>
      <c r="M287" s="21"/>
      <c r="N287" s="22"/>
      <c r="O287" s="29" t="str">
        <f aca="false">IF(A287="","",IF(COUNTIF($A$2:$A$2001,A287)&gt;1,"GANDA","OK"))</f>
        <v/>
      </c>
      <c r="P287" s="29" t="str">
        <f aca="false">IF(A287="","",IF(C287="","KOSONG",IF(AND(LEN(C287)=16,ISNUMBER(--C287)),"OK","TIDAK VALID")))</f>
        <v/>
      </c>
    </row>
    <row r="288" customFormat="false" ht="15" hidden="false" customHeight="false" outlineLevel="0" collapsed="false">
      <c r="A288" s="21"/>
      <c r="B288" s="22"/>
      <c r="C288" s="21"/>
      <c r="D288" s="22"/>
      <c r="E288" s="22"/>
      <c r="F288" s="28"/>
      <c r="G288" s="22"/>
      <c r="H288" s="21"/>
      <c r="I288" s="28"/>
      <c r="J288" s="22"/>
      <c r="K288" s="22"/>
      <c r="L288" s="22"/>
      <c r="M288" s="21"/>
      <c r="N288" s="22"/>
      <c r="O288" s="29" t="str">
        <f aca="false">IF(A288="","",IF(COUNTIF($A$2:$A$2001,A288)&gt;1,"GANDA","OK"))</f>
        <v/>
      </c>
      <c r="P288" s="29" t="str">
        <f aca="false">IF(A288="","",IF(C288="","KOSONG",IF(AND(LEN(C288)=16,ISNUMBER(--C288)),"OK","TIDAK VALID")))</f>
        <v/>
      </c>
    </row>
    <row r="289" customFormat="false" ht="15" hidden="false" customHeight="false" outlineLevel="0" collapsed="false">
      <c r="A289" s="21"/>
      <c r="B289" s="22"/>
      <c r="C289" s="21"/>
      <c r="D289" s="22"/>
      <c r="E289" s="22"/>
      <c r="F289" s="28"/>
      <c r="G289" s="22"/>
      <c r="H289" s="21"/>
      <c r="I289" s="28"/>
      <c r="J289" s="22"/>
      <c r="K289" s="22"/>
      <c r="L289" s="22"/>
      <c r="M289" s="21"/>
      <c r="N289" s="22"/>
      <c r="O289" s="29" t="str">
        <f aca="false">IF(A289="","",IF(COUNTIF($A$2:$A$2001,A289)&gt;1,"GANDA","OK"))</f>
        <v/>
      </c>
      <c r="P289" s="29" t="str">
        <f aca="false">IF(A289="","",IF(C289="","KOSONG",IF(AND(LEN(C289)=16,ISNUMBER(--C289)),"OK","TIDAK VALID")))</f>
        <v/>
      </c>
    </row>
    <row r="290" customFormat="false" ht="15" hidden="false" customHeight="false" outlineLevel="0" collapsed="false">
      <c r="A290" s="21"/>
      <c r="B290" s="22"/>
      <c r="C290" s="21"/>
      <c r="D290" s="22"/>
      <c r="E290" s="22"/>
      <c r="F290" s="28"/>
      <c r="G290" s="22"/>
      <c r="H290" s="21"/>
      <c r="I290" s="28"/>
      <c r="J290" s="22"/>
      <c r="K290" s="22"/>
      <c r="L290" s="22"/>
      <c r="M290" s="21"/>
      <c r="N290" s="22"/>
      <c r="O290" s="29" t="str">
        <f aca="false">IF(A290="","",IF(COUNTIF($A$2:$A$2001,A290)&gt;1,"GANDA","OK"))</f>
        <v/>
      </c>
      <c r="P290" s="29" t="str">
        <f aca="false">IF(A290="","",IF(C290="","KOSONG",IF(AND(LEN(C290)=16,ISNUMBER(--C290)),"OK","TIDAK VALID")))</f>
        <v/>
      </c>
    </row>
    <row r="291" customFormat="false" ht="15" hidden="false" customHeight="false" outlineLevel="0" collapsed="false">
      <c r="A291" s="21"/>
      <c r="B291" s="22"/>
      <c r="C291" s="21"/>
      <c r="D291" s="22"/>
      <c r="E291" s="22"/>
      <c r="F291" s="28"/>
      <c r="G291" s="22"/>
      <c r="H291" s="21"/>
      <c r="I291" s="28"/>
      <c r="J291" s="22"/>
      <c r="K291" s="22"/>
      <c r="L291" s="22"/>
      <c r="M291" s="21"/>
      <c r="N291" s="22"/>
      <c r="O291" s="29" t="str">
        <f aca="false">IF(A291="","",IF(COUNTIF($A$2:$A$2001,A291)&gt;1,"GANDA","OK"))</f>
        <v/>
      </c>
      <c r="P291" s="29" t="str">
        <f aca="false">IF(A291="","",IF(C291="","KOSONG",IF(AND(LEN(C291)=16,ISNUMBER(--C291)),"OK","TIDAK VALID")))</f>
        <v/>
      </c>
    </row>
    <row r="292" customFormat="false" ht="15" hidden="false" customHeight="false" outlineLevel="0" collapsed="false">
      <c r="A292" s="21"/>
      <c r="B292" s="22"/>
      <c r="C292" s="21"/>
      <c r="D292" s="22"/>
      <c r="E292" s="22"/>
      <c r="F292" s="28"/>
      <c r="G292" s="22"/>
      <c r="H292" s="21"/>
      <c r="I292" s="28"/>
      <c r="J292" s="22"/>
      <c r="K292" s="22"/>
      <c r="L292" s="22"/>
      <c r="M292" s="21"/>
      <c r="N292" s="22"/>
      <c r="O292" s="29" t="str">
        <f aca="false">IF(A292="","",IF(COUNTIF($A$2:$A$2001,A292)&gt;1,"GANDA","OK"))</f>
        <v/>
      </c>
      <c r="P292" s="29" t="str">
        <f aca="false">IF(A292="","",IF(C292="","KOSONG",IF(AND(LEN(C292)=16,ISNUMBER(--C292)),"OK","TIDAK VALID")))</f>
        <v/>
      </c>
    </row>
    <row r="293" customFormat="false" ht="15" hidden="false" customHeight="false" outlineLevel="0" collapsed="false">
      <c r="A293" s="21"/>
      <c r="B293" s="22"/>
      <c r="C293" s="21"/>
      <c r="D293" s="22"/>
      <c r="E293" s="22"/>
      <c r="F293" s="28"/>
      <c r="G293" s="22"/>
      <c r="H293" s="21"/>
      <c r="I293" s="28"/>
      <c r="J293" s="22"/>
      <c r="K293" s="22"/>
      <c r="L293" s="22"/>
      <c r="M293" s="21"/>
      <c r="N293" s="22"/>
      <c r="O293" s="29" t="str">
        <f aca="false">IF(A293="","",IF(COUNTIF($A$2:$A$2001,A293)&gt;1,"GANDA","OK"))</f>
        <v/>
      </c>
      <c r="P293" s="29" t="str">
        <f aca="false">IF(A293="","",IF(C293="","KOSONG",IF(AND(LEN(C293)=16,ISNUMBER(--C293)),"OK","TIDAK VALID")))</f>
        <v/>
      </c>
    </row>
    <row r="294" customFormat="false" ht="15" hidden="false" customHeight="false" outlineLevel="0" collapsed="false">
      <c r="A294" s="21"/>
      <c r="B294" s="22"/>
      <c r="C294" s="21"/>
      <c r="D294" s="22"/>
      <c r="E294" s="22"/>
      <c r="F294" s="28"/>
      <c r="G294" s="22"/>
      <c r="H294" s="21"/>
      <c r="I294" s="28"/>
      <c r="J294" s="22"/>
      <c r="K294" s="22"/>
      <c r="L294" s="22"/>
      <c r="M294" s="21"/>
      <c r="N294" s="22"/>
      <c r="O294" s="29" t="str">
        <f aca="false">IF(A294="","",IF(COUNTIF($A$2:$A$2001,A294)&gt;1,"GANDA","OK"))</f>
        <v/>
      </c>
      <c r="P294" s="29" t="str">
        <f aca="false">IF(A294="","",IF(C294="","KOSONG",IF(AND(LEN(C294)=16,ISNUMBER(--C294)),"OK","TIDAK VALID")))</f>
        <v/>
      </c>
    </row>
    <row r="295" customFormat="false" ht="15" hidden="false" customHeight="false" outlineLevel="0" collapsed="false">
      <c r="A295" s="21"/>
      <c r="B295" s="22"/>
      <c r="C295" s="21"/>
      <c r="D295" s="22"/>
      <c r="E295" s="22"/>
      <c r="F295" s="28"/>
      <c r="G295" s="22"/>
      <c r="H295" s="21"/>
      <c r="I295" s="28"/>
      <c r="J295" s="22"/>
      <c r="K295" s="22"/>
      <c r="L295" s="22"/>
      <c r="M295" s="21"/>
      <c r="N295" s="22"/>
      <c r="O295" s="29" t="str">
        <f aca="false">IF(A295="","",IF(COUNTIF($A$2:$A$2001,A295)&gt;1,"GANDA","OK"))</f>
        <v/>
      </c>
      <c r="P295" s="29" t="str">
        <f aca="false">IF(A295="","",IF(C295="","KOSONG",IF(AND(LEN(C295)=16,ISNUMBER(--C295)),"OK","TIDAK VALID")))</f>
        <v/>
      </c>
    </row>
    <row r="296" customFormat="false" ht="15" hidden="false" customHeight="false" outlineLevel="0" collapsed="false">
      <c r="A296" s="21"/>
      <c r="B296" s="22"/>
      <c r="C296" s="21"/>
      <c r="D296" s="22"/>
      <c r="E296" s="22"/>
      <c r="F296" s="28"/>
      <c r="G296" s="22"/>
      <c r="H296" s="21"/>
      <c r="I296" s="28"/>
      <c r="J296" s="22"/>
      <c r="K296" s="22"/>
      <c r="L296" s="22"/>
      <c r="M296" s="21"/>
      <c r="N296" s="22"/>
      <c r="O296" s="29" t="str">
        <f aca="false">IF(A296="","",IF(COUNTIF($A$2:$A$2001,A296)&gt;1,"GANDA","OK"))</f>
        <v/>
      </c>
      <c r="P296" s="29" t="str">
        <f aca="false">IF(A296="","",IF(C296="","KOSONG",IF(AND(LEN(C296)=16,ISNUMBER(--C296)),"OK","TIDAK VALID")))</f>
        <v/>
      </c>
    </row>
    <row r="297" customFormat="false" ht="15" hidden="false" customHeight="false" outlineLevel="0" collapsed="false">
      <c r="A297" s="21"/>
      <c r="B297" s="22"/>
      <c r="C297" s="21"/>
      <c r="D297" s="22"/>
      <c r="E297" s="22"/>
      <c r="F297" s="28"/>
      <c r="G297" s="22"/>
      <c r="H297" s="21"/>
      <c r="I297" s="28"/>
      <c r="J297" s="22"/>
      <c r="K297" s="22"/>
      <c r="L297" s="22"/>
      <c r="M297" s="21"/>
      <c r="N297" s="22"/>
      <c r="O297" s="29" t="str">
        <f aca="false">IF(A297="","",IF(COUNTIF($A$2:$A$2001,A297)&gt;1,"GANDA","OK"))</f>
        <v/>
      </c>
      <c r="P297" s="29" t="str">
        <f aca="false">IF(A297="","",IF(C297="","KOSONG",IF(AND(LEN(C297)=16,ISNUMBER(--C297)),"OK","TIDAK VALID")))</f>
        <v/>
      </c>
    </row>
    <row r="298" customFormat="false" ht="15" hidden="false" customHeight="false" outlineLevel="0" collapsed="false">
      <c r="A298" s="21"/>
      <c r="B298" s="22"/>
      <c r="C298" s="21"/>
      <c r="D298" s="22"/>
      <c r="E298" s="22"/>
      <c r="F298" s="28"/>
      <c r="G298" s="22"/>
      <c r="H298" s="21"/>
      <c r="I298" s="28"/>
      <c r="J298" s="22"/>
      <c r="K298" s="22"/>
      <c r="L298" s="22"/>
      <c r="M298" s="21"/>
      <c r="N298" s="22"/>
      <c r="O298" s="29" t="str">
        <f aca="false">IF(A298="","",IF(COUNTIF($A$2:$A$2001,A298)&gt;1,"GANDA","OK"))</f>
        <v/>
      </c>
      <c r="P298" s="29" t="str">
        <f aca="false">IF(A298="","",IF(C298="","KOSONG",IF(AND(LEN(C298)=16,ISNUMBER(--C298)),"OK","TIDAK VALID")))</f>
        <v/>
      </c>
    </row>
    <row r="299" customFormat="false" ht="15" hidden="false" customHeight="false" outlineLevel="0" collapsed="false">
      <c r="A299" s="21"/>
      <c r="B299" s="22"/>
      <c r="C299" s="21"/>
      <c r="D299" s="22"/>
      <c r="E299" s="22"/>
      <c r="F299" s="28"/>
      <c r="G299" s="22"/>
      <c r="H299" s="21"/>
      <c r="I299" s="28"/>
      <c r="J299" s="22"/>
      <c r="K299" s="22"/>
      <c r="L299" s="22"/>
      <c r="M299" s="21"/>
      <c r="N299" s="22"/>
      <c r="O299" s="29" t="str">
        <f aca="false">IF(A299="","",IF(COUNTIF($A$2:$A$2001,A299)&gt;1,"GANDA","OK"))</f>
        <v/>
      </c>
      <c r="P299" s="29" t="str">
        <f aca="false">IF(A299="","",IF(C299="","KOSONG",IF(AND(LEN(C299)=16,ISNUMBER(--C299)),"OK","TIDAK VALID")))</f>
        <v/>
      </c>
    </row>
    <row r="300" customFormat="false" ht="15" hidden="false" customHeight="false" outlineLevel="0" collapsed="false">
      <c r="A300" s="21"/>
      <c r="B300" s="22"/>
      <c r="C300" s="21"/>
      <c r="D300" s="22"/>
      <c r="E300" s="22"/>
      <c r="F300" s="28"/>
      <c r="G300" s="22"/>
      <c r="H300" s="21"/>
      <c r="I300" s="28"/>
      <c r="J300" s="22"/>
      <c r="K300" s="22"/>
      <c r="L300" s="22"/>
      <c r="M300" s="21"/>
      <c r="N300" s="22"/>
      <c r="O300" s="29" t="str">
        <f aca="false">IF(A300="","",IF(COUNTIF($A$2:$A$2001,A300)&gt;1,"GANDA","OK"))</f>
        <v/>
      </c>
      <c r="P300" s="29" t="str">
        <f aca="false">IF(A300="","",IF(C300="","KOSONG",IF(AND(LEN(C300)=16,ISNUMBER(--C300)),"OK","TIDAK VALID")))</f>
        <v/>
      </c>
    </row>
    <row r="301" customFormat="false" ht="15" hidden="false" customHeight="false" outlineLevel="0" collapsed="false">
      <c r="A301" s="21"/>
      <c r="B301" s="22"/>
      <c r="C301" s="21"/>
      <c r="D301" s="22"/>
      <c r="E301" s="22"/>
      <c r="F301" s="28"/>
      <c r="G301" s="22"/>
      <c r="H301" s="21"/>
      <c r="I301" s="28"/>
      <c r="J301" s="22"/>
      <c r="K301" s="22"/>
      <c r="L301" s="22"/>
      <c r="M301" s="21"/>
      <c r="N301" s="22"/>
      <c r="O301" s="29" t="str">
        <f aca="false">IF(A301="","",IF(COUNTIF($A$2:$A$2001,A301)&gt;1,"GANDA","OK"))</f>
        <v/>
      </c>
      <c r="P301" s="29" t="str">
        <f aca="false">IF(A301="","",IF(C301="","KOSONG",IF(AND(LEN(C301)=16,ISNUMBER(--C301)),"OK","TIDAK VALID")))</f>
        <v/>
      </c>
    </row>
    <row r="302" customFormat="false" ht="15" hidden="false" customHeight="false" outlineLevel="0" collapsed="false">
      <c r="A302" s="21"/>
      <c r="B302" s="22"/>
      <c r="C302" s="21"/>
      <c r="D302" s="22"/>
      <c r="E302" s="22"/>
      <c r="F302" s="28"/>
      <c r="G302" s="22"/>
      <c r="H302" s="21"/>
      <c r="I302" s="28"/>
      <c r="J302" s="22"/>
      <c r="K302" s="22"/>
      <c r="L302" s="22"/>
      <c r="M302" s="21"/>
      <c r="N302" s="22"/>
      <c r="O302" s="29" t="str">
        <f aca="false">IF(A302="","",IF(COUNTIF($A$2:$A$2001,A302)&gt;1,"GANDA","OK"))</f>
        <v/>
      </c>
      <c r="P302" s="29" t="str">
        <f aca="false">IF(A302="","",IF(C302="","KOSONG",IF(AND(LEN(C302)=16,ISNUMBER(--C302)),"OK","TIDAK VALID")))</f>
        <v/>
      </c>
    </row>
    <row r="303" customFormat="false" ht="15" hidden="false" customHeight="false" outlineLevel="0" collapsed="false">
      <c r="A303" s="21"/>
      <c r="B303" s="22"/>
      <c r="C303" s="21"/>
      <c r="D303" s="22"/>
      <c r="E303" s="22"/>
      <c r="F303" s="28"/>
      <c r="G303" s="22"/>
      <c r="H303" s="21"/>
      <c r="I303" s="28"/>
      <c r="J303" s="22"/>
      <c r="K303" s="22"/>
      <c r="L303" s="22"/>
      <c r="M303" s="21"/>
      <c r="N303" s="22"/>
      <c r="O303" s="29" t="str">
        <f aca="false">IF(A303="","",IF(COUNTIF($A$2:$A$2001,A303)&gt;1,"GANDA","OK"))</f>
        <v/>
      </c>
      <c r="P303" s="29" t="str">
        <f aca="false">IF(A303="","",IF(C303="","KOSONG",IF(AND(LEN(C303)=16,ISNUMBER(--C303)),"OK","TIDAK VALID")))</f>
        <v/>
      </c>
    </row>
    <row r="304" customFormat="false" ht="15" hidden="false" customHeight="false" outlineLevel="0" collapsed="false">
      <c r="A304" s="21"/>
      <c r="B304" s="22"/>
      <c r="C304" s="21"/>
      <c r="D304" s="22"/>
      <c r="E304" s="22"/>
      <c r="F304" s="28"/>
      <c r="G304" s="22"/>
      <c r="H304" s="21"/>
      <c r="I304" s="28"/>
      <c r="J304" s="22"/>
      <c r="K304" s="22"/>
      <c r="L304" s="22"/>
      <c r="M304" s="21"/>
      <c r="N304" s="22"/>
      <c r="O304" s="29" t="str">
        <f aca="false">IF(A304="","",IF(COUNTIF($A$2:$A$2001,A304)&gt;1,"GANDA","OK"))</f>
        <v/>
      </c>
      <c r="P304" s="29" t="str">
        <f aca="false">IF(A304="","",IF(C304="","KOSONG",IF(AND(LEN(C304)=16,ISNUMBER(--C304)),"OK","TIDAK VALID")))</f>
        <v/>
      </c>
    </row>
    <row r="305" customFormat="false" ht="15" hidden="false" customHeight="false" outlineLevel="0" collapsed="false">
      <c r="A305" s="21"/>
      <c r="B305" s="22"/>
      <c r="C305" s="21"/>
      <c r="D305" s="22"/>
      <c r="E305" s="22"/>
      <c r="F305" s="28"/>
      <c r="G305" s="22"/>
      <c r="H305" s="21"/>
      <c r="I305" s="28"/>
      <c r="J305" s="22"/>
      <c r="K305" s="22"/>
      <c r="L305" s="22"/>
      <c r="M305" s="21"/>
      <c r="N305" s="22"/>
      <c r="O305" s="29" t="str">
        <f aca="false">IF(A305="","",IF(COUNTIF($A$2:$A$2001,A305)&gt;1,"GANDA","OK"))</f>
        <v/>
      </c>
      <c r="P305" s="29" t="str">
        <f aca="false">IF(A305="","",IF(C305="","KOSONG",IF(AND(LEN(C305)=16,ISNUMBER(--C305)),"OK","TIDAK VALID")))</f>
        <v/>
      </c>
    </row>
    <row r="306" customFormat="false" ht="15" hidden="false" customHeight="false" outlineLevel="0" collapsed="false">
      <c r="A306" s="21"/>
      <c r="B306" s="22"/>
      <c r="C306" s="21"/>
      <c r="D306" s="22"/>
      <c r="E306" s="22"/>
      <c r="F306" s="28"/>
      <c r="G306" s="22"/>
      <c r="H306" s="21"/>
      <c r="I306" s="28"/>
      <c r="J306" s="22"/>
      <c r="K306" s="22"/>
      <c r="L306" s="22"/>
      <c r="M306" s="21"/>
      <c r="N306" s="22"/>
      <c r="O306" s="29" t="str">
        <f aca="false">IF(A306="","",IF(COUNTIF($A$2:$A$2001,A306)&gt;1,"GANDA","OK"))</f>
        <v/>
      </c>
      <c r="P306" s="29" t="str">
        <f aca="false">IF(A306="","",IF(C306="","KOSONG",IF(AND(LEN(C306)=16,ISNUMBER(--C306)),"OK","TIDAK VALID")))</f>
        <v/>
      </c>
    </row>
    <row r="307" customFormat="false" ht="15" hidden="false" customHeight="false" outlineLevel="0" collapsed="false">
      <c r="A307" s="21"/>
      <c r="B307" s="22"/>
      <c r="C307" s="21"/>
      <c r="D307" s="22"/>
      <c r="E307" s="22"/>
      <c r="F307" s="28"/>
      <c r="G307" s="22"/>
      <c r="H307" s="21"/>
      <c r="I307" s="28"/>
      <c r="J307" s="22"/>
      <c r="K307" s="22"/>
      <c r="L307" s="22"/>
      <c r="M307" s="21"/>
      <c r="N307" s="22"/>
      <c r="O307" s="29" t="str">
        <f aca="false">IF(A307="","",IF(COUNTIF($A$2:$A$2001,A307)&gt;1,"GANDA","OK"))</f>
        <v/>
      </c>
      <c r="P307" s="29" t="str">
        <f aca="false">IF(A307="","",IF(C307="","KOSONG",IF(AND(LEN(C307)=16,ISNUMBER(--C307)),"OK","TIDAK VALID")))</f>
        <v/>
      </c>
    </row>
    <row r="308" customFormat="false" ht="15" hidden="false" customHeight="false" outlineLevel="0" collapsed="false">
      <c r="A308" s="21"/>
      <c r="B308" s="22"/>
      <c r="C308" s="21"/>
      <c r="D308" s="22"/>
      <c r="E308" s="22"/>
      <c r="F308" s="28"/>
      <c r="G308" s="22"/>
      <c r="H308" s="21"/>
      <c r="I308" s="28"/>
      <c r="J308" s="22"/>
      <c r="K308" s="22"/>
      <c r="L308" s="22"/>
      <c r="M308" s="21"/>
      <c r="N308" s="22"/>
      <c r="O308" s="29" t="str">
        <f aca="false">IF(A308="","",IF(COUNTIF($A$2:$A$2001,A308)&gt;1,"GANDA","OK"))</f>
        <v/>
      </c>
      <c r="P308" s="29" t="str">
        <f aca="false">IF(A308="","",IF(C308="","KOSONG",IF(AND(LEN(C308)=16,ISNUMBER(--C308)),"OK","TIDAK VALID")))</f>
        <v/>
      </c>
    </row>
    <row r="309" customFormat="false" ht="15" hidden="false" customHeight="false" outlineLevel="0" collapsed="false">
      <c r="A309" s="21"/>
      <c r="B309" s="22"/>
      <c r="C309" s="21"/>
      <c r="D309" s="22"/>
      <c r="E309" s="22"/>
      <c r="F309" s="28"/>
      <c r="G309" s="22"/>
      <c r="H309" s="21"/>
      <c r="I309" s="28"/>
      <c r="J309" s="22"/>
      <c r="K309" s="22"/>
      <c r="L309" s="22"/>
      <c r="M309" s="21"/>
      <c r="N309" s="22"/>
      <c r="O309" s="29" t="str">
        <f aca="false">IF(A309="","",IF(COUNTIF($A$2:$A$2001,A309)&gt;1,"GANDA","OK"))</f>
        <v/>
      </c>
      <c r="P309" s="29" t="str">
        <f aca="false">IF(A309="","",IF(C309="","KOSONG",IF(AND(LEN(C309)=16,ISNUMBER(--C309)),"OK","TIDAK VALID")))</f>
        <v/>
      </c>
    </row>
    <row r="310" customFormat="false" ht="15" hidden="false" customHeight="false" outlineLevel="0" collapsed="false">
      <c r="A310" s="21"/>
      <c r="B310" s="22"/>
      <c r="C310" s="21"/>
      <c r="D310" s="22"/>
      <c r="E310" s="22"/>
      <c r="F310" s="28"/>
      <c r="G310" s="22"/>
      <c r="H310" s="21"/>
      <c r="I310" s="28"/>
      <c r="J310" s="22"/>
      <c r="K310" s="22"/>
      <c r="L310" s="22"/>
      <c r="M310" s="21"/>
      <c r="N310" s="22"/>
      <c r="O310" s="29" t="str">
        <f aca="false">IF(A310="","",IF(COUNTIF($A$2:$A$2001,A310)&gt;1,"GANDA","OK"))</f>
        <v/>
      </c>
      <c r="P310" s="29" t="str">
        <f aca="false">IF(A310="","",IF(C310="","KOSONG",IF(AND(LEN(C310)=16,ISNUMBER(--C310)),"OK","TIDAK VALID")))</f>
        <v/>
      </c>
    </row>
    <row r="311" customFormat="false" ht="15" hidden="false" customHeight="false" outlineLevel="0" collapsed="false">
      <c r="A311" s="21"/>
      <c r="B311" s="22"/>
      <c r="C311" s="21"/>
      <c r="D311" s="22"/>
      <c r="E311" s="22"/>
      <c r="F311" s="28"/>
      <c r="G311" s="22"/>
      <c r="H311" s="21"/>
      <c r="I311" s="28"/>
      <c r="J311" s="22"/>
      <c r="K311" s="22"/>
      <c r="L311" s="22"/>
      <c r="M311" s="21"/>
      <c r="N311" s="22"/>
      <c r="O311" s="29" t="str">
        <f aca="false">IF(A311="","",IF(COUNTIF($A$2:$A$2001,A311)&gt;1,"GANDA","OK"))</f>
        <v/>
      </c>
      <c r="P311" s="29" t="str">
        <f aca="false">IF(A311="","",IF(C311="","KOSONG",IF(AND(LEN(C311)=16,ISNUMBER(--C311)),"OK","TIDAK VALID")))</f>
        <v/>
      </c>
    </row>
    <row r="312" customFormat="false" ht="15" hidden="false" customHeight="false" outlineLevel="0" collapsed="false">
      <c r="A312" s="21"/>
      <c r="B312" s="22"/>
      <c r="C312" s="21"/>
      <c r="D312" s="22"/>
      <c r="E312" s="22"/>
      <c r="F312" s="28"/>
      <c r="G312" s="22"/>
      <c r="H312" s="21"/>
      <c r="I312" s="28"/>
      <c r="J312" s="22"/>
      <c r="K312" s="22"/>
      <c r="L312" s="22"/>
      <c r="M312" s="21"/>
      <c r="N312" s="22"/>
      <c r="O312" s="29" t="str">
        <f aca="false">IF(A312="","",IF(COUNTIF($A$2:$A$2001,A312)&gt;1,"GANDA","OK"))</f>
        <v/>
      </c>
      <c r="P312" s="29" t="str">
        <f aca="false">IF(A312="","",IF(C312="","KOSONG",IF(AND(LEN(C312)=16,ISNUMBER(--C312)),"OK","TIDAK VALID")))</f>
        <v/>
      </c>
    </row>
    <row r="313" customFormat="false" ht="15" hidden="false" customHeight="false" outlineLevel="0" collapsed="false">
      <c r="A313" s="21"/>
      <c r="B313" s="22"/>
      <c r="C313" s="21"/>
      <c r="D313" s="22"/>
      <c r="E313" s="22"/>
      <c r="F313" s="28"/>
      <c r="G313" s="22"/>
      <c r="H313" s="21"/>
      <c r="I313" s="28"/>
      <c r="J313" s="22"/>
      <c r="K313" s="22"/>
      <c r="L313" s="22"/>
      <c r="M313" s="21"/>
      <c r="N313" s="22"/>
      <c r="O313" s="29" t="str">
        <f aca="false">IF(A313="","",IF(COUNTIF($A$2:$A$2001,A313)&gt;1,"GANDA","OK"))</f>
        <v/>
      </c>
      <c r="P313" s="29" t="str">
        <f aca="false">IF(A313="","",IF(C313="","KOSONG",IF(AND(LEN(C313)=16,ISNUMBER(--C313)),"OK","TIDAK VALID")))</f>
        <v/>
      </c>
    </row>
    <row r="314" customFormat="false" ht="15" hidden="false" customHeight="false" outlineLevel="0" collapsed="false">
      <c r="A314" s="21"/>
      <c r="B314" s="22"/>
      <c r="C314" s="21"/>
      <c r="D314" s="22"/>
      <c r="E314" s="22"/>
      <c r="F314" s="28"/>
      <c r="G314" s="22"/>
      <c r="H314" s="21"/>
      <c r="I314" s="28"/>
      <c r="J314" s="22"/>
      <c r="K314" s="22"/>
      <c r="L314" s="22"/>
      <c r="M314" s="21"/>
      <c r="N314" s="22"/>
      <c r="O314" s="29" t="str">
        <f aca="false">IF(A314="","",IF(COUNTIF($A$2:$A$2001,A314)&gt;1,"GANDA","OK"))</f>
        <v/>
      </c>
      <c r="P314" s="29" t="str">
        <f aca="false">IF(A314="","",IF(C314="","KOSONG",IF(AND(LEN(C314)=16,ISNUMBER(--C314)),"OK","TIDAK VALID")))</f>
        <v/>
      </c>
    </row>
    <row r="315" customFormat="false" ht="15" hidden="false" customHeight="false" outlineLevel="0" collapsed="false">
      <c r="A315" s="21"/>
      <c r="B315" s="22"/>
      <c r="C315" s="21"/>
      <c r="D315" s="22"/>
      <c r="E315" s="22"/>
      <c r="F315" s="28"/>
      <c r="G315" s="22"/>
      <c r="H315" s="21"/>
      <c r="I315" s="28"/>
      <c r="J315" s="22"/>
      <c r="K315" s="22"/>
      <c r="L315" s="22"/>
      <c r="M315" s="21"/>
      <c r="N315" s="22"/>
      <c r="O315" s="29" t="str">
        <f aca="false">IF(A315="","",IF(COUNTIF($A$2:$A$2001,A315)&gt;1,"GANDA","OK"))</f>
        <v/>
      </c>
      <c r="P315" s="29" t="str">
        <f aca="false">IF(A315="","",IF(C315="","KOSONG",IF(AND(LEN(C315)=16,ISNUMBER(--C315)),"OK","TIDAK VALID")))</f>
        <v/>
      </c>
    </row>
    <row r="316" customFormat="false" ht="15" hidden="false" customHeight="false" outlineLevel="0" collapsed="false">
      <c r="A316" s="21"/>
      <c r="B316" s="22"/>
      <c r="C316" s="21"/>
      <c r="D316" s="22"/>
      <c r="E316" s="22"/>
      <c r="F316" s="28"/>
      <c r="G316" s="22"/>
      <c r="H316" s="21"/>
      <c r="I316" s="28"/>
      <c r="J316" s="22"/>
      <c r="K316" s="22"/>
      <c r="L316" s="22"/>
      <c r="M316" s="21"/>
      <c r="N316" s="22"/>
      <c r="O316" s="29" t="str">
        <f aca="false">IF(A316="","",IF(COUNTIF($A$2:$A$2001,A316)&gt;1,"GANDA","OK"))</f>
        <v/>
      </c>
      <c r="P316" s="29" t="str">
        <f aca="false">IF(A316="","",IF(C316="","KOSONG",IF(AND(LEN(C316)=16,ISNUMBER(--C316)),"OK","TIDAK VALID")))</f>
        <v/>
      </c>
    </row>
    <row r="317" customFormat="false" ht="15" hidden="false" customHeight="false" outlineLevel="0" collapsed="false">
      <c r="A317" s="21"/>
      <c r="B317" s="22"/>
      <c r="C317" s="21"/>
      <c r="D317" s="22"/>
      <c r="E317" s="22"/>
      <c r="F317" s="28"/>
      <c r="G317" s="22"/>
      <c r="H317" s="21"/>
      <c r="I317" s="28"/>
      <c r="J317" s="22"/>
      <c r="K317" s="22"/>
      <c r="L317" s="22"/>
      <c r="M317" s="21"/>
      <c r="N317" s="22"/>
      <c r="O317" s="29" t="str">
        <f aca="false">IF(A317="","",IF(COUNTIF($A$2:$A$2001,A317)&gt;1,"GANDA","OK"))</f>
        <v/>
      </c>
      <c r="P317" s="29" t="str">
        <f aca="false">IF(A317="","",IF(C317="","KOSONG",IF(AND(LEN(C317)=16,ISNUMBER(--C317)),"OK","TIDAK VALID")))</f>
        <v/>
      </c>
    </row>
    <row r="318" customFormat="false" ht="15" hidden="false" customHeight="false" outlineLevel="0" collapsed="false">
      <c r="A318" s="21"/>
      <c r="B318" s="22"/>
      <c r="C318" s="21"/>
      <c r="D318" s="22"/>
      <c r="E318" s="22"/>
      <c r="F318" s="28"/>
      <c r="G318" s="22"/>
      <c r="H318" s="21"/>
      <c r="I318" s="28"/>
      <c r="J318" s="22"/>
      <c r="K318" s="22"/>
      <c r="L318" s="22"/>
      <c r="M318" s="21"/>
      <c r="N318" s="22"/>
      <c r="O318" s="29" t="str">
        <f aca="false">IF(A318="","",IF(COUNTIF($A$2:$A$2001,A318)&gt;1,"GANDA","OK"))</f>
        <v/>
      </c>
      <c r="P318" s="29" t="str">
        <f aca="false">IF(A318="","",IF(C318="","KOSONG",IF(AND(LEN(C318)=16,ISNUMBER(--C318)),"OK","TIDAK VALID")))</f>
        <v/>
      </c>
    </row>
    <row r="319" customFormat="false" ht="15" hidden="false" customHeight="false" outlineLevel="0" collapsed="false">
      <c r="A319" s="21"/>
      <c r="B319" s="22"/>
      <c r="C319" s="21"/>
      <c r="D319" s="22"/>
      <c r="E319" s="22"/>
      <c r="F319" s="28"/>
      <c r="G319" s="22"/>
      <c r="H319" s="21"/>
      <c r="I319" s="28"/>
      <c r="J319" s="22"/>
      <c r="K319" s="22"/>
      <c r="L319" s="22"/>
      <c r="M319" s="21"/>
      <c r="N319" s="22"/>
      <c r="O319" s="29" t="str">
        <f aca="false">IF(A319="","",IF(COUNTIF($A$2:$A$2001,A319)&gt;1,"GANDA","OK"))</f>
        <v/>
      </c>
      <c r="P319" s="29" t="str">
        <f aca="false">IF(A319="","",IF(C319="","KOSONG",IF(AND(LEN(C319)=16,ISNUMBER(--C319)),"OK","TIDAK VALID")))</f>
        <v/>
      </c>
    </row>
    <row r="320" customFormat="false" ht="15" hidden="false" customHeight="false" outlineLevel="0" collapsed="false">
      <c r="A320" s="21"/>
      <c r="B320" s="22"/>
      <c r="C320" s="21"/>
      <c r="D320" s="22"/>
      <c r="E320" s="22"/>
      <c r="F320" s="28"/>
      <c r="G320" s="22"/>
      <c r="H320" s="21"/>
      <c r="I320" s="28"/>
      <c r="J320" s="22"/>
      <c r="K320" s="22"/>
      <c r="L320" s="22"/>
      <c r="M320" s="21"/>
      <c r="N320" s="22"/>
      <c r="O320" s="29" t="str">
        <f aca="false">IF(A320="","",IF(COUNTIF($A$2:$A$2001,A320)&gt;1,"GANDA","OK"))</f>
        <v/>
      </c>
      <c r="P320" s="29" t="str">
        <f aca="false">IF(A320="","",IF(C320="","KOSONG",IF(AND(LEN(C320)=16,ISNUMBER(--C320)),"OK","TIDAK VALID")))</f>
        <v/>
      </c>
    </row>
    <row r="321" customFormat="false" ht="15" hidden="false" customHeight="false" outlineLevel="0" collapsed="false">
      <c r="A321" s="21"/>
      <c r="B321" s="22"/>
      <c r="C321" s="21"/>
      <c r="D321" s="22"/>
      <c r="E321" s="22"/>
      <c r="F321" s="28"/>
      <c r="G321" s="22"/>
      <c r="H321" s="21"/>
      <c r="I321" s="28"/>
      <c r="J321" s="22"/>
      <c r="K321" s="22"/>
      <c r="L321" s="22"/>
      <c r="M321" s="21"/>
      <c r="N321" s="22"/>
      <c r="O321" s="29" t="str">
        <f aca="false">IF(A321="","",IF(COUNTIF($A$2:$A$2001,A321)&gt;1,"GANDA","OK"))</f>
        <v/>
      </c>
      <c r="P321" s="29" t="str">
        <f aca="false">IF(A321="","",IF(C321="","KOSONG",IF(AND(LEN(C321)=16,ISNUMBER(--C321)),"OK","TIDAK VALID")))</f>
        <v/>
      </c>
    </row>
    <row r="322" customFormat="false" ht="15" hidden="false" customHeight="false" outlineLevel="0" collapsed="false">
      <c r="A322" s="21"/>
      <c r="B322" s="22"/>
      <c r="C322" s="21"/>
      <c r="D322" s="22"/>
      <c r="E322" s="22"/>
      <c r="F322" s="28"/>
      <c r="G322" s="22"/>
      <c r="H322" s="21"/>
      <c r="I322" s="28"/>
      <c r="J322" s="22"/>
      <c r="K322" s="22"/>
      <c r="L322" s="22"/>
      <c r="M322" s="21"/>
      <c r="N322" s="22"/>
      <c r="O322" s="29" t="str">
        <f aca="false">IF(A322="","",IF(COUNTIF($A$2:$A$2001,A322)&gt;1,"GANDA","OK"))</f>
        <v/>
      </c>
      <c r="P322" s="29" t="str">
        <f aca="false">IF(A322="","",IF(C322="","KOSONG",IF(AND(LEN(C322)=16,ISNUMBER(--C322)),"OK","TIDAK VALID")))</f>
        <v/>
      </c>
    </row>
    <row r="323" customFormat="false" ht="15" hidden="false" customHeight="false" outlineLevel="0" collapsed="false">
      <c r="A323" s="21"/>
      <c r="B323" s="22"/>
      <c r="C323" s="21"/>
      <c r="D323" s="22"/>
      <c r="E323" s="22"/>
      <c r="F323" s="28"/>
      <c r="G323" s="22"/>
      <c r="H323" s="21"/>
      <c r="I323" s="28"/>
      <c r="J323" s="22"/>
      <c r="K323" s="22"/>
      <c r="L323" s="22"/>
      <c r="M323" s="21"/>
      <c r="N323" s="22"/>
      <c r="O323" s="29" t="str">
        <f aca="false">IF(A323="","",IF(COUNTIF($A$2:$A$2001,A323)&gt;1,"GANDA","OK"))</f>
        <v/>
      </c>
      <c r="P323" s="29" t="str">
        <f aca="false">IF(A323="","",IF(C323="","KOSONG",IF(AND(LEN(C323)=16,ISNUMBER(--C323)),"OK","TIDAK VALID")))</f>
        <v/>
      </c>
    </row>
    <row r="324" customFormat="false" ht="15" hidden="false" customHeight="false" outlineLevel="0" collapsed="false">
      <c r="A324" s="21"/>
      <c r="B324" s="22"/>
      <c r="C324" s="21"/>
      <c r="D324" s="22"/>
      <c r="E324" s="22"/>
      <c r="F324" s="28"/>
      <c r="G324" s="22"/>
      <c r="H324" s="21"/>
      <c r="I324" s="28"/>
      <c r="J324" s="22"/>
      <c r="K324" s="22"/>
      <c r="L324" s="22"/>
      <c r="M324" s="21"/>
      <c r="N324" s="22"/>
      <c r="O324" s="29" t="str">
        <f aca="false">IF(A324="","",IF(COUNTIF($A$2:$A$2001,A324)&gt;1,"GANDA","OK"))</f>
        <v/>
      </c>
      <c r="P324" s="29" t="str">
        <f aca="false">IF(A324="","",IF(C324="","KOSONG",IF(AND(LEN(C324)=16,ISNUMBER(--C324)),"OK","TIDAK VALID")))</f>
        <v/>
      </c>
    </row>
    <row r="325" customFormat="false" ht="15" hidden="false" customHeight="false" outlineLevel="0" collapsed="false">
      <c r="A325" s="21"/>
      <c r="B325" s="22"/>
      <c r="C325" s="21"/>
      <c r="D325" s="22"/>
      <c r="E325" s="22"/>
      <c r="F325" s="28"/>
      <c r="G325" s="22"/>
      <c r="H325" s="21"/>
      <c r="I325" s="28"/>
      <c r="J325" s="22"/>
      <c r="K325" s="22"/>
      <c r="L325" s="22"/>
      <c r="M325" s="21"/>
      <c r="N325" s="22"/>
      <c r="O325" s="29" t="str">
        <f aca="false">IF(A325="","",IF(COUNTIF($A$2:$A$2001,A325)&gt;1,"GANDA","OK"))</f>
        <v/>
      </c>
      <c r="P325" s="29" t="str">
        <f aca="false">IF(A325="","",IF(C325="","KOSONG",IF(AND(LEN(C325)=16,ISNUMBER(--C325)),"OK","TIDAK VALID")))</f>
        <v/>
      </c>
    </row>
    <row r="326" customFormat="false" ht="15" hidden="false" customHeight="false" outlineLevel="0" collapsed="false">
      <c r="A326" s="21"/>
      <c r="B326" s="22"/>
      <c r="C326" s="21"/>
      <c r="D326" s="22"/>
      <c r="E326" s="22"/>
      <c r="F326" s="28"/>
      <c r="G326" s="22"/>
      <c r="H326" s="21"/>
      <c r="I326" s="28"/>
      <c r="J326" s="22"/>
      <c r="K326" s="22"/>
      <c r="L326" s="22"/>
      <c r="M326" s="21"/>
      <c r="N326" s="22"/>
      <c r="O326" s="29" t="str">
        <f aca="false">IF(A326="","",IF(COUNTIF($A$2:$A$2001,A326)&gt;1,"GANDA","OK"))</f>
        <v/>
      </c>
      <c r="P326" s="29" t="str">
        <f aca="false">IF(A326="","",IF(C326="","KOSONG",IF(AND(LEN(C326)=16,ISNUMBER(--C326)),"OK","TIDAK VALID")))</f>
        <v/>
      </c>
    </row>
    <row r="327" customFormat="false" ht="15" hidden="false" customHeight="false" outlineLevel="0" collapsed="false">
      <c r="A327" s="21"/>
      <c r="B327" s="22"/>
      <c r="C327" s="21"/>
      <c r="D327" s="22"/>
      <c r="E327" s="22"/>
      <c r="F327" s="28"/>
      <c r="G327" s="22"/>
      <c r="H327" s="21"/>
      <c r="I327" s="28"/>
      <c r="J327" s="22"/>
      <c r="K327" s="22"/>
      <c r="L327" s="22"/>
      <c r="M327" s="21"/>
      <c r="N327" s="22"/>
      <c r="O327" s="29" t="str">
        <f aca="false">IF(A327="","",IF(COUNTIF($A$2:$A$2001,A327)&gt;1,"GANDA","OK"))</f>
        <v/>
      </c>
      <c r="P327" s="29" t="str">
        <f aca="false">IF(A327="","",IF(C327="","KOSONG",IF(AND(LEN(C327)=16,ISNUMBER(--C327)),"OK","TIDAK VALID")))</f>
        <v/>
      </c>
    </row>
    <row r="328" customFormat="false" ht="15" hidden="false" customHeight="false" outlineLevel="0" collapsed="false">
      <c r="A328" s="21"/>
      <c r="B328" s="22"/>
      <c r="C328" s="21"/>
      <c r="D328" s="22"/>
      <c r="E328" s="22"/>
      <c r="F328" s="28"/>
      <c r="G328" s="22"/>
      <c r="H328" s="21"/>
      <c r="I328" s="28"/>
      <c r="J328" s="22"/>
      <c r="K328" s="22"/>
      <c r="L328" s="22"/>
      <c r="M328" s="21"/>
      <c r="N328" s="22"/>
      <c r="O328" s="29" t="str">
        <f aca="false">IF(A328="","",IF(COUNTIF($A$2:$A$2001,A328)&gt;1,"GANDA","OK"))</f>
        <v/>
      </c>
      <c r="P328" s="29" t="str">
        <f aca="false">IF(A328="","",IF(C328="","KOSONG",IF(AND(LEN(C328)=16,ISNUMBER(--C328)),"OK","TIDAK VALID")))</f>
        <v/>
      </c>
    </row>
    <row r="329" customFormat="false" ht="15" hidden="false" customHeight="false" outlineLevel="0" collapsed="false">
      <c r="A329" s="21"/>
      <c r="B329" s="22"/>
      <c r="C329" s="21"/>
      <c r="D329" s="22"/>
      <c r="E329" s="22"/>
      <c r="F329" s="28"/>
      <c r="G329" s="22"/>
      <c r="H329" s="21"/>
      <c r="I329" s="28"/>
      <c r="J329" s="22"/>
      <c r="K329" s="22"/>
      <c r="L329" s="22"/>
      <c r="M329" s="21"/>
      <c r="N329" s="22"/>
      <c r="O329" s="29" t="str">
        <f aca="false">IF(A329="","",IF(COUNTIF($A$2:$A$2001,A329)&gt;1,"GANDA","OK"))</f>
        <v/>
      </c>
      <c r="P329" s="29" t="str">
        <f aca="false">IF(A329="","",IF(C329="","KOSONG",IF(AND(LEN(C329)=16,ISNUMBER(--C329)),"OK","TIDAK VALID")))</f>
        <v/>
      </c>
    </row>
    <row r="330" customFormat="false" ht="15" hidden="false" customHeight="false" outlineLevel="0" collapsed="false">
      <c r="A330" s="21"/>
      <c r="B330" s="22"/>
      <c r="C330" s="21"/>
      <c r="D330" s="22"/>
      <c r="E330" s="22"/>
      <c r="F330" s="28"/>
      <c r="G330" s="22"/>
      <c r="H330" s="21"/>
      <c r="I330" s="28"/>
      <c r="J330" s="22"/>
      <c r="K330" s="22"/>
      <c r="L330" s="22"/>
      <c r="M330" s="21"/>
      <c r="N330" s="22"/>
      <c r="O330" s="29" t="str">
        <f aca="false">IF(A330="","",IF(COUNTIF($A$2:$A$2001,A330)&gt;1,"GANDA","OK"))</f>
        <v/>
      </c>
      <c r="P330" s="29" t="str">
        <f aca="false">IF(A330="","",IF(C330="","KOSONG",IF(AND(LEN(C330)=16,ISNUMBER(--C330)),"OK","TIDAK VALID")))</f>
        <v/>
      </c>
    </row>
    <row r="331" customFormat="false" ht="15" hidden="false" customHeight="false" outlineLevel="0" collapsed="false">
      <c r="A331" s="21"/>
      <c r="B331" s="22"/>
      <c r="C331" s="21"/>
      <c r="D331" s="22"/>
      <c r="E331" s="22"/>
      <c r="F331" s="28"/>
      <c r="G331" s="22"/>
      <c r="H331" s="21"/>
      <c r="I331" s="28"/>
      <c r="J331" s="22"/>
      <c r="K331" s="22"/>
      <c r="L331" s="22"/>
      <c r="M331" s="21"/>
      <c r="N331" s="22"/>
      <c r="O331" s="29" t="str">
        <f aca="false">IF(A331="","",IF(COUNTIF($A$2:$A$2001,A331)&gt;1,"GANDA","OK"))</f>
        <v/>
      </c>
      <c r="P331" s="29" t="str">
        <f aca="false">IF(A331="","",IF(C331="","KOSONG",IF(AND(LEN(C331)=16,ISNUMBER(--C331)),"OK","TIDAK VALID")))</f>
        <v/>
      </c>
    </row>
    <row r="332" customFormat="false" ht="15" hidden="false" customHeight="false" outlineLevel="0" collapsed="false">
      <c r="A332" s="21"/>
      <c r="B332" s="22"/>
      <c r="C332" s="21"/>
      <c r="D332" s="22"/>
      <c r="E332" s="22"/>
      <c r="F332" s="28"/>
      <c r="G332" s="22"/>
      <c r="H332" s="21"/>
      <c r="I332" s="28"/>
      <c r="J332" s="22"/>
      <c r="K332" s="22"/>
      <c r="L332" s="22"/>
      <c r="M332" s="21"/>
      <c r="N332" s="22"/>
      <c r="O332" s="29" t="str">
        <f aca="false">IF(A332="","",IF(COUNTIF($A$2:$A$2001,A332)&gt;1,"GANDA","OK"))</f>
        <v/>
      </c>
      <c r="P332" s="29" t="str">
        <f aca="false">IF(A332="","",IF(C332="","KOSONG",IF(AND(LEN(C332)=16,ISNUMBER(--C332)),"OK","TIDAK VALID")))</f>
        <v/>
      </c>
    </row>
    <row r="333" customFormat="false" ht="15" hidden="false" customHeight="false" outlineLevel="0" collapsed="false">
      <c r="A333" s="21"/>
      <c r="B333" s="22"/>
      <c r="C333" s="21"/>
      <c r="D333" s="22"/>
      <c r="E333" s="22"/>
      <c r="F333" s="28"/>
      <c r="G333" s="22"/>
      <c r="H333" s="21"/>
      <c r="I333" s="28"/>
      <c r="J333" s="22"/>
      <c r="K333" s="22"/>
      <c r="L333" s="22"/>
      <c r="M333" s="21"/>
      <c r="N333" s="22"/>
      <c r="O333" s="29" t="str">
        <f aca="false">IF(A333="","",IF(COUNTIF($A$2:$A$2001,A333)&gt;1,"GANDA","OK"))</f>
        <v/>
      </c>
      <c r="P333" s="29" t="str">
        <f aca="false">IF(A333="","",IF(C333="","KOSONG",IF(AND(LEN(C333)=16,ISNUMBER(--C333)),"OK","TIDAK VALID")))</f>
        <v/>
      </c>
    </row>
    <row r="334" customFormat="false" ht="15" hidden="false" customHeight="false" outlineLevel="0" collapsed="false">
      <c r="A334" s="21"/>
      <c r="B334" s="22"/>
      <c r="C334" s="21"/>
      <c r="D334" s="22"/>
      <c r="E334" s="22"/>
      <c r="F334" s="28"/>
      <c r="G334" s="22"/>
      <c r="H334" s="21"/>
      <c r="I334" s="28"/>
      <c r="J334" s="22"/>
      <c r="K334" s="22"/>
      <c r="L334" s="22"/>
      <c r="M334" s="21"/>
      <c r="N334" s="22"/>
      <c r="O334" s="29" t="str">
        <f aca="false">IF(A334="","",IF(COUNTIF($A$2:$A$2001,A334)&gt;1,"GANDA","OK"))</f>
        <v/>
      </c>
      <c r="P334" s="29" t="str">
        <f aca="false">IF(A334="","",IF(C334="","KOSONG",IF(AND(LEN(C334)=16,ISNUMBER(--C334)),"OK","TIDAK VALID")))</f>
        <v/>
      </c>
    </row>
    <row r="335" customFormat="false" ht="15" hidden="false" customHeight="false" outlineLevel="0" collapsed="false">
      <c r="A335" s="21"/>
      <c r="B335" s="22"/>
      <c r="C335" s="21"/>
      <c r="D335" s="22"/>
      <c r="E335" s="22"/>
      <c r="F335" s="28"/>
      <c r="G335" s="22"/>
      <c r="H335" s="21"/>
      <c r="I335" s="28"/>
      <c r="J335" s="22"/>
      <c r="K335" s="22"/>
      <c r="L335" s="22"/>
      <c r="M335" s="21"/>
      <c r="N335" s="22"/>
      <c r="O335" s="29" t="str">
        <f aca="false">IF(A335="","",IF(COUNTIF($A$2:$A$2001,A335)&gt;1,"GANDA","OK"))</f>
        <v/>
      </c>
      <c r="P335" s="29" t="str">
        <f aca="false">IF(A335="","",IF(C335="","KOSONG",IF(AND(LEN(C335)=16,ISNUMBER(--C335)),"OK","TIDAK VALID")))</f>
        <v/>
      </c>
    </row>
    <row r="336" customFormat="false" ht="15" hidden="false" customHeight="false" outlineLevel="0" collapsed="false">
      <c r="A336" s="21"/>
      <c r="B336" s="22"/>
      <c r="C336" s="21"/>
      <c r="D336" s="22"/>
      <c r="E336" s="22"/>
      <c r="F336" s="28"/>
      <c r="G336" s="22"/>
      <c r="H336" s="21"/>
      <c r="I336" s="28"/>
      <c r="J336" s="22"/>
      <c r="K336" s="22"/>
      <c r="L336" s="22"/>
      <c r="M336" s="21"/>
      <c r="N336" s="22"/>
      <c r="O336" s="29" t="str">
        <f aca="false">IF(A336="","",IF(COUNTIF($A$2:$A$2001,A336)&gt;1,"GANDA","OK"))</f>
        <v/>
      </c>
      <c r="P336" s="29" t="str">
        <f aca="false">IF(A336="","",IF(C336="","KOSONG",IF(AND(LEN(C336)=16,ISNUMBER(--C336)),"OK","TIDAK VALID")))</f>
        <v/>
      </c>
    </row>
    <row r="337" customFormat="false" ht="15" hidden="false" customHeight="false" outlineLevel="0" collapsed="false">
      <c r="A337" s="21"/>
      <c r="B337" s="22"/>
      <c r="C337" s="21"/>
      <c r="D337" s="22"/>
      <c r="E337" s="22"/>
      <c r="F337" s="28"/>
      <c r="G337" s="22"/>
      <c r="H337" s="21"/>
      <c r="I337" s="28"/>
      <c r="J337" s="22"/>
      <c r="K337" s="22"/>
      <c r="L337" s="22"/>
      <c r="M337" s="21"/>
      <c r="N337" s="22"/>
      <c r="O337" s="29" t="str">
        <f aca="false">IF(A337="","",IF(COUNTIF($A$2:$A$2001,A337)&gt;1,"GANDA","OK"))</f>
        <v/>
      </c>
      <c r="P337" s="29" t="str">
        <f aca="false">IF(A337="","",IF(C337="","KOSONG",IF(AND(LEN(C337)=16,ISNUMBER(--C337)),"OK","TIDAK VALID")))</f>
        <v/>
      </c>
    </row>
    <row r="338" customFormat="false" ht="15" hidden="false" customHeight="false" outlineLevel="0" collapsed="false">
      <c r="A338" s="21"/>
      <c r="B338" s="22"/>
      <c r="C338" s="21"/>
      <c r="D338" s="22"/>
      <c r="E338" s="22"/>
      <c r="F338" s="28"/>
      <c r="G338" s="22"/>
      <c r="H338" s="21"/>
      <c r="I338" s="28"/>
      <c r="J338" s="22"/>
      <c r="K338" s="22"/>
      <c r="L338" s="22"/>
      <c r="M338" s="21"/>
      <c r="N338" s="22"/>
      <c r="O338" s="29" t="str">
        <f aca="false">IF(A338="","",IF(COUNTIF($A$2:$A$2001,A338)&gt;1,"GANDA","OK"))</f>
        <v/>
      </c>
      <c r="P338" s="29" t="str">
        <f aca="false">IF(A338="","",IF(C338="","KOSONG",IF(AND(LEN(C338)=16,ISNUMBER(--C338)),"OK","TIDAK VALID")))</f>
        <v/>
      </c>
    </row>
    <row r="339" customFormat="false" ht="15" hidden="false" customHeight="false" outlineLevel="0" collapsed="false">
      <c r="A339" s="21"/>
      <c r="B339" s="22"/>
      <c r="C339" s="21"/>
      <c r="D339" s="22"/>
      <c r="E339" s="22"/>
      <c r="F339" s="28"/>
      <c r="G339" s="22"/>
      <c r="H339" s="21"/>
      <c r="I339" s="28"/>
      <c r="J339" s="22"/>
      <c r="K339" s="22"/>
      <c r="L339" s="22"/>
      <c r="M339" s="21"/>
      <c r="N339" s="22"/>
      <c r="O339" s="29" t="str">
        <f aca="false">IF(A339="","",IF(COUNTIF($A$2:$A$2001,A339)&gt;1,"GANDA","OK"))</f>
        <v/>
      </c>
      <c r="P339" s="29" t="str">
        <f aca="false">IF(A339="","",IF(C339="","KOSONG",IF(AND(LEN(C339)=16,ISNUMBER(--C339)),"OK","TIDAK VALID")))</f>
        <v/>
      </c>
    </row>
    <row r="340" customFormat="false" ht="15" hidden="false" customHeight="false" outlineLevel="0" collapsed="false">
      <c r="A340" s="21"/>
      <c r="B340" s="22"/>
      <c r="C340" s="21"/>
      <c r="D340" s="22"/>
      <c r="E340" s="22"/>
      <c r="F340" s="28"/>
      <c r="G340" s="22"/>
      <c r="H340" s="21"/>
      <c r="I340" s="28"/>
      <c r="J340" s="22"/>
      <c r="K340" s="22"/>
      <c r="L340" s="22"/>
      <c r="M340" s="21"/>
      <c r="N340" s="22"/>
      <c r="O340" s="29" t="str">
        <f aca="false">IF(A340="","",IF(COUNTIF($A$2:$A$2001,A340)&gt;1,"GANDA","OK"))</f>
        <v/>
      </c>
      <c r="P340" s="29" t="str">
        <f aca="false">IF(A340="","",IF(C340="","KOSONG",IF(AND(LEN(C340)=16,ISNUMBER(--C340)),"OK","TIDAK VALID")))</f>
        <v/>
      </c>
    </row>
    <row r="341" customFormat="false" ht="15" hidden="false" customHeight="false" outlineLevel="0" collapsed="false">
      <c r="A341" s="21"/>
      <c r="B341" s="22"/>
      <c r="C341" s="21"/>
      <c r="D341" s="22"/>
      <c r="E341" s="22"/>
      <c r="F341" s="28"/>
      <c r="G341" s="22"/>
      <c r="H341" s="21"/>
      <c r="I341" s="28"/>
      <c r="J341" s="22"/>
      <c r="K341" s="22"/>
      <c r="L341" s="22"/>
      <c r="M341" s="21"/>
      <c r="N341" s="22"/>
      <c r="O341" s="29" t="str">
        <f aca="false">IF(A341="","",IF(COUNTIF($A$2:$A$2001,A341)&gt;1,"GANDA","OK"))</f>
        <v/>
      </c>
      <c r="P341" s="29" t="str">
        <f aca="false">IF(A341="","",IF(C341="","KOSONG",IF(AND(LEN(C341)=16,ISNUMBER(--C341)),"OK","TIDAK VALID")))</f>
        <v/>
      </c>
    </row>
    <row r="342" customFormat="false" ht="15" hidden="false" customHeight="false" outlineLevel="0" collapsed="false">
      <c r="A342" s="21"/>
      <c r="B342" s="22"/>
      <c r="C342" s="21"/>
      <c r="D342" s="22"/>
      <c r="E342" s="22"/>
      <c r="F342" s="28"/>
      <c r="G342" s="22"/>
      <c r="H342" s="21"/>
      <c r="I342" s="28"/>
      <c r="J342" s="22"/>
      <c r="K342" s="22"/>
      <c r="L342" s="22"/>
      <c r="M342" s="21"/>
      <c r="N342" s="22"/>
      <c r="O342" s="29" t="str">
        <f aca="false">IF(A342="","",IF(COUNTIF($A$2:$A$2001,A342)&gt;1,"GANDA","OK"))</f>
        <v/>
      </c>
      <c r="P342" s="29" t="str">
        <f aca="false">IF(A342="","",IF(C342="","KOSONG",IF(AND(LEN(C342)=16,ISNUMBER(--C342)),"OK","TIDAK VALID")))</f>
        <v/>
      </c>
    </row>
    <row r="343" customFormat="false" ht="15" hidden="false" customHeight="false" outlineLevel="0" collapsed="false">
      <c r="A343" s="21"/>
      <c r="B343" s="22"/>
      <c r="C343" s="21"/>
      <c r="D343" s="22"/>
      <c r="E343" s="22"/>
      <c r="F343" s="28"/>
      <c r="G343" s="22"/>
      <c r="H343" s="21"/>
      <c r="I343" s="28"/>
      <c r="J343" s="22"/>
      <c r="K343" s="22"/>
      <c r="L343" s="22"/>
      <c r="M343" s="21"/>
      <c r="N343" s="22"/>
      <c r="O343" s="29" t="str">
        <f aca="false">IF(A343="","",IF(COUNTIF($A$2:$A$2001,A343)&gt;1,"GANDA","OK"))</f>
        <v/>
      </c>
      <c r="P343" s="29" t="str">
        <f aca="false">IF(A343="","",IF(C343="","KOSONG",IF(AND(LEN(C343)=16,ISNUMBER(--C343)),"OK","TIDAK VALID")))</f>
        <v/>
      </c>
    </row>
    <row r="344" customFormat="false" ht="15" hidden="false" customHeight="false" outlineLevel="0" collapsed="false">
      <c r="A344" s="21"/>
      <c r="B344" s="22"/>
      <c r="C344" s="21"/>
      <c r="D344" s="22"/>
      <c r="E344" s="22"/>
      <c r="F344" s="28"/>
      <c r="G344" s="22"/>
      <c r="H344" s="21"/>
      <c r="I344" s="28"/>
      <c r="J344" s="22"/>
      <c r="K344" s="22"/>
      <c r="L344" s="22"/>
      <c r="M344" s="21"/>
      <c r="N344" s="22"/>
      <c r="O344" s="29" t="str">
        <f aca="false">IF(A344="","",IF(COUNTIF($A$2:$A$2001,A344)&gt;1,"GANDA","OK"))</f>
        <v/>
      </c>
      <c r="P344" s="29" t="str">
        <f aca="false">IF(A344="","",IF(C344="","KOSONG",IF(AND(LEN(C344)=16,ISNUMBER(--C344)),"OK","TIDAK VALID")))</f>
        <v/>
      </c>
    </row>
    <row r="345" customFormat="false" ht="15" hidden="false" customHeight="false" outlineLevel="0" collapsed="false">
      <c r="A345" s="21"/>
      <c r="B345" s="22"/>
      <c r="C345" s="21"/>
      <c r="D345" s="22"/>
      <c r="E345" s="22"/>
      <c r="F345" s="28"/>
      <c r="G345" s="22"/>
      <c r="H345" s="21"/>
      <c r="I345" s="28"/>
      <c r="J345" s="22"/>
      <c r="K345" s="22"/>
      <c r="L345" s="22"/>
      <c r="M345" s="21"/>
      <c r="N345" s="22"/>
      <c r="O345" s="29" t="str">
        <f aca="false">IF(A345="","",IF(COUNTIF($A$2:$A$2001,A345)&gt;1,"GANDA","OK"))</f>
        <v/>
      </c>
      <c r="P345" s="29" t="str">
        <f aca="false">IF(A345="","",IF(C345="","KOSONG",IF(AND(LEN(C345)=16,ISNUMBER(--C345)),"OK","TIDAK VALID")))</f>
        <v/>
      </c>
    </row>
    <row r="346" customFormat="false" ht="15" hidden="false" customHeight="false" outlineLevel="0" collapsed="false">
      <c r="A346" s="21"/>
      <c r="B346" s="22"/>
      <c r="C346" s="21"/>
      <c r="D346" s="22"/>
      <c r="E346" s="22"/>
      <c r="F346" s="28"/>
      <c r="G346" s="22"/>
      <c r="H346" s="21"/>
      <c r="I346" s="28"/>
      <c r="J346" s="22"/>
      <c r="K346" s="22"/>
      <c r="L346" s="22"/>
      <c r="M346" s="21"/>
      <c r="N346" s="22"/>
      <c r="O346" s="29" t="str">
        <f aca="false">IF(A346="","",IF(COUNTIF($A$2:$A$2001,A346)&gt;1,"GANDA","OK"))</f>
        <v/>
      </c>
      <c r="P346" s="29" t="str">
        <f aca="false">IF(A346="","",IF(C346="","KOSONG",IF(AND(LEN(C346)=16,ISNUMBER(--C346)),"OK","TIDAK VALID")))</f>
        <v/>
      </c>
    </row>
    <row r="347" customFormat="false" ht="15" hidden="false" customHeight="false" outlineLevel="0" collapsed="false">
      <c r="A347" s="21"/>
      <c r="B347" s="22"/>
      <c r="C347" s="21"/>
      <c r="D347" s="22"/>
      <c r="E347" s="22"/>
      <c r="F347" s="28"/>
      <c r="G347" s="22"/>
      <c r="H347" s="21"/>
      <c r="I347" s="28"/>
      <c r="J347" s="22"/>
      <c r="K347" s="22"/>
      <c r="L347" s="22"/>
      <c r="M347" s="21"/>
      <c r="N347" s="22"/>
      <c r="O347" s="29" t="str">
        <f aca="false">IF(A347="","",IF(COUNTIF($A$2:$A$2001,A347)&gt;1,"GANDA","OK"))</f>
        <v/>
      </c>
      <c r="P347" s="29" t="str">
        <f aca="false">IF(A347="","",IF(C347="","KOSONG",IF(AND(LEN(C347)=16,ISNUMBER(--C347)),"OK","TIDAK VALID")))</f>
        <v/>
      </c>
    </row>
    <row r="348" customFormat="false" ht="15" hidden="false" customHeight="false" outlineLevel="0" collapsed="false">
      <c r="A348" s="21"/>
      <c r="B348" s="22"/>
      <c r="C348" s="21"/>
      <c r="D348" s="22"/>
      <c r="E348" s="22"/>
      <c r="F348" s="28"/>
      <c r="G348" s="22"/>
      <c r="H348" s="21"/>
      <c r="I348" s="28"/>
      <c r="J348" s="22"/>
      <c r="K348" s="22"/>
      <c r="L348" s="22"/>
      <c r="M348" s="21"/>
      <c r="N348" s="22"/>
      <c r="O348" s="29" t="str">
        <f aca="false">IF(A348="","",IF(COUNTIF($A$2:$A$2001,A348)&gt;1,"GANDA","OK"))</f>
        <v/>
      </c>
      <c r="P348" s="29" t="str">
        <f aca="false">IF(A348="","",IF(C348="","KOSONG",IF(AND(LEN(C348)=16,ISNUMBER(--C348)),"OK","TIDAK VALID")))</f>
        <v/>
      </c>
    </row>
    <row r="349" customFormat="false" ht="15" hidden="false" customHeight="false" outlineLevel="0" collapsed="false">
      <c r="A349" s="21"/>
      <c r="B349" s="22"/>
      <c r="C349" s="21"/>
      <c r="D349" s="22"/>
      <c r="E349" s="22"/>
      <c r="F349" s="28"/>
      <c r="G349" s="22"/>
      <c r="H349" s="21"/>
      <c r="I349" s="28"/>
      <c r="J349" s="22"/>
      <c r="K349" s="22"/>
      <c r="L349" s="22"/>
      <c r="M349" s="21"/>
      <c r="N349" s="22"/>
      <c r="O349" s="29" t="str">
        <f aca="false">IF(A349="","",IF(COUNTIF($A$2:$A$2001,A349)&gt;1,"GANDA","OK"))</f>
        <v/>
      </c>
      <c r="P349" s="29" t="str">
        <f aca="false">IF(A349="","",IF(C349="","KOSONG",IF(AND(LEN(C349)=16,ISNUMBER(--C349)),"OK","TIDAK VALID")))</f>
        <v/>
      </c>
    </row>
    <row r="350" customFormat="false" ht="15" hidden="false" customHeight="false" outlineLevel="0" collapsed="false">
      <c r="A350" s="21"/>
      <c r="B350" s="22"/>
      <c r="C350" s="21"/>
      <c r="D350" s="22"/>
      <c r="E350" s="22"/>
      <c r="F350" s="28"/>
      <c r="G350" s="22"/>
      <c r="H350" s="21"/>
      <c r="I350" s="28"/>
      <c r="J350" s="22"/>
      <c r="K350" s="22"/>
      <c r="L350" s="22"/>
      <c r="M350" s="21"/>
      <c r="N350" s="22"/>
      <c r="O350" s="29" t="str">
        <f aca="false">IF(A350="","",IF(COUNTIF($A$2:$A$2001,A350)&gt;1,"GANDA","OK"))</f>
        <v/>
      </c>
      <c r="P350" s="29" t="str">
        <f aca="false">IF(A350="","",IF(C350="","KOSONG",IF(AND(LEN(C350)=16,ISNUMBER(--C350)),"OK","TIDAK VALID")))</f>
        <v/>
      </c>
    </row>
    <row r="351" customFormat="false" ht="15" hidden="false" customHeight="false" outlineLevel="0" collapsed="false">
      <c r="A351" s="21"/>
      <c r="B351" s="22"/>
      <c r="C351" s="21"/>
      <c r="D351" s="22"/>
      <c r="E351" s="22"/>
      <c r="F351" s="28"/>
      <c r="G351" s="22"/>
      <c r="H351" s="21"/>
      <c r="I351" s="28"/>
      <c r="J351" s="22"/>
      <c r="K351" s="22"/>
      <c r="L351" s="22"/>
      <c r="M351" s="21"/>
      <c r="N351" s="22"/>
      <c r="O351" s="29" t="str">
        <f aca="false">IF(A351="","",IF(COUNTIF($A$2:$A$2001,A351)&gt;1,"GANDA","OK"))</f>
        <v/>
      </c>
      <c r="P351" s="29" t="str">
        <f aca="false">IF(A351="","",IF(C351="","KOSONG",IF(AND(LEN(C351)=16,ISNUMBER(--C351)),"OK","TIDAK VALID")))</f>
        <v/>
      </c>
    </row>
    <row r="352" customFormat="false" ht="15" hidden="false" customHeight="false" outlineLevel="0" collapsed="false">
      <c r="A352" s="21"/>
      <c r="B352" s="22"/>
      <c r="C352" s="21"/>
      <c r="D352" s="22"/>
      <c r="E352" s="22"/>
      <c r="F352" s="28"/>
      <c r="G352" s="22"/>
      <c r="H352" s="21"/>
      <c r="I352" s="28"/>
      <c r="J352" s="22"/>
      <c r="K352" s="22"/>
      <c r="L352" s="22"/>
      <c r="M352" s="21"/>
      <c r="N352" s="22"/>
      <c r="O352" s="29" t="str">
        <f aca="false">IF(A352="","",IF(COUNTIF($A$2:$A$2001,A352)&gt;1,"GANDA","OK"))</f>
        <v/>
      </c>
      <c r="P352" s="29" t="str">
        <f aca="false">IF(A352="","",IF(C352="","KOSONG",IF(AND(LEN(C352)=16,ISNUMBER(--C352)),"OK","TIDAK VALID")))</f>
        <v/>
      </c>
    </row>
    <row r="353" customFormat="false" ht="15" hidden="false" customHeight="false" outlineLevel="0" collapsed="false">
      <c r="A353" s="21"/>
      <c r="B353" s="22"/>
      <c r="C353" s="21"/>
      <c r="D353" s="22"/>
      <c r="E353" s="22"/>
      <c r="F353" s="28"/>
      <c r="G353" s="22"/>
      <c r="H353" s="21"/>
      <c r="I353" s="28"/>
      <c r="J353" s="22"/>
      <c r="K353" s="22"/>
      <c r="L353" s="22"/>
      <c r="M353" s="21"/>
      <c r="N353" s="22"/>
      <c r="O353" s="29" t="str">
        <f aca="false">IF(A353="","",IF(COUNTIF($A$2:$A$2001,A353)&gt;1,"GANDA","OK"))</f>
        <v/>
      </c>
      <c r="P353" s="29" t="str">
        <f aca="false">IF(A353="","",IF(C353="","KOSONG",IF(AND(LEN(C353)=16,ISNUMBER(--C353)),"OK","TIDAK VALID")))</f>
        <v/>
      </c>
    </row>
    <row r="354" customFormat="false" ht="15" hidden="false" customHeight="false" outlineLevel="0" collapsed="false">
      <c r="A354" s="21"/>
      <c r="B354" s="22"/>
      <c r="C354" s="21"/>
      <c r="D354" s="22"/>
      <c r="E354" s="22"/>
      <c r="F354" s="28"/>
      <c r="G354" s="22"/>
      <c r="H354" s="21"/>
      <c r="I354" s="28"/>
      <c r="J354" s="22"/>
      <c r="K354" s="22"/>
      <c r="L354" s="22"/>
      <c r="M354" s="21"/>
      <c r="N354" s="22"/>
      <c r="O354" s="29" t="str">
        <f aca="false">IF(A354="","",IF(COUNTIF($A$2:$A$2001,A354)&gt;1,"GANDA","OK"))</f>
        <v/>
      </c>
      <c r="P354" s="29" t="str">
        <f aca="false">IF(A354="","",IF(C354="","KOSONG",IF(AND(LEN(C354)=16,ISNUMBER(--C354)),"OK","TIDAK VALID")))</f>
        <v/>
      </c>
    </row>
    <row r="355" customFormat="false" ht="15" hidden="false" customHeight="false" outlineLevel="0" collapsed="false">
      <c r="A355" s="21"/>
      <c r="B355" s="22"/>
      <c r="C355" s="21"/>
      <c r="D355" s="22"/>
      <c r="E355" s="22"/>
      <c r="F355" s="28"/>
      <c r="G355" s="22"/>
      <c r="H355" s="21"/>
      <c r="I355" s="28"/>
      <c r="J355" s="22"/>
      <c r="K355" s="22"/>
      <c r="L355" s="22"/>
      <c r="M355" s="21"/>
      <c r="N355" s="22"/>
      <c r="O355" s="29" t="str">
        <f aca="false">IF(A355="","",IF(COUNTIF($A$2:$A$2001,A355)&gt;1,"GANDA","OK"))</f>
        <v/>
      </c>
      <c r="P355" s="29" t="str">
        <f aca="false">IF(A355="","",IF(C355="","KOSONG",IF(AND(LEN(C355)=16,ISNUMBER(--C355)),"OK","TIDAK VALID")))</f>
        <v/>
      </c>
    </row>
    <row r="356" customFormat="false" ht="15" hidden="false" customHeight="false" outlineLevel="0" collapsed="false">
      <c r="A356" s="21"/>
      <c r="B356" s="22"/>
      <c r="C356" s="21"/>
      <c r="D356" s="22"/>
      <c r="E356" s="22"/>
      <c r="F356" s="28"/>
      <c r="G356" s="22"/>
      <c r="H356" s="21"/>
      <c r="I356" s="28"/>
      <c r="J356" s="22"/>
      <c r="K356" s="22"/>
      <c r="L356" s="22"/>
      <c r="M356" s="21"/>
      <c r="N356" s="22"/>
      <c r="O356" s="29" t="str">
        <f aca="false">IF(A356="","",IF(COUNTIF($A$2:$A$2001,A356)&gt;1,"GANDA","OK"))</f>
        <v/>
      </c>
      <c r="P356" s="29" t="str">
        <f aca="false">IF(A356="","",IF(C356="","KOSONG",IF(AND(LEN(C356)=16,ISNUMBER(--C356)),"OK","TIDAK VALID")))</f>
        <v/>
      </c>
    </row>
    <row r="357" customFormat="false" ht="15" hidden="false" customHeight="false" outlineLevel="0" collapsed="false">
      <c r="A357" s="21"/>
      <c r="B357" s="22"/>
      <c r="C357" s="21"/>
      <c r="D357" s="22"/>
      <c r="E357" s="22"/>
      <c r="F357" s="28"/>
      <c r="G357" s="22"/>
      <c r="H357" s="21"/>
      <c r="I357" s="28"/>
      <c r="J357" s="22"/>
      <c r="K357" s="22"/>
      <c r="L357" s="22"/>
      <c r="M357" s="21"/>
      <c r="N357" s="22"/>
      <c r="O357" s="29" t="str">
        <f aca="false">IF(A357="","",IF(COUNTIF($A$2:$A$2001,A357)&gt;1,"GANDA","OK"))</f>
        <v/>
      </c>
      <c r="P357" s="29" t="str">
        <f aca="false">IF(A357="","",IF(C357="","KOSONG",IF(AND(LEN(C357)=16,ISNUMBER(--C357)),"OK","TIDAK VALID")))</f>
        <v/>
      </c>
    </row>
    <row r="358" customFormat="false" ht="15" hidden="false" customHeight="false" outlineLevel="0" collapsed="false">
      <c r="A358" s="21"/>
      <c r="B358" s="22"/>
      <c r="C358" s="21"/>
      <c r="D358" s="22"/>
      <c r="E358" s="22"/>
      <c r="F358" s="28"/>
      <c r="G358" s="22"/>
      <c r="H358" s="21"/>
      <c r="I358" s="28"/>
      <c r="J358" s="22"/>
      <c r="K358" s="22"/>
      <c r="L358" s="22"/>
      <c r="M358" s="21"/>
      <c r="N358" s="22"/>
      <c r="O358" s="29" t="str">
        <f aca="false">IF(A358="","",IF(COUNTIF($A$2:$A$2001,A358)&gt;1,"GANDA","OK"))</f>
        <v/>
      </c>
      <c r="P358" s="29" t="str">
        <f aca="false">IF(A358="","",IF(C358="","KOSONG",IF(AND(LEN(C358)=16,ISNUMBER(--C358)),"OK","TIDAK VALID")))</f>
        <v/>
      </c>
    </row>
    <row r="359" customFormat="false" ht="15" hidden="false" customHeight="false" outlineLevel="0" collapsed="false">
      <c r="A359" s="21"/>
      <c r="B359" s="22"/>
      <c r="C359" s="21"/>
      <c r="D359" s="22"/>
      <c r="E359" s="22"/>
      <c r="F359" s="28"/>
      <c r="G359" s="22"/>
      <c r="H359" s="21"/>
      <c r="I359" s="28"/>
      <c r="J359" s="22"/>
      <c r="K359" s="22"/>
      <c r="L359" s="22"/>
      <c r="M359" s="21"/>
      <c r="N359" s="22"/>
      <c r="O359" s="29" t="str">
        <f aca="false">IF(A359="","",IF(COUNTIF($A$2:$A$2001,A359)&gt;1,"GANDA","OK"))</f>
        <v/>
      </c>
      <c r="P359" s="29" t="str">
        <f aca="false">IF(A359="","",IF(C359="","KOSONG",IF(AND(LEN(C359)=16,ISNUMBER(--C359)),"OK","TIDAK VALID")))</f>
        <v/>
      </c>
    </row>
    <row r="360" customFormat="false" ht="15" hidden="false" customHeight="false" outlineLevel="0" collapsed="false">
      <c r="A360" s="21"/>
      <c r="B360" s="22"/>
      <c r="C360" s="21"/>
      <c r="D360" s="22"/>
      <c r="E360" s="22"/>
      <c r="F360" s="28"/>
      <c r="G360" s="22"/>
      <c r="H360" s="21"/>
      <c r="I360" s="28"/>
      <c r="J360" s="22"/>
      <c r="K360" s="22"/>
      <c r="L360" s="22"/>
      <c r="M360" s="21"/>
      <c r="N360" s="22"/>
      <c r="O360" s="29" t="str">
        <f aca="false">IF(A360="","",IF(COUNTIF($A$2:$A$2001,A360)&gt;1,"GANDA","OK"))</f>
        <v/>
      </c>
      <c r="P360" s="29" t="str">
        <f aca="false">IF(A360="","",IF(C360="","KOSONG",IF(AND(LEN(C360)=16,ISNUMBER(--C360)),"OK","TIDAK VALID")))</f>
        <v/>
      </c>
    </row>
    <row r="361" customFormat="false" ht="15" hidden="false" customHeight="false" outlineLevel="0" collapsed="false">
      <c r="A361" s="21"/>
      <c r="B361" s="22"/>
      <c r="C361" s="21"/>
      <c r="D361" s="22"/>
      <c r="E361" s="22"/>
      <c r="F361" s="28"/>
      <c r="G361" s="22"/>
      <c r="H361" s="21"/>
      <c r="I361" s="28"/>
      <c r="J361" s="22"/>
      <c r="K361" s="22"/>
      <c r="L361" s="22"/>
      <c r="M361" s="21"/>
      <c r="N361" s="22"/>
      <c r="O361" s="29" t="str">
        <f aca="false">IF(A361="","",IF(COUNTIF($A$2:$A$2001,A361)&gt;1,"GANDA","OK"))</f>
        <v/>
      </c>
      <c r="P361" s="29" t="str">
        <f aca="false">IF(A361="","",IF(C361="","KOSONG",IF(AND(LEN(C361)=16,ISNUMBER(--C361)),"OK","TIDAK VALID")))</f>
        <v/>
      </c>
    </row>
    <row r="362" customFormat="false" ht="15" hidden="false" customHeight="false" outlineLevel="0" collapsed="false">
      <c r="A362" s="21"/>
      <c r="B362" s="22"/>
      <c r="C362" s="21"/>
      <c r="D362" s="22"/>
      <c r="E362" s="22"/>
      <c r="F362" s="28"/>
      <c r="G362" s="22"/>
      <c r="H362" s="21"/>
      <c r="I362" s="28"/>
      <c r="J362" s="22"/>
      <c r="K362" s="22"/>
      <c r="L362" s="22"/>
      <c r="M362" s="21"/>
      <c r="N362" s="22"/>
      <c r="O362" s="29" t="str">
        <f aca="false">IF(A362="","",IF(COUNTIF($A$2:$A$2001,A362)&gt;1,"GANDA","OK"))</f>
        <v/>
      </c>
      <c r="P362" s="29" t="str">
        <f aca="false">IF(A362="","",IF(C362="","KOSONG",IF(AND(LEN(C362)=16,ISNUMBER(--C362)),"OK","TIDAK VALID")))</f>
        <v/>
      </c>
    </row>
    <row r="363" customFormat="false" ht="15" hidden="false" customHeight="false" outlineLevel="0" collapsed="false">
      <c r="A363" s="21"/>
      <c r="B363" s="22"/>
      <c r="C363" s="21"/>
      <c r="D363" s="22"/>
      <c r="E363" s="22"/>
      <c r="F363" s="28"/>
      <c r="G363" s="22"/>
      <c r="H363" s="21"/>
      <c r="I363" s="28"/>
      <c r="J363" s="22"/>
      <c r="K363" s="22"/>
      <c r="L363" s="22"/>
      <c r="M363" s="21"/>
      <c r="N363" s="22"/>
      <c r="O363" s="29" t="str">
        <f aca="false">IF(A363="","",IF(COUNTIF($A$2:$A$2001,A363)&gt;1,"GANDA","OK"))</f>
        <v/>
      </c>
      <c r="P363" s="29" t="str">
        <f aca="false">IF(A363="","",IF(C363="","KOSONG",IF(AND(LEN(C363)=16,ISNUMBER(--C363)),"OK","TIDAK VALID")))</f>
        <v/>
      </c>
    </row>
    <row r="364" customFormat="false" ht="15" hidden="false" customHeight="false" outlineLevel="0" collapsed="false">
      <c r="A364" s="21"/>
      <c r="B364" s="22"/>
      <c r="C364" s="21"/>
      <c r="D364" s="22"/>
      <c r="E364" s="22"/>
      <c r="F364" s="28"/>
      <c r="G364" s="22"/>
      <c r="H364" s="21"/>
      <c r="I364" s="28"/>
      <c r="J364" s="22"/>
      <c r="K364" s="22"/>
      <c r="L364" s="22"/>
      <c r="M364" s="21"/>
      <c r="N364" s="22"/>
      <c r="O364" s="29" t="str">
        <f aca="false">IF(A364="","",IF(COUNTIF($A$2:$A$2001,A364)&gt;1,"GANDA","OK"))</f>
        <v/>
      </c>
      <c r="P364" s="29" t="str">
        <f aca="false">IF(A364="","",IF(C364="","KOSONG",IF(AND(LEN(C364)=16,ISNUMBER(--C364)),"OK","TIDAK VALID")))</f>
        <v/>
      </c>
    </row>
    <row r="365" customFormat="false" ht="15" hidden="false" customHeight="false" outlineLevel="0" collapsed="false">
      <c r="A365" s="21"/>
      <c r="B365" s="22"/>
      <c r="C365" s="21"/>
      <c r="D365" s="22"/>
      <c r="E365" s="22"/>
      <c r="F365" s="28"/>
      <c r="G365" s="22"/>
      <c r="H365" s="21"/>
      <c r="I365" s="28"/>
      <c r="J365" s="22"/>
      <c r="K365" s="22"/>
      <c r="L365" s="22"/>
      <c r="M365" s="21"/>
      <c r="N365" s="22"/>
      <c r="O365" s="29" t="str">
        <f aca="false">IF(A365="","",IF(COUNTIF($A$2:$A$2001,A365)&gt;1,"GANDA","OK"))</f>
        <v/>
      </c>
      <c r="P365" s="29" t="str">
        <f aca="false">IF(A365="","",IF(C365="","KOSONG",IF(AND(LEN(C365)=16,ISNUMBER(--C365)),"OK","TIDAK VALID")))</f>
        <v/>
      </c>
    </row>
    <row r="366" customFormat="false" ht="15" hidden="false" customHeight="false" outlineLevel="0" collapsed="false">
      <c r="A366" s="21"/>
      <c r="B366" s="22"/>
      <c r="C366" s="21"/>
      <c r="D366" s="22"/>
      <c r="E366" s="22"/>
      <c r="F366" s="28"/>
      <c r="G366" s="22"/>
      <c r="H366" s="21"/>
      <c r="I366" s="28"/>
      <c r="J366" s="22"/>
      <c r="K366" s="22"/>
      <c r="L366" s="22"/>
      <c r="M366" s="21"/>
      <c r="N366" s="22"/>
      <c r="O366" s="29" t="str">
        <f aca="false">IF(A366="","",IF(COUNTIF($A$2:$A$2001,A366)&gt;1,"GANDA","OK"))</f>
        <v/>
      </c>
      <c r="P366" s="29" t="str">
        <f aca="false">IF(A366="","",IF(C366="","KOSONG",IF(AND(LEN(C366)=16,ISNUMBER(--C366)),"OK","TIDAK VALID")))</f>
        <v/>
      </c>
    </row>
    <row r="367" customFormat="false" ht="15" hidden="false" customHeight="false" outlineLevel="0" collapsed="false">
      <c r="A367" s="21"/>
      <c r="B367" s="22"/>
      <c r="C367" s="21"/>
      <c r="D367" s="22"/>
      <c r="E367" s="22"/>
      <c r="F367" s="28"/>
      <c r="G367" s="22"/>
      <c r="H367" s="21"/>
      <c r="I367" s="28"/>
      <c r="J367" s="22"/>
      <c r="K367" s="22"/>
      <c r="L367" s="22"/>
      <c r="M367" s="21"/>
      <c r="N367" s="22"/>
      <c r="O367" s="29" t="str">
        <f aca="false">IF(A367="","",IF(COUNTIF($A$2:$A$2001,A367)&gt;1,"GANDA","OK"))</f>
        <v/>
      </c>
      <c r="P367" s="29" t="str">
        <f aca="false">IF(A367="","",IF(C367="","KOSONG",IF(AND(LEN(C367)=16,ISNUMBER(--C367)),"OK","TIDAK VALID")))</f>
        <v/>
      </c>
    </row>
    <row r="368" customFormat="false" ht="15" hidden="false" customHeight="false" outlineLevel="0" collapsed="false">
      <c r="A368" s="21"/>
      <c r="B368" s="22"/>
      <c r="C368" s="21"/>
      <c r="D368" s="22"/>
      <c r="E368" s="22"/>
      <c r="F368" s="28"/>
      <c r="G368" s="22"/>
      <c r="H368" s="21"/>
      <c r="I368" s="28"/>
      <c r="J368" s="22"/>
      <c r="K368" s="22"/>
      <c r="L368" s="22"/>
      <c r="M368" s="21"/>
      <c r="N368" s="22"/>
      <c r="O368" s="29" t="str">
        <f aca="false">IF(A368="","",IF(COUNTIF($A$2:$A$2001,A368)&gt;1,"GANDA","OK"))</f>
        <v/>
      </c>
      <c r="P368" s="29" t="str">
        <f aca="false">IF(A368="","",IF(C368="","KOSONG",IF(AND(LEN(C368)=16,ISNUMBER(--C368)),"OK","TIDAK VALID")))</f>
        <v/>
      </c>
    </row>
    <row r="369" customFormat="false" ht="15" hidden="false" customHeight="false" outlineLevel="0" collapsed="false">
      <c r="A369" s="21"/>
      <c r="B369" s="22"/>
      <c r="C369" s="21"/>
      <c r="D369" s="22"/>
      <c r="E369" s="22"/>
      <c r="F369" s="28"/>
      <c r="G369" s="22"/>
      <c r="H369" s="21"/>
      <c r="I369" s="28"/>
      <c r="J369" s="22"/>
      <c r="K369" s="22"/>
      <c r="L369" s="22"/>
      <c r="M369" s="21"/>
      <c r="N369" s="22"/>
      <c r="O369" s="29" t="str">
        <f aca="false">IF(A369="","",IF(COUNTIF($A$2:$A$2001,A369)&gt;1,"GANDA","OK"))</f>
        <v/>
      </c>
      <c r="P369" s="29" t="str">
        <f aca="false">IF(A369="","",IF(C369="","KOSONG",IF(AND(LEN(C369)=16,ISNUMBER(--C369)),"OK","TIDAK VALID")))</f>
        <v/>
      </c>
    </row>
    <row r="370" customFormat="false" ht="15" hidden="false" customHeight="false" outlineLevel="0" collapsed="false">
      <c r="A370" s="21"/>
      <c r="B370" s="22"/>
      <c r="C370" s="21"/>
      <c r="D370" s="22"/>
      <c r="E370" s="22"/>
      <c r="F370" s="28"/>
      <c r="G370" s="22"/>
      <c r="H370" s="21"/>
      <c r="I370" s="28"/>
      <c r="J370" s="22"/>
      <c r="K370" s="22"/>
      <c r="L370" s="22"/>
      <c r="M370" s="21"/>
      <c r="N370" s="22"/>
      <c r="O370" s="29" t="str">
        <f aca="false">IF(A370="","",IF(COUNTIF($A$2:$A$2001,A370)&gt;1,"GANDA","OK"))</f>
        <v/>
      </c>
      <c r="P370" s="29" t="str">
        <f aca="false">IF(A370="","",IF(C370="","KOSONG",IF(AND(LEN(C370)=16,ISNUMBER(--C370)),"OK","TIDAK VALID")))</f>
        <v/>
      </c>
    </row>
    <row r="371" customFormat="false" ht="15" hidden="false" customHeight="false" outlineLevel="0" collapsed="false">
      <c r="A371" s="21"/>
      <c r="B371" s="22"/>
      <c r="C371" s="21"/>
      <c r="D371" s="22"/>
      <c r="E371" s="22"/>
      <c r="F371" s="28"/>
      <c r="G371" s="22"/>
      <c r="H371" s="21"/>
      <c r="I371" s="28"/>
      <c r="J371" s="22"/>
      <c r="K371" s="22"/>
      <c r="L371" s="22"/>
      <c r="M371" s="21"/>
      <c r="N371" s="22"/>
      <c r="O371" s="29" t="str">
        <f aca="false">IF(A371="","",IF(COUNTIF($A$2:$A$2001,A371)&gt;1,"GANDA","OK"))</f>
        <v/>
      </c>
      <c r="P371" s="29" t="str">
        <f aca="false">IF(A371="","",IF(C371="","KOSONG",IF(AND(LEN(C371)=16,ISNUMBER(--C371)),"OK","TIDAK VALID")))</f>
        <v/>
      </c>
    </row>
    <row r="372" customFormat="false" ht="15" hidden="false" customHeight="false" outlineLevel="0" collapsed="false">
      <c r="A372" s="21"/>
      <c r="B372" s="22"/>
      <c r="C372" s="21"/>
      <c r="D372" s="22"/>
      <c r="E372" s="22"/>
      <c r="F372" s="28"/>
      <c r="G372" s="22"/>
      <c r="H372" s="21"/>
      <c r="I372" s="28"/>
      <c r="J372" s="22"/>
      <c r="K372" s="22"/>
      <c r="L372" s="22"/>
      <c r="M372" s="21"/>
      <c r="N372" s="22"/>
      <c r="O372" s="29" t="str">
        <f aca="false">IF(A372="","",IF(COUNTIF($A$2:$A$2001,A372)&gt;1,"GANDA","OK"))</f>
        <v/>
      </c>
      <c r="P372" s="29" t="str">
        <f aca="false">IF(A372="","",IF(C372="","KOSONG",IF(AND(LEN(C372)=16,ISNUMBER(--C372)),"OK","TIDAK VALID")))</f>
        <v/>
      </c>
    </row>
    <row r="373" customFormat="false" ht="15" hidden="false" customHeight="false" outlineLevel="0" collapsed="false">
      <c r="A373" s="21"/>
      <c r="B373" s="22"/>
      <c r="C373" s="21"/>
      <c r="D373" s="22"/>
      <c r="E373" s="22"/>
      <c r="F373" s="28"/>
      <c r="G373" s="22"/>
      <c r="H373" s="21"/>
      <c r="I373" s="28"/>
      <c r="J373" s="22"/>
      <c r="K373" s="22"/>
      <c r="L373" s="22"/>
      <c r="M373" s="21"/>
      <c r="N373" s="22"/>
      <c r="O373" s="29" t="str">
        <f aca="false">IF(A373="","",IF(COUNTIF($A$2:$A$2001,A373)&gt;1,"GANDA","OK"))</f>
        <v/>
      </c>
      <c r="P373" s="29" t="str">
        <f aca="false">IF(A373="","",IF(C373="","KOSONG",IF(AND(LEN(C373)=16,ISNUMBER(--C373)),"OK","TIDAK VALID")))</f>
        <v/>
      </c>
    </row>
    <row r="374" customFormat="false" ht="15" hidden="false" customHeight="false" outlineLevel="0" collapsed="false">
      <c r="A374" s="21"/>
      <c r="B374" s="22"/>
      <c r="C374" s="21"/>
      <c r="D374" s="22"/>
      <c r="E374" s="22"/>
      <c r="F374" s="28"/>
      <c r="G374" s="22"/>
      <c r="H374" s="21"/>
      <c r="I374" s="28"/>
      <c r="J374" s="22"/>
      <c r="K374" s="22"/>
      <c r="L374" s="22"/>
      <c r="M374" s="21"/>
      <c r="N374" s="22"/>
      <c r="O374" s="29" t="str">
        <f aca="false">IF(A374="","",IF(COUNTIF($A$2:$A$2001,A374)&gt;1,"GANDA","OK"))</f>
        <v/>
      </c>
      <c r="P374" s="29" t="str">
        <f aca="false">IF(A374="","",IF(C374="","KOSONG",IF(AND(LEN(C374)=16,ISNUMBER(--C374)),"OK","TIDAK VALID")))</f>
        <v/>
      </c>
    </row>
    <row r="375" customFormat="false" ht="15" hidden="false" customHeight="false" outlineLevel="0" collapsed="false">
      <c r="A375" s="21"/>
      <c r="B375" s="22"/>
      <c r="C375" s="21"/>
      <c r="D375" s="22"/>
      <c r="E375" s="22"/>
      <c r="F375" s="28"/>
      <c r="G375" s="22"/>
      <c r="H375" s="21"/>
      <c r="I375" s="28"/>
      <c r="J375" s="22"/>
      <c r="K375" s="22"/>
      <c r="L375" s="22"/>
      <c r="M375" s="21"/>
      <c r="N375" s="22"/>
      <c r="O375" s="29" t="str">
        <f aca="false">IF(A375="","",IF(COUNTIF($A$2:$A$2001,A375)&gt;1,"GANDA","OK"))</f>
        <v/>
      </c>
      <c r="P375" s="29" t="str">
        <f aca="false">IF(A375="","",IF(C375="","KOSONG",IF(AND(LEN(C375)=16,ISNUMBER(--C375)),"OK","TIDAK VALID")))</f>
        <v/>
      </c>
    </row>
    <row r="376" customFormat="false" ht="15" hidden="false" customHeight="false" outlineLevel="0" collapsed="false">
      <c r="A376" s="21"/>
      <c r="B376" s="22"/>
      <c r="C376" s="21"/>
      <c r="D376" s="22"/>
      <c r="E376" s="22"/>
      <c r="F376" s="28"/>
      <c r="G376" s="22"/>
      <c r="H376" s="21"/>
      <c r="I376" s="28"/>
      <c r="J376" s="22"/>
      <c r="K376" s="22"/>
      <c r="L376" s="22"/>
      <c r="M376" s="21"/>
      <c r="N376" s="22"/>
      <c r="O376" s="29" t="str">
        <f aca="false">IF(A376="","",IF(COUNTIF($A$2:$A$2001,A376)&gt;1,"GANDA","OK"))</f>
        <v/>
      </c>
      <c r="P376" s="29" t="str">
        <f aca="false">IF(A376="","",IF(C376="","KOSONG",IF(AND(LEN(C376)=16,ISNUMBER(--C376)),"OK","TIDAK VALID")))</f>
        <v/>
      </c>
    </row>
    <row r="377" customFormat="false" ht="15" hidden="false" customHeight="false" outlineLevel="0" collapsed="false">
      <c r="A377" s="21"/>
      <c r="B377" s="22"/>
      <c r="C377" s="21"/>
      <c r="D377" s="22"/>
      <c r="E377" s="22"/>
      <c r="F377" s="28"/>
      <c r="G377" s="22"/>
      <c r="H377" s="21"/>
      <c r="I377" s="28"/>
      <c r="J377" s="22"/>
      <c r="K377" s="22"/>
      <c r="L377" s="22"/>
      <c r="M377" s="21"/>
      <c r="N377" s="22"/>
      <c r="O377" s="29" t="str">
        <f aca="false">IF(A377="","",IF(COUNTIF($A$2:$A$2001,A377)&gt;1,"GANDA","OK"))</f>
        <v/>
      </c>
      <c r="P377" s="29" t="str">
        <f aca="false">IF(A377="","",IF(C377="","KOSONG",IF(AND(LEN(C377)=16,ISNUMBER(--C377)),"OK","TIDAK VALID")))</f>
        <v/>
      </c>
    </row>
    <row r="378" customFormat="false" ht="15" hidden="false" customHeight="false" outlineLevel="0" collapsed="false">
      <c r="A378" s="21"/>
      <c r="B378" s="22"/>
      <c r="C378" s="21"/>
      <c r="D378" s="22"/>
      <c r="E378" s="22"/>
      <c r="F378" s="28"/>
      <c r="G378" s="22"/>
      <c r="H378" s="21"/>
      <c r="I378" s="28"/>
      <c r="J378" s="22"/>
      <c r="K378" s="22"/>
      <c r="L378" s="22"/>
      <c r="M378" s="21"/>
      <c r="N378" s="22"/>
      <c r="O378" s="29" t="str">
        <f aca="false">IF(A378="","",IF(COUNTIF($A$2:$A$2001,A378)&gt;1,"GANDA","OK"))</f>
        <v/>
      </c>
      <c r="P378" s="29" t="str">
        <f aca="false">IF(A378="","",IF(C378="","KOSONG",IF(AND(LEN(C378)=16,ISNUMBER(--C378)),"OK","TIDAK VALID")))</f>
        <v/>
      </c>
    </row>
    <row r="379" customFormat="false" ht="15" hidden="false" customHeight="false" outlineLevel="0" collapsed="false">
      <c r="A379" s="21"/>
      <c r="B379" s="22"/>
      <c r="C379" s="21"/>
      <c r="D379" s="22"/>
      <c r="E379" s="22"/>
      <c r="F379" s="28"/>
      <c r="G379" s="22"/>
      <c r="H379" s="21"/>
      <c r="I379" s="28"/>
      <c r="J379" s="22"/>
      <c r="K379" s="22"/>
      <c r="L379" s="22"/>
      <c r="M379" s="21"/>
      <c r="N379" s="22"/>
      <c r="O379" s="29" t="str">
        <f aca="false">IF(A379="","",IF(COUNTIF($A$2:$A$2001,A379)&gt;1,"GANDA","OK"))</f>
        <v/>
      </c>
      <c r="P379" s="29" t="str">
        <f aca="false">IF(A379="","",IF(C379="","KOSONG",IF(AND(LEN(C379)=16,ISNUMBER(--C379)),"OK","TIDAK VALID")))</f>
        <v/>
      </c>
    </row>
    <row r="380" customFormat="false" ht="15" hidden="false" customHeight="false" outlineLevel="0" collapsed="false">
      <c r="A380" s="21"/>
      <c r="B380" s="22"/>
      <c r="C380" s="21"/>
      <c r="D380" s="22"/>
      <c r="E380" s="22"/>
      <c r="F380" s="28"/>
      <c r="G380" s="22"/>
      <c r="H380" s="21"/>
      <c r="I380" s="28"/>
      <c r="J380" s="22"/>
      <c r="K380" s="22"/>
      <c r="L380" s="22"/>
      <c r="M380" s="21"/>
      <c r="N380" s="22"/>
      <c r="O380" s="29" t="str">
        <f aca="false">IF(A380="","",IF(COUNTIF($A$2:$A$2001,A380)&gt;1,"GANDA","OK"))</f>
        <v/>
      </c>
      <c r="P380" s="29" t="str">
        <f aca="false">IF(A380="","",IF(C380="","KOSONG",IF(AND(LEN(C380)=16,ISNUMBER(--C380)),"OK","TIDAK VALID")))</f>
        <v/>
      </c>
    </row>
    <row r="381" customFormat="false" ht="15" hidden="false" customHeight="false" outlineLevel="0" collapsed="false">
      <c r="A381" s="21"/>
      <c r="B381" s="22"/>
      <c r="C381" s="21"/>
      <c r="D381" s="22"/>
      <c r="E381" s="22"/>
      <c r="F381" s="28"/>
      <c r="G381" s="22"/>
      <c r="H381" s="21"/>
      <c r="I381" s="28"/>
      <c r="J381" s="22"/>
      <c r="K381" s="22"/>
      <c r="L381" s="22"/>
      <c r="M381" s="21"/>
      <c r="N381" s="22"/>
      <c r="O381" s="29" t="str">
        <f aca="false">IF(A381="","",IF(COUNTIF($A$2:$A$2001,A381)&gt;1,"GANDA","OK"))</f>
        <v/>
      </c>
      <c r="P381" s="29" t="str">
        <f aca="false">IF(A381="","",IF(C381="","KOSONG",IF(AND(LEN(C381)=16,ISNUMBER(--C381)),"OK","TIDAK VALID")))</f>
        <v/>
      </c>
    </row>
    <row r="382" customFormat="false" ht="15" hidden="false" customHeight="false" outlineLevel="0" collapsed="false">
      <c r="A382" s="21"/>
      <c r="B382" s="22"/>
      <c r="C382" s="21"/>
      <c r="D382" s="22"/>
      <c r="E382" s="22"/>
      <c r="F382" s="28"/>
      <c r="G382" s="22"/>
      <c r="H382" s="21"/>
      <c r="I382" s="28"/>
      <c r="J382" s="22"/>
      <c r="K382" s="22"/>
      <c r="L382" s="22"/>
      <c r="M382" s="21"/>
      <c r="N382" s="22"/>
      <c r="O382" s="29" t="str">
        <f aca="false">IF(A382="","",IF(COUNTIF($A$2:$A$2001,A382)&gt;1,"GANDA","OK"))</f>
        <v/>
      </c>
      <c r="P382" s="29" t="str">
        <f aca="false">IF(A382="","",IF(C382="","KOSONG",IF(AND(LEN(C382)=16,ISNUMBER(--C382)),"OK","TIDAK VALID")))</f>
        <v/>
      </c>
    </row>
    <row r="383" customFormat="false" ht="15" hidden="false" customHeight="false" outlineLevel="0" collapsed="false">
      <c r="A383" s="21"/>
      <c r="B383" s="22"/>
      <c r="C383" s="21"/>
      <c r="D383" s="22"/>
      <c r="E383" s="22"/>
      <c r="F383" s="28"/>
      <c r="G383" s="22"/>
      <c r="H383" s="21"/>
      <c r="I383" s="28"/>
      <c r="J383" s="22"/>
      <c r="K383" s="22"/>
      <c r="L383" s="22"/>
      <c r="M383" s="21"/>
      <c r="N383" s="22"/>
      <c r="O383" s="29" t="str">
        <f aca="false">IF(A383="","",IF(COUNTIF($A$2:$A$2001,A383)&gt;1,"GANDA","OK"))</f>
        <v/>
      </c>
      <c r="P383" s="29" t="str">
        <f aca="false">IF(A383="","",IF(C383="","KOSONG",IF(AND(LEN(C383)=16,ISNUMBER(--C383)),"OK","TIDAK VALID")))</f>
        <v/>
      </c>
    </row>
    <row r="384" customFormat="false" ht="15" hidden="false" customHeight="false" outlineLevel="0" collapsed="false">
      <c r="A384" s="21"/>
      <c r="B384" s="22"/>
      <c r="C384" s="21"/>
      <c r="D384" s="22"/>
      <c r="E384" s="22"/>
      <c r="F384" s="28"/>
      <c r="G384" s="22"/>
      <c r="H384" s="21"/>
      <c r="I384" s="28"/>
      <c r="J384" s="22"/>
      <c r="K384" s="22"/>
      <c r="L384" s="22"/>
      <c r="M384" s="21"/>
      <c r="N384" s="22"/>
      <c r="O384" s="29" t="str">
        <f aca="false">IF(A384="","",IF(COUNTIF($A$2:$A$2001,A384)&gt;1,"GANDA","OK"))</f>
        <v/>
      </c>
      <c r="P384" s="29" t="str">
        <f aca="false">IF(A384="","",IF(C384="","KOSONG",IF(AND(LEN(C384)=16,ISNUMBER(--C384)),"OK","TIDAK VALID")))</f>
        <v/>
      </c>
    </row>
    <row r="385" customFormat="false" ht="15" hidden="false" customHeight="false" outlineLevel="0" collapsed="false">
      <c r="A385" s="21"/>
      <c r="B385" s="22"/>
      <c r="C385" s="21"/>
      <c r="D385" s="22"/>
      <c r="E385" s="22"/>
      <c r="F385" s="28"/>
      <c r="G385" s="22"/>
      <c r="H385" s="21"/>
      <c r="I385" s="28"/>
      <c r="J385" s="22"/>
      <c r="K385" s="22"/>
      <c r="L385" s="22"/>
      <c r="M385" s="21"/>
      <c r="N385" s="22"/>
      <c r="O385" s="29" t="str">
        <f aca="false">IF(A385="","",IF(COUNTIF($A$2:$A$2001,A385)&gt;1,"GANDA","OK"))</f>
        <v/>
      </c>
      <c r="P385" s="29" t="str">
        <f aca="false">IF(A385="","",IF(C385="","KOSONG",IF(AND(LEN(C385)=16,ISNUMBER(--C385)),"OK","TIDAK VALID")))</f>
        <v/>
      </c>
    </row>
    <row r="386" customFormat="false" ht="15" hidden="false" customHeight="false" outlineLevel="0" collapsed="false">
      <c r="A386" s="21"/>
      <c r="B386" s="22"/>
      <c r="C386" s="21"/>
      <c r="D386" s="22"/>
      <c r="E386" s="22"/>
      <c r="F386" s="28"/>
      <c r="G386" s="22"/>
      <c r="H386" s="21"/>
      <c r="I386" s="28"/>
      <c r="J386" s="22"/>
      <c r="K386" s="22"/>
      <c r="L386" s="22"/>
      <c r="M386" s="21"/>
      <c r="N386" s="22"/>
      <c r="O386" s="29" t="str">
        <f aca="false">IF(A386="","",IF(COUNTIF($A$2:$A$2001,A386)&gt;1,"GANDA","OK"))</f>
        <v/>
      </c>
      <c r="P386" s="29" t="str">
        <f aca="false">IF(A386="","",IF(C386="","KOSONG",IF(AND(LEN(C386)=16,ISNUMBER(--C386)),"OK","TIDAK VALID")))</f>
        <v/>
      </c>
    </row>
    <row r="387" customFormat="false" ht="15" hidden="false" customHeight="false" outlineLevel="0" collapsed="false">
      <c r="A387" s="21"/>
      <c r="B387" s="22"/>
      <c r="C387" s="21"/>
      <c r="D387" s="22"/>
      <c r="E387" s="22"/>
      <c r="F387" s="28"/>
      <c r="G387" s="22"/>
      <c r="H387" s="21"/>
      <c r="I387" s="28"/>
      <c r="J387" s="22"/>
      <c r="K387" s="22"/>
      <c r="L387" s="22"/>
      <c r="M387" s="21"/>
      <c r="N387" s="22"/>
      <c r="O387" s="29" t="str">
        <f aca="false">IF(A387="","",IF(COUNTIF($A$2:$A$2001,A387)&gt;1,"GANDA","OK"))</f>
        <v/>
      </c>
      <c r="P387" s="29" t="str">
        <f aca="false">IF(A387="","",IF(C387="","KOSONG",IF(AND(LEN(C387)=16,ISNUMBER(--C387)),"OK","TIDAK VALID")))</f>
        <v/>
      </c>
    </row>
    <row r="388" customFormat="false" ht="15" hidden="false" customHeight="false" outlineLevel="0" collapsed="false">
      <c r="A388" s="21"/>
      <c r="B388" s="22"/>
      <c r="C388" s="21"/>
      <c r="D388" s="22"/>
      <c r="E388" s="22"/>
      <c r="F388" s="28"/>
      <c r="G388" s="22"/>
      <c r="H388" s="21"/>
      <c r="I388" s="28"/>
      <c r="J388" s="22"/>
      <c r="K388" s="22"/>
      <c r="L388" s="22"/>
      <c r="M388" s="21"/>
      <c r="N388" s="22"/>
      <c r="O388" s="29" t="str">
        <f aca="false">IF(A388="","",IF(COUNTIF($A$2:$A$2001,A388)&gt;1,"GANDA","OK"))</f>
        <v/>
      </c>
      <c r="P388" s="29" t="str">
        <f aca="false">IF(A388="","",IF(C388="","KOSONG",IF(AND(LEN(C388)=16,ISNUMBER(--C388)),"OK","TIDAK VALID")))</f>
        <v/>
      </c>
    </row>
    <row r="389" customFormat="false" ht="15" hidden="false" customHeight="false" outlineLevel="0" collapsed="false">
      <c r="A389" s="21"/>
      <c r="B389" s="22"/>
      <c r="C389" s="21"/>
      <c r="D389" s="22"/>
      <c r="E389" s="22"/>
      <c r="F389" s="28"/>
      <c r="G389" s="22"/>
      <c r="H389" s="21"/>
      <c r="I389" s="28"/>
      <c r="J389" s="22"/>
      <c r="K389" s="22"/>
      <c r="L389" s="22"/>
      <c r="M389" s="21"/>
      <c r="N389" s="22"/>
      <c r="O389" s="29" t="str">
        <f aca="false">IF(A389="","",IF(COUNTIF($A$2:$A$2001,A389)&gt;1,"GANDA","OK"))</f>
        <v/>
      </c>
      <c r="P389" s="29" t="str">
        <f aca="false">IF(A389="","",IF(C389="","KOSONG",IF(AND(LEN(C389)=16,ISNUMBER(--C389)),"OK","TIDAK VALID")))</f>
        <v/>
      </c>
    </row>
    <row r="390" customFormat="false" ht="15" hidden="false" customHeight="false" outlineLevel="0" collapsed="false">
      <c r="A390" s="21"/>
      <c r="B390" s="22"/>
      <c r="C390" s="21"/>
      <c r="D390" s="22"/>
      <c r="E390" s="22"/>
      <c r="F390" s="28"/>
      <c r="G390" s="22"/>
      <c r="H390" s="21"/>
      <c r="I390" s="28"/>
      <c r="J390" s="22"/>
      <c r="K390" s="22"/>
      <c r="L390" s="22"/>
      <c r="M390" s="21"/>
      <c r="N390" s="22"/>
      <c r="O390" s="29" t="str">
        <f aca="false">IF(A390="","",IF(COUNTIF($A$2:$A$2001,A390)&gt;1,"GANDA","OK"))</f>
        <v/>
      </c>
      <c r="P390" s="29" t="str">
        <f aca="false">IF(A390="","",IF(C390="","KOSONG",IF(AND(LEN(C390)=16,ISNUMBER(--C390)),"OK","TIDAK VALID")))</f>
        <v/>
      </c>
    </row>
    <row r="391" customFormat="false" ht="15" hidden="false" customHeight="false" outlineLevel="0" collapsed="false">
      <c r="A391" s="21"/>
      <c r="B391" s="22"/>
      <c r="C391" s="21"/>
      <c r="D391" s="22"/>
      <c r="E391" s="22"/>
      <c r="F391" s="28"/>
      <c r="G391" s="22"/>
      <c r="H391" s="21"/>
      <c r="I391" s="28"/>
      <c r="J391" s="22"/>
      <c r="K391" s="22"/>
      <c r="L391" s="22"/>
      <c r="M391" s="21"/>
      <c r="N391" s="22"/>
      <c r="O391" s="29" t="str">
        <f aca="false">IF(A391="","",IF(COUNTIF($A$2:$A$2001,A391)&gt;1,"GANDA","OK"))</f>
        <v/>
      </c>
      <c r="P391" s="29" t="str">
        <f aca="false">IF(A391="","",IF(C391="","KOSONG",IF(AND(LEN(C391)=16,ISNUMBER(--C391)),"OK","TIDAK VALID")))</f>
        <v/>
      </c>
    </row>
    <row r="392" customFormat="false" ht="15" hidden="false" customHeight="false" outlineLevel="0" collapsed="false">
      <c r="A392" s="21"/>
      <c r="B392" s="22"/>
      <c r="C392" s="21"/>
      <c r="D392" s="22"/>
      <c r="E392" s="22"/>
      <c r="F392" s="28"/>
      <c r="G392" s="22"/>
      <c r="H392" s="21"/>
      <c r="I392" s="28"/>
      <c r="J392" s="22"/>
      <c r="K392" s="22"/>
      <c r="L392" s="22"/>
      <c r="M392" s="21"/>
      <c r="N392" s="22"/>
      <c r="O392" s="29" t="str">
        <f aca="false">IF(A392="","",IF(COUNTIF($A$2:$A$2001,A392)&gt;1,"GANDA","OK"))</f>
        <v/>
      </c>
      <c r="P392" s="29" t="str">
        <f aca="false">IF(A392="","",IF(C392="","KOSONG",IF(AND(LEN(C392)=16,ISNUMBER(--C392)),"OK","TIDAK VALID")))</f>
        <v/>
      </c>
    </row>
    <row r="393" customFormat="false" ht="15" hidden="false" customHeight="false" outlineLevel="0" collapsed="false">
      <c r="A393" s="21"/>
      <c r="B393" s="22"/>
      <c r="C393" s="21"/>
      <c r="D393" s="22"/>
      <c r="E393" s="22"/>
      <c r="F393" s="28"/>
      <c r="G393" s="22"/>
      <c r="H393" s="21"/>
      <c r="I393" s="28"/>
      <c r="J393" s="22"/>
      <c r="K393" s="22"/>
      <c r="L393" s="22"/>
      <c r="M393" s="21"/>
      <c r="N393" s="22"/>
      <c r="O393" s="29" t="str">
        <f aca="false">IF(A393="","",IF(COUNTIF($A$2:$A$2001,A393)&gt;1,"GANDA","OK"))</f>
        <v/>
      </c>
      <c r="P393" s="29" t="str">
        <f aca="false">IF(A393="","",IF(C393="","KOSONG",IF(AND(LEN(C393)=16,ISNUMBER(--C393)),"OK","TIDAK VALID")))</f>
        <v/>
      </c>
    </row>
    <row r="394" customFormat="false" ht="15" hidden="false" customHeight="false" outlineLevel="0" collapsed="false">
      <c r="A394" s="21"/>
      <c r="B394" s="22"/>
      <c r="C394" s="21"/>
      <c r="D394" s="22"/>
      <c r="E394" s="22"/>
      <c r="F394" s="28"/>
      <c r="G394" s="22"/>
      <c r="H394" s="21"/>
      <c r="I394" s="28"/>
      <c r="J394" s="22"/>
      <c r="K394" s="22"/>
      <c r="L394" s="22"/>
      <c r="M394" s="21"/>
      <c r="N394" s="22"/>
      <c r="O394" s="29" t="str">
        <f aca="false">IF(A394="","",IF(COUNTIF($A$2:$A$2001,A394)&gt;1,"GANDA","OK"))</f>
        <v/>
      </c>
      <c r="P394" s="29" t="str">
        <f aca="false">IF(A394="","",IF(C394="","KOSONG",IF(AND(LEN(C394)=16,ISNUMBER(--C394)),"OK","TIDAK VALID")))</f>
        <v/>
      </c>
    </row>
    <row r="395" customFormat="false" ht="15" hidden="false" customHeight="false" outlineLevel="0" collapsed="false">
      <c r="A395" s="21"/>
      <c r="B395" s="22"/>
      <c r="C395" s="21"/>
      <c r="D395" s="22"/>
      <c r="E395" s="22"/>
      <c r="F395" s="28"/>
      <c r="G395" s="22"/>
      <c r="H395" s="21"/>
      <c r="I395" s="28"/>
      <c r="J395" s="22"/>
      <c r="K395" s="22"/>
      <c r="L395" s="22"/>
      <c r="M395" s="21"/>
      <c r="N395" s="22"/>
      <c r="O395" s="29" t="str">
        <f aca="false">IF(A395="","",IF(COUNTIF($A$2:$A$2001,A395)&gt;1,"GANDA","OK"))</f>
        <v/>
      </c>
      <c r="P395" s="29" t="str">
        <f aca="false">IF(A395="","",IF(C395="","KOSONG",IF(AND(LEN(C395)=16,ISNUMBER(--C395)),"OK","TIDAK VALID")))</f>
        <v/>
      </c>
    </row>
    <row r="396" customFormat="false" ht="15" hidden="false" customHeight="false" outlineLevel="0" collapsed="false">
      <c r="A396" s="21"/>
      <c r="B396" s="22"/>
      <c r="C396" s="21"/>
      <c r="D396" s="22"/>
      <c r="E396" s="22"/>
      <c r="F396" s="28"/>
      <c r="G396" s="22"/>
      <c r="H396" s="21"/>
      <c r="I396" s="28"/>
      <c r="J396" s="22"/>
      <c r="K396" s="22"/>
      <c r="L396" s="22"/>
      <c r="M396" s="21"/>
      <c r="N396" s="22"/>
      <c r="O396" s="29" t="str">
        <f aca="false">IF(A396="","",IF(COUNTIF($A$2:$A$2001,A396)&gt;1,"GANDA","OK"))</f>
        <v/>
      </c>
      <c r="P396" s="29" t="str">
        <f aca="false">IF(A396="","",IF(C396="","KOSONG",IF(AND(LEN(C396)=16,ISNUMBER(--C396)),"OK","TIDAK VALID")))</f>
        <v/>
      </c>
    </row>
    <row r="397" customFormat="false" ht="15" hidden="false" customHeight="false" outlineLevel="0" collapsed="false">
      <c r="A397" s="21"/>
      <c r="B397" s="22"/>
      <c r="C397" s="21"/>
      <c r="D397" s="22"/>
      <c r="E397" s="22"/>
      <c r="F397" s="28"/>
      <c r="G397" s="22"/>
      <c r="H397" s="21"/>
      <c r="I397" s="28"/>
      <c r="J397" s="22"/>
      <c r="K397" s="22"/>
      <c r="L397" s="22"/>
      <c r="M397" s="21"/>
      <c r="N397" s="22"/>
      <c r="O397" s="29" t="str">
        <f aca="false">IF(A397="","",IF(COUNTIF($A$2:$A$2001,A397)&gt;1,"GANDA","OK"))</f>
        <v/>
      </c>
      <c r="P397" s="29" t="str">
        <f aca="false">IF(A397="","",IF(C397="","KOSONG",IF(AND(LEN(C397)=16,ISNUMBER(--C397)),"OK","TIDAK VALID")))</f>
        <v/>
      </c>
    </row>
    <row r="398" customFormat="false" ht="15" hidden="false" customHeight="false" outlineLevel="0" collapsed="false">
      <c r="A398" s="21"/>
      <c r="B398" s="22"/>
      <c r="C398" s="21"/>
      <c r="D398" s="22"/>
      <c r="E398" s="22"/>
      <c r="F398" s="28"/>
      <c r="G398" s="22"/>
      <c r="H398" s="21"/>
      <c r="I398" s="28"/>
      <c r="J398" s="22"/>
      <c r="K398" s="22"/>
      <c r="L398" s="22"/>
      <c r="M398" s="21"/>
      <c r="N398" s="22"/>
      <c r="O398" s="29" t="str">
        <f aca="false">IF(A398="","",IF(COUNTIF($A$2:$A$2001,A398)&gt;1,"GANDA","OK"))</f>
        <v/>
      </c>
      <c r="P398" s="29" t="str">
        <f aca="false">IF(A398="","",IF(C398="","KOSONG",IF(AND(LEN(C398)=16,ISNUMBER(--C398)),"OK","TIDAK VALID")))</f>
        <v/>
      </c>
    </row>
    <row r="399" customFormat="false" ht="15" hidden="false" customHeight="false" outlineLevel="0" collapsed="false">
      <c r="A399" s="21"/>
      <c r="B399" s="22"/>
      <c r="C399" s="21"/>
      <c r="D399" s="22"/>
      <c r="E399" s="22"/>
      <c r="F399" s="28"/>
      <c r="G399" s="22"/>
      <c r="H399" s="21"/>
      <c r="I399" s="28"/>
      <c r="J399" s="22"/>
      <c r="K399" s="22"/>
      <c r="L399" s="22"/>
      <c r="M399" s="21"/>
      <c r="N399" s="22"/>
      <c r="O399" s="29" t="str">
        <f aca="false">IF(A399="","",IF(COUNTIF($A$2:$A$2001,A399)&gt;1,"GANDA","OK"))</f>
        <v/>
      </c>
      <c r="P399" s="29" t="str">
        <f aca="false">IF(A399="","",IF(C399="","KOSONG",IF(AND(LEN(C399)=16,ISNUMBER(--C399)),"OK","TIDAK VALID")))</f>
        <v/>
      </c>
    </row>
    <row r="400" customFormat="false" ht="15" hidden="false" customHeight="false" outlineLevel="0" collapsed="false">
      <c r="A400" s="21"/>
      <c r="B400" s="22"/>
      <c r="C400" s="21"/>
      <c r="D400" s="22"/>
      <c r="E400" s="22"/>
      <c r="F400" s="28"/>
      <c r="G400" s="22"/>
      <c r="H400" s="21"/>
      <c r="I400" s="28"/>
      <c r="J400" s="22"/>
      <c r="K400" s="22"/>
      <c r="L400" s="22"/>
      <c r="M400" s="21"/>
      <c r="N400" s="22"/>
      <c r="O400" s="29" t="str">
        <f aca="false">IF(A400="","",IF(COUNTIF($A$2:$A$2001,A400)&gt;1,"GANDA","OK"))</f>
        <v/>
      </c>
      <c r="P400" s="29" t="str">
        <f aca="false">IF(A400="","",IF(C400="","KOSONG",IF(AND(LEN(C400)=16,ISNUMBER(--C400)),"OK","TIDAK VALID")))</f>
        <v/>
      </c>
    </row>
    <row r="401" customFormat="false" ht="15" hidden="false" customHeight="false" outlineLevel="0" collapsed="false">
      <c r="A401" s="21"/>
      <c r="B401" s="22"/>
      <c r="C401" s="21"/>
      <c r="D401" s="22"/>
      <c r="E401" s="22"/>
      <c r="F401" s="28"/>
      <c r="G401" s="22"/>
      <c r="H401" s="21"/>
      <c r="I401" s="28"/>
      <c r="J401" s="22"/>
      <c r="K401" s="22"/>
      <c r="L401" s="22"/>
      <c r="M401" s="21"/>
      <c r="N401" s="22"/>
      <c r="O401" s="29" t="str">
        <f aca="false">IF(A401="","",IF(COUNTIF($A$2:$A$2001,A401)&gt;1,"GANDA","OK"))</f>
        <v/>
      </c>
      <c r="P401" s="29" t="str">
        <f aca="false">IF(A401="","",IF(C401="","KOSONG",IF(AND(LEN(C401)=16,ISNUMBER(--C401)),"OK","TIDAK VALID")))</f>
        <v/>
      </c>
    </row>
    <row r="402" customFormat="false" ht="15" hidden="false" customHeight="false" outlineLevel="0" collapsed="false">
      <c r="A402" s="21"/>
      <c r="B402" s="22"/>
      <c r="C402" s="21"/>
      <c r="D402" s="22"/>
      <c r="E402" s="22"/>
      <c r="F402" s="28"/>
      <c r="G402" s="22"/>
      <c r="H402" s="21"/>
      <c r="I402" s="28"/>
      <c r="J402" s="22"/>
      <c r="K402" s="22"/>
      <c r="L402" s="22"/>
      <c r="M402" s="21"/>
      <c r="N402" s="22"/>
      <c r="O402" s="29" t="str">
        <f aca="false">IF(A402="","",IF(COUNTIF($A$2:$A$2001,A402)&gt;1,"GANDA","OK"))</f>
        <v/>
      </c>
      <c r="P402" s="29" t="str">
        <f aca="false">IF(A402="","",IF(C402="","KOSONG",IF(AND(LEN(C402)=16,ISNUMBER(--C402)),"OK","TIDAK VALID")))</f>
        <v/>
      </c>
    </row>
    <row r="403" customFormat="false" ht="15" hidden="false" customHeight="false" outlineLevel="0" collapsed="false">
      <c r="A403" s="21"/>
      <c r="B403" s="22"/>
      <c r="C403" s="21"/>
      <c r="D403" s="22"/>
      <c r="E403" s="22"/>
      <c r="F403" s="28"/>
      <c r="G403" s="22"/>
      <c r="H403" s="21"/>
      <c r="I403" s="28"/>
      <c r="J403" s="22"/>
      <c r="K403" s="22"/>
      <c r="L403" s="22"/>
      <c r="M403" s="21"/>
      <c r="N403" s="22"/>
      <c r="O403" s="29" t="str">
        <f aca="false">IF(A403="","",IF(COUNTIF($A$2:$A$2001,A403)&gt;1,"GANDA","OK"))</f>
        <v/>
      </c>
      <c r="P403" s="29" t="str">
        <f aca="false">IF(A403="","",IF(C403="","KOSONG",IF(AND(LEN(C403)=16,ISNUMBER(--C403)),"OK","TIDAK VALID")))</f>
        <v/>
      </c>
    </row>
    <row r="404" customFormat="false" ht="15" hidden="false" customHeight="false" outlineLevel="0" collapsed="false">
      <c r="A404" s="21"/>
      <c r="B404" s="22"/>
      <c r="C404" s="21"/>
      <c r="D404" s="22"/>
      <c r="E404" s="22"/>
      <c r="F404" s="28"/>
      <c r="G404" s="22"/>
      <c r="H404" s="21"/>
      <c r="I404" s="28"/>
      <c r="J404" s="22"/>
      <c r="K404" s="22"/>
      <c r="L404" s="22"/>
      <c r="M404" s="21"/>
      <c r="N404" s="22"/>
      <c r="O404" s="29" t="str">
        <f aca="false">IF(A404="","",IF(COUNTIF($A$2:$A$2001,A404)&gt;1,"GANDA","OK"))</f>
        <v/>
      </c>
      <c r="P404" s="29" t="str">
        <f aca="false">IF(A404="","",IF(C404="","KOSONG",IF(AND(LEN(C404)=16,ISNUMBER(--C404)),"OK","TIDAK VALID")))</f>
        <v/>
      </c>
    </row>
    <row r="405" customFormat="false" ht="15" hidden="false" customHeight="false" outlineLevel="0" collapsed="false">
      <c r="A405" s="21"/>
      <c r="B405" s="22"/>
      <c r="C405" s="21"/>
      <c r="D405" s="22"/>
      <c r="E405" s="22"/>
      <c r="F405" s="28"/>
      <c r="G405" s="22"/>
      <c r="H405" s="21"/>
      <c r="I405" s="28"/>
      <c r="J405" s="22"/>
      <c r="K405" s="22"/>
      <c r="L405" s="22"/>
      <c r="M405" s="21"/>
      <c r="N405" s="22"/>
      <c r="O405" s="29" t="str">
        <f aca="false">IF(A405="","",IF(COUNTIF($A$2:$A$2001,A405)&gt;1,"GANDA","OK"))</f>
        <v/>
      </c>
      <c r="P405" s="29" t="str">
        <f aca="false">IF(A405="","",IF(C405="","KOSONG",IF(AND(LEN(C405)=16,ISNUMBER(--C405)),"OK","TIDAK VALID")))</f>
        <v/>
      </c>
    </row>
    <row r="406" customFormat="false" ht="15" hidden="false" customHeight="false" outlineLevel="0" collapsed="false">
      <c r="A406" s="21"/>
      <c r="B406" s="22"/>
      <c r="C406" s="21"/>
      <c r="D406" s="22"/>
      <c r="E406" s="22"/>
      <c r="F406" s="28"/>
      <c r="G406" s="22"/>
      <c r="H406" s="21"/>
      <c r="I406" s="28"/>
      <c r="J406" s="22"/>
      <c r="K406" s="22"/>
      <c r="L406" s="22"/>
      <c r="M406" s="21"/>
      <c r="N406" s="22"/>
      <c r="O406" s="29" t="str">
        <f aca="false">IF(A406="","",IF(COUNTIF($A$2:$A$2001,A406)&gt;1,"GANDA","OK"))</f>
        <v/>
      </c>
      <c r="P406" s="29" t="str">
        <f aca="false">IF(A406="","",IF(C406="","KOSONG",IF(AND(LEN(C406)=16,ISNUMBER(--C406)),"OK","TIDAK VALID")))</f>
        <v/>
      </c>
    </row>
    <row r="407" customFormat="false" ht="15" hidden="false" customHeight="false" outlineLevel="0" collapsed="false">
      <c r="A407" s="21"/>
      <c r="B407" s="22"/>
      <c r="C407" s="21"/>
      <c r="D407" s="22"/>
      <c r="E407" s="22"/>
      <c r="F407" s="28"/>
      <c r="G407" s="22"/>
      <c r="H407" s="21"/>
      <c r="I407" s="28"/>
      <c r="J407" s="22"/>
      <c r="K407" s="22"/>
      <c r="L407" s="22"/>
      <c r="M407" s="21"/>
      <c r="N407" s="22"/>
      <c r="O407" s="29" t="str">
        <f aca="false">IF(A407="","",IF(COUNTIF($A$2:$A$2001,A407)&gt;1,"GANDA","OK"))</f>
        <v/>
      </c>
      <c r="P407" s="29" t="str">
        <f aca="false">IF(A407="","",IF(C407="","KOSONG",IF(AND(LEN(C407)=16,ISNUMBER(--C407)),"OK","TIDAK VALID")))</f>
        <v/>
      </c>
    </row>
    <row r="408" customFormat="false" ht="15" hidden="false" customHeight="false" outlineLevel="0" collapsed="false">
      <c r="A408" s="21"/>
      <c r="B408" s="22"/>
      <c r="C408" s="21"/>
      <c r="D408" s="22"/>
      <c r="E408" s="22"/>
      <c r="F408" s="28"/>
      <c r="G408" s="22"/>
      <c r="H408" s="21"/>
      <c r="I408" s="28"/>
      <c r="J408" s="22"/>
      <c r="K408" s="22"/>
      <c r="L408" s="22"/>
      <c r="M408" s="21"/>
      <c r="N408" s="22"/>
      <c r="O408" s="29" t="str">
        <f aca="false">IF(A408="","",IF(COUNTIF($A$2:$A$2001,A408)&gt;1,"GANDA","OK"))</f>
        <v/>
      </c>
      <c r="P408" s="29" t="str">
        <f aca="false">IF(A408="","",IF(C408="","KOSONG",IF(AND(LEN(C408)=16,ISNUMBER(--C408)),"OK","TIDAK VALID")))</f>
        <v/>
      </c>
    </row>
    <row r="409" customFormat="false" ht="15" hidden="false" customHeight="false" outlineLevel="0" collapsed="false">
      <c r="A409" s="21"/>
      <c r="B409" s="22"/>
      <c r="C409" s="21"/>
      <c r="D409" s="22"/>
      <c r="E409" s="22"/>
      <c r="F409" s="28"/>
      <c r="G409" s="22"/>
      <c r="H409" s="21"/>
      <c r="I409" s="28"/>
      <c r="J409" s="22"/>
      <c r="K409" s="22"/>
      <c r="L409" s="22"/>
      <c r="M409" s="21"/>
      <c r="N409" s="22"/>
      <c r="O409" s="29" t="str">
        <f aca="false">IF(A409="","",IF(COUNTIF($A$2:$A$2001,A409)&gt;1,"GANDA","OK"))</f>
        <v/>
      </c>
      <c r="P409" s="29" t="str">
        <f aca="false">IF(A409="","",IF(C409="","KOSONG",IF(AND(LEN(C409)=16,ISNUMBER(--C409)),"OK","TIDAK VALID")))</f>
        <v/>
      </c>
    </row>
    <row r="410" customFormat="false" ht="15" hidden="false" customHeight="false" outlineLevel="0" collapsed="false">
      <c r="A410" s="21"/>
      <c r="B410" s="22"/>
      <c r="C410" s="21"/>
      <c r="D410" s="22"/>
      <c r="E410" s="22"/>
      <c r="F410" s="28"/>
      <c r="G410" s="22"/>
      <c r="H410" s="21"/>
      <c r="I410" s="28"/>
      <c r="J410" s="22"/>
      <c r="K410" s="22"/>
      <c r="L410" s="22"/>
      <c r="M410" s="21"/>
      <c r="N410" s="22"/>
      <c r="O410" s="29" t="str">
        <f aca="false">IF(A410="","",IF(COUNTIF($A$2:$A$2001,A410)&gt;1,"GANDA","OK"))</f>
        <v/>
      </c>
      <c r="P410" s="29" t="str">
        <f aca="false">IF(A410="","",IF(C410="","KOSONG",IF(AND(LEN(C410)=16,ISNUMBER(--C410)),"OK","TIDAK VALID")))</f>
        <v/>
      </c>
    </row>
    <row r="411" customFormat="false" ht="15" hidden="false" customHeight="false" outlineLevel="0" collapsed="false">
      <c r="A411" s="21"/>
      <c r="B411" s="22"/>
      <c r="C411" s="21"/>
      <c r="D411" s="22"/>
      <c r="E411" s="22"/>
      <c r="F411" s="28"/>
      <c r="G411" s="22"/>
      <c r="H411" s="21"/>
      <c r="I411" s="28"/>
      <c r="J411" s="22"/>
      <c r="K411" s="22"/>
      <c r="L411" s="22"/>
      <c r="M411" s="21"/>
      <c r="N411" s="22"/>
      <c r="O411" s="29" t="str">
        <f aca="false">IF(A411="","",IF(COUNTIF($A$2:$A$2001,A411)&gt;1,"GANDA","OK"))</f>
        <v/>
      </c>
      <c r="P411" s="29" t="str">
        <f aca="false">IF(A411="","",IF(C411="","KOSONG",IF(AND(LEN(C411)=16,ISNUMBER(--C411)),"OK","TIDAK VALID")))</f>
        <v/>
      </c>
    </row>
    <row r="412" customFormat="false" ht="15" hidden="false" customHeight="false" outlineLevel="0" collapsed="false">
      <c r="A412" s="21"/>
      <c r="B412" s="22"/>
      <c r="C412" s="21"/>
      <c r="D412" s="22"/>
      <c r="E412" s="22"/>
      <c r="F412" s="28"/>
      <c r="G412" s="22"/>
      <c r="H412" s="21"/>
      <c r="I412" s="28"/>
      <c r="J412" s="22"/>
      <c r="K412" s="22"/>
      <c r="L412" s="22"/>
      <c r="M412" s="21"/>
      <c r="N412" s="22"/>
      <c r="O412" s="29" t="str">
        <f aca="false">IF(A412="","",IF(COUNTIF($A$2:$A$2001,A412)&gt;1,"GANDA","OK"))</f>
        <v/>
      </c>
      <c r="P412" s="29" t="str">
        <f aca="false">IF(A412="","",IF(C412="","KOSONG",IF(AND(LEN(C412)=16,ISNUMBER(--C412)),"OK","TIDAK VALID")))</f>
        <v/>
      </c>
    </row>
    <row r="413" customFormat="false" ht="15" hidden="false" customHeight="false" outlineLevel="0" collapsed="false">
      <c r="A413" s="21"/>
      <c r="B413" s="22"/>
      <c r="C413" s="21"/>
      <c r="D413" s="22"/>
      <c r="E413" s="22"/>
      <c r="F413" s="28"/>
      <c r="G413" s="22"/>
      <c r="H413" s="21"/>
      <c r="I413" s="28"/>
      <c r="J413" s="22"/>
      <c r="K413" s="22"/>
      <c r="L413" s="22"/>
      <c r="M413" s="21"/>
      <c r="N413" s="22"/>
      <c r="O413" s="29" t="str">
        <f aca="false">IF(A413="","",IF(COUNTIF($A$2:$A$2001,A413)&gt;1,"GANDA","OK"))</f>
        <v/>
      </c>
      <c r="P413" s="29" t="str">
        <f aca="false">IF(A413="","",IF(C413="","KOSONG",IF(AND(LEN(C413)=16,ISNUMBER(--C413)),"OK","TIDAK VALID")))</f>
        <v/>
      </c>
    </row>
    <row r="414" customFormat="false" ht="15" hidden="false" customHeight="false" outlineLevel="0" collapsed="false">
      <c r="A414" s="21"/>
      <c r="B414" s="22"/>
      <c r="C414" s="21"/>
      <c r="D414" s="22"/>
      <c r="E414" s="22"/>
      <c r="F414" s="28"/>
      <c r="G414" s="22"/>
      <c r="H414" s="21"/>
      <c r="I414" s="28"/>
      <c r="J414" s="22"/>
      <c r="K414" s="22"/>
      <c r="L414" s="22"/>
      <c r="M414" s="21"/>
      <c r="N414" s="22"/>
      <c r="O414" s="29" t="str">
        <f aca="false">IF(A414="","",IF(COUNTIF($A$2:$A$2001,A414)&gt;1,"GANDA","OK"))</f>
        <v/>
      </c>
      <c r="P414" s="29" t="str">
        <f aca="false">IF(A414="","",IF(C414="","KOSONG",IF(AND(LEN(C414)=16,ISNUMBER(--C414)),"OK","TIDAK VALID")))</f>
        <v/>
      </c>
    </row>
    <row r="415" customFormat="false" ht="15" hidden="false" customHeight="false" outlineLevel="0" collapsed="false">
      <c r="A415" s="21"/>
      <c r="B415" s="22"/>
      <c r="C415" s="21"/>
      <c r="D415" s="22"/>
      <c r="E415" s="22"/>
      <c r="F415" s="28"/>
      <c r="G415" s="22"/>
      <c r="H415" s="21"/>
      <c r="I415" s="28"/>
      <c r="J415" s="22"/>
      <c r="K415" s="22"/>
      <c r="L415" s="22"/>
      <c r="M415" s="21"/>
      <c r="N415" s="22"/>
      <c r="O415" s="29" t="str">
        <f aca="false">IF(A415="","",IF(COUNTIF($A$2:$A$2001,A415)&gt;1,"GANDA","OK"))</f>
        <v/>
      </c>
      <c r="P415" s="29" t="str">
        <f aca="false">IF(A415="","",IF(C415="","KOSONG",IF(AND(LEN(C415)=16,ISNUMBER(--C415)),"OK","TIDAK VALID")))</f>
        <v/>
      </c>
    </row>
    <row r="416" customFormat="false" ht="15" hidden="false" customHeight="false" outlineLevel="0" collapsed="false">
      <c r="A416" s="21"/>
      <c r="B416" s="22"/>
      <c r="C416" s="21"/>
      <c r="D416" s="22"/>
      <c r="E416" s="22"/>
      <c r="F416" s="28"/>
      <c r="G416" s="22"/>
      <c r="H416" s="21"/>
      <c r="I416" s="28"/>
      <c r="J416" s="22"/>
      <c r="K416" s="22"/>
      <c r="L416" s="22"/>
      <c r="M416" s="21"/>
      <c r="N416" s="22"/>
      <c r="O416" s="29" t="str">
        <f aca="false">IF(A416="","",IF(COUNTIF($A$2:$A$2001,A416)&gt;1,"GANDA","OK"))</f>
        <v/>
      </c>
      <c r="P416" s="29" t="str">
        <f aca="false">IF(A416="","",IF(C416="","KOSONG",IF(AND(LEN(C416)=16,ISNUMBER(--C416)),"OK","TIDAK VALID")))</f>
        <v/>
      </c>
    </row>
    <row r="417" customFormat="false" ht="15" hidden="false" customHeight="false" outlineLevel="0" collapsed="false">
      <c r="A417" s="21"/>
      <c r="B417" s="22"/>
      <c r="C417" s="21"/>
      <c r="D417" s="22"/>
      <c r="E417" s="22"/>
      <c r="F417" s="28"/>
      <c r="G417" s="22"/>
      <c r="H417" s="21"/>
      <c r="I417" s="28"/>
      <c r="J417" s="22"/>
      <c r="K417" s="22"/>
      <c r="L417" s="22"/>
      <c r="M417" s="21"/>
      <c r="N417" s="22"/>
      <c r="O417" s="29" t="str">
        <f aca="false">IF(A417="","",IF(COUNTIF($A$2:$A$2001,A417)&gt;1,"GANDA","OK"))</f>
        <v/>
      </c>
      <c r="P417" s="29" t="str">
        <f aca="false">IF(A417="","",IF(C417="","KOSONG",IF(AND(LEN(C417)=16,ISNUMBER(--C417)),"OK","TIDAK VALID")))</f>
        <v/>
      </c>
    </row>
    <row r="418" customFormat="false" ht="15" hidden="false" customHeight="false" outlineLevel="0" collapsed="false">
      <c r="A418" s="21"/>
      <c r="B418" s="22"/>
      <c r="C418" s="21"/>
      <c r="D418" s="22"/>
      <c r="E418" s="22"/>
      <c r="F418" s="28"/>
      <c r="G418" s="22"/>
      <c r="H418" s="21"/>
      <c r="I418" s="28"/>
      <c r="J418" s="22"/>
      <c r="K418" s="22"/>
      <c r="L418" s="22"/>
      <c r="M418" s="21"/>
      <c r="N418" s="22"/>
      <c r="O418" s="29" t="str">
        <f aca="false">IF(A418="","",IF(COUNTIF($A$2:$A$2001,A418)&gt;1,"GANDA","OK"))</f>
        <v/>
      </c>
      <c r="P418" s="29" t="str">
        <f aca="false">IF(A418="","",IF(C418="","KOSONG",IF(AND(LEN(C418)=16,ISNUMBER(--C418)),"OK","TIDAK VALID")))</f>
        <v/>
      </c>
    </row>
    <row r="419" customFormat="false" ht="15" hidden="false" customHeight="false" outlineLevel="0" collapsed="false">
      <c r="A419" s="21"/>
      <c r="B419" s="22"/>
      <c r="C419" s="21"/>
      <c r="D419" s="22"/>
      <c r="E419" s="22"/>
      <c r="F419" s="28"/>
      <c r="G419" s="22"/>
      <c r="H419" s="21"/>
      <c r="I419" s="28"/>
      <c r="J419" s="22"/>
      <c r="K419" s="22"/>
      <c r="L419" s="22"/>
      <c r="M419" s="21"/>
      <c r="N419" s="22"/>
      <c r="O419" s="29" t="str">
        <f aca="false">IF(A419="","",IF(COUNTIF($A$2:$A$2001,A419)&gt;1,"GANDA","OK"))</f>
        <v/>
      </c>
      <c r="P419" s="29" t="str">
        <f aca="false">IF(A419="","",IF(C419="","KOSONG",IF(AND(LEN(C419)=16,ISNUMBER(--C419)),"OK","TIDAK VALID")))</f>
        <v/>
      </c>
    </row>
    <row r="420" customFormat="false" ht="15" hidden="false" customHeight="false" outlineLevel="0" collapsed="false">
      <c r="A420" s="21"/>
      <c r="B420" s="22"/>
      <c r="C420" s="21"/>
      <c r="D420" s="22"/>
      <c r="E420" s="22"/>
      <c r="F420" s="28"/>
      <c r="G420" s="22"/>
      <c r="H420" s="21"/>
      <c r="I420" s="28"/>
      <c r="J420" s="22"/>
      <c r="K420" s="22"/>
      <c r="L420" s="22"/>
      <c r="M420" s="21"/>
      <c r="N420" s="22"/>
      <c r="O420" s="29" t="str">
        <f aca="false">IF(A420="","",IF(COUNTIF($A$2:$A$2001,A420)&gt;1,"GANDA","OK"))</f>
        <v/>
      </c>
      <c r="P420" s="29" t="str">
        <f aca="false">IF(A420="","",IF(C420="","KOSONG",IF(AND(LEN(C420)=16,ISNUMBER(--C420)),"OK","TIDAK VALID")))</f>
        <v/>
      </c>
    </row>
    <row r="421" customFormat="false" ht="15" hidden="false" customHeight="false" outlineLevel="0" collapsed="false">
      <c r="A421" s="21"/>
      <c r="B421" s="22"/>
      <c r="C421" s="21"/>
      <c r="D421" s="22"/>
      <c r="E421" s="22"/>
      <c r="F421" s="28"/>
      <c r="G421" s="22"/>
      <c r="H421" s="21"/>
      <c r="I421" s="28"/>
      <c r="J421" s="22"/>
      <c r="K421" s="22"/>
      <c r="L421" s="22"/>
      <c r="M421" s="21"/>
      <c r="N421" s="22"/>
      <c r="O421" s="29" t="str">
        <f aca="false">IF(A421="","",IF(COUNTIF($A$2:$A$2001,A421)&gt;1,"GANDA","OK"))</f>
        <v/>
      </c>
      <c r="P421" s="29" t="str">
        <f aca="false">IF(A421="","",IF(C421="","KOSONG",IF(AND(LEN(C421)=16,ISNUMBER(--C421)),"OK","TIDAK VALID")))</f>
        <v/>
      </c>
    </row>
    <row r="422" customFormat="false" ht="15" hidden="false" customHeight="false" outlineLevel="0" collapsed="false">
      <c r="A422" s="21"/>
      <c r="B422" s="22"/>
      <c r="C422" s="21"/>
      <c r="D422" s="22"/>
      <c r="E422" s="22"/>
      <c r="F422" s="28"/>
      <c r="G422" s="22"/>
      <c r="H422" s="21"/>
      <c r="I422" s="28"/>
      <c r="J422" s="22"/>
      <c r="K422" s="22"/>
      <c r="L422" s="22"/>
      <c r="M422" s="21"/>
      <c r="N422" s="22"/>
      <c r="O422" s="29" t="str">
        <f aca="false">IF(A422="","",IF(COUNTIF($A$2:$A$2001,A422)&gt;1,"GANDA","OK"))</f>
        <v/>
      </c>
      <c r="P422" s="29" t="str">
        <f aca="false">IF(A422="","",IF(C422="","KOSONG",IF(AND(LEN(C422)=16,ISNUMBER(--C422)),"OK","TIDAK VALID")))</f>
        <v/>
      </c>
    </row>
    <row r="423" customFormat="false" ht="15" hidden="false" customHeight="false" outlineLevel="0" collapsed="false">
      <c r="A423" s="21"/>
      <c r="B423" s="22"/>
      <c r="C423" s="21"/>
      <c r="D423" s="22"/>
      <c r="E423" s="22"/>
      <c r="F423" s="28"/>
      <c r="G423" s="22"/>
      <c r="H423" s="21"/>
      <c r="I423" s="28"/>
      <c r="J423" s="22"/>
      <c r="K423" s="22"/>
      <c r="L423" s="22"/>
      <c r="M423" s="21"/>
      <c r="N423" s="22"/>
      <c r="O423" s="29" t="str">
        <f aca="false">IF(A423="","",IF(COUNTIF($A$2:$A$2001,A423)&gt;1,"GANDA","OK"))</f>
        <v/>
      </c>
      <c r="P423" s="29" t="str">
        <f aca="false">IF(A423="","",IF(C423="","KOSONG",IF(AND(LEN(C423)=16,ISNUMBER(--C423)),"OK","TIDAK VALID")))</f>
        <v/>
      </c>
    </row>
    <row r="424" customFormat="false" ht="15" hidden="false" customHeight="false" outlineLevel="0" collapsed="false">
      <c r="A424" s="21"/>
      <c r="B424" s="22"/>
      <c r="C424" s="21"/>
      <c r="D424" s="22"/>
      <c r="E424" s="22"/>
      <c r="F424" s="28"/>
      <c r="G424" s="22"/>
      <c r="H424" s="21"/>
      <c r="I424" s="28"/>
      <c r="J424" s="22"/>
      <c r="K424" s="22"/>
      <c r="L424" s="22"/>
      <c r="M424" s="21"/>
      <c r="N424" s="22"/>
      <c r="O424" s="29" t="str">
        <f aca="false">IF(A424="","",IF(COUNTIF($A$2:$A$2001,A424)&gt;1,"GANDA","OK"))</f>
        <v/>
      </c>
      <c r="P424" s="29" t="str">
        <f aca="false">IF(A424="","",IF(C424="","KOSONG",IF(AND(LEN(C424)=16,ISNUMBER(--C424)),"OK","TIDAK VALID")))</f>
        <v/>
      </c>
    </row>
    <row r="425" customFormat="false" ht="15" hidden="false" customHeight="false" outlineLevel="0" collapsed="false">
      <c r="A425" s="21"/>
      <c r="B425" s="22"/>
      <c r="C425" s="21"/>
      <c r="D425" s="22"/>
      <c r="E425" s="22"/>
      <c r="F425" s="28"/>
      <c r="G425" s="22"/>
      <c r="H425" s="21"/>
      <c r="I425" s="28"/>
      <c r="J425" s="22"/>
      <c r="K425" s="22"/>
      <c r="L425" s="22"/>
      <c r="M425" s="21"/>
      <c r="N425" s="22"/>
      <c r="O425" s="29" t="str">
        <f aca="false">IF(A425="","",IF(COUNTIF($A$2:$A$2001,A425)&gt;1,"GANDA","OK"))</f>
        <v/>
      </c>
      <c r="P425" s="29" t="str">
        <f aca="false">IF(A425="","",IF(C425="","KOSONG",IF(AND(LEN(C425)=16,ISNUMBER(--C425)),"OK","TIDAK VALID")))</f>
        <v/>
      </c>
    </row>
    <row r="426" customFormat="false" ht="15" hidden="false" customHeight="false" outlineLevel="0" collapsed="false">
      <c r="A426" s="21"/>
      <c r="B426" s="22"/>
      <c r="C426" s="21"/>
      <c r="D426" s="22"/>
      <c r="E426" s="22"/>
      <c r="F426" s="28"/>
      <c r="G426" s="22"/>
      <c r="H426" s="21"/>
      <c r="I426" s="28"/>
      <c r="J426" s="22"/>
      <c r="K426" s="22"/>
      <c r="L426" s="22"/>
      <c r="M426" s="21"/>
      <c r="N426" s="22"/>
      <c r="O426" s="29" t="str">
        <f aca="false">IF(A426="","",IF(COUNTIF($A$2:$A$2001,A426)&gt;1,"GANDA","OK"))</f>
        <v/>
      </c>
      <c r="P426" s="29" t="str">
        <f aca="false">IF(A426="","",IF(C426="","KOSONG",IF(AND(LEN(C426)=16,ISNUMBER(--C426)),"OK","TIDAK VALID")))</f>
        <v/>
      </c>
    </row>
    <row r="427" customFormat="false" ht="15" hidden="false" customHeight="false" outlineLevel="0" collapsed="false">
      <c r="A427" s="21"/>
      <c r="B427" s="22"/>
      <c r="C427" s="21"/>
      <c r="D427" s="22"/>
      <c r="E427" s="22"/>
      <c r="F427" s="28"/>
      <c r="G427" s="22"/>
      <c r="H427" s="21"/>
      <c r="I427" s="28"/>
      <c r="J427" s="22"/>
      <c r="K427" s="22"/>
      <c r="L427" s="22"/>
      <c r="M427" s="21"/>
      <c r="N427" s="22"/>
      <c r="O427" s="29" t="str">
        <f aca="false">IF(A427="","",IF(COUNTIF($A$2:$A$2001,A427)&gt;1,"GANDA","OK"))</f>
        <v/>
      </c>
      <c r="P427" s="29" t="str">
        <f aca="false">IF(A427="","",IF(C427="","KOSONG",IF(AND(LEN(C427)=16,ISNUMBER(--C427)),"OK","TIDAK VALID")))</f>
        <v/>
      </c>
    </row>
    <row r="428" customFormat="false" ht="15" hidden="false" customHeight="false" outlineLevel="0" collapsed="false">
      <c r="A428" s="21"/>
      <c r="B428" s="22"/>
      <c r="C428" s="21"/>
      <c r="D428" s="22"/>
      <c r="E428" s="22"/>
      <c r="F428" s="28"/>
      <c r="G428" s="22"/>
      <c r="H428" s="21"/>
      <c r="I428" s="28"/>
      <c r="J428" s="22"/>
      <c r="K428" s="22"/>
      <c r="L428" s="22"/>
      <c r="M428" s="21"/>
      <c r="N428" s="22"/>
      <c r="O428" s="29" t="str">
        <f aca="false">IF(A428="","",IF(COUNTIF($A$2:$A$2001,A428)&gt;1,"GANDA","OK"))</f>
        <v/>
      </c>
      <c r="P428" s="29" t="str">
        <f aca="false">IF(A428="","",IF(C428="","KOSONG",IF(AND(LEN(C428)=16,ISNUMBER(--C428)),"OK","TIDAK VALID")))</f>
        <v/>
      </c>
    </row>
    <row r="429" customFormat="false" ht="15" hidden="false" customHeight="false" outlineLevel="0" collapsed="false">
      <c r="A429" s="21"/>
      <c r="B429" s="22"/>
      <c r="C429" s="21"/>
      <c r="D429" s="22"/>
      <c r="E429" s="22"/>
      <c r="F429" s="28"/>
      <c r="G429" s="22"/>
      <c r="H429" s="21"/>
      <c r="I429" s="28"/>
      <c r="J429" s="22"/>
      <c r="K429" s="22"/>
      <c r="L429" s="22"/>
      <c r="M429" s="21"/>
      <c r="N429" s="22"/>
      <c r="O429" s="29" t="str">
        <f aca="false">IF(A429="","",IF(COUNTIF($A$2:$A$2001,A429)&gt;1,"GANDA","OK"))</f>
        <v/>
      </c>
      <c r="P429" s="29" t="str">
        <f aca="false">IF(A429="","",IF(C429="","KOSONG",IF(AND(LEN(C429)=16,ISNUMBER(--C429)),"OK","TIDAK VALID")))</f>
        <v/>
      </c>
    </row>
    <row r="430" customFormat="false" ht="15" hidden="false" customHeight="false" outlineLevel="0" collapsed="false">
      <c r="A430" s="21"/>
      <c r="B430" s="22"/>
      <c r="C430" s="21"/>
      <c r="D430" s="22"/>
      <c r="E430" s="22"/>
      <c r="F430" s="28"/>
      <c r="G430" s="22"/>
      <c r="H430" s="21"/>
      <c r="I430" s="28"/>
      <c r="J430" s="22"/>
      <c r="K430" s="22"/>
      <c r="L430" s="22"/>
      <c r="M430" s="21"/>
      <c r="N430" s="22"/>
      <c r="O430" s="29" t="str">
        <f aca="false">IF(A430="","",IF(COUNTIF($A$2:$A$2001,A430)&gt;1,"GANDA","OK"))</f>
        <v/>
      </c>
      <c r="P430" s="29" t="str">
        <f aca="false">IF(A430="","",IF(C430="","KOSONG",IF(AND(LEN(C430)=16,ISNUMBER(--C430)),"OK","TIDAK VALID")))</f>
        <v/>
      </c>
    </row>
    <row r="431" customFormat="false" ht="15" hidden="false" customHeight="false" outlineLevel="0" collapsed="false">
      <c r="A431" s="21"/>
      <c r="B431" s="22"/>
      <c r="C431" s="21"/>
      <c r="D431" s="22"/>
      <c r="E431" s="22"/>
      <c r="F431" s="28"/>
      <c r="G431" s="22"/>
      <c r="H431" s="21"/>
      <c r="I431" s="28"/>
      <c r="J431" s="22"/>
      <c r="K431" s="22"/>
      <c r="L431" s="22"/>
      <c r="M431" s="21"/>
      <c r="N431" s="22"/>
      <c r="O431" s="29" t="str">
        <f aca="false">IF(A431="","",IF(COUNTIF($A$2:$A$2001,A431)&gt;1,"GANDA","OK"))</f>
        <v/>
      </c>
      <c r="P431" s="29" t="str">
        <f aca="false">IF(A431="","",IF(C431="","KOSONG",IF(AND(LEN(C431)=16,ISNUMBER(--C431)),"OK","TIDAK VALID")))</f>
        <v/>
      </c>
    </row>
    <row r="432" customFormat="false" ht="15" hidden="false" customHeight="false" outlineLevel="0" collapsed="false">
      <c r="A432" s="21"/>
      <c r="B432" s="22"/>
      <c r="C432" s="21"/>
      <c r="D432" s="22"/>
      <c r="E432" s="22"/>
      <c r="F432" s="28"/>
      <c r="G432" s="22"/>
      <c r="H432" s="21"/>
      <c r="I432" s="28"/>
      <c r="J432" s="22"/>
      <c r="K432" s="22"/>
      <c r="L432" s="22"/>
      <c r="M432" s="21"/>
      <c r="N432" s="22"/>
      <c r="O432" s="29" t="str">
        <f aca="false">IF(A432="","",IF(COUNTIF($A$2:$A$2001,A432)&gt;1,"GANDA","OK"))</f>
        <v/>
      </c>
      <c r="P432" s="29" t="str">
        <f aca="false">IF(A432="","",IF(C432="","KOSONG",IF(AND(LEN(C432)=16,ISNUMBER(--C432)),"OK","TIDAK VALID")))</f>
        <v/>
      </c>
    </row>
    <row r="433" customFormat="false" ht="15" hidden="false" customHeight="false" outlineLevel="0" collapsed="false">
      <c r="A433" s="21"/>
      <c r="B433" s="22"/>
      <c r="C433" s="21"/>
      <c r="D433" s="22"/>
      <c r="E433" s="22"/>
      <c r="F433" s="28"/>
      <c r="G433" s="22"/>
      <c r="H433" s="21"/>
      <c r="I433" s="28"/>
      <c r="J433" s="22"/>
      <c r="K433" s="22"/>
      <c r="L433" s="22"/>
      <c r="M433" s="21"/>
      <c r="N433" s="22"/>
      <c r="O433" s="29" t="str">
        <f aca="false">IF(A433="","",IF(COUNTIF($A$2:$A$2001,A433)&gt;1,"GANDA","OK"))</f>
        <v/>
      </c>
      <c r="P433" s="29" t="str">
        <f aca="false">IF(A433="","",IF(C433="","KOSONG",IF(AND(LEN(C433)=16,ISNUMBER(--C433)),"OK","TIDAK VALID")))</f>
        <v/>
      </c>
    </row>
    <row r="434" customFormat="false" ht="15" hidden="false" customHeight="false" outlineLevel="0" collapsed="false">
      <c r="A434" s="21"/>
      <c r="B434" s="22"/>
      <c r="C434" s="21"/>
      <c r="D434" s="22"/>
      <c r="E434" s="22"/>
      <c r="F434" s="28"/>
      <c r="G434" s="22"/>
      <c r="H434" s="21"/>
      <c r="I434" s="28"/>
      <c r="J434" s="22"/>
      <c r="K434" s="22"/>
      <c r="L434" s="22"/>
      <c r="M434" s="21"/>
      <c r="N434" s="22"/>
      <c r="O434" s="29" t="str">
        <f aca="false">IF(A434="","",IF(COUNTIF($A$2:$A$2001,A434)&gt;1,"GANDA","OK"))</f>
        <v/>
      </c>
      <c r="P434" s="29" t="str">
        <f aca="false">IF(A434="","",IF(C434="","KOSONG",IF(AND(LEN(C434)=16,ISNUMBER(--C434)),"OK","TIDAK VALID")))</f>
        <v/>
      </c>
    </row>
    <row r="435" customFormat="false" ht="15" hidden="false" customHeight="false" outlineLevel="0" collapsed="false">
      <c r="A435" s="21"/>
      <c r="B435" s="22"/>
      <c r="C435" s="21"/>
      <c r="D435" s="22"/>
      <c r="E435" s="22"/>
      <c r="F435" s="28"/>
      <c r="G435" s="22"/>
      <c r="H435" s="21"/>
      <c r="I435" s="28"/>
      <c r="J435" s="22"/>
      <c r="K435" s="22"/>
      <c r="L435" s="22"/>
      <c r="M435" s="21"/>
      <c r="N435" s="22"/>
      <c r="O435" s="29" t="str">
        <f aca="false">IF(A435="","",IF(COUNTIF($A$2:$A$2001,A435)&gt;1,"GANDA","OK"))</f>
        <v/>
      </c>
      <c r="P435" s="29" t="str">
        <f aca="false">IF(A435="","",IF(C435="","KOSONG",IF(AND(LEN(C435)=16,ISNUMBER(--C435)),"OK","TIDAK VALID")))</f>
        <v/>
      </c>
    </row>
    <row r="436" customFormat="false" ht="15" hidden="false" customHeight="false" outlineLevel="0" collapsed="false">
      <c r="A436" s="21"/>
      <c r="B436" s="22"/>
      <c r="C436" s="21"/>
      <c r="D436" s="22"/>
      <c r="E436" s="22"/>
      <c r="F436" s="28"/>
      <c r="G436" s="22"/>
      <c r="H436" s="21"/>
      <c r="I436" s="28"/>
      <c r="J436" s="22"/>
      <c r="K436" s="22"/>
      <c r="L436" s="22"/>
      <c r="M436" s="21"/>
      <c r="N436" s="22"/>
      <c r="O436" s="29" t="str">
        <f aca="false">IF(A436="","",IF(COUNTIF($A$2:$A$2001,A436)&gt;1,"GANDA","OK"))</f>
        <v/>
      </c>
      <c r="P436" s="29" t="str">
        <f aca="false">IF(A436="","",IF(C436="","KOSONG",IF(AND(LEN(C436)=16,ISNUMBER(--C436)),"OK","TIDAK VALID")))</f>
        <v/>
      </c>
    </row>
    <row r="437" customFormat="false" ht="15" hidden="false" customHeight="false" outlineLevel="0" collapsed="false">
      <c r="A437" s="21"/>
      <c r="B437" s="22"/>
      <c r="C437" s="21"/>
      <c r="D437" s="22"/>
      <c r="E437" s="22"/>
      <c r="F437" s="28"/>
      <c r="G437" s="22"/>
      <c r="H437" s="21"/>
      <c r="I437" s="28"/>
      <c r="J437" s="22"/>
      <c r="K437" s="22"/>
      <c r="L437" s="22"/>
      <c r="M437" s="21"/>
      <c r="N437" s="22"/>
      <c r="O437" s="29" t="str">
        <f aca="false">IF(A437="","",IF(COUNTIF($A$2:$A$2001,A437)&gt;1,"GANDA","OK"))</f>
        <v/>
      </c>
      <c r="P437" s="29" t="str">
        <f aca="false">IF(A437="","",IF(C437="","KOSONG",IF(AND(LEN(C437)=16,ISNUMBER(--C437)),"OK","TIDAK VALID")))</f>
        <v/>
      </c>
    </row>
    <row r="438" customFormat="false" ht="15" hidden="false" customHeight="false" outlineLevel="0" collapsed="false">
      <c r="A438" s="21"/>
      <c r="B438" s="22"/>
      <c r="C438" s="21"/>
      <c r="D438" s="22"/>
      <c r="E438" s="22"/>
      <c r="F438" s="28"/>
      <c r="G438" s="22"/>
      <c r="H438" s="21"/>
      <c r="I438" s="28"/>
      <c r="J438" s="22"/>
      <c r="K438" s="22"/>
      <c r="L438" s="22"/>
      <c r="M438" s="21"/>
      <c r="N438" s="22"/>
      <c r="O438" s="29" t="str">
        <f aca="false">IF(A438="","",IF(COUNTIF($A$2:$A$2001,A438)&gt;1,"GANDA","OK"))</f>
        <v/>
      </c>
      <c r="P438" s="29" t="str">
        <f aca="false">IF(A438="","",IF(C438="","KOSONG",IF(AND(LEN(C438)=16,ISNUMBER(--C438)),"OK","TIDAK VALID")))</f>
        <v/>
      </c>
    </row>
    <row r="439" customFormat="false" ht="15" hidden="false" customHeight="false" outlineLevel="0" collapsed="false">
      <c r="A439" s="21"/>
      <c r="B439" s="22"/>
      <c r="C439" s="21"/>
      <c r="D439" s="22"/>
      <c r="E439" s="22"/>
      <c r="F439" s="28"/>
      <c r="G439" s="22"/>
      <c r="H439" s="21"/>
      <c r="I439" s="28"/>
      <c r="J439" s="22"/>
      <c r="K439" s="22"/>
      <c r="L439" s="22"/>
      <c r="M439" s="21"/>
      <c r="N439" s="22"/>
      <c r="O439" s="29" t="str">
        <f aca="false">IF(A439="","",IF(COUNTIF($A$2:$A$2001,A439)&gt;1,"GANDA","OK"))</f>
        <v/>
      </c>
      <c r="P439" s="29" t="str">
        <f aca="false">IF(A439="","",IF(C439="","KOSONG",IF(AND(LEN(C439)=16,ISNUMBER(--C439)),"OK","TIDAK VALID")))</f>
        <v/>
      </c>
    </row>
    <row r="440" customFormat="false" ht="15" hidden="false" customHeight="false" outlineLevel="0" collapsed="false">
      <c r="A440" s="21"/>
      <c r="B440" s="22"/>
      <c r="C440" s="21"/>
      <c r="D440" s="22"/>
      <c r="E440" s="22"/>
      <c r="F440" s="28"/>
      <c r="G440" s="22"/>
      <c r="H440" s="21"/>
      <c r="I440" s="28"/>
      <c r="J440" s="22"/>
      <c r="K440" s="22"/>
      <c r="L440" s="22"/>
      <c r="M440" s="21"/>
      <c r="N440" s="22"/>
      <c r="O440" s="29" t="str">
        <f aca="false">IF(A440="","",IF(COUNTIF($A$2:$A$2001,A440)&gt;1,"GANDA","OK"))</f>
        <v/>
      </c>
      <c r="P440" s="29" t="str">
        <f aca="false">IF(A440="","",IF(C440="","KOSONG",IF(AND(LEN(C440)=16,ISNUMBER(--C440)),"OK","TIDAK VALID")))</f>
        <v/>
      </c>
    </row>
    <row r="441" customFormat="false" ht="15" hidden="false" customHeight="false" outlineLevel="0" collapsed="false">
      <c r="A441" s="21"/>
      <c r="B441" s="22"/>
      <c r="C441" s="21"/>
      <c r="D441" s="22"/>
      <c r="E441" s="22"/>
      <c r="F441" s="28"/>
      <c r="G441" s="22"/>
      <c r="H441" s="21"/>
      <c r="I441" s="28"/>
      <c r="J441" s="22"/>
      <c r="K441" s="22"/>
      <c r="L441" s="22"/>
      <c r="M441" s="21"/>
      <c r="N441" s="22"/>
      <c r="O441" s="29" t="str">
        <f aca="false">IF(A441="","",IF(COUNTIF($A$2:$A$2001,A441)&gt;1,"GANDA","OK"))</f>
        <v/>
      </c>
      <c r="P441" s="29" t="str">
        <f aca="false">IF(A441="","",IF(C441="","KOSONG",IF(AND(LEN(C441)=16,ISNUMBER(--C441)),"OK","TIDAK VALID")))</f>
        <v/>
      </c>
    </row>
    <row r="442" customFormat="false" ht="15" hidden="false" customHeight="false" outlineLevel="0" collapsed="false">
      <c r="A442" s="21"/>
      <c r="B442" s="22"/>
      <c r="C442" s="21"/>
      <c r="D442" s="22"/>
      <c r="E442" s="22"/>
      <c r="F442" s="28"/>
      <c r="G442" s="22"/>
      <c r="H442" s="21"/>
      <c r="I442" s="28"/>
      <c r="J442" s="22"/>
      <c r="K442" s="22"/>
      <c r="L442" s="22"/>
      <c r="M442" s="21"/>
      <c r="N442" s="22"/>
      <c r="O442" s="29" t="str">
        <f aca="false">IF(A442="","",IF(COUNTIF($A$2:$A$2001,A442)&gt;1,"GANDA","OK"))</f>
        <v/>
      </c>
      <c r="P442" s="29" t="str">
        <f aca="false">IF(A442="","",IF(C442="","KOSONG",IF(AND(LEN(C442)=16,ISNUMBER(--C442)),"OK","TIDAK VALID")))</f>
        <v/>
      </c>
    </row>
    <row r="443" customFormat="false" ht="15" hidden="false" customHeight="false" outlineLevel="0" collapsed="false">
      <c r="A443" s="21"/>
      <c r="B443" s="22"/>
      <c r="C443" s="21"/>
      <c r="D443" s="22"/>
      <c r="E443" s="22"/>
      <c r="F443" s="28"/>
      <c r="G443" s="22"/>
      <c r="H443" s="21"/>
      <c r="I443" s="28"/>
      <c r="J443" s="22"/>
      <c r="K443" s="22"/>
      <c r="L443" s="22"/>
      <c r="M443" s="21"/>
      <c r="N443" s="22"/>
      <c r="O443" s="29" t="str">
        <f aca="false">IF(A443="","",IF(COUNTIF($A$2:$A$2001,A443)&gt;1,"GANDA","OK"))</f>
        <v/>
      </c>
      <c r="P443" s="29" t="str">
        <f aca="false">IF(A443="","",IF(C443="","KOSONG",IF(AND(LEN(C443)=16,ISNUMBER(--C443)),"OK","TIDAK VALID")))</f>
        <v/>
      </c>
    </row>
    <row r="444" customFormat="false" ht="15" hidden="false" customHeight="false" outlineLevel="0" collapsed="false">
      <c r="A444" s="21"/>
      <c r="B444" s="22"/>
      <c r="C444" s="21"/>
      <c r="D444" s="22"/>
      <c r="E444" s="22"/>
      <c r="F444" s="28"/>
      <c r="G444" s="22"/>
      <c r="H444" s="21"/>
      <c r="I444" s="28"/>
      <c r="J444" s="22"/>
      <c r="K444" s="22"/>
      <c r="L444" s="22"/>
      <c r="M444" s="21"/>
      <c r="N444" s="22"/>
      <c r="O444" s="29" t="str">
        <f aca="false">IF(A444="","",IF(COUNTIF($A$2:$A$2001,A444)&gt;1,"GANDA","OK"))</f>
        <v/>
      </c>
      <c r="P444" s="29" t="str">
        <f aca="false">IF(A444="","",IF(C444="","KOSONG",IF(AND(LEN(C444)=16,ISNUMBER(--C444)),"OK","TIDAK VALID")))</f>
        <v/>
      </c>
    </row>
    <row r="445" customFormat="false" ht="15" hidden="false" customHeight="false" outlineLevel="0" collapsed="false">
      <c r="A445" s="21"/>
      <c r="B445" s="22"/>
      <c r="C445" s="21"/>
      <c r="D445" s="22"/>
      <c r="E445" s="22"/>
      <c r="F445" s="28"/>
      <c r="G445" s="22"/>
      <c r="H445" s="21"/>
      <c r="I445" s="28"/>
      <c r="J445" s="22"/>
      <c r="K445" s="22"/>
      <c r="L445" s="22"/>
      <c r="M445" s="21"/>
      <c r="N445" s="22"/>
      <c r="O445" s="29" t="str">
        <f aca="false">IF(A445="","",IF(COUNTIF($A$2:$A$2001,A445)&gt;1,"GANDA","OK"))</f>
        <v/>
      </c>
      <c r="P445" s="29" t="str">
        <f aca="false">IF(A445="","",IF(C445="","KOSONG",IF(AND(LEN(C445)=16,ISNUMBER(--C445)),"OK","TIDAK VALID")))</f>
        <v/>
      </c>
    </row>
    <row r="446" customFormat="false" ht="15" hidden="false" customHeight="false" outlineLevel="0" collapsed="false">
      <c r="A446" s="21"/>
      <c r="B446" s="22"/>
      <c r="C446" s="21"/>
      <c r="D446" s="22"/>
      <c r="E446" s="22"/>
      <c r="F446" s="28"/>
      <c r="G446" s="22"/>
      <c r="H446" s="21"/>
      <c r="I446" s="28"/>
      <c r="J446" s="22"/>
      <c r="K446" s="22"/>
      <c r="L446" s="22"/>
      <c r="M446" s="21"/>
      <c r="N446" s="22"/>
      <c r="O446" s="29" t="str">
        <f aca="false">IF(A446="","",IF(COUNTIF($A$2:$A$2001,A446)&gt;1,"GANDA","OK"))</f>
        <v/>
      </c>
      <c r="P446" s="29" t="str">
        <f aca="false">IF(A446="","",IF(C446="","KOSONG",IF(AND(LEN(C446)=16,ISNUMBER(--C446)),"OK","TIDAK VALID")))</f>
        <v/>
      </c>
    </row>
    <row r="447" customFormat="false" ht="15" hidden="false" customHeight="false" outlineLevel="0" collapsed="false">
      <c r="A447" s="21"/>
      <c r="B447" s="22"/>
      <c r="C447" s="21"/>
      <c r="D447" s="22"/>
      <c r="E447" s="22"/>
      <c r="F447" s="28"/>
      <c r="G447" s="22"/>
      <c r="H447" s="21"/>
      <c r="I447" s="28"/>
      <c r="J447" s="22"/>
      <c r="K447" s="22"/>
      <c r="L447" s="22"/>
      <c r="M447" s="21"/>
      <c r="N447" s="22"/>
      <c r="O447" s="29" t="str">
        <f aca="false">IF(A447="","",IF(COUNTIF($A$2:$A$2001,A447)&gt;1,"GANDA","OK"))</f>
        <v/>
      </c>
      <c r="P447" s="29" t="str">
        <f aca="false">IF(A447="","",IF(C447="","KOSONG",IF(AND(LEN(C447)=16,ISNUMBER(--C447)),"OK","TIDAK VALID")))</f>
        <v/>
      </c>
    </row>
    <row r="448" customFormat="false" ht="15" hidden="false" customHeight="false" outlineLevel="0" collapsed="false">
      <c r="A448" s="21"/>
      <c r="B448" s="22"/>
      <c r="C448" s="21"/>
      <c r="D448" s="22"/>
      <c r="E448" s="22"/>
      <c r="F448" s="28"/>
      <c r="G448" s="22"/>
      <c r="H448" s="21"/>
      <c r="I448" s="28"/>
      <c r="J448" s="22"/>
      <c r="K448" s="22"/>
      <c r="L448" s="22"/>
      <c r="M448" s="21"/>
      <c r="N448" s="22"/>
      <c r="O448" s="29" t="str">
        <f aca="false">IF(A448="","",IF(COUNTIF($A$2:$A$2001,A448)&gt;1,"GANDA","OK"))</f>
        <v/>
      </c>
      <c r="P448" s="29" t="str">
        <f aca="false">IF(A448="","",IF(C448="","KOSONG",IF(AND(LEN(C448)=16,ISNUMBER(--C448)),"OK","TIDAK VALID")))</f>
        <v/>
      </c>
    </row>
    <row r="449" customFormat="false" ht="15" hidden="false" customHeight="false" outlineLevel="0" collapsed="false">
      <c r="A449" s="21"/>
      <c r="B449" s="22"/>
      <c r="C449" s="21"/>
      <c r="D449" s="22"/>
      <c r="E449" s="22"/>
      <c r="F449" s="28"/>
      <c r="G449" s="22"/>
      <c r="H449" s="21"/>
      <c r="I449" s="28"/>
      <c r="J449" s="22"/>
      <c r="K449" s="22"/>
      <c r="L449" s="22"/>
      <c r="M449" s="21"/>
      <c r="N449" s="22"/>
      <c r="O449" s="29" t="str">
        <f aca="false">IF(A449="","",IF(COUNTIF($A$2:$A$2001,A449)&gt;1,"GANDA","OK"))</f>
        <v/>
      </c>
      <c r="P449" s="29" t="str">
        <f aca="false">IF(A449="","",IF(C449="","KOSONG",IF(AND(LEN(C449)=16,ISNUMBER(--C449)),"OK","TIDAK VALID")))</f>
        <v/>
      </c>
    </row>
    <row r="450" customFormat="false" ht="15" hidden="false" customHeight="false" outlineLevel="0" collapsed="false">
      <c r="A450" s="21"/>
      <c r="B450" s="22"/>
      <c r="C450" s="21"/>
      <c r="D450" s="22"/>
      <c r="E450" s="22"/>
      <c r="F450" s="28"/>
      <c r="G450" s="22"/>
      <c r="H450" s="21"/>
      <c r="I450" s="28"/>
      <c r="J450" s="22"/>
      <c r="K450" s="22"/>
      <c r="L450" s="22"/>
      <c r="M450" s="21"/>
      <c r="N450" s="22"/>
      <c r="O450" s="29" t="str">
        <f aca="false">IF(A450="","",IF(COUNTIF($A$2:$A$2001,A450)&gt;1,"GANDA","OK"))</f>
        <v/>
      </c>
      <c r="P450" s="29" t="str">
        <f aca="false">IF(A450="","",IF(C450="","KOSONG",IF(AND(LEN(C450)=16,ISNUMBER(--C450)),"OK","TIDAK VALID")))</f>
        <v/>
      </c>
    </row>
    <row r="451" customFormat="false" ht="15" hidden="false" customHeight="false" outlineLevel="0" collapsed="false">
      <c r="A451" s="21"/>
      <c r="B451" s="22"/>
      <c r="C451" s="21"/>
      <c r="D451" s="22"/>
      <c r="E451" s="22"/>
      <c r="F451" s="28"/>
      <c r="G451" s="22"/>
      <c r="H451" s="21"/>
      <c r="I451" s="28"/>
      <c r="J451" s="22"/>
      <c r="K451" s="22"/>
      <c r="L451" s="22"/>
      <c r="M451" s="21"/>
      <c r="N451" s="22"/>
      <c r="O451" s="29" t="str">
        <f aca="false">IF(A451="","",IF(COUNTIF($A$2:$A$2001,A451)&gt;1,"GANDA","OK"))</f>
        <v/>
      </c>
      <c r="P451" s="29" t="str">
        <f aca="false">IF(A451="","",IF(C451="","KOSONG",IF(AND(LEN(C451)=16,ISNUMBER(--C451)),"OK","TIDAK VALID")))</f>
        <v/>
      </c>
    </row>
    <row r="452" customFormat="false" ht="15" hidden="false" customHeight="false" outlineLevel="0" collapsed="false">
      <c r="A452" s="21"/>
      <c r="B452" s="22"/>
      <c r="C452" s="21"/>
      <c r="D452" s="22"/>
      <c r="E452" s="22"/>
      <c r="F452" s="28"/>
      <c r="G452" s="22"/>
      <c r="H452" s="21"/>
      <c r="I452" s="28"/>
      <c r="J452" s="22"/>
      <c r="K452" s="22"/>
      <c r="L452" s="22"/>
      <c r="M452" s="21"/>
      <c r="N452" s="22"/>
      <c r="O452" s="29" t="str">
        <f aca="false">IF(A452="","",IF(COUNTIF($A$2:$A$2001,A452)&gt;1,"GANDA","OK"))</f>
        <v/>
      </c>
      <c r="P452" s="29" t="str">
        <f aca="false">IF(A452="","",IF(C452="","KOSONG",IF(AND(LEN(C452)=16,ISNUMBER(--C452)),"OK","TIDAK VALID")))</f>
        <v/>
      </c>
    </row>
    <row r="453" customFormat="false" ht="15" hidden="false" customHeight="false" outlineLevel="0" collapsed="false">
      <c r="A453" s="21"/>
      <c r="B453" s="22"/>
      <c r="C453" s="21"/>
      <c r="D453" s="22"/>
      <c r="E453" s="22"/>
      <c r="F453" s="28"/>
      <c r="G453" s="22"/>
      <c r="H453" s="21"/>
      <c r="I453" s="28"/>
      <c r="J453" s="22"/>
      <c r="K453" s="22"/>
      <c r="L453" s="22"/>
      <c r="M453" s="21"/>
      <c r="N453" s="22"/>
      <c r="O453" s="29" t="str">
        <f aca="false">IF(A453="","",IF(COUNTIF($A$2:$A$2001,A453)&gt;1,"GANDA","OK"))</f>
        <v/>
      </c>
      <c r="P453" s="29" t="str">
        <f aca="false">IF(A453="","",IF(C453="","KOSONG",IF(AND(LEN(C453)=16,ISNUMBER(--C453)),"OK","TIDAK VALID")))</f>
        <v/>
      </c>
    </row>
    <row r="454" customFormat="false" ht="15" hidden="false" customHeight="false" outlineLevel="0" collapsed="false">
      <c r="A454" s="21"/>
      <c r="B454" s="22"/>
      <c r="C454" s="21"/>
      <c r="D454" s="22"/>
      <c r="E454" s="22"/>
      <c r="F454" s="28"/>
      <c r="G454" s="22"/>
      <c r="H454" s="21"/>
      <c r="I454" s="28"/>
      <c r="J454" s="22"/>
      <c r="K454" s="22"/>
      <c r="L454" s="22"/>
      <c r="M454" s="21"/>
      <c r="N454" s="22"/>
      <c r="O454" s="29" t="str">
        <f aca="false">IF(A454="","",IF(COUNTIF($A$2:$A$2001,A454)&gt;1,"GANDA","OK"))</f>
        <v/>
      </c>
      <c r="P454" s="29" t="str">
        <f aca="false">IF(A454="","",IF(C454="","KOSONG",IF(AND(LEN(C454)=16,ISNUMBER(--C454)),"OK","TIDAK VALID")))</f>
        <v/>
      </c>
    </row>
    <row r="455" customFormat="false" ht="15" hidden="false" customHeight="false" outlineLevel="0" collapsed="false">
      <c r="A455" s="21"/>
      <c r="B455" s="22"/>
      <c r="C455" s="21"/>
      <c r="D455" s="22"/>
      <c r="E455" s="22"/>
      <c r="F455" s="28"/>
      <c r="G455" s="22"/>
      <c r="H455" s="21"/>
      <c r="I455" s="28"/>
      <c r="J455" s="22"/>
      <c r="K455" s="22"/>
      <c r="L455" s="22"/>
      <c r="M455" s="21"/>
      <c r="N455" s="22"/>
      <c r="O455" s="29" t="str">
        <f aca="false">IF(A455="","",IF(COUNTIF($A$2:$A$2001,A455)&gt;1,"GANDA","OK"))</f>
        <v/>
      </c>
      <c r="P455" s="29" t="str">
        <f aca="false">IF(A455="","",IF(C455="","KOSONG",IF(AND(LEN(C455)=16,ISNUMBER(--C455)),"OK","TIDAK VALID")))</f>
        <v/>
      </c>
    </row>
    <row r="456" customFormat="false" ht="15" hidden="false" customHeight="false" outlineLevel="0" collapsed="false">
      <c r="A456" s="21"/>
      <c r="B456" s="22"/>
      <c r="C456" s="21"/>
      <c r="D456" s="22"/>
      <c r="E456" s="22"/>
      <c r="F456" s="28"/>
      <c r="G456" s="22"/>
      <c r="H456" s="21"/>
      <c r="I456" s="28"/>
      <c r="J456" s="22"/>
      <c r="K456" s="22"/>
      <c r="L456" s="22"/>
      <c r="M456" s="21"/>
      <c r="N456" s="22"/>
      <c r="O456" s="29" t="str">
        <f aca="false">IF(A456="","",IF(COUNTIF($A$2:$A$2001,A456)&gt;1,"GANDA","OK"))</f>
        <v/>
      </c>
      <c r="P456" s="29" t="str">
        <f aca="false">IF(A456="","",IF(C456="","KOSONG",IF(AND(LEN(C456)=16,ISNUMBER(--C456)),"OK","TIDAK VALID")))</f>
        <v/>
      </c>
    </row>
    <row r="457" customFormat="false" ht="15" hidden="false" customHeight="false" outlineLevel="0" collapsed="false">
      <c r="A457" s="21"/>
      <c r="B457" s="22"/>
      <c r="C457" s="21"/>
      <c r="D457" s="22"/>
      <c r="E457" s="22"/>
      <c r="F457" s="28"/>
      <c r="G457" s="22"/>
      <c r="H457" s="21"/>
      <c r="I457" s="28"/>
      <c r="J457" s="22"/>
      <c r="K457" s="22"/>
      <c r="L457" s="22"/>
      <c r="M457" s="21"/>
      <c r="N457" s="22"/>
      <c r="O457" s="29" t="str">
        <f aca="false">IF(A457="","",IF(COUNTIF($A$2:$A$2001,A457)&gt;1,"GANDA","OK"))</f>
        <v/>
      </c>
      <c r="P457" s="29" t="str">
        <f aca="false">IF(A457="","",IF(C457="","KOSONG",IF(AND(LEN(C457)=16,ISNUMBER(--C457)),"OK","TIDAK VALID")))</f>
        <v/>
      </c>
    </row>
    <row r="458" customFormat="false" ht="15" hidden="false" customHeight="false" outlineLevel="0" collapsed="false">
      <c r="A458" s="21"/>
      <c r="B458" s="22"/>
      <c r="C458" s="21"/>
      <c r="D458" s="22"/>
      <c r="E458" s="22"/>
      <c r="F458" s="28"/>
      <c r="G458" s="22"/>
      <c r="H458" s="21"/>
      <c r="I458" s="28"/>
      <c r="J458" s="22"/>
      <c r="K458" s="22"/>
      <c r="L458" s="22"/>
      <c r="M458" s="21"/>
      <c r="N458" s="22"/>
      <c r="O458" s="29" t="str">
        <f aca="false">IF(A458="","",IF(COUNTIF($A$2:$A$2001,A458)&gt;1,"GANDA","OK"))</f>
        <v/>
      </c>
      <c r="P458" s="29" t="str">
        <f aca="false">IF(A458="","",IF(C458="","KOSONG",IF(AND(LEN(C458)=16,ISNUMBER(--C458)),"OK","TIDAK VALID")))</f>
        <v/>
      </c>
    </row>
    <row r="459" customFormat="false" ht="15" hidden="false" customHeight="false" outlineLevel="0" collapsed="false">
      <c r="A459" s="21"/>
      <c r="B459" s="22"/>
      <c r="C459" s="21"/>
      <c r="D459" s="22"/>
      <c r="E459" s="22"/>
      <c r="F459" s="28"/>
      <c r="G459" s="22"/>
      <c r="H459" s="21"/>
      <c r="I459" s="28"/>
      <c r="J459" s="22"/>
      <c r="K459" s="22"/>
      <c r="L459" s="22"/>
      <c r="M459" s="21"/>
      <c r="N459" s="22"/>
      <c r="O459" s="29" t="str">
        <f aca="false">IF(A459="","",IF(COUNTIF($A$2:$A$2001,A459)&gt;1,"GANDA","OK"))</f>
        <v/>
      </c>
      <c r="P459" s="29" t="str">
        <f aca="false">IF(A459="","",IF(C459="","KOSONG",IF(AND(LEN(C459)=16,ISNUMBER(--C459)),"OK","TIDAK VALID")))</f>
        <v/>
      </c>
    </row>
    <row r="460" customFormat="false" ht="15" hidden="false" customHeight="false" outlineLevel="0" collapsed="false">
      <c r="A460" s="21"/>
      <c r="B460" s="22"/>
      <c r="C460" s="21"/>
      <c r="D460" s="22"/>
      <c r="E460" s="22"/>
      <c r="F460" s="28"/>
      <c r="G460" s="22"/>
      <c r="H460" s="21"/>
      <c r="I460" s="28"/>
      <c r="J460" s="22"/>
      <c r="K460" s="22"/>
      <c r="L460" s="22"/>
      <c r="M460" s="21"/>
      <c r="N460" s="22"/>
      <c r="O460" s="29" t="str">
        <f aca="false">IF(A460="","",IF(COUNTIF($A$2:$A$2001,A460)&gt;1,"GANDA","OK"))</f>
        <v/>
      </c>
      <c r="P460" s="29" t="str">
        <f aca="false">IF(A460="","",IF(C460="","KOSONG",IF(AND(LEN(C460)=16,ISNUMBER(--C460)),"OK","TIDAK VALID")))</f>
        <v/>
      </c>
    </row>
    <row r="461" customFormat="false" ht="15" hidden="false" customHeight="false" outlineLevel="0" collapsed="false">
      <c r="A461" s="21"/>
      <c r="B461" s="22"/>
      <c r="C461" s="21"/>
      <c r="D461" s="22"/>
      <c r="E461" s="22"/>
      <c r="F461" s="28"/>
      <c r="G461" s="22"/>
      <c r="H461" s="21"/>
      <c r="I461" s="28"/>
      <c r="J461" s="22"/>
      <c r="K461" s="22"/>
      <c r="L461" s="22"/>
      <c r="M461" s="21"/>
      <c r="N461" s="22"/>
      <c r="O461" s="29" t="str">
        <f aca="false">IF(A461="","",IF(COUNTIF($A$2:$A$2001,A461)&gt;1,"GANDA","OK"))</f>
        <v/>
      </c>
      <c r="P461" s="29" t="str">
        <f aca="false">IF(A461="","",IF(C461="","KOSONG",IF(AND(LEN(C461)=16,ISNUMBER(--C461)),"OK","TIDAK VALID")))</f>
        <v/>
      </c>
    </row>
    <row r="462" customFormat="false" ht="15" hidden="false" customHeight="false" outlineLevel="0" collapsed="false">
      <c r="A462" s="21"/>
      <c r="B462" s="22"/>
      <c r="C462" s="21"/>
      <c r="D462" s="22"/>
      <c r="E462" s="22"/>
      <c r="F462" s="28"/>
      <c r="G462" s="22"/>
      <c r="H462" s="21"/>
      <c r="I462" s="28"/>
      <c r="J462" s="22"/>
      <c r="K462" s="22"/>
      <c r="L462" s="22"/>
      <c r="M462" s="21"/>
      <c r="N462" s="22"/>
      <c r="O462" s="29" t="str">
        <f aca="false">IF(A462="","",IF(COUNTIF($A$2:$A$2001,A462)&gt;1,"GANDA","OK"))</f>
        <v/>
      </c>
      <c r="P462" s="29" t="str">
        <f aca="false">IF(A462="","",IF(C462="","KOSONG",IF(AND(LEN(C462)=16,ISNUMBER(--C462)),"OK","TIDAK VALID")))</f>
        <v/>
      </c>
    </row>
    <row r="463" customFormat="false" ht="15" hidden="false" customHeight="false" outlineLevel="0" collapsed="false">
      <c r="A463" s="21"/>
      <c r="B463" s="22"/>
      <c r="C463" s="21"/>
      <c r="D463" s="22"/>
      <c r="E463" s="22"/>
      <c r="F463" s="28"/>
      <c r="G463" s="22"/>
      <c r="H463" s="21"/>
      <c r="I463" s="28"/>
      <c r="J463" s="22"/>
      <c r="K463" s="22"/>
      <c r="L463" s="22"/>
      <c r="M463" s="21"/>
      <c r="N463" s="22"/>
      <c r="O463" s="29" t="str">
        <f aca="false">IF(A463="","",IF(COUNTIF($A$2:$A$2001,A463)&gt;1,"GANDA","OK"))</f>
        <v/>
      </c>
      <c r="P463" s="29" t="str">
        <f aca="false">IF(A463="","",IF(C463="","KOSONG",IF(AND(LEN(C463)=16,ISNUMBER(--C463)),"OK","TIDAK VALID")))</f>
        <v/>
      </c>
    </row>
    <row r="464" customFormat="false" ht="15" hidden="false" customHeight="false" outlineLevel="0" collapsed="false">
      <c r="A464" s="21"/>
      <c r="B464" s="22"/>
      <c r="C464" s="21"/>
      <c r="D464" s="22"/>
      <c r="E464" s="22"/>
      <c r="F464" s="28"/>
      <c r="G464" s="22"/>
      <c r="H464" s="21"/>
      <c r="I464" s="28"/>
      <c r="J464" s="22"/>
      <c r="K464" s="22"/>
      <c r="L464" s="22"/>
      <c r="M464" s="21"/>
      <c r="N464" s="22"/>
      <c r="O464" s="29" t="str">
        <f aca="false">IF(A464="","",IF(COUNTIF($A$2:$A$2001,A464)&gt;1,"GANDA","OK"))</f>
        <v/>
      </c>
      <c r="P464" s="29" t="str">
        <f aca="false">IF(A464="","",IF(C464="","KOSONG",IF(AND(LEN(C464)=16,ISNUMBER(--C464)),"OK","TIDAK VALID")))</f>
        <v/>
      </c>
    </row>
    <row r="465" customFormat="false" ht="15" hidden="false" customHeight="false" outlineLevel="0" collapsed="false">
      <c r="A465" s="21"/>
      <c r="B465" s="22"/>
      <c r="C465" s="21"/>
      <c r="D465" s="22"/>
      <c r="E465" s="22"/>
      <c r="F465" s="28"/>
      <c r="G465" s="22"/>
      <c r="H465" s="21"/>
      <c r="I465" s="28"/>
      <c r="J465" s="22"/>
      <c r="K465" s="22"/>
      <c r="L465" s="22"/>
      <c r="M465" s="21"/>
      <c r="N465" s="22"/>
      <c r="O465" s="29" t="str">
        <f aca="false">IF(A465="","",IF(COUNTIF($A$2:$A$2001,A465)&gt;1,"GANDA","OK"))</f>
        <v/>
      </c>
      <c r="P465" s="29" t="str">
        <f aca="false">IF(A465="","",IF(C465="","KOSONG",IF(AND(LEN(C465)=16,ISNUMBER(--C465)),"OK","TIDAK VALID")))</f>
        <v/>
      </c>
    </row>
    <row r="466" customFormat="false" ht="15" hidden="false" customHeight="false" outlineLevel="0" collapsed="false">
      <c r="A466" s="21"/>
      <c r="B466" s="22"/>
      <c r="C466" s="21"/>
      <c r="D466" s="22"/>
      <c r="E466" s="22"/>
      <c r="F466" s="28"/>
      <c r="G466" s="22"/>
      <c r="H466" s="21"/>
      <c r="I466" s="28"/>
      <c r="J466" s="22"/>
      <c r="K466" s="22"/>
      <c r="L466" s="22"/>
      <c r="M466" s="21"/>
      <c r="N466" s="22"/>
      <c r="O466" s="29" t="str">
        <f aca="false">IF(A466="","",IF(COUNTIF($A$2:$A$2001,A466)&gt;1,"GANDA","OK"))</f>
        <v/>
      </c>
      <c r="P466" s="29" t="str">
        <f aca="false">IF(A466="","",IF(C466="","KOSONG",IF(AND(LEN(C466)=16,ISNUMBER(--C466)),"OK","TIDAK VALID")))</f>
        <v/>
      </c>
    </row>
    <row r="467" customFormat="false" ht="15" hidden="false" customHeight="false" outlineLevel="0" collapsed="false">
      <c r="A467" s="21"/>
      <c r="B467" s="22"/>
      <c r="C467" s="21"/>
      <c r="D467" s="22"/>
      <c r="E467" s="22"/>
      <c r="F467" s="28"/>
      <c r="G467" s="22"/>
      <c r="H467" s="21"/>
      <c r="I467" s="28"/>
      <c r="J467" s="22"/>
      <c r="K467" s="22"/>
      <c r="L467" s="22"/>
      <c r="M467" s="21"/>
      <c r="N467" s="22"/>
      <c r="O467" s="29" t="str">
        <f aca="false">IF(A467="","",IF(COUNTIF($A$2:$A$2001,A467)&gt;1,"GANDA","OK"))</f>
        <v/>
      </c>
      <c r="P467" s="29" t="str">
        <f aca="false">IF(A467="","",IF(C467="","KOSONG",IF(AND(LEN(C467)=16,ISNUMBER(--C467)),"OK","TIDAK VALID")))</f>
        <v/>
      </c>
    </row>
    <row r="468" customFormat="false" ht="15" hidden="false" customHeight="false" outlineLevel="0" collapsed="false">
      <c r="A468" s="21"/>
      <c r="B468" s="22"/>
      <c r="C468" s="21"/>
      <c r="D468" s="22"/>
      <c r="E468" s="22"/>
      <c r="F468" s="28"/>
      <c r="G468" s="22"/>
      <c r="H468" s="21"/>
      <c r="I468" s="28"/>
      <c r="J468" s="22"/>
      <c r="K468" s="22"/>
      <c r="L468" s="22"/>
      <c r="M468" s="21"/>
      <c r="N468" s="22"/>
      <c r="O468" s="29" t="str">
        <f aca="false">IF(A468="","",IF(COUNTIF($A$2:$A$2001,A468)&gt;1,"GANDA","OK"))</f>
        <v/>
      </c>
      <c r="P468" s="29" t="str">
        <f aca="false">IF(A468="","",IF(C468="","KOSONG",IF(AND(LEN(C468)=16,ISNUMBER(--C468)),"OK","TIDAK VALID")))</f>
        <v/>
      </c>
    </row>
    <row r="469" customFormat="false" ht="15" hidden="false" customHeight="false" outlineLevel="0" collapsed="false">
      <c r="A469" s="21"/>
      <c r="B469" s="22"/>
      <c r="C469" s="21"/>
      <c r="D469" s="22"/>
      <c r="E469" s="22"/>
      <c r="F469" s="28"/>
      <c r="G469" s="22"/>
      <c r="H469" s="21"/>
      <c r="I469" s="28"/>
      <c r="J469" s="22"/>
      <c r="K469" s="22"/>
      <c r="L469" s="22"/>
      <c r="M469" s="21"/>
      <c r="N469" s="22"/>
      <c r="O469" s="29" t="str">
        <f aca="false">IF(A469="","",IF(COUNTIF($A$2:$A$2001,A469)&gt;1,"GANDA","OK"))</f>
        <v/>
      </c>
      <c r="P469" s="29" t="str">
        <f aca="false">IF(A469="","",IF(C469="","KOSONG",IF(AND(LEN(C469)=16,ISNUMBER(--C469)),"OK","TIDAK VALID")))</f>
        <v/>
      </c>
    </row>
    <row r="470" customFormat="false" ht="15" hidden="false" customHeight="false" outlineLevel="0" collapsed="false">
      <c r="A470" s="21"/>
      <c r="B470" s="22"/>
      <c r="C470" s="21"/>
      <c r="D470" s="22"/>
      <c r="E470" s="22"/>
      <c r="F470" s="28"/>
      <c r="G470" s="22"/>
      <c r="H470" s="21"/>
      <c r="I470" s="28"/>
      <c r="J470" s="22"/>
      <c r="K470" s="22"/>
      <c r="L470" s="22"/>
      <c r="M470" s="21"/>
      <c r="N470" s="22"/>
      <c r="O470" s="29" t="str">
        <f aca="false">IF(A470="","",IF(COUNTIF($A$2:$A$2001,A470)&gt;1,"GANDA","OK"))</f>
        <v/>
      </c>
      <c r="P470" s="29" t="str">
        <f aca="false">IF(A470="","",IF(C470="","KOSONG",IF(AND(LEN(C470)=16,ISNUMBER(--C470)),"OK","TIDAK VALID")))</f>
        <v/>
      </c>
    </row>
    <row r="471" customFormat="false" ht="15" hidden="false" customHeight="false" outlineLevel="0" collapsed="false">
      <c r="A471" s="21"/>
      <c r="B471" s="22"/>
      <c r="C471" s="21"/>
      <c r="D471" s="22"/>
      <c r="E471" s="22"/>
      <c r="F471" s="28"/>
      <c r="G471" s="22"/>
      <c r="H471" s="21"/>
      <c r="I471" s="28"/>
      <c r="J471" s="22"/>
      <c r="K471" s="22"/>
      <c r="L471" s="22"/>
      <c r="M471" s="21"/>
      <c r="N471" s="22"/>
      <c r="O471" s="29" t="str">
        <f aca="false">IF(A471="","",IF(COUNTIF($A$2:$A$2001,A471)&gt;1,"GANDA","OK"))</f>
        <v/>
      </c>
      <c r="P471" s="29" t="str">
        <f aca="false">IF(A471="","",IF(C471="","KOSONG",IF(AND(LEN(C471)=16,ISNUMBER(--C471)),"OK","TIDAK VALID")))</f>
        <v/>
      </c>
    </row>
    <row r="472" customFormat="false" ht="15" hidden="false" customHeight="false" outlineLevel="0" collapsed="false">
      <c r="A472" s="21"/>
      <c r="B472" s="22"/>
      <c r="C472" s="21"/>
      <c r="D472" s="22"/>
      <c r="E472" s="22"/>
      <c r="F472" s="28"/>
      <c r="G472" s="22"/>
      <c r="H472" s="21"/>
      <c r="I472" s="28"/>
      <c r="J472" s="22"/>
      <c r="K472" s="22"/>
      <c r="L472" s="22"/>
      <c r="M472" s="21"/>
      <c r="N472" s="22"/>
      <c r="O472" s="29" t="str">
        <f aca="false">IF(A472="","",IF(COUNTIF($A$2:$A$2001,A472)&gt;1,"GANDA","OK"))</f>
        <v/>
      </c>
      <c r="P472" s="29" t="str">
        <f aca="false">IF(A472="","",IF(C472="","KOSONG",IF(AND(LEN(C472)=16,ISNUMBER(--C472)),"OK","TIDAK VALID")))</f>
        <v/>
      </c>
    </row>
    <row r="473" customFormat="false" ht="15" hidden="false" customHeight="false" outlineLevel="0" collapsed="false">
      <c r="A473" s="21"/>
      <c r="B473" s="22"/>
      <c r="C473" s="21"/>
      <c r="D473" s="22"/>
      <c r="E473" s="22"/>
      <c r="F473" s="28"/>
      <c r="G473" s="22"/>
      <c r="H473" s="21"/>
      <c r="I473" s="28"/>
      <c r="J473" s="22"/>
      <c r="K473" s="22"/>
      <c r="L473" s="22"/>
      <c r="M473" s="21"/>
      <c r="N473" s="22"/>
      <c r="O473" s="29" t="str">
        <f aca="false">IF(A473="","",IF(COUNTIF($A$2:$A$2001,A473)&gt;1,"GANDA","OK"))</f>
        <v/>
      </c>
      <c r="P473" s="29" t="str">
        <f aca="false">IF(A473="","",IF(C473="","KOSONG",IF(AND(LEN(C473)=16,ISNUMBER(--C473)),"OK","TIDAK VALID")))</f>
        <v/>
      </c>
    </row>
    <row r="474" customFormat="false" ht="15" hidden="false" customHeight="false" outlineLevel="0" collapsed="false">
      <c r="A474" s="21"/>
      <c r="B474" s="22"/>
      <c r="C474" s="21"/>
      <c r="D474" s="22"/>
      <c r="E474" s="22"/>
      <c r="F474" s="28"/>
      <c r="G474" s="22"/>
      <c r="H474" s="21"/>
      <c r="I474" s="28"/>
      <c r="J474" s="22"/>
      <c r="K474" s="22"/>
      <c r="L474" s="22"/>
      <c r="M474" s="21"/>
      <c r="N474" s="22"/>
      <c r="O474" s="29" t="str">
        <f aca="false">IF(A474="","",IF(COUNTIF($A$2:$A$2001,A474)&gt;1,"GANDA","OK"))</f>
        <v/>
      </c>
      <c r="P474" s="29" t="str">
        <f aca="false">IF(A474="","",IF(C474="","KOSONG",IF(AND(LEN(C474)=16,ISNUMBER(--C474)),"OK","TIDAK VALID")))</f>
        <v/>
      </c>
    </row>
    <row r="475" customFormat="false" ht="15" hidden="false" customHeight="false" outlineLevel="0" collapsed="false">
      <c r="A475" s="21"/>
      <c r="B475" s="22"/>
      <c r="C475" s="21"/>
      <c r="D475" s="22"/>
      <c r="E475" s="22"/>
      <c r="F475" s="28"/>
      <c r="G475" s="22"/>
      <c r="H475" s="21"/>
      <c r="I475" s="28"/>
      <c r="J475" s="22"/>
      <c r="K475" s="22"/>
      <c r="L475" s="22"/>
      <c r="M475" s="21"/>
      <c r="N475" s="22"/>
      <c r="O475" s="29" t="str">
        <f aca="false">IF(A475="","",IF(COUNTIF($A$2:$A$2001,A475)&gt;1,"GANDA","OK"))</f>
        <v/>
      </c>
      <c r="P475" s="29" t="str">
        <f aca="false">IF(A475="","",IF(C475="","KOSONG",IF(AND(LEN(C475)=16,ISNUMBER(--C475)),"OK","TIDAK VALID")))</f>
        <v/>
      </c>
    </row>
    <row r="476" customFormat="false" ht="15" hidden="false" customHeight="false" outlineLevel="0" collapsed="false">
      <c r="A476" s="21"/>
      <c r="B476" s="22"/>
      <c r="C476" s="21"/>
      <c r="D476" s="22"/>
      <c r="E476" s="22"/>
      <c r="F476" s="28"/>
      <c r="G476" s="22"/>
      <c r="H476" s="21"/>
      <c r="I476" s="28"/>
      <c r="J476" s="22"/>
      <c r="K476" s="22"/>
      <c r="L476" s="22"/>
      <c r="M476" s="21"/>
      <c r="N476" s="22"/>
      <c r="O476" s="29" t="str">
        <f aca="false">IF(A476="","",IF(COUNTIF($A$2:$A$2001,A476)&gt;1,"GANDA","OK"))</f>
        <v/>
      </c>
      <c r="P476" s="29" t="str">
        <f aca="false">IF(A476="","",IF(C476="","KOSONG",IF(AND(LEN(C476)=16,ISNUMBER(--C476)),"OK","TIDAK VALID")))</f>
        <v/>
      </c>
    </row>
    <row r="477" customFormat="false" ht="15" hidden="false" customHeight="false" outlineLevel="0" collapsed="false">
      <c r="A477" s="21"/>
      <c r="B477" s="22"/>
      <c r="C477" s="21"/>
      <c r="D477" s="22"/>
      <c r="E477" s="22"/>
      <c r="F477" s="28"/>
      <c r="G477" s="22"/>
      <c r="H477" s="21"/>
      <c r="I477" s="28"/>
      <c r="J477" s="22"/>
      <c r="K477" s="22"/>
      <c r="L477" s="22"/>
      <c r="M477" s="21"/>
      <c r="N477" s="22"/>
      <c r="O477" s="29" t="str">
        <f aca="false">IF(A477="","",IF(COUNTIF($A$2:$A$2001,A477)&gt;1,"GANDA","OK"))</f>
        <v/>
      </c>
      <c r="P477" s="29" t="str">
        <f aca="false">IF(A477="","",IF(C477="","KOSONG",IF(AND(LEN(C477)=16,ISNUMBER(--C477)),"OK","TIDAK VALID")))</f>
        <v/>
      </c>
    </row>
    <row r="478" customFormat="false" ht="15" hidden="false" customHeight="false" outlineLevel="0" collapsed="false">
      <c r="A478" s="21"/>
      <c r="B478" s="22"/>
      <c r="C478" s="21"/>
      <c r="D478" s="22"/>
      <c r="E478" s="22"/>
      <c r="F478" s="28"/>
      <c r="G478" s="22"/>
      <c r="H478" s="21"/>
      <c r="I478" s="28"/>
      <c r="J478" s="22"/>
      <c r="K478" s="22"/>
      <c r="L478" s="22"/>
      <c r="M478" s="21"/>
      <c r="N478" s="22"/>
      <c r="O478" s="29" t="str">
        <f aca="false">IF(A478="","",IF(COUNTIF($A$2:$A$2001,A478)&gt;1,"GANDA","OK"))</f>
        <v/>
      </c>
      <c r="P478" s="29" t="str">
        <f aca="false">IF(A478="","",IF(C478="","KOSONG",IF(AND(LEN(C478)=16,ISNUMBER(--C478)),"OK","TIDAK VALID")))</f>
        <v/>
      </c>
    </row>
    <row r="479" customFormat="false" ht="15" hidden="false" customHeight="false" outlineLevel="0" collapsed="false">
      <c r="A479" s="21"/>
      <c r="B479" s="22"/>
      <c r="C479" s="21"/>
      <c r="D479" s="22"/>
      <c r="E479" s="22"/>
      <c r="F479" s="28"/>
      <c r="G479" s="22"/>
      <c r="H479" s="21"/>
      <c r="I479" s="28"/>
      <c r="J479" s="22"/>
      <c r="K479" s="22"/>
      <c r="L479" s="22"/>
      <c r="M479" s="21"/>
      <c r="N479" s="22"/>
      <c r="O479" s="29" t="str">
        <f aca="false">IF(A479="","",IF(COUNTIF($A$2:$A$2001,A479)&gt;1,"GANDA","OK"))</f>
        <v/>
      </c>
      <c r="P479" s="29" t="str">
        <f aca="false">IF(A479="","",IF(C479="","KOSONG",IF(AND(LEN(C479)=16,ISNUMBER(--C479)),"OK","TIDAK VALID")))</f>
        <v/>
      </c>
    </row>
    <row r="480" customFormat="false" ht="15" hidden="false" customHeight="false" outlineLevel="0" collapsed="false">
      <c r="A480" s="21"/>
      <c r="B480" s="22"/>
      <c r="C480" s="21"/>
      <c r="D480" s="22"/>
      <c r="E480" s="22"/>
      <c r="F480" s="28"/>
      <c r="G480" s="22"/>
      <c r="H480" s="21"/>
      <c r="I480" s="28"/>
      <c r="J480" s="22"/>
      <c r="K480" s="22"/>
      <c r="L480" s="22"/>
      <c r="M480" s="21"/>
      <c r="N480" s="22"/>
      <c r="O480" s="29" t="str">
        <f aca="false">IF(A480="","",IF(COUNTIF($A$2:$A$2001,A480)&gt;1,"GANDA","OK"))</f>
        <v/>
      </c>
      <c r="P480" s="29" t="str">
        <f aca="false">IF(A480="","",IF(C480="","KOSONG",IF(AND(LEN(C480)=16,ISNUMBER(--C480)),"OK","TIDAK VALID")))</f>
        <v/>
      </c>
    </row>
    <row r="481" customFormat="false" ht="15" hidden="false" customHeight="false" outlineLevel="0" collapsed="false">
      <c r="A481" s="21"/>
      <c r="B481" s="22"/>
      <c r="C481" s="21"/>
      <c r="D481" s="22"/>
      <c r="E481" s="22"/>
      <c r="F481" s="28"/>
      <c r="G481" s="22"/>
      <c r="H481" s="21"/>
      <c r="I481" s="28"/>
      <c r="J481" s="22"/>
      <c r="K481" s="22"/>
      <c r="L481" s="22"/>
      <c r="M481" s="21"/>
      <c r="N481" s="22"/>
      <c r="O481" s="29" t="str">
        <f aca="false">IF(A481="","",IF(COUNTIF($A$2:$A$2001,A481)&gt;1,"GANDA","OK"))</f>
        <v/>
      </c>
      <c r="P481" s="29" t="str">
        <f aca="false">IF(A481="","",IF(C481="","KOSONG",IF(AND(LEN(C481)=16,ISNUMBER(--C481)),"OK","TIDAK VALID")))</f>
        <v/>
      </c>
    </row>
    <row r="482" customFormat="false" ht="15" hidden="false" customHeight="false" outlineLevel="0" collapsed="false">
      <c r="A482" s="21"/>
      <c r="B482" s="22"/>
      <c r="C482" s="21"/>
      <c r="D482" s="22"/>
      <c r="E482" s="22"/>
      <c r="F482" s="28"/>
      <c r="G482" s="22"/>
      <c r="H482" s="21"/>
      <c r="I482" s="28"/>
      <c r="J482" s="22"/>
      <c r="K482" s="22"/>
      <c r="L482" s="22"/>
      <c r="M482" s="21"/>
      <c r="N482" s="22"/>
      <c r="O482" s="29" t="str">
        <f aca="false">IF(A482="","",IF(COUNTIF($A$2:$A$2001,A482)&gt;1,"GANDA","OK"))</f>
        <v/>
      </c>
      <c r="P482" s="29" t="str">
        <f aca="false">IF(A482="","",IF(C482="","KOSONG",IF(AND(LEN(C482)=16,ISNUMBER(--C482)),"OK","TIDAK VALID")))</f>
        <v/>
      </c>
    </row>
    <row r="483" customFormat="false" ht="15" hidden="false" customHeight="false" outlineLevel="0" collapsed="false">
      <c r="A483" s="21"/>
      <c r="B483" s="22"/>
      <c r="C483" s="21"/>
      <c r="D483" s="22"/>
      <c r="E483" s="22"/>
      <c r="F483" s="28"/>
      <c r="G483" s="22"/>
      <c r="H483" s="21"/>
      <c r="I483" s="28"/>
      <c r="J483" s="22"/>
      <c r="K483" s="22"/>
      <c r="L483" s="22"/>
      <c r="M483" s="21"/>
      <c r="N483" s="22"/>
      <c r="O483" s="29" t="str">
        <f aca="false">IF(A483="","",IF(COUNTIF($A$2:$A$2001,A483)&gt;1,"GANDA","OK"))</f>
        <v/>
      </c>
      <c r="P483" s="29" t="str">
        <f aca="false">IF(A483="","",IF(C483="","KOSONG",IF(AND(LEN(C483)=16,ISNUMBER(--C483)),"OK","TIDAK VALID")))</f>
        <v/>
      </c>
    </row>
    <row r="484" customFormat="false" ht="15" hidden="false" customHeight="false" outlineLevel="0" collapsed="false">
      <c r="A484" s="21"/>
      <c r="B484" s="22"/>
      <c r="C484" s="21"/>
      <c r="D484" s="22"/>
      <c r="E484" s="22"/>
      <c r="F484" s="28"/>
      <c r="G484" s="22"/>
      <c r="H484" s="21"/>
      <c r="I484" s="28"/>
      <c r="J484" s="22"/>
      <c r="K484" s="22"/>
      <c r="L484" s="22"/>
      <c r="M484" s="21"/>
      <c r="N484" s="22"/>
      <c r="O484" s="29" t="str">
        <f aca="false">IF(A484="","",IF(COUNTIF($A$2:$A$2001,A484)&gt;1,"GANDA","OK"))</f>
        <v/>
      </c>
      <c r="P484" s="29" t="str">
        <f aca="false">IF(A484="","",IF(C484="","KOSONG",IF(AND(LEN(C484)=16,ISNUMBER(--C484)),"OK","TIDAK VALID")))</f>
        <v/>
      </c>
    </row>
    <row r="485" customFormat="false" ht="15" hidden="false" customHeight="false" outlineLevel="0" collapsed="false">
      <c r="A485" s="21"/>
      <c r="B485" s="22"/>
      <c r="C485" s="21"/>
      <c r="D485" s="22"/>
      <c r="E485" s="22"/>
      <c r="F485" s="28"/>
      <c r="G485" s="22"/>
      <c r="H485" s="21"/>
      <c r="I485" s="28"/>
      <c r="J485" s="22"/>
      <c r="K485" s="22"/>
      <c r="L485" s="22"/>
      <c r="M485" s="21"/>
      <c r="N485" s="22"/>
      <c r="O485" s="29" t="str">
        <f aca="false">IF(A485="","",IF(COUNTIF($A$2:$A$2001,A485)&gt;1,"GANDA","OK"))</f>
        <v/>
      </c>
      <c r="P485" s="29" t="str">
        <f aca="false">IF(A485="","",IF(C485="","KOSONG",IF(AND(LEN(C485)=16,ISNUMBER(--C485)),"OK","TIDAK VALID")))</f>
        <v/>
      </c>
    </row>
    <row r="486" customFormat="false" ht="15" hidden="false" customHeight="false" outlineLevel="0" collapsed="false">
      <c r="A486" s="21"/>
      <c r="B486" s="22"/>
      <c r="C486" s="21"/>
      <c r="D486" s="22"/>
      <c r="E486" s="22"/>
      <c r="F486" s="28"/>
      <c r="G486" s="22"/>
      <c r="H486" s="21"/>
      <c r="I486" s="28"/>
      <c r="J486" s="22"/>
      <c r="K486" s="22"/>
      <c r="L486" s="22"/>
      <c r="M486" s="21"/>
      <c r="N486" s="22"/>
      <c r="O486" s="29" t="str">
        <f aca="false">IF(A486="","",IF(COUNTIF($A$2:$A$2001,A486)&gt;1,"GANDA","OK"))</f>
        <v/>
      </c>
      <c r="P486" s="29" t="str">
        <f aca="false">IF(A486="","",IF(C486="","KOSONG",IF(AND(LEN(C486)=16,ISNUMBER(--C486)),"OK","TIDAK VALID")))</f>
        <v/>
      </c>
    </row>
    <row r="487" customFormat="false" ht="15" hidden="false" customHeight="false" outlineLevel="0" collapsed="false">
      <c r="A487" s="21"/>
      <c r="B487" s="22"/>
      <c r="C487" s="21"/>
      <c r="D487" s="22"/>
      <c r="E487" s="22"/>
      <c r="F487" s="28"/>
      <c r="G487" s="22"/>
      <c r="H487" s="21"/>
      <c r="I487" s="28"/>
      <c r="J487" s="22"/>
      <c r="K487" s="22"/>
      <c r="L487" s="22"/>
      <c r="M487" s="21"/>
      <c r="N487" s="22"/>
      <c r="O487" s="29" t="str">
        <f aca="false">IF(A487="","",IF(COUNTIF($A$2:$A$2001,A487)&gt;1,"GANDA","OK"))</f>
        <v/>
      </c>
      <c r="P487" s="29" t="str">
        <f aca="false">IF(A487="","",IF(C487="","KOSONG",IF(AND(LEN(C487)=16,ISNUMBER(--C487)),"OK","TIDAK VALID")))</f>
        <v/>
      </c>
    </row>
    <row r="488" customFormat="false" ht="15" hidden="false" customHeight="false" outlineLevel="0" collapsed="false">
      <c r="A488" s="21"/>
      <c r="B488" s="22"/>
      <c r="C488" s="21"/>
      <c r="D488" s="22"/>
      <c r="E488" s="22"/>
      <c r="F488" s="28"/>
      <c r="G488" s="22"/>
      <c r="H488" s="21"/>
      <c r="I488" s="28"/>
      <c r="J488" s="22"/>
      <c r="K488" s="22"/>
      <c r="L488" s="22"/>
      <c r="M488" s="21"/>
      <c r="N488" s="22"/>
      <c r="O488" s="29" t="str">
        <f aca="false">IF(A488="","",IF(COUNTIF($A$2:$A$2001,A488)&gt;1,"GANDA","OK"))</f>
        <v/>
      </c>
      <c r="P488" s="29" t="str">
        <f aca="false">IF(A488="","",IF(C488="","KOSONG",IF(AND(LEN(C488)=16,ISNUMBER(--C488)),"OK","TIDAK VALID")))</f>
        <v/>
      </c>
    </row>
    <row r="489" customFormat="false" ht="15" hidden="false" customHeight="false" outlineLevel="0" collapsed="false">
      <c r="A489" s="21"/>
      <c r="B489" s="22"/>
      <c r="C489" s="21"/>
      <c r="D489" s="22"/>
      <c r="E489" s="22"/>
      <c r="F489" s="28"/>
      <c r="G489" s="22"/>
      <c r="H489" s="21"/>
      <c r="I489" s="28"/>
      <c r="J489" s="22"/>
      <c r="K489" s="22"/>
      <c r="L489" s="22"/>
      <c r="M489" s="21"/>
      <c r="N489" s="22"/>
      <c r="O489" s="29" t="str">
        <f aca="false">IF(A489="","",IF(COUNTIF($A$2:$A$2001,A489)&gt;1,"GANDA","OK"))</f>
        <v/>
      </c>
      <c r="P489" s="29" t="str">
        <f aca="false">IF(A489="","",IF(C489="","KOSONG",IF(AND(LEN(C489)=16,ISNUMBER(--C489)),"OK","TIDAK VALID")))</f>
        <v/>
      </c>
    </row>
    <row r="490" customFormat="false" ht="15" hidden="false" customHeight="false" outlineLevel="0" collapsed="false">
      <c r="A490" s="21"/>
      <c r="B490" s="22"/>
      <c r="C490" s="21"/>
      <c r="D490" s="22"/>
      <c r="E490" s="22"/>
      <c r="F490" s="28"/>
      <c r="G490" s="22"/>
      <c r="H490" s="21"/>
      <c r="I490" s="28"/>
      <c r="J490" s="22"/>
      <c r="K490" s="22"/>
      <c r="L490" s="22"/>
      <c r="M490" s="21"/>
      <c r="N490" s="22"/>
      <c r="O490" s="29" t="str">
        <f aca="false">IF(A490="","",IF(COUNTIF($A$2:$A$2001,A490)&gt;1,"GANDA","OK"))</f>
        <v/>
      </c>
      <c r="P490" s="29" t="str">
        <f aca="false">IF(A490="","",IF(C490="","KOSONG",IF(AND(LEN(C490)=16,ISNUMBER(--C490)),"OK","TIDAK VALID")))</f>
        <v/>
      </c>
    </row>
    <row r="491" customFormat="false" ht="15" hidden="false" customHeight="false" outlineLevel="0" collapsed="false">
      <c r="A491" s="21"/>
      <c r="B491" s="22"/>
      <c r="C491" s="21"/>
      <c r="D491" s="22"/>
      <c r="E491" s="22"/>
      <c r="F491" s="28"/>
      <c r="G491" s="22"/>
      <c r="H491" s="21"/>
      <c r="I491" s="28"/>
      <c r="J491" s="22"/>
      <c r="K491" s="22"/>
      <c r="L491" s="22"/>
      <c r="M491" s="21"/>
      <c r="N491" s="22"/>
      <c r="O491" s="29" t="str">
        <f aca="false">IF(A491="","",IF(COUNTIF($A$2:$A$2001,A491)&gt;1,"GANDA","OK"))</f>
        <v/>
      </c>
      <c r="P491" s="29" t="str">
        <f aca="false">IF(A491="","",IF(C491="","KOSONG",IF(AND(LEN(C491)=16,ISNUMBER(--C491)),"OK","TIDAK VALID")))</f>
        <v/>
      </c>
    </row>
    <row r="492" customFormat="false" ht="15" hidden="false" customHeight="false" outlineLevel="0" collapsed="false">
      <c r="A492" s="21"/>
      <c r="B492" s="22"/>
      <c r="C492" s="21"/>
      <c r="D492" s="22"/>
      <c r="E492" s="22"/>
      <c r="F492" s="28"/>
      <c r="G492" s="22"/>
      <c r="H492" s="21"/>
      <c r="I492" s="28"/>
      <c r="J492" s="22"/>
      <c r="K492" s="22"/>
      <c r="L492" s="22"/>
      <c r="M492" s="21"/>
      <c r="N492" s="22"/>
      <c r="O492" s="29" t="str">
        <f aca="false">IF(A492="","",IF(COUNTIF($A$2:$A$2001,A492)&gt;1,"GANDA","OK"))</f>
        <v/>
      </c>
      <c r="P492" s="29" t="str">
        <f aca="false">IF(A492="","",IF(C492="","KOSONG",IF(AND(LEN(C492)=16,ISNUMBER(--C492)),"OK","TIDAK VALID")))</f>
        <v/>
      </c>
    </row>
    <row r="493" customFormat="false" ht="15" hidden="false" customHeight="false" outlineLevel="0" collapsed="false">
      <c r="A493" s="21"/>
      <c r="B493" s="22"/>
      <c r="C493" s="21"/>
      <c r="D493" s="22"/>
      <c r="E493" s="22"/>
      <c r="F493" s="28"/>
      <c r="G493" s="22"/>
      <c r="H493" s="21"/>
      <c r="I493" s="28"/>
      <c r="J493" s="22"/>
      <c r="K493" s="22"/>
      <c r="L493" s="22"/>
      <c r="M493" s="21"/>
      <c r="N493" s="22"/>
      <c r="O493" s="29" t="str">
        <f aca="false">IF(A493="","",IF(COUNTIF($A$2:$A$2001,A493)&gt;1,"GANDA","OK"))</f>
        <v/>
      </c>
      <c r="P493" s="29" t="str">
        <f aca="false">IF(A493="","",IF(C493="","KOSONG",IF(AND(LEN(C493)=16,ISNUMBER(--C493)),"OK","TIDAK VALID")))</f>
        <v/>
      </c>
    </row>
    <row r="494" customFormat="false" ht="15" hidden="false" customHeight="false" outlineLevel="0" collapsed="false">
      <c r="A494" s="21"/>
      <c r="B494" s="22"/>
      <c r="C494" s="21"/>
      <c r="D494" s="22"/>
      <c r="E494" s="22"/>
      <c r="F494" s="28"/>
      <c r="G494" s="22"/>
      <c r="H494" s="21"/>
      <c r="I494" s="28"/>
      <c r="J494" s="22"/>
      <c r="K494" s="22"/>
      <c r="L494" s="22"/>
      <c r="M494" s="21"/>
      <c r="N494" s="22"/>
      <c r="O494" s="29" t="str">
        <f aca="false">IF(A494="","",IF(COUNTIF($A$2:$A$2001,A494)&gt;1,"GANDA","OK"))</f>
        <v/>
      </c>
      <c r="P494" s="29" t="str">
        <f aca="false">IF(A494="","",IF(C494="","KOSONG",IF(AND(LEN(C494)=16,ISNUMBER(--C494)),"OK","TIDAK VALID")))</f>
        <v/>
      </c>
    </row>
    <row r="495" customFormat="false" ht="15" hidden="false" customHeight="false" outlineLevel="0" collapsed="false">
      <c r="A495" s="21"/>
      <c r="B495" s="22"/>
      <c r="C495" s="21"/>
      <c r="D495" s="22"/>
      <c r="E495" s="22"/>
      <c r="F495" s="28"/>
      <c r="G495" s="22"/>
      <c r="H495" s="21"/>
      <c r="I495" s="28"/>
      <c r="J495" s="22"/>
      <c r="K495" s="22"/>
      <c r="L495" s="22"/>
      <c r="M495" s="21"/>
      <c r="N495" s="22"/>
      <c r="O495" s="29" t="str">
        <f aca="false">IF(A495="","",IF(COUNTIF($A$2:$A$2001,A495)&gt;1,"GANDA","OK"))</f>
        <v/>
      </c>
      <c r="P495" s="29" t="str">
        <f aca="false">IF(A495="","",IF(C495="","KOSONG",IF(AND(LEN(C495)=16,ISNUMBER(--C495)),"OK","TIDAK VALID")))</f>
        <v/>
      </c>
    </row>
    <row r="496" customFormat="false" ht="15" hidden="false" customHeight="false" outlineLevel="0" collapsed="false">
      <c r="A496" s="21"/>
      <c r="B496" s="22"/>
      <c r="C496" s="21"/>
      <c r="D496" s="22"/>
      <c r="E496" s="22"/>
      <c r="F496" s="28"/>
      <c r="G496" s="22"/>
      <c r="H496" s="21"/>
      <c r="I496" s="28"/>
      <c r="J496" s="22"/>
      <c r="K496" s="22"/>
      <c r="L496" s="22"/>
      <c r="M496" s="21"/>
      <c r="N496" s="22"/>
      <c r="O496" s="29" t="str">
        <f aca="false">IF(A496="","",IF(COUNTIF($A$2:$A$2001,A496)&gt;1,"GANDA","OK"))</f>
        <v/>
      </c>
      <c r="P496" s="29" t="str">
        <f aca="false">IF(A496="","",IF(C496="","KOSONG",IF(AND(LEN(C496)=16,ISNUMBER(--C496)),"OK","TIDAK VALID")))</f>
        <v/>
      </c>
    </row>
    <row r="497" customFormat="false" ht="15" hidden="false" customHeight="false" outlineLevel="0" collapsed="false">
      <c r="A497" s="21"/>
      <c r="B497" s="22"/>
      <c r="C497" s="21"/>
      <c r="D497" s="22"/>
      <c r="E497" s="22"/>
      <c r="F497" s="28"/>
      <c r="G497" s="22"/>
      <c r="H497" s="21"/>
      <c r="I497" s="28"/>
      <c r="J497" s="22"/>
      <c r="K497" s="22"/>
      <c r="L497" s="22"/>
      <c r="M497" s="21"/>
      <c r="N497" s="22"/>
      <c r="O497" s="29" t="str">
        <f aca="false">IF(A497="","",IF(COUNTIF($A$2:$A$2001,A497)&gt;1,"GANDA","OK"))</f>
        <v/>
      </c>
      <c r="P497" s="29" t="str">
        <f aca="false">IF(A497="","",IF(C497="","KOSONG",IF(AND(LEN(C497)=16,ISNUMBER(--C497)),"OK","TIDAK VALID")))</f>
        <v/>
      </c>
    </row>
    <row r="498" customFormat="false" ht="15" hidden="false" customHeight="false" outlineLevel="0" collapsed="false">
      <c r="A498" s="21"/>
      <c r="B498" s="22"/>
      <c r="C498" s="21"/>
      <c r="D498" s="22"/>
      <c r="E498" s="22"/>
      <c r="F498" s="28"/>
      <c r="G498" s="22"/>
      <c r="H498" s="21"/>
      <c r="I498" s="28"/>
      <c r="J498" s="22"/>
      <c r="K498" s="22"/>
      <c r="L498" s="22"/>
      <c r="M498" s="21"/>
      <c r="N498" s="22"/>
      <c r="O498" s="29" t="str">
        <f aca="false">IF(A498="","",IF(COUNTIF($A$2:$A$2001,A498)&gt;1,"GANDA","OK"))</f>
        <v/>
      </c>
      <c r="P498" s="29" t="str">
        <f aca="false">IF(A498="","",IF(C498="","KOSONG",IF(AND(LEN(C498)=16,ISNUMBER(--C498)),"OK","TIDAK VALID")))</f>
        <v/>
      </c>
    </row>
    <row r="499" customFormat="false" ht="15" hidden="false" customHeight="false" outlineLevel="0" collapsed="false">
      <c r="A499" s="21"/>
      <c r="B499" s="22"/>
      <c r="C499" s="21"/>
      <c r="D499" s="22"/>
      <c r="E499" s="22"/>
      <c r="F499" s="28"/>
      <c r="G499" s="22"/>
      <c r="H499" s="21"/>
      <c r="I499" s="28"/>
      <c r="J499" s="22"/>
      <c r="K499" s="22"/>
      <c r="L499" s="22"/>
      <c r="M499" s="21"/>
      <c r="N499" s="22"/>
      <c r="O499" s="29" t="str">
        <f aca="false">IF(A499="","",IF(COUNTIF($A$2:$A$2001,A499)&gt;1,"GANDA","OK"))</f>
        <v/>
      </c>
      <c r="P499" s="29" t="str">
        <f aca="false">IF(A499="","",IF(C499="","KOSONG",IF(AND(LEN(C499)=16,ISNUMBER(--C499)),"OK","TIDAK VALID")))</f>
        <v/>
      </c>
    </row>
    <row r="500" customFormat="false" ht="15" hidden="false" customHeight="false" outlineLevel="0" collapsed="false">
      <c r="A500" s="21"/>
      <c r="B500" s="22"/>
      <c r="C500" s="21"/>
      <c r="D500" s="22"/>
      <c r="E500" s="22"/>
      <c r="F500" s="28"/>
      <c r="G500" s="22"/>
      <c r="H500" s="21"/>
      <c r="I500" s="28"/>
      <c r="J500" s="22"/>
      <c r="K500" s="22"/>
      <c r="L500" s="22"/>
      <c r="M500" s="21"/>
      <c r="N500" s="22"/>
      <c r="O500" s="29" t="str">
        <f aca="false">IF(A500="","",IF(COUNTIF($A$2:$A$2001,A500)&gt;1,"GANDA","OK"))</f>
        <v/>
      </c>
      <c r="P500" s="29" t="str">
        <f aca="false">IF(A500="","",IF(C500="","KOSONG",IF(AND(LEN(C500)=16,ISNUMBER(--C500)),"OK","TIDAK VALID")))</f>
        <v/>
      </c>
    </row>
    <row r="501" customFormat="false" ht="15" hidden="false" customHeight="false" outlineLevel="0" collapsed="false">
      <c r="A501" s="21"/>
      <c r="B501" s="22"/>
      <c r="C501" s="21"/>
      <c r="D501" s="22"/>
      <c r="E501" s="22"/>
      <c r="F501" s="28"/>
      <c r="G501" s="22"/>
      <c r="H501" s="21"/>
      <c r="I501" s="28"/>
      <c r="J501" s="22"/>
      <c r="K501" s="22"/>
      <c r="L501" s="22"/>
      <c r="M501" s="21"/>
      <c r="N501" s="22"/>
      <c r="O501" s="29" t="str">
        <f aca="false">IF(A501="","",IF(COUNTIF($A$2:$A$2001,A501)&gt;1,"GANDA","OK"))</f>
        <v/>
      </c>
      <c r="P501" s="29" t="str">
        <f aca="false">IF(A501="","",IF(C501="","KOSONG",IF(AND(LEN(C501)=16,ISNUMBER(--C501)),"OK","TIDAK VALID")))</f>
        <v/>
      </c>
    </row>
    <row r="502" customFormat="false" ht="15" hidden="false" customHeight="false" outlineLevel="0" collapsed="false">
      <c r="A502" s="21"/>
      <c r="B502" s="22"/>
      <c r="C502" s="21"/>
      <c r="D502" s="22"/>
      <c r="E502" s="22"/>
      <c r="F502" s="28"/>
      <c r="G502" s="22"/>
      <c r="H502" s="21"/>
      <c r="I502" s="28"/>
      <c r="J502" s="22"/>
      <c r="K502" s="22"/>
      <c r="L502" s="22"/>
      <c r="M502" s="21"/>
      <c r="N502" s="22"/>
      <c r="O502" s="29" t="str">
        <f aca="false">IF(A502="","",IF(COUNTIF($A$2:$A$2001,A502)&gt;1,"GANDA","OK"))</f>
        <v/>
      </c>
      <c r="P502" s="29" t="str">
        <f aca="false">IF(A502="","",IF(C502="","KOSONG",IF(AND(LEN(C502)=16,ISNUMBER(--C502)),"OK","TIDAK VALID")))</f>
        <v/>
      </c>
    </row>
    <row r="503" customFormat="false" ht="15" hidden="false" customHeight="false" outlineLevel="0" collapsed="false">
      <c r="A503" s="21"/>
      <c r="B503" s="22"/>
      <c r="C503" s="21"/>
      <c r="D503" s="22"/>
      <c r="E503" s="22"/>
      <c r="F503" s="28"/>
      <c r="G503" s="22"/>
      <c r="H503" s="21"/>
      <c r="I503" s="28"/>
      <c r="J503" s="22"/>
      <c r="K503" s="22"/>
      <c r="L503" s="22"/>
      <c r="M503" s="21"/>
      <c r="N503" s="22"/>
      <c r="O503" s="29" t="str">
        <f aca="false">IF(A503="","",IF(COUNTIF($A$2:$A$2001,A503)&gt;1,"GANDA","OK"))</f>
        <v/>
      </c>
      <c r="P503" s="29" t="str">
        <f aca="false">IF(A503="","",IF(C503="","KOSONG",IF(AND(LEN(C503)=16,ISNUMBER(--C503)),"OK","TIDAK VALID")))</f>
        <v/>
      </c>
    </row>
    <row r="504" customFormat="false" ht="15" hidden="false" customHeight="false" outlineLevel="0" collapsed="false">
      <c r="A504" s="21"/>
      <c r="B504" s="22"/>
      <c r="C504" s="21"/>
      <c r="D504" s="22"/>
      <c r="E504" s="22"/>
      <c r="F504" s="28"/>
      <c r="G504" s="22"/>
      <c r="H504" s="21"/>
      <c r="I504" s="28"/>
      <c r="J504" s="22"/>
      <c r="K504" s="22"/>
      <c r="L504" s="22"/>
      <c r="M504" s="21"/>
      <c r="N504" s="22"/>
      <c r="O504" s="29" t="str">
        <f aca="false">IF(A504="","",IF(COUNTIF($A$2:$A$2001,A504)&gt;1,"GANDA","OK"))</f>
        <v/>
      </c>
      <c r="P504" s="29" t="str">
        <f aca="false">IF(A504="","",IF(C504="","KOSONG",IF(AND(LEN(C504)=16,ISNUMBER(--C504)),"OK","TIDAK VALID")))</f>
        <v/>
      </c>
    </row>
    <row r="505" customFormat="false" ht="15" hidden="false" customHeight="false" outlineLevel="0" collapsed="false">
      <c r="A505" s="21"/>
      <c r="B505" s="22"/>
      <c r="C505" s="21"/>
      <c r="D505" s="22"/>
      <c r="E505" s="22"/>
      <c r="F505" s="28"/>
      <c r="G505" s="22"/>
      <c r="H505" s="21"/>
      <c r="I505" s="28"/>
      <c r="J505" s="22"/>
      <c r="K505" s="22"/>
      <c r="L505" s="22"/>
      <c r="M505" s="21"/>
      <c r="N505" s="22"/>
      <c r="O505" s="29" t="str">
        <f aca="false">IF(A505="","",IF(COUNTIF($A$2:$A$2001,A505)&gt;1,"GANDA","OK"))</f>
        <v/>
      </c>
      <c r="P505" s="29" t="str">
        <f aca="false">IF(A505="","",IF(C505="","KOSONG",IF(AND(LEN(C505)=16,ISNUMBER(--C505)),"OK","TIDAK VALID")))</f>
        <v/>
      </c>
    </row>
    <row r="506" customFormat="false" ht="15" hidden="false" customHeight="false" outlineLevel="0" collapsed="false">
      <c r="A506" s="21"/>
      <c r="B506" s="22"/>
      <c r="C506" s="21"/>
      <c r="D506" s="22"/>
      <c r="E506" s="22"/>
      <c r="F506" s="28"/>
      <c r="G506" s="22"/>
      <c r="H506" s="21"/>
      <c r="I506" s="28"/>
      <c r="J506" s="22"/>
      <c r="K506" s="22"/>
      <c r="L506" s="22"/>
      <c r="M506" s="21"/>
      <c r="N506" s="22"/>
      <c r="O506" s="29" t="str">
        <f aca="false">IF(A506="","",IF(COUNTIF($A$2:$A$2001,A506)&gt;1,"GANDA","OK"))</f>
        <v/>
      </c>
      <c r="P506" s="29" t="str">
        <f aca="false">IF(A506="","",IF(C506="","KOSONG",IF(AND(LEN(C506)=16,ISNUMBER(--C506)),"OK","TIDAK VALID")))</f>
        <v/>
      </c>
    </row>
    <row r="507" customFormat="false" ht="15" hidden="false" customHeight="false" outlineLevel="0" collapsed="false">
      <c r="A507" s="21"/>
      <c r="B507" s="22"/>
      <c r="C507" s="21"/>
      <c r="D507" s="22"/>
      <c r="E507" s="22"/>
      <c r="F507" s="28"/>
      <c r="G507" s="22"/>
      <c r="H507" s="21"/>
      <c r="I507" s="28"/>
      <c r="J507" s="22"/>
      <c r="K507" s="22"/>
      <c r="L507" s="22"/>
      <c r="M507" s="21"/>
      <c r="N507" s="22"/>
      <c r="O507" s="29" t="str">
        <f aca="false">IF(A507="","",IF(COUNTIF($A$2:$A$2001,A507)&gt;1,"GANDA","OK"))</f>
        <v/>
      </c>
      <c r="P507" s="29" t="str">
        <f aca="false">IF(A507="","",IF(C507="","KOSONG",IF(AND(LEN(C507)=16,ISNUMBER(--C507)),"OK","TIDAK VALID")))</f>
        <v/>
      </c>
    </row>
    <row r="508" customFormat="false" ht="15" hidden="false" customHeight="false" outlineLevel="0" collapsed="false">
      <c r="A508" s="21"/>
      <c r="B508" s="22"/>
      <c r="C508" s="21"/>
      <c r="D508" s="22"/>
      <c r="E508" s="22"/>
      <c r="F508" s="28"/>
      <c r="G508" s="22"/>
      <c r="H508" s="21"/>
      <c r="I508" s="28"/>
      <c r="J508" s="22"/>
      <c r="K508" s="22"/>
      <c r="L508" s="22"/>
      <c r="M508" s="21"/>
      <c r="N508" s="22"/>
      <c r="O508" s="29" t="str">
        <f aca="false">IF(A508="","",IF(COUNTIF($A$2:$A$2001,A508)&gt;1,"GANDA","OK"))</f>
        <v/>
      </c>
      <c r="P508" s="29" t="str">
        <f aca="false">IF(A508="","",IF(C508="","KOSONG",IF(AND(LEN(C508)=16,ISNUMBER(--C508)),"OK","TIDAK VALID")))</f>
        <v/>
      </c>
    </row>
    <row r="509" customFormat="false" ht="15" hidden="false" customHeight="false" outlineLevel="0" collapsed="false">
      <c r="A509" s="21"/>
      <c r="B509" s="22"/>
      <c r="C509" s="21"/>
      <c r="D509" s="22"/>
      <c r="E509" s="22"/>
      <c r="F509" s="28"/>
      <c r="G509" s="22"/>
      <c r="H509" s="21"/>
      <c r="I509" s="28"/>
      <c r="J509" s="22"/>
      <c r="K509" s="22"/>
      <c r="L509" s="22"/>
      <c r="M509" s="21"/>
      <c r="N509" s="22"/>
      <c r="O509" s="29" t="str">
        <f aca="false">IF(A509="","",IF(COUNTIF($A$2:$A$2001,A509)&gt;1,"GANDA","OK"))</f>
        <v/>
      </c>
      <c r="P509" s="29" t="str">
        <f aca="false">IF(A509="","",IF(C509="","KOSONG",IF(AND(LEN(C509)=16,ISNUMBER(--C509)),"OK","TIDAK VALID")))</f>
        <v/>
      </c>
    </row>
    <row r="510" customFormat="false" ht="15" hidden="false" customHeight="false" outlineLevel="0" collapsed="false">
      <c r="A510" s="21"/>
      <c r="B510" s="22"/>
      <c r="C510" s="21"/>
      <c r="D510" s="22"/>
      <c r="E510" s="22"/>
      <c r="F510" s="28"/>
      <c r="G510" s="22"/>
      <c r="H510" s="21"/>
      <c r="I510" s="28"/>
      <c r="J510" s="22"/>
      <c r="K510" s="22"/>
      <c r="L510" s="22"/>
      <c r="M510" s="21"/>
      <c r="N510" s="22"/>
      <c r="O510" s="29" t="str">
        <f aca="false">IF(A510="","",IF(COUNTIF($A$2:$A$2001,A510)&gt;1,"GANDA","OK"))</f>
        <v/>
      </c>
      <c r="P510" s="29" t="str">
        <f aca="false">IF(A510="","",IF(C510="","KOSONG",IF(AND(LEN(C510)=16,ISNUMBER(--C510)),"OK","TIDAK VALID")))</f>
        <v/>
      </c>
    </row>
    <row r="511" customFormat="false" ht="15" hidden="false" customHeight="false" outlineLevel="0" collapsed="false">
      <c r="A511" s="21"/>
      <c r="B511" s="22"/>
      <c r="C511" s="21"/>
      <c r="D511" s="22"/>
      <c r="E511" s="22"/>
      <c r="F511" s="28"/>
      <c r="G511" s="22"/>
      <c r="H511" s="21"/>
      <c r="I511" s="28"/>
      <c r="J511" s="22"/>
      <c r="K511" s="22"/>
      <c r="L511" s="22"/>
      <c r="M511" s="21"/>
      <c r="N511" s="22"/>
      <c r="O511" s="29" t="str">
        <f aca="false">IF(A511="","",IF(COUNTIF($A$2:$A$2001,A511)&gt;1,"GANDA","OK"))</f>
        <v/>
      </c>
      <c r="P511" s="29" t="str">
        <f aca="false">IF(A511="","",IF(C511="","KOSONG",IF(AND(LEN(C511)=16,ISNUMBER(--C511)),"OK","TIDAK VALID")))</f>
        <v/>
      </c>
    </row>
    <row r="512" customFormat="false" ht="15" hidden="false" customHeight="false" outlineLevel="0" collapsed="false">
      <c r="A512" s="21"/>
      <c r="B512" s="22"/>
      <c r="C512" s="21"/>
      <c r="D512" s="22"/>
      <c r="E512" s="22"/>
      <c r="F512" s="28"/>
      <c r="G512" s="22"/>
      <c r="H512" s="21"/>
      <c r="I512" s="28"/>
      <c r="J512" s="22"/>
      <c r="K512" s="22"/>
      <c r="L512" s="22"/>
      <c r="M512" s="21"/>
      <c r="N512" s="22"/>
      <c r="O512" s="29" t="str">
        <f aca="false">IF(A512="","",IF(COUNTIF($A$2:$A$2001,A512)&gt;1,"GANDA","OK"))</f>
        <v/>
      </c>
      <c r="P512" s="29" t="str">
        <f aca="false">IF(A512="","",IF(C512="","KOSONG",IF(AND(LEN(C512)=16,ISNUMBER(--C512)),"OK","TIDAK VALID")))</f>
        <v/>
      </c>
    </row>
    <row r="513" customFormat="false" ht="15" hidden="false" customHeight="false" outlineLevel="0" collapsed="false">
      <c r="A513" s="21"/>
      <c r="B513" s="22"/>
      <c r="C513" s="21"/>
      <c r="D513" s="22"/>
      <c r="E513" s="22"/>
      <c r="F513" s="28"/>
      <c r="G513" s="22"/>
      <c r="H513" s="21"/>
      <c r="I513" s="28"/>
      <c r="J513" s="22"/>
      <c r="K513" s="22"/>
      <c r="L513" s="22"/>
      <c r="M513" s="21"/>
      <c r="N513" s="22"/>
      <c r="O513" s="29" t="str">
        <f aca="false">IF(A513="","",IF(COUNTIF($A$2:$A$2001,A513)&gt;1,"GANDA","OK"))</f>
        <v/>
      </c>
      <c r="P513" s="29" t="str">
        <f aca="false">IF(A513="","",IF(C513="","KOSONG",IF(AND(LEN(C513)=16,ISNUMBER(--C513)),"OK","TIDAK VALID")))</f>
        <v/>
      </c>
    </row>
    <row r="514" customFormat="false" ht="15" hidden="false" customHeight="false" outlineLevel="0" collapsed="false">
      <c r="A514" s="21"/>
      <c r="B514" s="22"/>
      <c r="C514" s="21"/>
      <c r="D514" s="22"/>
      <c r="E514" s="22"/>
      <c r="F514" s="28"/>
      <c r="G514" s="22"/>
      <c r="H514" s="21"/>
      <c r="I514" s="28"/>
      <c r="J514" s="22"/>
      <c r="K514" s="22"/>
      <c r="L514" s="22"/>
      <c r="M514" s="21"/>
      <c r="N514" s="22"/>
      <c r="O514" s="29" t="str">
        <f aca="false">IF(A514="","",IF(COUNTIF($A$2:$A$2001,A514)&gt;1,"GANDA","OK"))</f>
        <v/>
      </c>
      <c r="P514" s="29" t="str">
        <f aca="false">IF(A514="","",IF(C514="","KOSONG",IF(AND(LEN(C514)=16,ISNUMBER(--C514)),"OK","TIDAK VALID")))</f>
        <v/>
      </c>
    </row>
    <row r="515" customFormat="false" ht="15" hidden="false" customHeight="false" outlineLevel="0" collapsed="false">
      <c r="A515" s="21"/>
      <c r="B515" s="22"/>
      <c r="C515" s="21"/>
      <c r="D515" s="22"/>
      <c r="E515" s="22"/>
      <c r="F515" s="28"/>
      <c r="G515" s="22"/>
      <c r="H515" s="21"/>
      <c r="I515" s="28"/>
      <c r="J515" s="22"/>
      <c r="K515" s="22"/>
      <c r="L515" s="22"/>
      <c r="M515" s="21"/>
      <c r="N515" s="22"/>
      <c r="O515" s="29" t="str">
        <f aca="false">IF(A515="","",IF(COUNTIF($A$2:$A$2001,A515)&gt;1,"GANDA","OK"))</f>
        <v/>
      </c>
      <c r="P515" s="29" t="str">
        <f aca="false">IF(A515="","",IF(C515="","KOSONG",IF(AND(LEN(C515)=16,ISNUMBER(--C515)),"OK","TIDAK VALID")))</f>
        <v/>
      </c>
    </row>
    <row r="516" customFormat="false" ht="15" hidden="false" customHeight="false" outlineLevel="0" collapsed="false">
      <c r="A516" s="21"/>
      <c r="B516" s="22"/>
      <c r="C516" s="21"/>
      <c r="D516" s="22"/>
      <c r="E516" s="22"/>
      <c r="F516" s="28"/>
      <c r="G516" s="22"/>
      <c r="H516" s="21"/>
      <c r="I516" s="28"/>
      <c r="J516" s="22"/>
      <c r="K516" s="22"/>
      <c r="L516" s="22"/>
      <c r="M516" s="21"/>
      <c r="N516" s="22"/>
      <c r="O516" s="29" t="str">
        <f aca="false">IF(A516="","",IF(COUNTIF($A$2:$A$2001,A516)&gt;1,"GANDA","OK"))</f>
        <v/>
      </c>
      <c r="P516" s="29" t="str">
        <f aca="false">IF(A516="","",IF(C516="","KOSONG",IF(AND(LEN(C516)=16,ISNUMBER(--C516)),"OK","TIDAK VALID")))</f>
        <v/>
      </c>
    </row>
    <row r="517" customFormat="false" ht="15" hidden="false" customHeight="false" outlineLevel="0" collapsed="false">
      <c r="A517" s="21"/>
      <c r="B517" s="22"/>
      <c r="C517" s="21"/>
      <c r="D517" s="22"/>
      <c r="E517" s="22"/>
      <c r="F517" s="28"/>
      <c r="G517" s="22"/>
      <c r="H517" s="21"/>
      <c r="I517" s="28"/>
      <c r="J517" s="22"/>
      <c r="K517" s="22"/>
      <c r="L517" s="22"/>
      <c r="M517" s="21"/>
      <c r="N517" s="22"/>
      <c r="O517" s="29" t="str">
        <f aca="false">IF(A517="","",IF(COUNTIF($A$2:$A$2001,A517)&gt;1,"GANDA","OK"))</f>
        <v/>
      </c>
      <c r="P517" s="29" t="str">
        <f aca="false">IF(A517="","",IF(C517="","KOSONG",IF(AND(LEN(C517)=16,ISNUMBER(--C517)),"OK","TIDAK VALID")))</f>
        <v/>
      </c>
    </row>
    <row r="518" customFormat="false" ht="15" hidden="false" customHeight="false" outlineLevel="0" collapsed="false">
      <c r="A518" s="21"/>
      <c r="B518" s="22"/>
      <c r="C518" s="21"/>
      <c r="D518" s="22"/>
      <c r="E518" s="22"/>
      <c r="F518" s="28"/>
      <c r="G518" s="22"/>
      <c r="H518" s="21"/>
      <c r="I518" s="28"/>
      <c r="J518" s="22"/>
      <c r="K518" s="22"/>
      <c r="L518" s="22"/>
      <c r="M518" s="21"/>
      <c r="N518" s="22"/>
      <c r="O518" s="29" t="str">
        <f aca="false">IF(A518="","",IF(COUNTIF($A$2:$A$2001,A518)&gt;1,"GANDA","OK"))</f>
        <v/>
      </c>
      <c r="P518" s="29" t="str">
        <f aca="false">IF(A518="","",IF(C518="","KOSONG",IF(AND(LEN(C518)=16,ISNUMBER(--C518)),"OK","TIDAK VALID")))</f>
        <v/>
      </c>
    </row>
    <row r="519" customFormat="false" ht="15" hidden="false" customHeight="false" outlineLevel="0" collapsed="false">
      <c r="A519" s="21"/>
      <c r="B519" s="22"/>
      <c r="C519" s="21"/>
      <c r="D519" s="22"/>
      <c r="E519" s="22"/>
      <c r="F519" s="28"/>
      <c r="G519" s="22"/>
      <c r="H519" s="21"/>
      <c r="I519" s="28"/>
      <c r="J519" s="22"/>
      <c r="K519" s="22"/>
      <c r="L519" s="22"/>
      <c r="M519" s="21"/>
      <c r="N519" s="22"/>
      <c r="O519" s="29" t="str">
        <f aca="false">IF(A519="","",IF(COUNTIF($A$2:$A$2001,A519)&gt;1,"GANDA","OK"))</f>
        <v/>
      </c>
      <c r="P519" s="29" t="str">
        <f aca="false">IF(A519="","",IF(C519="","KOSONG",IF(AND(LEN(C519)=16,ISNUMBER(--C519)),"OK","TIDAK VALID")))</f>
        <v/>
      </c>
    </row>
    <row r="520" customFormat="false" ht="15" hidden="false" customHeight="false" outlineLevel="0" collapsed="false">
      <c r="A520" s="21"/>
      <c r="B520" s="22"/>
      <c r="C520" s="21"/>
      <c r="D520" s="22"/>
      <c r="E520" s="22"/>
      <c r="F520" s="28"/>
      <c r="G520" s="22"/>
      <c r="H520" s="21"/>
      <c r="I520" s="28"/>
      <c r="J520" s="22"/>
      <c r="K520" s="22"/>
      <c r="L520" s="22"/>
      <c r="M520" s="21"/>
      <c r="N520" s="22"/>
      <c r="O520" s="29" t="str">
        <f aca="false">IF(A520="","",IF(COUNTIF($A$2:$A$2001,A520)&gt;1,"GANDA","OK"))</f>
        <v/>
      </c>
      <c r="P520" s="29" t="str">
        <f aca="false">IF(A520="","",IF(C520="","KOSONG",IF(AND(LEN(C520)=16,ISNUMBER(--C520)),"OK","TIDAK VALID")))</f>
        <v/>
      </c>
    </row>
    <row r="521" customFormat="false" ht="15" hidden="false" customHeight="false" outlineLevel="0" collapsed="false">
      <c r="A521" s="21"/>
      <c r="B521" s="22"/>
      <c r="C521" s="21"/>
      <c r="D521" s="22"/>
      <c r="E521" s="22"/>
      <c r="F521" s="28"/>
      <c r="G521" s="22"/>
      <c r="H521" s="21"/>
      <c r="I521" s="28"/>
      <c r="J521" s="22"/>
      <c r="K521" s="22"/>
      <c r="L521" s="22"/>
      <c r="M521" s="21"/>
      <c r="N521" s="22"/>
      <c r="O521" s="29" t="str">
        <f aca="false">IF(A521="","",IF(COUNTIF($A$2:$A$2001,A521)&gt;1,"GANDA","OK"))</f>
        <v/>
      </c>
      <c r="P521" s="29" t="str">
        <f aca="false">IF(A521="","",IF(C521="","KOSONG",IF(AND(LEN(C521)=16,ISNUMBER(--C521)),"OK","TIDAK VALID")))</f>
        <v/>
      </c>
    </row>
    <row r="522" customFormat="false" ht="15" hidden="false" customHeight="false" outlineLevel="0" collapsed="false">
      <c r="A522" s="21"/>
      <c r="B522" s="22"/>
      <c r="C522" s="21"/>
      <c r="D522" s="22"/>
      <c r="E522" s="22"/>
      <c r="F522" s="28"/>
      <c r="G522" s="22"/>
      <c r="H522" s="21"/>
      <c r="I522" s="28"/>
      <c r="J522" s="22"/>
      <c r="K522" s="22"/>
      <c r="L522" s="22"/>
      <c r="M522" s="21"/>
      <c r="N522" s="22"/>
      <c r="O522" s="29" t="str">
        <f aca="false">IF(A522="","",IF(COUNTIF($A$2:$A$2001,A522)&gt;1,"GANDA","OK"))</f>
        <v/>
      </c>
      <c r="P522" s="29" t="str">
        <f aca="false">IF(A522="","",IF(C522="","KOSONG",IF(AND(LEN(C522)=16,ISNUMBER(--C522)),"OK","TIDAK VALID")))</f>
        <v/>
      </c>
    </row>
    <row r="523" customFormat="false" ht="15" hidden="false" customHeight="false" outlineLevel="0" collapsed="false">
      <c r="A523" s="21"/>
      <c r="B523" s="22"/>
      <c r="C523" s="21"/>
      <c r="D523" s="22"/>
      <c r="E523" s="22"/>
      <c r="F523" s="28"/>
      <c r="G523" s="22"/>
      <c r="H523" s="21"/>
      <c r="I523" s="28"/>
      <c r="J523" s="22"/>
      <c r="K523" s="22"/>
      <c r="L523" s="22"/>
      <c r="M523" s="21"/>
      <c r="N523" s="22"/>
      <c r="O523" s="29" t="str">
        <f aca="false">IF(A523="","",IF(COUNTIF($A$2:$A$2001,A523)&gt;1,"GANDA","OK"))</f>
        <v/>
      </c>
      <c r="P523" s="29" t="str">
        <f aca="false">IF(A523="","",IF(C523="","KOSONG",IF(AND(LEN(C523)=16,ISNUMBER(--C523)),"OK","TIDAK VALID")))</f>
        <v/>
      </c>
    </row>
    <row r="524" customFormat="false" ht="15" hidden="false" customHeight="false" outlineLevel="0" collapsed="false">
      <c r="A524" s="21"/>
      <c r="B524" s="22"/>
      <c r="C524" s="21"/>
      <c r="D524" s="22"/>
      <c r="E524" s="22"/>
      <c r="F524" s="28"/>
      <c r="G524" s="22"/>
      <c r="H524" s="21"/>
      <c r="I524" s="28"/>
      <c r="J524" s="22"/>
      <c r="K524" s="22"/>
      <c r="L524" s="22"/>
      <c r="M524" s="21"/>
      <c r="N524" s="22"/>
      <c r="O524" s="29" t="str">
        <f aca="false">IF(A524="","",IF(COUNTIF($A$2:$A$2001,A524)&gt;1,"GANDA","OK"))</f>
        <v/>
      </c>
      <c r="P524" s="29" t="str">
        <f aca="false">IF(A524="","",IF(C524="","KOSONG",IF(AND(LEN(C524)=16,ISNUMBER(--C524)),"OK","TIDAK VALID")))</f>
        <v/>
      </c>
    </row>
    <row r="525" customFormat="false" ht="15" hidden="false" customHeight="false" outlineLevel="0" collapsed="false">
      <c r="A525" s="21"/>
      <c r="B525" s="22"/>
      <c r="C525" s="21"/>
      <c r="D525" s="22"/>
      <c r="E525" s="22"/>
      <c r="F525" s="28"/>
      <c r="G525" s="22"/>
      <c r="H525" s="21"/>
      <c r="I525" s="28"/>
      <c r="J525" s="22"/>
      <c r="K525" s="22"/>
      <c r="L525" s="22"/>
      <c r="M525" s="21"/>
      <c r="N525" s="22"/>
      <c r="O525" s="29" t="str">
        <f aca="false">IF(A525="","",IF(COUNTIF($A$2:$A$2001,A525)&gt;1,"GANDA","OK"))</f>
        <v/>
      </c>
      <c r="P525" s="29" t="str">
        <f aca="false">IF(A525="","",IF(C525="","KOSONG",IF(AND(LEN(C525)=16,ISNUMBER(--C525)),"OK","TIDAK VALID")))</f>
        <v/>
      </c>
    </row>
    <row r="526" customFormat="false" ht="15" hidden="false" customHeight="false" outlineLevel="0" collapsed="false">
      <c r="A526" s="21"/>
      <c r="B526" s="22"/>
      <c r="C526" s="21"/>
      <c r="D526" s="22"/>
      <c r="E526" s="22"/>
      <c r="F526" s="28"/>
      <c r="G526" s="22"/>
      <c r="H526" s="21"/>
      <c r="I526" s="28"/>
      <c r="J526" s="22"/>
      <c r="K526" s="22"/>
      <c r="L526" s="22"/>
      <c r="M526" s="21"/>
      <c r="N526" s="22"/>
      <c r="O526" s="29" t="str">
        <f aca="false">IF(A526="","",IF(COUNTIF($A$2:$A$2001,A526)&gt;1,"GANDA","OK"))</f>
        <v/>
      </c>
      <c r="P526" s="29" t="str">
        <f aca="false">IF(A526="","",IF(C526="","KOSONG",IF(AND(LEN(C526)=16,ISNUMBER(--C526)),"OK","TIDAK VALID")))</f>
        <v/>
      </c>
    </row>
    <row r="527" customFormat="false" ht="15" hidden="false" customHeight="false" outlineLevel="0" collapsed="false">
      <c r="A527" s="21"/>
      <c r="B527" s="22"/>
      <c r="C527" s="21"/>
      <c r="D527" s="22"/>
      <c r="E527" s="22"/>
      <c r="F527" s="28"/>
      <c r="G527" s="22"/>
      <c r="H527" s="21"/>
      <c r="I527" s="28"/>
      <c r="J527" s="22"/>
      <c r="K527" s="22"/>
      <c r="L527" s="22"/>
      <c r="M527" s="21"/>
      <c r="N527" s="22"/>
      <c r="O527" s="29" t="str">
        <f aca="false">IF(A527="","",IF(COUNTIF($A$2:$A$2001,A527)&gt;1,"GANDA","OK"))</f>
        <v/>
      </c>
      <c r="P527" s="29" t="str">
        <f aca="false">IF(A527="","",IF(C527="","KOSONG",IF(AND(LEN(C527)=16,ISNUMBER(--C527)),"OK","TIDAK VALID")))</f>
        <v/>
      </c>
    </row>
    <row r="528" customFormat="false" ht="15" hidden="false" customHeight="false" outlineLevel="0" collapsed="false">
      <c r="A528" s="21"/>
      <c r="B528" s="22"/>
      <c r="C528" s="21"/>
      <c r="D528" s="22"/>
      <c r="E528" s="22"/>
      <c r="F528" s="28"/>
      <c r="G528" s="22"/>
      <c r="H528" s="21"/>
      <c r="I528" s="28"/>
      <c r="J528" s="22"/>
      <c r="K528" s="22"/>
      <c r="L528" s="22"/>
      <c r="M528" s="21"/>
      <c r="N528" s="22"/>
      <c r="O528" s="29" t="str">
        <f aca="false">IF(A528="","",IF(COUNTIF($A$2:$A$2001,A528)&gt;1,"GANDA","OK"))</f>
        <v/>
      </c>
      <c r="P528" s="29" t="str">
        <f aca="false">IF(A528="","",IF(C528="","KOSONG",IF(AND(LEN(C528)=16,ISNUMBER(--C528)),"OK","TIDAK VALID")))</f>
        <v/>
      </c>
    </row>
    <row r="529" customFormat="false" ht="15" hidden="false" customHeight="false" outlineLevel="0" collapsed="false">
      <c r="A529" s="21"/>
      <c r="B529" s="22"/>
      <c r="C529" s="21"/>
      <c r="D529" s="22"/>
      <c r="E529" s="22"/>
      <c r="F529" s="28"/>
      <c r="G529" s="22"/>
      <c r="H529" s="21"/>
      <c r="I529" s="28"/>
      <c r="J529" s="22"/>
      <c r="K529" s="22"/>
      <c r="L529" s="22"/>
      <c r="M529" s="21"/>
      <c r="N529" s="22"/>
      <c r="O529" s="29" t="str">
        <f aca="false">IF(A529="","",IF(COUNTIF($A$2:$A$2001,A529)&gt;1,"GANDA","OK"))</f>
        <v/>
      </c>
      <c r="P529" s="29" t="str">
        <f aca="false">IF(A529="","",IF(C529="","KOSONG",IF(AND(LEN(C529)=16,ISNUMBER(--C529)),"OK","TIDAK VALID")))</f>
        <v/>
      </c>
    </row>
    <row r="530" customFormat="false" ht="15" hidden="false" customHeight="false" outlineLevel="0" collapsed="false">
      <c r="A530" s="21"/>
      <c r="B530" s="22"/>
      <c r="C530" s="21"/>
      <c r="D530" s="22"/>
      <c r="E530" s="22"/>
      <c r="F530" s="28"/>
      <c r="G530" s="22"/>
      <c r="H530" s="21"/>
      <c r="I530" s="28"/>
      <c r="J530" s="22"/>
      <c r="K530" s="22"/>
      <c r="L530" s="22"/>
      <c r="M530" s="21"/>
      <c r="N530" s="22"/>
      <c r="O530" s="29" t="str">
        <f aca="false">IF(A530="","",IF(COUNTIF($A$2:$A$2001,A530)&gt;1,"GANDA","OK"))</f>
        <v/>
      </c>
      <c r="P530" s="29" t="str">
        <f aca="false">IF(A530="","",IF(C530="","KOSONG",IF(AND(LEN(C530)=16,ISNUMBER(--C530)),"OK","TIDAK VALID")))</f>
        <v/>
      </c>
    </row>
    <row r="531" customFormat="false" ht="15" hidden="false" customHeight="false" outlineLevel="0" collapsed="false">
      <c r="A531" s="21"/>
      <c r="B531" s="22"/>
      <c r="C531" s="21"/>
      <c r="D531" s="22"/>
      <c r="E531" s="22"/>
      <c r="F531" s="28"/>
      <c r="G531" s="22"/>
      <c r="H531" s="21"/>
      <c r="I531" s="28"/>
      <c r="J531" s="22"/>
      <c r="K531" s="22"/>
      <c r="L531" s="22"/>
      <c r="M531" s="21"/>
      <c r="N531" s="22"/>
      <c r="O531" s="29" t="str">
        <f aca="false">IF(A531="","",IF(COUNTIF($A$2:$A$2001,A531)&gt;1,"GANDA","OK"))</f>
        <v/>
      </c>
      <c r="P531" s="29" t="str">
        <f aca="false">IF(A531="","",IF(C531="","KOSONG",IF(AND(LEN(C531)=16,ISNUMBER(--C531)),"OK","TIDAK VALID")))</f>
        <v/>
      </c>
    </row>
    <row r="532" customFormat="false" ht="15" hidden="false" customHeight="false" outlineLevel="0" collapsed="false">
      <c r="A532" s="21"/>
      <c r="B532" s="22"/>
      <c r="C532" s="21"/>
      <c r="D532" s="22"/>
      <c r="E532" s="22"/>
      <c r="F532" s="28"/>
      <c r="G532" s="22"/>
      <c r="H532" s="21"/>
      <c r="I532" s="28"/>
      <c r="J532" s="22"/>
      <c r="K532" s="22"/>
      <c r="L532" s="22"/>
      <c r="M532" s="21"/>
      <c r="N532" s="22"/>
      <c r="O532" s="29" t="str">
        <f aca="false">IF(A532="","",IF(COUNTIF($A$2:$A$2001,A532)&gt;1,"GANDA","OK"))</f>
        <v/>
      </c>
      <c r="P532" s="29" t="str">
        <f aca="false">IF(A532="","",IF(C532="","KOSONG",IF(AND(LEN(C532)=16,ISNUMBER(--C532)),"OK","TIDAK VALID")))</f>
        <v/>
      </c>
    </row>
    <row r="533" customFormat="false" ht="15" hidden="false" customHeight="false" outlineLevel="0" collapsed="false">
      <c r="A533" s="21"/>
      <c r="B533" s="22"/>
      <c r="C533" s="21"/>
      <c r="D533" s="22"/>
      <c r="E533" s="22"/>
      <c r="F533" s="28"/>
      <c r="G533" s="22"/>
      <c r="H533" s="21"/>
      <c r="I533" s="28"/>
      <c r="J533" s="22"/>
      <c r="K533" s="22"/>
      <c r="L533" s="22"/>
      <c r="M533" s="21"/>
      <c r="N533" s="22"/>
      <c r="O533" s="29" t="str">
        <f aca="false">IF(A533="","",IF(COUNTIF($A$2:$A$2001,A533)&gt;1,"GANDA","OK"))</f>
        <v/>
      </c>
      <c r="P533" s="29" t="str">
        <f aca="false">IF(A533="","",IF(C533="","KOSONG",IF(AND(LEN(C533)=16,ISNUMBER(--C533)),"OK","TIDAK VALID")))</f>
        <v/>
      </c>
    </row>
    <row r="534" customFormat="false" ht="15" hidden="false" customHeight="false" outlineLevel="0" collapsed="false">
      <c r="A534" s="21"/>
      <c r="B534" s="22"/>
      <c r="C534" s="21"/>
      <c r="D534" s="22"/>
      <c r="E534" s="22"/>
      <c r="F534" s="28"/>
      <c r="G534" s="22"/>
      <c r="H534" s="21"/>
      <c r="I534" s="28"/>
      <c r="J534" s="22"/>
      <c r="K534" s="22"/>
      <c r="L534" s="22"/>
      <c r="M534" s="21"/>
      <c r="N534" s="22"/>
      <c r="O534" s="29" t="str">
        <f aca="false">IF(A534="","",IF(COUNTIF($A$2:$A$2001,A534)&gt;1,"GANDA","OK"))</f>
        <v/>
      </c>
      <c r="P534" s="29" t="str">
        <f aca="false">IF(A534="","",IF(C534="","KOSONG",IF(AND(LEN(C534)=16,ISNUMBER(--C534)),"OK","TIDAK VALID")))</f>
        <v/>
      </c>
    </row>
    <row r="535" customFormat="false" ht="15" hidden="false" customHeight="false" outlineLevel="0" collapsed="false">
      <c r="A535" s="21"/>
      <c r="B535" s="22"/>
      <c r="C535" s="21"/>
      <c r="D535" s="22"/>
      <c r="E535" s="22"/>
      <c r="F535" s="28"/>
      <c r="G535" s="22"/>
      <c r="H535" s="21"/>
      <c r="I535" s="28"/>
      <c r="J535" s="22"/>
      <c r="K535" s="22"/>
      <c r="L535" s="22"/>
      <c r="M535" s="21"/>
      <c r="N535" s="22"/>
      <c r="O535" s="29" t="str">
        <f aca="false">IF(A535="","",IF(COUNTIF($A$2:$A$2001,A535)&gt;1,"GANDA","OK"))</f>
        <v/>
      </c>
      <c r="P535" s="29" t="str">
        <f aca="false">IF(A535="","",IF(C535="","KOSONG",IF(AND(LEN(C535)=16,ISNUMBER(--C535)),"OK","TIDAK VALID")))</f>
        <v/>
      </c>
    </row>
    <row r="536" customFormat="false" ht="15" hidden="false" customHeight="false" outlineLevel="0" collapsed="false">
      <c r="A536" s="21"/>
      <c r="B536" s="22"/>
      <c r="C536" s="21"/>
      <c r="D536" s="22"/>
      <c r="E536" s="22"/>
      <c r="F536" s="28"/>
      <c r="G536" s="22"/>
      <c r="H536" s="21"/>
      <c r="I536" s="28"/>
      <c r="J536" s="22"/>
      <c r="K536" s="22"/>
      <c r="L536" s="22"/>
      <c r="M536" s="21"/>
      <c r="N536" s="22"/>
      <c r="O536" s="29" t="str">
        <f aca="false">IF(A536="","",IF(COUNTIF($A$2:$A$2001,A536)&gt;1,"GANDA","OK"))</f>
        <v/>
      </c>
      <c r="P536" s="29" t="str">
        <f aca="false">IF(A536="","",IF(C536="","KOSONG",IF(AND(LEN(C536)=16,ISNUMBER(--C536)),"OK","TIDAK VALID")))</f>
        <v/>
      </c>
    </row>
    <row r="537" customFormat="false" ht="15" hidden="false" customHeight="false" outlineLevel="0" collapsed="false">
      <c r="A537" s="21"/>
      <c r="B537" s="22"/>
      <c r="C537" s="21"/>
      <c r="D537" s="22"/>
      <c r="E537" s="22"/>
      <c r="F537" s="28"/>
      <c r="G537" s="22"/>
      <c r="H537" s="21"/>
      <c r="I537" s="28"/>
      <c r="J537" s="22"/>
      <c r="K537" s="22"/>
      <c r="L537" s="22"/>
      <c r="M537" s="21"/>
      <c r="N537" s="22"/>
      <c r="O537" s="29" t="str">
        <f aca="false">IF(A537="","",IF(COUNTIF($A$2:$A$2001,A537)&gt;1,"GANDA","OK"))</f>
        <v/>
      </c>
      <c r="P537" s="29" t="str">
        <f aca="false">IF(A537="","",IF(C537="","KOSONG",IF(AND(LEN(C537)=16,ISNUMBER(--C537)),"OK","TIDAK VALID")))</f>
        <v/>
      </c>
    </row>
    <row r="538" customFormat="false" ht="15" hidden="false" customHeight="false" outlineLevel="0" collapsed="false">
      <c r="A538" s="21"/>
      <c r="B538" s="22"/>
      <c r="C538" s="21"/>
      <c r="D538" s="22"/>
      <c r="E538" s="22"/>
      <c r="F538" s="28"/>
      <c r="G538" s="22"/>
      <c r="H538" s="21"/>
      <c r="I538" s="28"/>
      <c r="J538" s="22"/>
      <c r="K538" s="22"/>
      <c r="L538" s="22"/>
      <c r="M538" s="21"/>
      <c r="N538" s="22"/>
      <c r="O538" s="29" t="str">
        <f aca="false">IF(A538="","",IF(COUNTIF($A$2:$A$2001,A538)&gt;1,"GANDA","OK"))</f>
        <v/>
      </c>
      <c r="P538" s="29" t="str">
        <f aca="false">IF(A538="","",IF(C538="","KOSONG",IF(AND(LEN(C538)=16,ISNUMBER(--C538)),"OK","TIDAK VALID")))</f>
        <v/>
      </c>
    </row>
    <row r="539" customFormat="false" ht="15" hidden="false" customHeight="false" outlineLevel="0" collapsed="false">
      <c r="A539" s="21"/>
      <c r="B539" s="22"/>
      <c r="C539" s="21"/>
      <c r="D539" s="22"/>
      <c r="E539" s="22"/>
      <c r="F539" s="28"/>
      <c r="G539" s="22"/>
      <c r="H539" s="21"/>
      <c r="I539" s="28"/>
      <c r="J539" s="22"/>
      <c r="K539" s="22"/>
      <c r="L539" s="22"/>
      <c r="M539" s="21"/>
      <c r="N539" s="22"/>
      <c r="O539" s="29" t="str">
        <f aca="false">IF(A539="","",IF(COUNTIF($A$2:$A$2001,A539)&gt;1,"GANDA","OK"))</f>
        <v/>
      </c>
      <c r="P539" s="29" t="str">
        <f aca="false">IF(A539="","",IF(C539="","KOSONG",IF(AND(LEN(C539)=16,ISNUMBER(--C539)),"OK","TIDAK VALID")))</f>
        <v/>
      </c>
    </row>
    <row r="540" customFormat="false" ht="15" hidden="false" customHeight="false" outlineLevel="0" collapsed="false">
      <c r="A540" s="21"/>
      <c r="B540" s="22"/>
      <c r="C540" s="21"/>
      <c r="D540" s="22"/>
      <c r="E540" s="22"/>
      <c r="F540" s="28"/>
      <c r="G540" s="22"/>
      <c r="H540" s="21"/>
      <c r="I540" s="28"/>
      <c r="J540" s="22"/>
      <c r="K540" s="22"/>
      <c r="L540" s="22"/>
      <c r="M540" s="21"/>
      <c r="N540" s="22"/>
      <c r="O540" s="29" t="str">
        <f aca="false">IF(A540="","",IF(COUNTIF($A$2:$A$2001,A540)&gt;1,"GANDA","OK"))</f>
        <v/>
      </c>
      <c r="P540" s="29" t="str">
        <f aca="false">IF(A540="","",IF(C540="","KOSONG",IF(AND(LEN(C540)=16,ISNUMBER(--C540)),"OK","TIDAK VALID")))</f>
        <v/>
      </c>
    </row>
    <row r="541" customFormat="false" ht="15" hidden="false" customHeight="false" outlineLevel="0" collapsed="false">
      <c r="A541" s="21"/>
      <c r="B541" s="22"/>
      <c r="C541" s="21"/>
      <c r="D541" s="22"/>
      <c r="E541" s="22"/>
      <c r="F541" s="28"/>
      <c r="G541" s="22"/>
      <c r="H541" s="21"/>
      <c r="I541" s="28"/>
      <c r="J541" s="22"/>
      <c r="K541" s="22"/>
      <c r="L541" s="22"/>
      <c r="M541" s="21"/>
      <c r="N541" s="22"/>
      <c r="O541" s="29" t="str">
        <f aca="false">IF(A541="","",IF(COUNTIF($A$2:$A$2001,A541)&gt;1,"GANDA","OK"))</f>
        <v/>
      </c>
      <c r="P541" s="29" t="str">
        <f aca="false">IF(A541="","",IF(C541="","KOSONG",IF(AND(LEN(C541)=16,ISNUMBER(--C541)),"OK","TIDAK VALID")))</f>
        <v/>
      </c>
    </row>
    <row r="542" customFormat="false" ht="15" hidden="false" customHeight="false" outlineLevel="0" collapsed="false">
      <c r="A542" s="21"/>
      <c r="B542" s="22"/>
      <c r="C542" s="21"/>
      <c r="D542" s="22"/>
      <c r="E542" s="22"/>
      <c r="F542" s="28"/>
      <c r="G542" s="22"/>
      <c r="H542" s="21"/>
      <c r="I542" s="28"/>
      <c r="J542" s="22"/>
      <c r="K542" s="22"/>
      <c r="L542" s="22"/>
      <c r="M542" s="21"/>
      <c r="N542" s="22"/>
      <c r="O542" s="29" t="str">
        <f aca="false">IF(A542="","",IF(COUNTIF($A$2:$A$2001,A542)&gt;1,"GANDA","OK"))</f>
        <v/>
      </c>
      <c r="P542" s="29" t="str">
        <f aca="false">IF(A542="","",IF(C542="","KOSONG",IF(AND(LEN(C542)=16,ISNUMBER(--C542)),"OK","TIDAK VALID")))</f>
        <v/>
      </c>
    </row>
    <row r="543" customFormat="false" ht="15" hidden="false" customHeight="false" outlineLevel="0" collapsed="false">
      <c r="A543" s="21"/>
      <c r="B543" s="22"/>
      <c r="C543" s="21"/>
      <c r="D543" s="22"/>
      <c r="E543" s="22"/>
      <c r="F543" s="28"/>
      <c r="G543" s="22"/>
      <c r="H543" s="21"/>
      <c r="I543" s="28"/>
      <c r="J543" s="22"/>
      <c r="K543" s="22"/>
      <c r="L543" s="22"/>
      <c r="M543" s="21"/>
      <c r="N543" s="22"/>
      <c r="O543" s="29" t="str">
        <f aca="false">IF(A543="","",IF(COUNTIF($A$2:$A$2001,A543)&gt;1,"GANDA","OK"))</f>
        <v/>
      </c>
      <c r="P543" s="29" t="str">
        <f aca="false">IF(A543="","",IF(C543="","KOSONG",IF(AND(LEN(C543)=16,ISNUMBER(--C543)),"OK","TIDAK VALID")))</f>
        <v/>
      </c>
    </row>
    <row r="544" customFormat="false" ht="15" hidden="false" customHeight="false" outlineLevel="0" collapsed="false">
      <c r="A544" s="21"/>
      <c r="B544" s="22"/>
      <c r="C544" s="21"/>
      <c r="D544" s="22"/>
      <c r="E544" s="22"/>
      <c r="F544" s="28"/>
      <c r="G544" s="22"/>
      <c r="H544" s="21"/>
      <c r="I544" s="28"/>
      <c r="J544" s="22"/>
      <c r="K544" s="22"/>
      <c r="L544" s="22"/>
      <c r="M544" s="21"/>
      <c r="N544" s="22"/>
      <c r="O544" s="29" t="str">
        <f aca="false">IF(A544="","",IF(COUNTIF($A$2:$A$2001,A544)&gt;1,"GANDA","OK"))</f>
        <v/>
      </c>
      <c r="P544" s="29" t="str">
        <f aca="false">IF(A544="","",IF(C544="","KOSONG",IF(AND(LEN(C544)=16,ISNUMBER(--C544)),"OK","TIDAK VALID")))</f>
        <v/>
      </c>
    </row>
    <row r="545" customFormat="false" ht="15" hidden="false" customHeight="false" outlineLevel="0" collapsed="false">
      <c r="A545" s="21"/>
      <c r="B545" s="22"/>
      <c r="C545" s="21"/>
      <c r="D545" s="22"/>
      <c r="E545" s="22"/>
      <c r="F545" s="28"/>
      <c r="G545" s="22"/>
      <c r="H545" s="21"/>
      <c r="I545" s="28"/>
      <c r="J545" s="22"/>
      <c r="K545" s="22"/>
      <c r="L545" s="22"/>
      <c r="M545" s="21"/>
      <c r="N545" s="22"/>
      <c r="O545" s="29" t="str">
        <f aca="false">IF(A545="","",IF(COUNTIF($A$2:$A$2001,A545)&gt;1,"GANDA","OK"))</f>
        <v/>
      </c>
      <c r="P545" s="29" t="str">
        <f aca="false">IF(A545="","",IF(C545="","KOSONG",IF(AND(LEN(C545)=16,ISNUMBER(--C545)),"OK","TIDAK VALID")))</f>
        <v/>
      </c>
    </row>
    <row r="546" customFormat="false" ht="15" hidden="false" customHeight="false" outlineLevel="0" collapsed="false">
      <c r="A546" s="21"/>
      <c r="B546" s="22"/>
      <c r="C546" s="21"/>
      <c r="D546" s="22"/>
      <c r="E546" s="22"/>
      <c r="F546" s="28"/>
      <c r="G546" s="22"/>
      <c r="H546" s="21"/>
      <c r="I546" s="28"/>
      <c r="J546" s="22"/>
      <c r="K546" s="22"/>
      <c r="L546" s="22"/>
      <c r="M546" s="21"/>
      <c r="N546" s="22"/>
      <c r="O546" s="29" t="str">
        <f aca="false">IF(A546="","",IF(COUNTIF($A$2:$A$2001,A546)&gt;1,"GANDA","OK"))</f>
        <v/>
      </c>
      <c r="P546" s="29" t="str">
        <f aca="false">IF(A546="","",IF(C546="","KOSONG",IF(AND(LEN(C546)=16,ISNUMBER(--C546)),"OK","TIDAK VALID")))</f>
        <v/>
      </c>
    </row>
    <row r="547" customFormat="false" ht="15" hidden="false" customHeight="false" outlineLevel="0" collapsed="false">
      <c r="A547" s="21"/>
      <c r="B547" s="22"/>
      <c r="C547" s="21"/>
      <c r="D547" s="22"/>
      <c r="E547" s="22"/>
      <c r="F547" s="28"/>
      <c r="G547" s="22"/>
      <c r="H547" s="21"/>
      <c r="I547" s="28"/>
      <c r="J547" s="22"/>
      <c r="K547" s="22"/>
      <c r="L547" s="22"/>
      <c r="M547" s="21"/>
      <c r="N547" s="22"/>
      <c r="O547" s="29" t="str">
        <f aca="false">IF(A547="","",IF(COUNTIF($A$2:$A$2001,A547)&gt;1,"GANDA","OK"))</f>
        <v/>
      </c>
      <c r="P547" s="29" t="str">
        <f aca="false">IF(A547="","",IF(C547="","KOSONG",IF(AND(LEN(C547)=16,ISNUMBER(--C547)),"OK","TIDAK VALID")))</f>
        <v/>
      </c>
    </row>
    <row r="548" customFormat="false" ht="15" hidden="false" customHeight="false" outlineLevel="0" collapsed="false">
      <c r="A548" s="21"/>
      <c r="B548" s="22"/>
      <c r="C548" s="21"/>
      <c r="D548" s="22"/>
      <c r="E548" s="22"/>
      <c r="F548" s="28"/>
      <c r="G548" s="22"/>
      <c r="H548" s="21"/>
      <c r="I548" s="28"/>
      <c r="J548" s="22"/>
      <c r="K548" s="22"/>
      <c r="L548" s="22"/>
      <c r="M548" s="21"/>
      <c r="N548" s="22"/>
      <c r="O548" s="29" t="str">
        <f aca="false">IF(A548="","",IF(COUNTIF($A$2:$A$2001,A548)&gt;1,"GANDA","OK"))</f>
        <v/>
      </c>
      <c r="P548" s="29" t="str">
        <f aca="false">IF(A548="","",IF(C548="","KOSONG",IF(AND(LEN(C548)=16,ISNUMBER(--C548)),"OK","TIDAK VALID")))</f>
        <v/>
      </c>
    </row>
    <row r="549" customFormat="false" ht="15" hidden="false" customHeight="false" outlineLevel="0" collapsed="false">
      <c r="A549" s="21"/>
      <c r="B549" s="22"/>
      <c r="C549" s="21"/>
      <c r="D549" s="22"/>
      <c r="E549" s="22"/>
      <c r="F549" s="28"/>
      <c r="G549" s="22"/>
      <c r="H549" s="21"/>
      <c r="I549" s="28"/>
      <c r="J549" s="22"/>
      <c r="K549" s="22"/>
      <c r="L549" s="22"/>
      <c r="M549" s="21"/>
      <c r="N549" s="22"/>
      <c r="O549" s="29" t="str">
        <f aca="false">IF(A549="","",IF(COUNTIF($A$2:$A$2001,A549)&gt;1,"GANDA","OK"))</f>
        <v/>
      </c>
      <c r="P549" s="29" t="str">
        <f aca="false">IF(A549="","",IF(C549="","KOSONG",IF(AND(LEN(C549)=16,ISNUMBER(--C549)),"OK","TIDAK VALID")))</f>
        <v/>
      </c>
    </row>
    <row r="550" customFormat="false" ht="15" hidden="false" customHeight="false" outlineLevel="0" collapsed="false">
      <c r="A550" s="21"/>
      <c r="B550" s="22"/>
      <c r="C550" s="21"/>
      <c r="D550" s="22"/>
      <c r="E550" s="22"/>
      <c r="F550" s="28"/>
      <c r="G550" s="22"/>
      <c r="H550" s="21"/>
      <c r="I550" s="28"/>
      <c r="J550" s="22"/>
      <c r="K550" s="22"/>
      <c r="L550" s="22"/>
      <c r="M550" s="21"/>
      <c r="N550" s="22"/>
      <c r="O550" s="29" t="str">
        <f aca="false">IF(A550="","",IF(COUNTIF($A$2:$A$2001,A550)&gt;1,"GANDA","OK"))</f>
        <v/>
      </c>
      <c r="P550" s="29" t="str">
        <f aca="false">IF(A550="","",IF(C550="","KOSONG",IF(AND(LEN(C550)=16,ISNUMBER(--C550)),"OK","TIDAK VALID")))</f>
        <v/>
      </c>
    </row>
    <row r="551" customFormat="false" ht="15" hidden="false" customHeight="false" outlineLevel="0" collapsed="false">
      <c r="A551" s="21"/>
      <c r="B551" s="22"/>
      <c r="C551" s="21"/>
      <c r="D551" s="22"/>
      <c r="E551" s="22"/>
      <c r="F551" s="28"/>
      <c r="G551" s="22"/>
      <c r="H551" s="21"/>
      <c r="I551" s="28"/>
      <c r="J551" s="22"/>
      <c r="K551" s="22"/>
      <c r="L551" s="22"/>
      <c r="M551" s="21"/>
      <c r="N551" s="22"/>
      <c r="O551" s="29" t="str">
        <f aca="false">IF(A551="","",IF(COUNTIF($A$2:$A$2001,A551)&gt;1,"GANDA","OK"))</f>
        <v/>
      </c>
      <c r="P551" s="29" t="str">
        <f aca="false">IF(A551="","",IF(C551="","KOSONG",IF(AND(LEN(C551)=16,ISNUMBER(--C551)),"OK","TIDAK VALID")))</f>
        <v/>
      </c>
    </row>
    <row r="552" customFormat="false" ht="15" hidden="false" customHeight="false" outlineLevel="0" collapsed="false">
      <c r="A552" s="21"/>
      <c r="B552" s="22"/>
      <c r="C552" s="21"/>
      <c r="D552" s="22"/>
      <c r="E552" s="22"/>
      <c r="F552" s="28"/>
      <c r="G552" s="22"/>
      <c r="H552" s="21"/>
      <c r="I552" s="28"/>
      <c r="J552" s="22"/>
      <c r="K552" s="22"/>
      <c r="L552" s="22"/>
      <c r="M552" s="21"/>
      <c r="N552" s="22"/>
      <c r="O552" s="29" t="str">
        <f aca="false">IF(A552="","",IF(COUNTIF($A$2:$A$2001,A552)&gt;1,"GANDA","OK"))</f>
        <v/>
      </c>
      <c r="P552" s="29" t="str">
        <f aca="false">IF(A552="","",IF(C552="","KOSONG",IF(AND(LEN(C552)=16,ISNUMBER(--C552)),"OK","TIDAK VALID")))</f>
        <v/>
      </c>
    </row>
    <row r="553" customFormat="false" ht="15" hidden="false" customHeight="false" outlineLevel="0" collapsed="false">
      <c r="A553" s="21"/>
      <c r="B553" s="22"/>
      <c r="C553" s="21"/>
      <c r="D553" s="22"/>
      <c r="E553" s="22"/>
      <c r="F553" s="28"/>
      <c r="G553" s="22"/>
      <c r="H553" s="21"/>
      <c r="I553" s="28"/>
      <c r="J553" s="22"/>
      <c r="K553" s="22"/>
      <c r="L553" s="22"/>
      <c r="M553" s="21"/>
      <c r="N553" s="22"/>
      <c r="O553" s="29" t="str">
        <f aca="false">IF(A553="","",IF(COUNTIF($A$2:$A$2001,A553)&gt;1,"GANDA","OK"))</f>
        <v/>
      </c>
      <c r="P553" s="29" t="str">
        <f aca="false">IF(A553="","",IF(C553="","KOSONG",IF(AND(LEN(C553)=16,ISNUMBER(--C553)),"OK","TIDAK VALID")))</f>
        <v/>
      </c>
    </row>
    <row r="554" customFormat="false" ht="15" hidden="false" customHeight="false" outlineLevel="0" collapsed="false">
      <c r="A554" s="21"/>
      <c r="B554" s="22"/>
      <c r="C554" s="21"/>
      <c r="D554" s="22"/>
      <c r="E554" s="22"/>
      <c r="F554" s="28"/>
      <c r="G554" s="22"/>
      <c r="H554" s="21"/>
      <c r="I554" s="28"/>
      <c r="J554" s="22"/>
      <c r="K554" s="22"/>
      <c r="L554" s="22"/>
      <c r="M554" s="21"/>
      <c r="N554" s="22"/>
      <c r="O554" s="29" t="str">
        <f aca="false">IF(A554="","",IF(COUNTIF($A$2:$A$2001,A554)&gt;1,"GANDA","OK"))</f>
        <v/>
      </c>
      <c r="P554" s="29" t="str">
        <f aca="false">IF(A554="","",IF(C554="","KOSONG",IF(AND(LEN(C554)=16,ISNUMBER(--C554)),"OK","TIDAK VALID")))</f>
        <v/>
      </c>
    </row>
    <row r="555" customFormat="false" ht="15" hidden="false" customHeight="false" outlineLevel="0" collapsed="false">
      <c r="A555" s="21"/>
      <c r="B555" s="22"/>
      <c r="C555" s="21"/>
      <c r="D555" s="22"/>
      <c r="E555" s="22"/>
      <c r="F555" s="28"/>
      <c r="G555" s="22"/>
      <c r="H555" s="21"/>
      <c r="I555" s="28"/>
      <c r="J555" s="22"/>
      <c r="K555" s="22"/>
      <c r="L555" s="22"/>
      <c r="M555" s="21"/>
      <c r="N555" s="22"/>
      <c r="O555" s="29" t="str">
        <f aca="false">IF(A555="","",IF(COUNTIF($A$2:$A$2001,A555)&gt;1,"GANDA","OK"))</f>
        <v/>
      </c>
      <c r="P555" s="29" t="str">
        <f aca="false">IF(A555="","",IF(C555="","KOSONG",IF(AND(LEN(C555)=16,ISNUMBER(--C555)),"OK","TIDAK VALID")))</f>
        <v/>
      </c>
    </row>
    <row r="556" customFormat="false" ht="15" hidden="false" customHeight="false" outlineLevel="0" collapsed="false">
      <c r="A556" s="21"/>
      <c r="B556" s="22"/>
      <c r="C556" s="21"/>
      <c r="D556" s="22"/>
      <c r="E556" s="22"/>
      <c r="F556" s="28"/>
      <c r="G556" s="22"/>
      <c r="H556" s="21"/>
      <c r="I556" s="28"/>
      <c r="J556" s="22"/>
      <c r="K556" s="22"/>
      <c r="L556" s="22"/>
      <c r="M556" s="21"/>
      <c r="N556" s="22"/>
      <c r="O556" s="29" t="str">
        <f aca="false">IF(A556="","",IF(COUNTIF($A$2:$A$2001,A556)&gt;1,"GANDA","OK"))</f>
        <v/>
      </c>
      <c r="P556" s="29" t="str">
        <f aca="false">IF(A556="","",IF(C556="","KOSONG",IF(AND(LEN(C556)=16,ISNUMBER(--C556)),"OK","TIDAK VALID")))</f>
        <v/>
      </c>
    </row>
    <row r="557" customFormat="false" ht="15" hidden="false" customHeight="false" outlineLevel="0" collapsed="false">
      <c r="A557" s="21"/>
      <c r="B557" s="22"/>
      <c r="C557" s="21"/>
      <c r="D557" s="22"/>
      <c r="E557" s="22"/>
      <c r="F557" s="28"/>
      <c r="G557" s="22"/>
      <c r="H557" s="21"/>
      <c r="I557" s="28"/>
      <c r="J557" s="22"/>
      <c r="K557" s="22"/>
      <c r="L557" s="22"/>
      <c r="M557" s="21"/>
      <c r="N557" s="22"/>
      <c r="O557" s="29" t="str">
        <f aca="false">IF(A557="","",IF(COUNTIF($A$2:$A$2001,A557)&gt;1,"GANDA","OK"))</f>
        <v/>
      </c>
      <c r="P557" s="29" t="str">
        <f aca="false">IF(A557="","",IF(C557="","KOSONG",IF(AND(LEN(C557)=16,ISNUMBER(--C557)),"OK","TIDAK VALID")))</f>
        <v/>
      </c>
    </row>
    <row r="558" customFormat="false" ht="15" hidden="false" customHeight="false" outlineLevel="0" collapsed="false">
      <c r="A558" s="21"/>
      <c r="B558" s="22"/>
      <c r="C558" s="21"/>
      <c r="D558" s="22"/>
      <c r="E558" s="22"/>
      <c r="F558" s="28"/>
      <c r="G558" s="22"/>
      <c r="H558" s="21"/>
      <c r="I558" s="28"/>
      <c r="J558" s="22"/>
      <c r="K558" s="22"/>
      <c r="L558" s="22"/>
      <c r="M558" s="21"/>
      <c r="N558" s="22"/>
      <c r="O558" s="29" t="str">
        <f aca="false">IF(A558="","",IF(COUNTIF($A$2:$A$2001,A558)&gt;1,"GANDA","OK"))</f>
        <v/>
      </c>
      <c r="P558" s="29" t="str">
        <f aca="false">IF(A558="","",IF(C558="","KOSONG",IF(AND(LEN(C558)=16,ISNUMBER(--C558)),"OK","TIDAK VALID")))</f>
        <v/>
      </c>
    </row>
    <row r="559" customFormat="false" ht="15" hidden="false" customHeight="false" outlineLevel="0" collapsed="false">
      <c r="A559" s="21"/>
      <c r="B559" s="22"/>
      <c r="C559" s="21"/>
      <c r="D559" s="22"/>
      <c r="E559" s="22"/>
      <c r="F559" s="28"/>
      <c r="G559" s="22"/>
      <c r="H559" s="21"/>
      <c r="I559" s="28"/>
      <c r="J559" s="22"/>
      <c r="K559" s="22"/>
      <c r="L559" s="22"/>
      <c r="M559" s="21"/>
      <c r="N559" s="22"/>
      <c r="O559" s="29" t="str">
        <f aca="false">IF(A559="","",IF(COUNTIF($A$2:$A$2001,A559)&gt;1,"GANDA","OK"))</f>
        <v/>
      </c>
      <c r="P559" s="29" t="str">
        <f aca="false">IF(A559="","",IF(C559="","KOSONG",IF(AND(LEN(C559)=16,ISNUMBER(--C559)),"OK","TIDAK VALID")))</f>
        <v/>
      </c>
    </row>
    <row r="560" customFormat="false" ht="15" hidden="false" customHeight="false" outlineLevel="0" collapsed="false">
      <c r="A560" s="21"/>
      <c r="B560" s="22"/>
      <c r="C560" s="21"/>
      <c r="D560" s="22"/>
      <c r="E560" s="22"/>
      <c r="F560" s="28"/>
      <c r="G560" s="22"/>
      <c r="H560" s="21"/>
      <c r="I560" s="28"/>
      <c r="J560" s="22"/>
      <c r="K560" s="22"/>
      <c r="L560" s="22"/>
      <c r="M560" s="21"/>
      <c r="N560" s="22"/>
      <c r="O560" s="29" t="str">
        <f aca="false">IF(A560="","",IF(COUNTIF($A$2:$A$2001,A560)&gt;1,"GANDA","OK"))</f>
        <v/>
      </c>
      <c r="P560" s="29" t="str">
        <f aca="false">IF(A560="","",IF(C560="","KOSONG",IF(AND(LEN(C560)=16,ISNUMBER(--C560)),"OK","TIDAK VALID")))</f>
        <v/>
      </c>
    </row>
    <row r="561" customFormat="false" ht="15" hidden="false" customHeight="false" outlineLevel="0" collapsed="false">
      <c r="A561" s="21"/>
      <c r="B561" s="22"/>
      <c r="C561" s="21"/>
      <c r="D561" s="22"/>
      <c r="E561" s="22"/>
      <c r="F561" s="28"/>
      <c r="G561" s="22"/>
      <c r="H561" s="21"/>
      <c r="I561" s="28"/>
      <c r="J561" s="22"/>
      <c r="K561" s="22"/>
      <c r="L561" s="22"/>
      <c r="M561" s="21"/>
      <c r="N561" s="22"/>
      <c r="O561" s="29" t="str">
        <f aca="false">IF(A561="","",IF(COUNTIF($A$2:$A$2001,A561)&gt;1,"GANDA","OK"))</f>
        <v/>
      </c>
      <c r="P561" s="29" t="str">
        <f aca="false">IF(A561="","",IF(C561="","KOSONG",IF(AND(LEN(C561)=16,ISNUMBER(--C561)),"OK","TIDAK VALID")))</f>
        <v/>
      </c>
    </row>
    <row r="562" customFormat="false" ht="15" hidden="false" customHeight="false" outlineLevel="0" collapsed="false">
      <c r="A562" s="21"/>
      <c r="B562" s="22"/>
      <c r="C562" s="21"/>
      <c r="D562" s="22"/>
      <c r="E562" s="22"/>
      <c r="F562" s="28"/>
      <c r="G562" s="22"/>
      <c r="H562" s="21"/>
      <c r="I562" s="28"/>
      <c r="J562" s="22"/>
      <c r="K562" s="22"/>
      <c r="L562" s="22"/>
      <c r="M562" s="21"/>
      <c r="N562" s="22"/>
      <c r="O562" s="29" t="str">
        <f aca="false">IF(A562="","",IF(COUNTIF($A$2:$A$2001,A562)&gt;1,"GANDA","OK"))</f>
        <v/>
      </c>
      <c r="P562" s="29" t="str">
        <f aca="false">IF(A562="","",IF(C562="","KOSONG",IF(AND(LEN(C562)=16,ISNUMBER(--C562)),"OK","TIDAK VALID")))</f>
        <v/>
      </c>
    </row>
    <row r="563" customFormat="false" ht="15" hidden="false" customHeight="false" outlineLevel="0" collapsed="false">
      <c r="A563" s="21"/>
      <c r="B563" s="22"/>
      <c r="C563" s="21"/>
      <c r="D563" s="22"/>
      <c r="E563" s="22"/>
      <c r="F563" s="28"/>
      <c r="G563" s="22"/>
      <c r="H563" s="21"/>
      <c r="I563" s="28"/>
      <c r="J563" s="22"/>
      <c r="K563" s="22"/>
      <c r="L563" s="22"/>
      <c r="M563" s="21"/>
      <c r="N563" s="22"/>
      <c r="O563" s="29" t="str">
        <f aca="false">IF(A563="","",IF(COUNTIF($A$2:$A$2001,A563)&gt;1,"GANDA","OK"))</f>
        <v/>
      </c>
      <c r="P563" s="29" t="str">
        <f aca="false">IF(A563="","",IF(C563="","KOSONG",IF(AND(LEN(C563)=16,ISNUMBER(--C563)),"OK","TIDAK VALID")))</f>
        <v/>
      </c>
    </row>
    <row r="564" customFormat="false" ht="15" hidden="false" customHeight="false" outlineLevel="0" collapsed="false">
      <c r="A564" s="21"/>
      <c r="B564" s="22"/>
      <c r="C564" s="21"/>
      <c r="D564" s="22"/>
      <c r="E564" s="22"/>
      <c r="F564" s="28"/>
      <c r="G564" s="22"/>
      <c r="H564" s="21"/>
      <c r="I564" s="28"/>
      <c r="J564" s="22"/>
      <c r="K564" s="22"/>
      <c r="L564" s="22"/>
      <c r="M564" s="21"/>
      <c r="N564" s="22"/>
      <c r="O564" s="29" t="str">
        <f aca="false">IF(A564="","",IF(COUNTIF($A$2:$A$2001,A564)&gt;1,"GANDA","OK"))</f>
        <v/>
      </c>
      <c r="P564" s="29" t="str">
        <f aca="false">IF(A564="","",IF(C564="","KOSONG",IF(AND(LEN(C564)=16,ISNUMBER(--C564)),"OK","TIDAK VALID")))</f>
        <v/>
      </c>
    </row>
    <row r="565" customFormat="false" ht="15" hidden="false" customHeight="false" outlineLevel="0" collapsed="false">
      <c r="A565" s="21"/>
      <c r="B565" s="22"/>
      <c r="C565" s="21"/>
      <c r="D565" s="22"/>
      <c r="E565" s="22"/>
      <c r="F565" s="28"/>
      <c r="G565" s="22"/>
      <c r="H565" s="21"/>
      <c r="I565" s="28"/>
      <c r="J565" s="22"/>
      <c r="K565" s="22"/>
      <c r="L565" s="22"/>
      <c r="M565" s="21"/>
      <c r="N565" s="22"/>
      <c r="O565" s="29" t="str">
        <f aca="false">IF(A565="","",IF(COUNTIF($A$2:$A$2001,A565)&gt;1,"GANDA","OK"))</f>
        <v/>
      </c>
      <c r="P565" s="29" t="str">
        <f aca="false">IF(A565="","",IF(C565="","KOSONG",IF(AND(LEN(C565)=16,ISNUMBER(--C565)),"OK","TIDAK VALID")))</f>
        <v/>
      </c>
    </row>
    <row r="566" customFormat="false" ht="15" hidden="false" customHeight="false" outlineLevel="0" collapsed="false">
      <c r="A566" s="21"/>
      <c r="B566" s="22"/>
      <c r="C566" s="21"/>
      <c r="D566" s="22"/>
      <c r="E566" s="22"/>
      <c r="F566" s="28"/>
      <c r="G566" s="22"/>
      <c r="H566" s="21"/>
      <c r="I566" s="28"/>
      <c r="J566" s="22"/>
      <c r="K566" s="22"/>
      <c r="L566" s="22"/>
      <c r="M566" s="21"/>
      <c r="N566" s="22"/>
      <c r="O566" s="29" t="str">
        <f aca="false">IF(A566="","",IF(COUNTIF($A$2:$A$2001,A566)&gt;1,"GANDA","OK"))</f>
        <v/>
      </c>
      <c r="P566" s="29" t="str">
        <f aca="false">IF(A566="","",IF(C566="","KOSONG",IF(AND(LEN(C566)=16,ISNUMBER(--C566)),"OK","TIDAK VALID")))</f>
        <v/>
      </c>
    </row>
    <row r="567" customFormat="false" ht="15" hidden="false" customHeight="false" outlineLevel="0" collapsed="false">
      <c r="A567" s="21"/>
      <c r="B567" s="22"/>
      <c r="C567" s="21"/>
      <c r="D567" s="22"/>
      <c r="E567" s="22"/>
      <c r="F567" s="28"/>
      <c r="G567" s="22"/>
      <c r="H567" s="21"/>
      <c r="I567" s="28"/>
      <c r="J567" s="22"/>
      <c r="K567" s="22"/>
      <c r="L567" s="22"/>
      <c r="M567" s="21"/>
      <c r="N567" s="22"/>
      <c r="O567" s="29" t="str">
        <f aca="false">IF(A567="","",IF(COUNTIF($A$2:$A$2001,A567)&gt;1,"GANDA","OK"))</f>
        <v/>
      </c>
      <c r="P567" s="29" t="str">
        <f aca="false">IF(A567="","",IF(C567="","KOSONG",IF(AND(LEN(C567)=16,ISNUMBER(--C567)),"OK","TIDAK VALID")))</f>
        <v/>
      </c>
    </row>
    <row r="568" customFormat="false" ht="15" hidden="false" customHeight="false" outlineLevel="0" collapsed="false">
      <c r="A568" s="21"/>
      <c r="B568" s="22"/>
      <c r="C568" s="21"/>
      <c r="D568" s="22"/>
      <c r="E568" s="22"/>
      <c r="F568" s="28"/>
      <c r="G568" s="22"/>
      <c r="H568" s="21"/>
      <c r="I568" s="28"/>
      <c r="J568" s="22"/>
      <c r="K568" s="22"/>
      <c r="L568" s="22"/>
      <c r="M568" s="21"/>
      <c r="N568" s="22"/>
      <c r="O568" s="29" t="str">
        <f aca="false">IF(A568="","",IF(COUNTIF($A$2:$A$2001,A568)&gt;1,"GANDA","OK"))</f>
        <v/>
      </c>
      <c r="P568" s="29" t="str">
        <f aca="false">IF(A568="","",IF(C568="","KOSONG",IF(AND(LEN(C568)=16,ISNUMBER(--C568)),"OK","TIDAK VALID")))</f>
        <v/>
      </c>
    </row>
    <row r="569" customFormat="false" ht="15" hidden="false" customHeight="false" outlineLevel="0" collapsed="false">
      <c r="A569" s="21"/>
      <c r="B569" s="22"/>
      <c r="C569" s="21"/>
      <c r="D569" s="22"/>
      <c r="E569" s="22"/>
      <c r="F569" s="28"/>
      <c r="G569" s="22"/>
      <c r="H569" s="21"/>
      <c r="I569" s="28"/>
      <c r="J569" s="22"/>
      <c r="K569" s="22"/>
      <c r="L569" s="22"/>
      <c r="M569" s="21"/>
      <c r="N569" s="22"/>
      <c r="O569" s="29" t="str">
        <f aca="false">IF(A569="","",IF(COUNTIF($A$2:$A$2001,A569)&gt;1,"GANDA","OK"))</f>
        <v/>
      </c>
      <c r="P569" s="29" t="str">
        <f aca="false">IF(A569="","",IF(C569="","KOSONG",IF(AND(LEN(C569)=16,ISNUMBER(--C569)),"OK","TIDAK VALID")))</f>
        <v/>
      </c>
    </row>
    <row r="570" customFormat="false" ht="15" hidden="false" customHeight="false" outlineLevel="0" collapsed="false">
      <c r="A570" s="21"/>
      <c r="B570" s="22"/>
      <c r="C570" s="21"/>
      <c r="D570" s="22"/>
      <c r="E570" s="22"/>
      <c r="F570" s="28"/>
      <c r="G570" s="22"/>
      <c r="H570" s="21"/>
      <c r="I570" s="28"/>
      <c r="J570" s="22"/>
      <c r="K570" s="22"/>
      <c r="L570" s="22"/>
      <c r="M570" s="21"/>
      <c r="N570" s="22"/>
      <c r="O570" s="29" t="str">
        <f aca="false">IF(A570="","",IF(COUNTIF($A$2:$A$2001,A570)&gt;1,"GANDA","OK"))</f>
        <v/>
      </c>
      <c r="P570" s="29" t="str">
        <f aca="false">IF(A570="","",IF(C570="","KOSONG",IF(AND(LEN(C570)=16,ISNUMBER(--C570)),"OK","TIDAK VALID")))</f>
        <v/>
      </c>
    </row>
    <row r="571" customFormat="false" ht="15" hidden="false" customHeight="false" outlineLevel="0" collapsed="false">
      <c r="A571" s="21"/>
      <c r="B571" s="22"/>
      <c r="C571" s="21"/>
      <c r="D571" s="22"/>
      <c r="E571" s="22"/>
      <c r="F571" s="28"/>
      <c r="G571" s="22"/>
      <c r="H571" s="21"/>
      <c r="I571" s="28"/>
      <c r="J571" s="22"/>
      <c r="K571" s="22"/>
      <c r="L571" s="22"/>
      <c r="M571" s="21"/>
      <c r="N571" s="22"/>
      <c r="O571" s="29" t="str">
        <f aca="false">IF(A571="","",IF(COUNTIF($A$2:$A$2001,A571)&gt;1,"GANDA","OK"))</f>
        <v/>
      </c>
      <c r="P571" s="29" t="str">
        <f aca="false">IF(A571="","",IF(C571="","KOSONG",IF(AND(LEN(C571)=16,ISNUMBER(--C571)),"OK","TIDAK VALID")))</f>
        <v/>
      </c>
    </row>
    <row r="572" customFormat="false" ht="15" hidden="false" customHeight="false" outlineLevel="0" collapsed="false">
      <c r="A572" s="21"/>
      <c r="B572" s="22"/>
      <c r="C572" s="21"/>
      <c r="D572" s="22"/>
      <c r="E572" s="22"/>
      <c r="F572" s="28"/>
      <c r="G572" s="22"/>
      <c r="H572" s="21"/>
      <c r="I572" s="28"/>
      <c r="J572" s="22"/>
      <c r="K572" s="22"/>
      <c r="L572" s="22"/>
      <c r="M572" s="21"/>
      <c r="N572" s="22"/>
      <c r="O572" s="29" t="str">
        <f aca="false">IF(A572="","",IF(COUNTIF($A$2:$A$2001,A572)&gt;1,"GANDA","OK"))</f>
        <v/>
      </c>
      <c r="P572" s="29" t="str">
        <f aca="false">IF(A572="","",IF(C572="","KOSONG",IF(AND(LEN(C572)=16,ISNUMBER(--C572)),"OK","TIDAK VALID")))</f>
        <v/>
      </c>
    </row>
    <row r="573" customFormat="false" ht="15" hidden="false" customHeight="false" outlineLevel="0" collapsed="false">
      <c r="A573" s="21"/>
      <c r="B573" s="22"/>
      <c r="C573" s="21"/>
      <c r="D573" s="22"/>
      <c r="E573" s="22"/>
      <c r="F573" s="28"/>
      <c r="G573" s="22"/>
      <c r="H573" s="21"/>
      <c r="I573" s="28"/>
      <c r="J573" s="22"/>
      <c r="K573" s="22"/>
      <c r="L573" s="22"/>
      <c r="M573" s="21"/>
      <c r="N573" s="22"/>
      <c r="O573" s="29" t="str">
        <f aca="false">IF(A573="","",IF(COUNTIF($A$2:$A$2001,A573)&gt;1,"GANDA","OK"))</f>
        <v/>
      </c>
      <c r="P573" s="29" t="str">
        <f aca="false">IF(A573="","",IF(C573="","KOSONG",IF(AND(LEN(C573)=16,ISNUMBER(--C573)),"OK","TIDAK VALID")))</f>
        <v/>
      </c>
    </row>
    <row r="574" customFormat="false" ht="15" hidden="false" customHeight="false" outlineLevel="0" collapsed="false">
      <c r="A574" s="21"/>
      <c r="B574" s="22"/>
      <c r="C574" s="21"/>
      <c r="D574" s="22"/>
      <c r="E574" s="22"/>
      <c r="F574" s="28"/>
      <c r="G574" s="22"/>
      <c r="H574" s="21"/>
      <c r="I574" s="28"/>
      <c r="J574" s="22"/>
      <c r="K574" s="22"/>
      <c r="L574" s="22"/>
      <c r="M574" s="21"/>
      <c r="N574" s="22"/>
      <c r="O574" s="29" t="str">
        <f aca="false">IF(A574="","",IF(COUNTIF($A$2:$A$2001,A574)&gt;1,"GANDA","OK"))</f>
        <v/>
      </c>
      <c r="P574" s="29" t="str">
        <f aca="false">IF(A574="","",IF(C574="","KOSONG",IF(AND(LEN(C574)=16,ISNUMBER(--C574)),"OK","TIDAK VALID")))</f>
        <v/>
      </c>
    </row>
    <row r="575" customFormat="false" ht="15" hidden="false" customHeight="false" outlineLevel="0" collapsed="false">
      <c r="A575" s="21"/>
      <c r="B575" s="22"/>
      <c r="C575" s="21"/>
      <c r="D575" s="22"/>
      <c r="E575" s="22"/>
      <c r="F575" s="28"/>
      <c r="G575" s="22"/>
      <c r="H575" s="21"/>
      <c r="I575" s="28"/>
      <c r="J575" s="22"/>
      <c r="K575" s="22"/>
      <c r="L575" s="22"/>
      <c r="M575" s="21"/>
      <c r="N575" s="22"/>
      <c r="O575" s="29" t="str">
        <f aca="false">IF(A575="","",IF(COUNTIF($A$2:$A$2001,A575)&gt;1,"GANDA","OK"))</f>
        <v/>
      </c>
      <c r="P575" s="29" t="str">
        <f aca="false">IF(A575="","",IF(C575="","KOSONG",IF(AND(LEN(C575)=16,ISNUMBER(--C575)),"OK","TIDAK VALID")))</f>
        <v/>
      </c>
    </row>
    <row r="576" customFormat="false" ht="15" hidden="false" customHeight="false" outlineLevel="0" collapsed="false">
      <c r="A576" s="21"/>
      <c r="B576" s="22"/>
      <c r="C576" s="21"/>
      <c r="D576" s="22"/>
      <c r="E576" s="22"/>
      <c r="F576" s="28"/>
      <c r="G576" s="22"/>
      <c r="H576" s="21"/>
      <c r="I576" s="28"/>
      <c r="J576" s="22"/>
      <c r="K576" s="22"/>
      <c r="L576" s="22"/>
      <c r="M576" s="21"/>
      <c r="N576" s="22"/>
      <c r="O576" s="29" t="str">
        <f aca="false">IF(A576="","",IF(COUNTIF($A$2:$A$2001,A576)&gt;1,"GANDA","OK"))</f>
        <v/>
      </c>
      <c r="P576" s="29" t="str">
        <f aca="false">IF(A576="","",IF(C576="","KOSONG",IF(AND(LEN(C576)=16,ISNUMBER(--C576)),"OK","TIDAK VALID")))</f>
        <v/>
      </c>
    </row>
    <row r="577" customFormat="false" ht="15" hidden="false" customHeight="false" outlineLevel="0" collapsed="false">
      <c r="A577" s="21"/>
      <c r="B577" s="22"/>
      <c r="C577" s="21"/>
      <c r="D577" s="22"/>
      <c r="E577" s="22"/>
      <c r="F577" s="28"/>
      <c r="G577" s="22"/>
      <c r="H577" s="21"/>
      <c r="I577" s="28"/>
      <c r="J577" s="22"/>
      <c r="K577" s="22"/>
      <c r="L577" s="22"/>
      <c r="M577" s="21"/>
      <c r="N577" s="22"/>
      <c r="O577" s="29" t="str">
        <f aca="false">IF(A577="","",IF(COUNTIF($A$2:$A$2001,A577)&gt;1,"GANDA","OK"))</f>
        <v/>
      </c>
      <c r="P577" s="29" t="str">
        <f aca="false">IF(A577="","",IF(C577="","KOSONG",IF(AND(LEN(C577)=16,ISNUMBER(--C577)),"OK","TIDAK VALID")))</f>
        <v/>
      </c>
    </row>
    <row r="578" customFormat="false" ht="15" hidden="false" customHeight="false" outlineLevel="0" collapsed="false">
      <c r="A578" s="21"/>
      <c r="B578" s="22"/>
      <c r="C578" s="21"/>
      <c r="D578" s="22"/>
      <c r="E578" s="22"/>
      <c r="F578" s="28"/>
      <c r="G578" s="22"/>
      <c r="H578" s="21"/>
      <c r="I578" s="28"/>
      <c r="J578" s="22"/>
      <c r="K578" s="22"/>
      <c r="L578" s="22"/>
      <c r="M578" s="21"/>
      <c r="N578" s="22"/>
      <c r="O578" s="29" t="str">
        <f aca="false">IF(A578="","",IF(COUNTIF($A$2:$A$2001,A578)&gt;1,"GANDA","OK"))</f>
        <v/>
      </c>
      <c r="P578" s="29" t="str">
        <f aca="false">IF(A578="","",IF(C578="","KOSONG",IF(AND(LEN(C578)=16,ISNUMBER(--C578)),"OK","TIDAK VALID")))</f>
        <v/>
      </c>
    </row>
    <row r="579" customFormat="false" ht="15" hidden="false" customHeight="false" outlineLevel="0" collapsed="false">
      <c r="A579" s="21"/>
      <c r="B579" s="22"/>
      <c r="C579" s="21"/>
      <c r="D579" s="22"/>
      <c r="E579" s="22"/>
      <c r="F579" s="28"/>
      <c r="G579" s="22"/>
      <c r="H579" s="21"/>
      <c r="I579" s="28"/>
      <c r="J579" s="22"/>
      <c r="K579" s="22"/>
      <c r="L579" s="22"/>
      <c r="M579" s="21"/>
      <c r="N579" s="22"/>
      <c r="O579" s="29" t="str">
        <f aca="false">IF(A579="","",IF(COUNTIF($A$2:$A$2001,A579)&gt;1,"GANDA","OK"))</f>
        <v/>
      </c>
      <c r="P579" s="29" t="str">
        <f aca="false">IF(A579="","",IF(C579="","KOSONG",IF(AND(LEN(C579)=16,ISNUMBER(--C579)),"OK","TIDAK VALID")))</f>
        <v/>
      </c>
    </row>
    <row r="580" customFormat="false" ht="15" hidden="false" customHeight="false" outlineLevel="0" collapsed="false">
      <c r="A580" s="21"/>
      <c r="B580" s="22"/>
      <c r="C580" s="21"/>
      <c r="D580" s="22"/>
      <c r="E580" s="22"/>
      <c r="F580" s="28"/>
      <c r="G580" s="22"/>
      <c r="H580" s="21"/>
      <c r="I580" s="28"/>
      <c r="J580" s="22"/>
      <c r="K580" s="22"/>
      <c r="L580" s="22"/>
      <c r="M580" s="21"/>
      <c r="N580" s="22"/>
      <c r="O580" s="29" t="str">
        <f aca="false">IF(A580="","",IF(COUNTIF($A$2:$A$2001,A580)&gt;1,"GANDA","OK"))</f>
        <v/>
      </c>
      <c r="P580" s="29" t="str">
        <f aca="false">IF(A580="","",IF(C580="","KOSONG",IF(AND(LEN(C580)=16,ISNUMBER(--C580)),"OK","TIDAK VALID")))</f>
        <v/>
      </c>
    </row>
    <row r="581" customFormat="false" ht="15" hidden="false" customHeight="false" outlineLevel="0" collapsed="false">
      <c r="A581" s="21"/>
      <c r="B581" s="22"/>
      <c r="C581" s="21"/>
      <c r="D581" s="22"/>
      <c r="E581" s="22"/>
      <c r="F581" s="28"/>
      <c r="G581" s="22"/>
      <c r="H581" s="21"/>
      <c r="I581" s="28"/>
      <c r="J581" s="22"/>
      <c r="K581" s="22"/>
      <c r="L581" s="22"/>
      <c r="M581" s="21"/>
      <c r="N581" s="22"/>
      <c r="O581" s="29" t="str">
        <f aca="false">IF(A581="","",IF(COUNTIF($A$2:$A$2001,A581)&gt;1,"GANDA","OK"))</f>
        <v/>
      </c>
      <c r="P581" s="29" t="str">
        <f aca="false">IF(A581="","",IF(C581="","KOSONG",IF(AND(LEN(C581)=16,ISNUMBER(--C581)),"OK","TIDAK VALID")))</f>
        <v/>
      </c>
    </row>
    <row r="582" customFormat="false" ht="15" hidden="false" customHeight="false" outlineLevel="0" collapsed="false">
      <c r="A582" s="21"/>
      <c r="B582" s="22"/>
      <c r="C582" s="21"/>
      <c r="D582" s="22"/>
      <c r="E582" s="22"/>
      <c r="F582" s="28"/>
      <c r="G582" s="22"/>
      <c r="H582" s="21"/>
      <c r="I582" s="28"/>
      <c r="J582" s="22"/>
      <c r="K582" s="22"/>
      <c r="L582" s="22"/>
      <c r="M582" s="21"/>
      <c r="N582" s="22"/>
      <c r="O582" s="29" t="str">
        <f aca="false">IF(A582="","",IF(COUNTIF($A$2:$A$2001,A582)&gt;1,"GANDA","OK"))</f>
        <v/>
      </c>
      <c r="P582" s="29" t="str">
        <f aca="false">IF(A582="","",IF(C582="","KOSONG",IF(AND(LEN(C582)=16,ISNUMBER(--C582)),"OK","TIDAK VALID")))</f>
        <v/>
      </c>
    </row>
    <row r="583" customFormat="false" ht="15" hidden="false" customHeight="false" outlineLevel="0" collapsed="false">
      <c r="A583" s="21"/>
      <c r="B583" s="22"/>
      <c r="C583" s="21"/>
      <c r="D583" s="22"/>
      <c r="E583" s="22"/>
      <c r="F583" s="28"/>
      <c r="G583" s="22"/>
      <c r="H583" s="21"/>
      <c r="I583" s="28"/>
      <c r="J583" s="22"/>
      <c r="K583" s="22"/>
      <c r="L583" s="22"/>
      <c r="M583" s="21"/>
      <c r="N583" s="22"/>
      <c r="O583" s="29" t="str">
        <f aca="false">IF(A583="","",IF(COUNTIF($A$2:$A$2001,A583)&gt;1,"GANDA","OK"))</f>
        <v/>
      </c>
      <c r="P583" s="29" t="str">
        <f aca="false">IF(A583="","",IF(C583="","KOSONG",IF(AND(LEN(C583)=16,ISNUMBER(--C583)),"OK","TIDAK VALID")))</f>
        <v/>
      </c>
    </row>
    <row r="584" customFormat="false" ht="15" hidden="false" customHeight="false" outlineLevel="0" collapsed="false">
      <c r="A584" s="21"/>
      <c r="B584" s="22"/>
      <c r="C584" s="21"/>
      <c r="D584" s="22"/>
      <c r="E584" s="22"/>
      <c r="F584" s="28"/>
      <c r="G584" s="22"/>
      <c r="H584" s="21"/>
      <c r="I584" s="28"/>
      <c r="J584" s="22"/>
      <c r="K584" s="22"/>
      <c r="L584" s="22"/>
      <c r="M584" s="21"/>
      <c r="N584" s="22"/>
      <c r="O584" s="29" t="str">
        <f aca="false">IF(A584="","",IF(COUNTIF($A$2:$A$2001,A584)&gt;1,"GANDA","OK"))</f>
        <v/>
      </c>
      <c r="P584" s="29" t="str">
        <f aca="false">IF(A584="","",IF(C584="","KOSONG",IF(AND(LEN(C584)=16,ISNUMBER(--C584)),"OK","TIDAK VALID")))</f>
        <v/>
      </c>
    </row>
    <row r="585" customFormat="false" ht="15" hidden="false" customHeight="false" outlineLevel="0" collapsed="false">
      <c r="A585" s="21"/>
      <c r="B585" s="22"/>
      <c r="C585" s="21"/>
      <c r="D585" s="22"/>
      <c r="E585" s="22"/>
      <c r="F585" s="28"/>
      <c r="G585" s="22"/>
      <c r="H585" s="21"/>
      <c r="I585" s="28"/>
      <c r="J585" s="22"/>
      <c r="K585" s="22"/>
      <c r="L585" s="22"/>
      <c r="M585" s="21"/>
      <c r="N585" s="22"/>
      <c r="O585" s="29" t="str">
        <f aca="false">IF(A585="","",IF(COUNTIF($A$2:$A$2001,A585)&gt;1,"GANDA","OK"))</f>
        <v/>
      </c>
      <c r="P585" s="29" t="str">
        <f aca="false">IF(A585="","",IF(C585="","KOSONG",IF(AND(LEN(C585)=16,ISNUMBER(--C585)),"OK","TIDAK VALID")))</f>
        <v/>
      </c>
    </row>
    <row r="586" customFormat="false" ht="15" hidden="false" customHeight="false" outlineLevel="0" collapsed="false">
      <c r="A586" s="21"/>
      <c r="B586" s="22"/>
      <c r="C586" s="21"/>
      <c r="D586" s="22"/>
      <c r="E586" s="22"/>
      <c r="F586" s="28"/>
      <c r="G586" s="22"/>
      <c r="H586" s="21"/>
      <c r="I586" s="28"/>
      <c r="J586" s="22"/>
      <c r="K586" s="22"/>
      <c r="L586" s="22"/>
      <c r="M586" s="21"/>
      <c r="N586" s="22"/>
      <c r="O586" s="29" t="str">
        <f aca="false">IF(A586="","",IF(COUNTIF($A$2:$A$2001,A586)&gt;1,"GANDA","OK"))</f>
        <v/>
      </c>
      <c r="P586" s="29" t="str">
        <f aca="false">IF(A586="","",IF(C586="","KOSONG",IF(AND(LEN(C586)=16,ISNUMBER(--C586)),"OK","TIDAK VALID")))</f>
        <v/>
      </c>
    </row>
    <row r="587" customFormat="false" ht="15" hidden="false" customHeight="false" outlineLevel="0" collapsed="false">
      <c r="A587" s="21"/>
      <c r="B587" s="22"/>
      <c r="C587" s="21"/>
      <c r="D587" s="22"/>
      <c r="E587" s="22"/>
      <c r="F587" s="28"/>
      <c r="G587" s="22"/>
      <c r="H587" s="21"/>
      <c r="I587" s="28"/>
      <c r="J587" s="22"/>
      <c r="K587" s="22"/>
      <c r="L587" s="22"/>
      <c r="M587" s="21"/>
      <c r="N587" s="22"/>
      <c r="O587" s="29" t="str">
        <f aca="false">IF(A587="","",IF(COUNTIF($A$2:$A$2001,A587)&gt;1,"GANDA","OK"))</f>
        <v/>
      </c>
      <c r="P587" s="29" t="str">
        <f aca="false">IF(A587="","",IF(C587="","KOSONG",IF(AND(LEN(C587)=16,ISNUMBER(--C587)),"OK","TIDAK VALID")))</f>
        <v/>
      </c>
    </row>
    <row r="588" customFormat="false" ht="15" hidden="false" customHeight="false" outlineLevel="0" collapsed="false">
      <c r="A588" s="21"/>
      <c r="B588" s="22"/>
      <c r="C588" s="21"/>
      <c r="D588" s="22"/>
      <c r="E588" s="22"/>
      <c r="F588" s="28"/>
      <c r="G588" s="22"/>
      <c r="H588" s="21"/>
      <c r="I588" s="28"/>
      <c r="J588" s="22"/>
      <c r="K588" s="22"/>
      <c r="L588" s="22"/>
      <c r="M588" s="21"/>
      <c r="N588" s="22"/>
      <c r="O588" s="29" t="str">
        <f aca="false">IF(A588="","",IF(COUNTIF($A$2:$A$2001,A588)&gt;1,"GANDA","OK"))</f>
        <v/>
      </c>
      <c r="P588" s="29" t="str">
        <f aca="false">IF(A588="","",IF(C588="","KOSONG",IF(AND(LEN(C588)=16,ISNUMBER(--C588)),"OK","TIDAK VALID")))</f>
        <v/>
      </c>
    </row>
    <row r="589" customFormat="false" ht="15" hidden="false" customHeight="false" outlineLevel="0" collapsed="false">
      <c r="A589" s="21"/>
      <c r="B589" s="22"/>
      <c r="C589" s="21"/>
      <c r="D589" s="22"/>
      <c r="E589" s="22"/>
      <c r="F589" s="28"/>
      <c r="G589" s="22"/>
      <c r="H589" s="21"/>
      <c r="I589" s="28"/>
      <c r="J589" s="22"/>
      <c r="K589" s="22"/>
      <c r="L589" s="22"/>
      <c r="M589" s="21"/>
      <c r="N589" s="22"/>
      <c r="O589" s="29" t="str">
        <f aca="false">IF(A589="","",IF(COUNTIF($A$2:$A$2001,A589)&gt;1,"GANDA","OK"))</f>
        <v/>
      </c>
      <c r="P589" s="29" t="str">
        <f aca="false">IF(A589="","",IF(C589="","KOSONG",IF(AND(LEN(C589)=16,ISNUMBER(--C589)),"OK","TIDAK VALID")))</f>
        <v/>
      </c>
    </row>
    <row r="590" customFormat="false" ht="15" hidden="false" customHeight="false" outlineLevel="0" collapsed="false">
      <c r="A590" s="21"/>
      <c r="B590" s="22"/>
      <c r="C590" s="21"/>
      <c r="D590" s="22"/>
      <c r="E590" s="22"/>
      <c r="F590" s="28"/>
      <c r="G590" s="22"/>
      <c r="H590" s="21"/>
      <c r="I590" s="28"/>
      <c r="J590" s="22"/>
      <c r="K590" s="22"/>
      <c r="L590" s="22"/>
      <c r="M590" s="21"/>
      <c r="N590" s="22"/>
      <c r="O590" s="29" t="str">
        <f aca="false">IF(A590="","",IF(COUNTIF($A$2:$A$2001,A590)&gt;1,"GANDA","OK"))</f>
        <v/>
      </c>
      <c r="P590" s="29" t="str">
        <f aca="false">IF(A590="","",IF(C590="","KOSONG",IF(AND(LEN(C590)=16,ISNUMBER(--C590)),"OK","TIDAK VALID")))</f>
        <v/>
      </c>
    </row>
    <row r="591" customFormat="false" ht="15" hidden="false" customHeight="false" outlineLevel="0" collapsed="false">
      <c r="A591" s="21"/>
      <c r="B591" s="22"/>
      <c r="C591" s="21"/>
      <c r="D591" s="22"/>
      <c r="E591" s="22"/>
      <c r="F591" s="28"/>
      <c r="G591" s="22"/>
      <c r="H591" s="21"/>
      <c r="I591" s="28"/>
      <c r="J591" s="22"/>
      <c r="K591" s="22"/>
      <c r="L591" s="22"/>
      <c r="M591" s="21"/>
      <c r="N591" s="22"/>
      <c r="O591" s="29" t="str">
        <f aca="false">IF(A591="","",IF(COUNTIF($A$2:$A$2001,A591)&gt;1,"GANDA","OK"))</f>
        <v/>
      </c>
      <c r="P591" s="29" t="str">
        <f aca="false">IF(A591="","",IF(C591="","KOSONG",IF(AND(LEN(C591)=16,ISNUMBER(--C591)),"OK","TIDAK VALID")))</f>
        <v/>
      </c>
    </row>
    <row r="592" customFormat="false" ht="15" hidden="false" customHeight="false" outlineLevel="0" collapsed="false">
      <c r="A592" s="21"/>
      <c r="B592" s="22"/>
      <c r="C592" s="21"/>
      <c r="D592" s="22"/>
      <c r="E592" s="22"/>
      <c r="F592" s="28"/>
      <c r="G592" s="22"/>
      <c r="H592" s="21"/>
      <c r="I592" s="28"/>
      <c r="J592" s="22"/>
      <c r="K592" s="22"/>
      <c r="L592" s="22"/>
      <c r="M592" s="21"/>
      <c r="N592" s="22"/>
      <c r="O592" s="29" t="str">
        <f aca="false">IF(A592="","",IF(COUNTIF($A$2:$A$2001,A592)&gt;1,"GANDA","OK"))</f>
        <v/>
      </c>
      <c r="P592" s="29" t="str">
        <f aca="false">IF(A592="","",IF(C592="","KOSONG",IF(AND(LEN(C592)=16,ISNUMBER(--C592)),"OK","TIDAK VALID")))</f>
        <v/>
      </c>
    </row>
    <row r="593" customFormat="false" ht="15" hidden="false" customHeight="false" outlineLevel="0" collapsed="false">
      <c r="A593" s="21"/>
      <c r="B593" s="22"/>
      <c r="C593" s="21"/>
      <c r="D593" s="22"/>
      <c r="E593" s="22"/>
      <c r="F593" s="28"/>
      <c r="G593" s="22"/>
      <c r="H593" s="21"/>
      <c r="I593" s="28"/>
      <c r="J593" s="22"/>
      <c r="K593" s="22"/>
      <c r="L593" s="22"/>
      <c r="M593" s="21"/>
      <c r="N593" s="22"/>
      <c r="O593" s="29" t="str">
        <f aca="false">IF(A593="","",IF(COUNTIF($A$2:$A$2001,A593)&gt;1,"GANDA","OK"))</f>
        <v/>
      </c>
      <c r="P593" s="29" t="str">
        <f aca="false">IF(A593="","",IF(C593="","KOSONG",IF(AND(LEN(C593)=16,ISNUMBER(--C593)),"OK","TIDAK VALID")))</f>
        <v/>
      </c>
    </row>
    <row r="594" customFormat="false" ht="15" hidden="false" customHeight="false" outlineLevel="0" collapsed="false">
      <c r="A594" s="21"/>
      <c r="B594" s="22"/>
      <c r="C594" s="21"/>
      <c r="D594" s="22"/>
      <c r="E594" s="22"/>
      <c r="F594" s="28"/>
      <c r="G594" s="22"/>
      <c r="H594" s="21"/>
      <c r="I594" s="28"/>
      <c r="J594" s="22"/>
      <c r="K594" s="22"/>
      <c r="L594" s="22"/>
      <c r="M594" s="21"/>
      <c r="N594" s="22"/>
      <c r="O594" s="29" t="str">
        <f aca="false">IF(A594="","",IF(COUNTIF($A$2:$A$2001,A594)&gt;1,"GANDA","OK"))</f>
        <v/>
      </c>
      <c r="P594" s="29" t="str">
        <f aca="false">IF(A594="","",IF(C594="","KOSONG",IF(AND(LEN(C594)=16,ISNUMBER(--C594)),"OK","TIDAK VALID")))</f>
        <v/>
      </c>
    </row>
    <row r="595" customFormat="false" ht="15" hidden="false" customHeight="false" outlineLevel="0" collapsed="false">
      <c r="A595" s="21"/>
      <c r="B595" s="22"/>
      <c r="C595" s="21"/>
      <c r="D595" s="22"/>
      <c r="E595" s="22"/>
      <c r="F595" s="28"/>
      <c r="G595" s="22"/>
      <c r="H595" s="21"/>
      <c r="I595" s="28"/>
      <c r="J595" s="22"/>
      <c r="K595" s="22"/>
      <c r="L595" s="22"/>
      <c r="M595" s="21"/>
      <c r="N595" s="22"/>
      <c r="O595" s="29" t="str">
        <f aca="false">IF(A595="","",IF(COUNTIF($A$2:$A$2001,A595)&gt;1,"GANDA","OK"))</f>
        <v/>
      </c>
      <c r="P595" s="29" t="str">
        <f aca="false">IF(A595="","",IF(C595="","KOSONG",IF(AND(LEN(C595)=16,ISNUMBER(--C595)),"OK","TIDAK VALID")))</f>
        <v/>
      </c>
    </row>
    <row r="596" customFormat="false" ht="15" hidden="false" customHeight="false" outlineLevel="0" collapsed="false">
      <c r="A596" s="21"/>
      <c r="B596" s="22"/>
      <c r="C596" s="21"/>
      <c r="D596" s="22"/>
      <c r="E596" s="22"/>
      <c r="F596" s="28"/>
      <c r="G596" s="22"/>
      <c r="H596" s="21"/>
      <c r="I596" s="28"/>
      <c r="J596" s="22"/>
      <c r="K596" s="22"/>
      <c r="L596" s="22"/>
      <c r="M596" s="21"/>
      <c r="N596" s="22"/>
      <c r="O596" s="29" t="str">
        <f aca="false">IF(A596="","",IF(COUNTIF($A$2:$A$2001,A596)&gt;1,"GANDA","OK"))</f>
        <v/>
      </c>
      <c r="P596" s="29" t="str">
        <f aca="false">IF(A596="","",IF(C596="","KOSONG",IF(AND(LEN(C596)=16,ISNUMBER(--C596)),"OK","TIDAK VALID")))</f>
        <v/>
      </c>
    </row>
    <row r="597" customFormat="false" ht="15" hidden="false" customHeight="false" outlineLevel="0" collapsed="false">
      <c r="A597" s="21"/>
      <c r="B597" s="22"/>
      <c r="C597" s="21"/>
      <c r="D597" s="22"/>
      <c r="E597" s="22"/>
      <c r="F597" s="28"/>
      <c r="G597" s="22"/>
      <c r="H597" s="21"/>
      <c r="I597" s="28"/>
      <c r="J597" s="22"/>
      <c r="K597" s="22"/>
      <c r="L597" s="22"/>
      <c r="M597" s="21"/>
      <c r="N597" s="22"/>
      <c r="O597" s="29" t="str">
        <f aca="false">IF(A597="","",IF(COUNTIF($A$2:$A$2001,A597)&gt;1,"GANDA","OK"))</f>
        <v/>
      </c>
      <c r="P597" s="29" t="str">
        <f aca="false">IF(A597="","",IF(C597="","KOSONG",IF(AND(LEN(C597)=16,ISNUMBER(--C597)),"OK","TIDAK VALID")))</f>
        <v/>
      </c>
    </row>
    <row r="598" customFormat="false" ht="15" hidden="false" customHeight="false" outlineLevel="0" collapsed="false">
      <c r="A598" s="21"/>
      <c r="B598" s="22"/>
      <c r="C598" s="21"/>
      <c r="D598" s="22"/>
      <c r="E598" s="22"/>
      <c r="F598" s="28"/>
      <c r="G598" s="22"/>
      <c r="H598" s="21"/>
      <c r="I598" s="28"/>
      <c r="J598" s="22"/>
      <c r="K598" s="22"/>
      <c r="L598" s="22"/>
      <c r="M598" s="21"/>
      <c r="N598" s="22"/>
      <c r="O598" s="29" t="str">
        <f aca="false">IF(A598="","",IF(COUNTIF($A$2:$A$2001,A598)&gt;1,"GANDA","OK"))</f>
        <v/>
      </c>
      <c r="P598" s="29" t="str">
        <f aca="false">IF(A598="","",IF(C598="","KOSONG",IF(AND(LEN(C598)=16,ISNUMBER(--C598)),"OK","TIDAK VALID")))</f>
        <v/>
      </c>
    </row>
    <row r="599" customFormat="false" ht="15" hidden="false" customHeight="false" outlineLevel="0" collapsed="false">
      <c r="A599" s="21"/>
      <c r="B599" s="22"/>
      <c r="C599" s="21"/>
      <c r="D599" s="22"/>
      <c r="E599" s="22"/>
      <c r="F599" s="28"/>
      <c r="G599" s="22"/>
      <c r="H599" s="21"/>
      <c r="I599" s="28"/>
      <c r="J599" s="22"/>
      <c r="K599" s="22"/>
      <c r="L599" s="22"/>
      <c r="M599" s="21"/>
      <c r="N599" s="22"/>
      <c r="O599" s="29" t="str">
        <f aca="false">IF(A599="","",IF(COUNTIF($A$2:$A$2001,A599)&gt;1,"GANDA","OK"))</f>
        <v/>
      </c>
      <c r="P599" s="29" t="str">
        <f aca="false">IF(A599="","",IF(C599="","KOSONG",IF(AND(LEN(C599)=16,ISNUMBER(--C599)),"OK","TIDAK VALID")))</f>
        <v/>
      </c>
    </row>
    <row r="600" customFormat="false" ht="15" hidden="false" customHeight="false" outlineLevel="0" collapsed="false">
      <c r="A600" s="21"/>
      <c r="B600" s="22"/>
      <c r="C600" s="21"/>
      <c r="D600" s="22"/>
      <c r="E600" s="22"/>
      <c r="F600" s="28"/>
      <c r="G600" s="22"/>
      <c r="H600" s="21"/>
      <c r="I600" s="28"/>
      <c r="J600" s="22"/>
      <c r="K600" s="22"/>
      <c r="L600" s="22"/>
      <c r="M600" s="21"/>
      <c r="N600" s="22"/>
      <c r="O600" s="29" t="str">
        <f aca="false">IF(A600="","",IF(COUNTIF($A$2:$A$2001,A600)&gt;1,"GANDA","OK"))</f>
        <v/>
      </c>
      <c r="P600" s="29" t="str">
        <f aca="false">IF(A600="","",IF(C600="","KOSONG",IF(AND(LEN(C600)=16,ISNUMBER(--C600)),"OK","TIDAK VALID")))</f>
        <v/>
      </c>
    </row>
    <row r="601" customFormat="false" ht="15" hidden="false" customHeight="false" outlineLevel="0" collapsed="false">
      <c r="A601" s="21"/>
      <c r="B601" s="22"/>
      <c r="C601" s="21"/>
      <c r="D601" s="22"/>
      <c r="E601" s="22"/>
      <c r="F601" s="28"/>
      <c r="G601" s="22"/>
      <c r="H601" s="21"/>
      <c r="I601" s="28"/>
      <c r="J601" s="22"/>
      <c r="K601" s="22"/>
      <c r="L601" s="22"/>
      <c r="M601" s="21"/>
      <c r="N601" s="22"/>
      <c r="O601" s="29" t="str">
        <f aca="false">IF(A601="","",IF(COUNTIF($A$2:$A$2001,A601)&gt;1,"GANDA","OK"))</f>
        <v/>
      </c>
      <c r="P601" s="29" t="str">
        <f aca="false">IF(A601="","",IF(C601="","KOSONG",IF(AND(LEN(C601)=16,ISNUMBER(--C601)),"OK","TIDAK VALID")))</f>
        <v/>
      </c>
    </row>
    <row r="602" customFormat="false" ht="15" hidden="false" customHeight="false" outlineLevel="0" collapsed="false">
      <c r="A602" s="21"/>
      <c r="B602" s="22"/>
      <c r="C602" s="21"/>
      <c r="D602" s="22"/>
      <c r="E602" s="22"/>
      <c r="F602" s="28"/>
      <c r="G602" s="22"/>
      <c r="H602" s="21"/>
      <c r="I602" s="28"/>
      <c r="J602" s="22"/>
      <c r="K602" s="22"/>
      <c r="L602" s="22"/>
      <c r="M602" s="21"/>
      <c r="N602" s="22"/>
      <c r="O602" s="29" t="str">
        <f aca="false">IF(A602="","",IF(COUNTIF($A$2:$A$2001,A602)&gt;1,"GANDA","OK"))</f>
        <v/>
      </c>
      <c r="P602" s="29" t="str">
        <f aca="false">IF(A602="","",IF(C602="","KOSONG",IF(AND(LEN(C602)=16,ISNUMBER(--C602)),"OK","TIDAK VALID")))</f>
        <v/>
      </c>
    </row>
    <row r="603" customFormat="false" ht="15" hidden="false" customHeight="false" outlineLevel="0" collapsed="false">
      <c r="A603" s="21"/>
      <c r="B603" s="22"/>
      <c r="C603" s="21"/>
      <c r="D603" s="22"/>
      <c r="E603" s="22"/>
      <c r="F603" s="28"/>
      <c r="G603" s="22"/>
      <c r="H603" s="21"/>
      <c r="I603" s="28"/>
      <c r="J603" s="22"/>
      <c r="K603" s="22"/>
      <c r="L603" s="22"/>
      <c r="M603" s="21"/>
      <c r="N603" s="22"/>
      <c r="O603" s="29" t="str">
        <f aca="false">IF(A603="","",IF(COUNTIF($A$2:$A$2001,A603)&gt;1,"GANDA","OK"))</f>
        <v/>
      </c>
      <c r="P603" s="29" t="str">
        <f aca="false">IF(A603="","",IF(C603="","KOSONG",IF(AND(LEN(C603)=16,ISNUMBER(--C603)),"OK","TIDAK VALID")))</f>
        <v/>
      </c>
    </row>
    <row r="604" customFormat="false" ht="15" hidden="false" customHeight="false" outlineLevel="0" collapsed="false">
      <c r="A604" s="21"/>
      <c r="B604" s="22"/>
      <c r="C604" s="21"/>
      <c r="D604" s="22"/>
      <c r="E604" s="22"/>
      <c r="F604" s="28"/>
      <c r="G604" s="22"/>
      <c r="H604" s="21"/>
      <c r="I604" s="28"/>
      <c r="J604" s="22"/>
      <c r="K604" s="22"/>
      <c r="L604" s="22"/>
      <c r="M604" s="21"/>
      <c r="N604" s="22"/>
      <c r="O604" s="29" t="str">
        <f aca="false">IF(A604="","",IF(COUNTIF($A$2:$A$2001,A604)&gt;1,"GANDA","OK"))</f>
        <v/>
      </c>
      <c r="P604" s="29" t="str">
        <f aca="false">IF(A604="","",IF(C604="","KOSONG",IF(AND(LEN(C604)=16,ISNUMBER(--C604)),"OK","TIDAK VALID")))</f>
        <v/>
      </c>
    </row>
    <row r="605" customFormat="false" ht="15" hidden="false" customHeight="false" outlineLevel="0" collapsed="false">
      <c r="A605" s="21"/>
      <c r="B605" s="22"/>
      <c r="C605" s="21"/>
      <c r="D605" s="22"/>
      <c r="E605" s="22"/>
      <c r="F605" s="28"/>
      <c r="G605" s="22"/>
      <c r="H605" s="21"/>
      <c r="I605" s="28"/>
      <c r="J605" s="22"/>
      <c r="K605" s="22"/>
      <c r="L605" s="22"/>
      <c r="M605" s="21"/>
      <c r="N605" s="22"/>
      <c r="O605" s="29" t="str">
        <f aca="false">IF(A605="","",IF(COUNTIF($A$2:$A$2001,A605)&gt;1,"GANDA","OK"))</f>
        <v/>
      </c>
      <c r="P605" s="29" t="str">
        <f aca="false">IF(A605="","",IF(C605="","KOSONG",IF(AND(LEN(C605)=16,ISNUMBER(--C605)),"OK","TIDAK VALID")))</f>
        <v/>
      </c>
    </row>
    <row r="606" customFormat="false" ht="15" hidden="false" customHeight="false" outlineLevel="0" collapsed="false">
      <c r="A606" s="21"/>
      <c r="B606" s="22"/>
      <c r="C606" s="21"/>
      <c r="D606" s="22"/>
      <c r="E606" s="22"/>
      <c r="F606" s="28"/>
      <c r="G606" s="22"/>
      <c r="H606" s="21"/>
      <c r="I606" s="28"/>
      <c r="J606" s="22"/>
      <c r="K606" s="22"/>
      <c r="L606" s="22"/>
      <c r="M606" s="21"/>
      <c r="N606" s="22"/>
      <c r="O606" s="29" t="str">
        <f aca="false">IF(A606="","",IF(COUNTIF($A$2:$A$2001,A606)&gt;1,"GANDA","OK"))</f>
        <v/>
      </c>
      <c r="P606" s="29" t="str">
        <f aca="false">IF(A606="","",IF(C606="","KOSONG",IF(AND(LEN(C606)=16,ISNUMBER(--C606)),"OK","TIDAK VALID")))</f>
        <v/>
      </c>
    </row>
    <row r="607" customFormat="false" ht="15" hidden="false" customHeight="false" outlineLevel="0" collapsed="false">
      <c r="A607" s="21"/>
      <c r="B607" s="22"/>
      <c r="C607" s="21"/>
      <c r="D607" s="22"/>
      <c r="E607" s="22"/>
      <c r="F607" s="28"/>
      <c r="G607" s="22"/>
      <c r="H607" s="21"/>
      <c r="I607" s="28"/>
      <c r="J607" s="22"/>
      <c r="K607" s="22"/>
      <c r="L607" s="22"/>
      <c r="M607" s="21"/>
      <c r="N607" s="22"/>
      <c r="O607" s="29" t="str">
        <f aca="false">IF(A607="","",IF(COUNTIF($A$2:$A$2001,A607)&gt;1,"GANDA","OK"))</f>
        <v/>
      </c>
      <c r="P607" s="29" t="str">
        <f aca="false">IF(A607="","",IF(C607="","KOSONG",IF(AND(LEN(C607)=16,ISNUMBER(--C607)),"OK","TIDAK VALID")))</f>
        <v/>
      </c>
    </row>
    <row r="608" customFormat="false" ht="15" hidden="false" customHeight="false" outlineLevel="0" collapsed="false">
      <c r="A608" s="21"/>
      <c r="B608" s="22"/>
      <c r="C608" s="21"/>
      <c r="D608" s="22"/>
      <c r="E608" s="22"/>
      <c r="F608" s="28"/>
      <c r="G608" s="22"/>
      <c r="H608" s="21"/>
      <c r="I608" s="28"/>
      <c r="J608" s="22"/>
      <c r="K608" s="22"/>
      <c r="L608" s="22"/>
      <c r="M608" s="21"/>
      <c r="N608" s="22"/>
      <c r="O608" s="29" t="str">
        <f aca="false">IF(A608="","",IF(COUNTIF($A$2:$A$2001,A608)&gt;1,"GANDA","OK"))</f>
        <v/>
      </c>
      <c r="P608" s="29" t="str">
        <f aca="false">IF(A608="","",IF(C608="","KOSONG",IF(AND(LEN(C608)=16,ISNUMBER(--C608)),"OK","TIDAK VALID")))</f>
        <v/>
      </c>
    </row>
    <row r="609" customFormat="false" ht="15" hidden="false" customHeight="false" outlineLevel="0" collapsed="false">
      <c r="A609" s="21"/>
      <c r="B609" s="22"/>
      <c r="C609" s="21"/>
      <c r="D609" s="22"/>
      <c r="E609" s="22"/>
      <c r="F609" s="28"/>
      <c r="G609" s="22"/>
      <c r="H609" s="21"/>
      <c r="I609" s="28"/>
      <c r="J609" s="22"/>
      <c r="K609" s="22"/>
      <c r="L609" s="22"/>
      <c r="M609" s="21"/>
      <c r="N609" s="22"/>
      <c r="O609" s="29" t="str">
        <f aca="false">IF(A609="","",IF(COUNTIF($A$2:$A$2001,A609)&gt;1,"GANDA","OK"))</f>
        <v/>
      </c>
      <c r="P609" s="29" t="str">
        <f aca="false">IF(A609="","",IF(C609="","KOSONG",IF(AND(LEN(C609)=16,ISNUMBER(--C609)),"OK","TIDAK VALID")))</f>
        <v/>
      </c>
    </row>
    <row r="610" customFormat="false" ht="15" hidden="false" customHeight="false" outlineLevel="0" collapsed="false">
      <c r="A610" s="21"/>
      <c r="B610" s="22"/>
      <c r="C610" s="21"/>
      <c r="D610" s="22"/>
      <c r="E610" s="22"/>
      <c r="F610" s="28"/>
      <c r="G610" s="22"/>
      <c r="H610" s="21"/>
      <c r="I610" s="28"/>
      <c r="J610" s="22"/>
      <c r="K610" s="22"/>
      <c r="L610" s="22"/>
      <c r="M610" s="21"/>
      <c r="N610" s="22"/>
      <c r="O610" s="29" t="str">
        <f aca="false">IF(A610="","",IF(COUNTIF($A$2:$A$2001,A610)&gt;1,"GANDA","OK"))</f>
        <v/>
      </c>
      <c r="P610" s="29" t="str">
        <f aca="false">IF(A610="","",IF(C610="","KOSONG",IF(AND(LEN(C610)=16,ISNUMBER(--C610)),"OK","TIDAK VALID")))</f>
        <v/>
      </c>
    </row>
    <row r="611" customFormat="false" ht="15" hidden="false" customHeight="false" outlineLevel="0" collapsed="false">
      <c r="A611" s="21"/>
      <c r="B611" s="22"/>
      <c r="C611" s="21"/>
      <c r="D611" s="22"/>
      <c r="E611" s="22"/>
      <c r="F611" s="28"/>
      <c r="G611" s="22"/>
      <c r="H611" s="21"/>
      <c r="I611" s="28"/>
      <c r="J611" s="22"/>
      <c r="K611" s="22"/>
      <c r="L611" s="22"/>
      <c r="M611" s="21"/>
      <c r="N611" s="22"/>
      <c r="O611" s="29" t="str">
        <f aca="false">IF(A611="","",IF(COUNTIF($A$2:$A$2001,A611)&gt;1,"GANDA","OK"))</f>
        <v/>
      </c>
      <c r="P611" s="29" t="str">
        <f aca="false">IF(A611="","",IF(C611="","KOSONG",IF(AND(LEN(C611)=16,ISNUMBER(--C611)),"OK","TIDAK VALID")))</f>
        <v/>
      </c>
    </row>
    <row r="612" customFormat="false" ht="15" hidden="false" customHeight="false" outlineLevel="0" collapsed="false">
      <c r="A612" s="21"/>
      <c r="B612" s="22"/>
      <c r="C612" s="21"/>
      <c r="D612" s="22"/>
      <c r="E612" s="22"/>
      <c r="F612" s="28"/>
      <c r="G612" s="22"/>
      <c r="H612" s="21"/>
      <c r="I612" s="28"/>
      <c r="J612" s="22"/>
      <c r="K612" s="22"/>
      <c r="L612" s="22"/>
      <c r="M612" s="21"/>
      <c r="N612" s="22"/>
      <c r="O612" s="29" t="str">
        <f aca="false">IF(A612="","",IF(COUNTIF($A$2:$A$2001,A612)&gt;1,"GANDA","OK"))</f>
        <v/>
      </c>
      <c r="P612" s="29" t="str">
        <f aca="false">IF(A612="","",IF(C612="","KOSONG",IF(AND(LEN(C612)=16,ISNUMBER(--C612)),"OK","TIDAK VALID")))</f>
        <v/>
      </c>
    </row>
    <row r="613" customFormat="false" ht="15" hidden="false" customHeight="false" outlineLevel="0" collapsed="false">
      <c r="A613" s="21"/>
      <c r="B613" s="22"/>
      <c r="C613" s="21"/>
      <c r="D613" s="22"/>
      <c r="E613" s="22"/>
      <c r="F613" s="28"/>
      <c r="G613" s="22"/>
      <c r="H613" s="21"/>
      <c r="I613" s="28"/>
      <c r="J613" s="22"/>
      <c r="K613" s="22"/>
      <c r="L613" s="22"/>
      <c r="M613" s="21"/>
      <c r="N613" s="22"/>
      <c r="O613" s="29" t="str">
        <f aca="false">IF(A613="","",IF(COUNTIF($A$2:$A$2001,A613)&gt;1,"GANDA","OK"))</f>
        <v/>
      </c>
      <c r="P613" s="29" t="str">
        <f aca="false">IF(A613="","",IF(C613="","KOSONG",IF(AND(LEN(C613)=16,ISNUMBER(--C613)),"OK","TIDAK VALID")))</f>
        <v/>
      </c>
    </row>
    <row r="614" customFormat="false" ht="15" hidden="false" customHeight="false" outlineLevel="0" collapsed="false">
      <c r="A614" s="21"/>
      <c r="B614" s="22"/>
      <c r="C614" s="21"/>
      <c r="D614" s="22"/>
      <c r="E614" s="22"/>
      <c r="F614" s="28"/>
      <c r="G614" s="22"/>
      <c r="H614" s="21"/>
      <c r="I614" s="28"/>
      <c r="J614" s="22"/>
      <c r="K614" s="22"/>
      <c r="L614" s="22"/>
      <c r="M614" s="21"/>
      <c r="N614" s="22"/>
      <c r="O614" s="29" t="str">
        <f aca="false">IF(A614="","",IF(COUNTIF($A$2:$A$2001,A614)&gt;1,"GANDA","OK"))</f>
        <v/>
      </c>
      <c r="P614" s="29" t="str">
        <f aca="false">IF(A614="","",IF(C614="","KOSONG",IF(AND(LEN(C614)=16,ISNUMBER(--C614)),"OK","TIDAK VALID")))</f>
        <v/>
      </c>
    </row>
    <row r="615" customFormat="false" ht="15" hidden="false" customHeight="false" outlineLevel="0" collapsed="false">
      <c r="A615" s="21"/>
      <c r="B615" s="22"/>
      <c r="C615" s="21"/>
      <c r="D615" s="22"/>
      <c r="E615" s="22"/>
      <c r="F615" s="28"/>
      <c r="G615" s="22"/>
      <c r="H615" s="21"/>
      <c r="I615" s="28"/>
      <c r="J615" s="22"/>
      <c r="K615" s="22"/>
      <c r="L615" s="22"/>
      <c r="M615" s="21"/>
      <c r="N615" s="22"/>
      <c r="O615" s="29" t="str">
        <f aca="false">IF(A615="","",IF(COUNTIF($A$2:$A$2001,A615)&gt;1,"GANDA","OK"))</f>
        <v/>
      </c>
      <c r="P615" s="29" t="str">
        <f aca="false">IF(A615="","",IF(C615="","KOSONG",IF(AND(LEN(C615)=16,ISNUMBER(--C615)),"OK","TIDAK VALID")))</f>
        <v/>
      </c>
    </row>
    <row r="616" customFormat="false" ht="15" hidden="false" customHeight="false" outlineLevel="0" collapsed="false">
      <c r="A616" s="21"/>
      <c r="B616" s="22"/>
      <c r="C616" s="21"/>
      <c r="D616" s="22"/>
      <c r="E616" s="22"/>
      <c r="F616" s="28"/>
      <c r="G616" s="22"/>
      <c r="H616" s="21"/>
      <c r="I616" s="28"/>
      <c r="J616" s="22"/>
      <c r="K616" s="22"/>
      <c r="L616" s="22"/>
      <c r="M616" s="21"/>
      <c r="N616" s="22"/>
      <c r="O616" s="29" t="str">
        <f aca="false">IF(A616="","",IF(COUNTIF($A$2:$A$2001,A616)&gt;1,"GANDA","OK"))</f>
        <v/>
      </c>
      <c r="P616" s="29" t="str">
        <f aca="false">IF(A616="","",IF(C616="","KOSONG",IF(AND(LEN(C616)=16,ISNUMBER(--C616)),"OK","TIDAK VALID")))</f>
        <v/>
      </c>
    </row>
    <row r="617" customFormat="false" ht="15" hidden="false" customHeight="false" outlineLevel="0" collapsed="false">
      <c r="A617" s="21"/>
      <c r="B617" s="22"/>
      <c r="C617" s="21"/>
      <c r="D617" s="22"/>
      <c r="E617" s="22"/>
      <c r="F617" s="28"/>
      <c r="G617" s="22"/>
      <c r="H617" s="21"/>
      <c r="I617" s="28"/>
      <c r="J617" s="22"/>
      <c r="K617" s="22"/>
      <c r="L617" s="22"/>
      <c r="M617" s="21"/>
      <c r="N617" s="22"/>
      <c r="O617" s="29" t="str">
        <f aca="false">IF(A617="","",IF(COUNTIF($A$2:$A$2001,A617)&gt;1,"GANDA","OK"))</f>
        <v/>
      </c>
      <c r="P617" s="29" t="str">
        <f aca="false">IF(A617="","",IF(C617="","KOSONG",IF(AND(LEN(C617)=16,ISNUMBER(--C617)),"OK","TIDAK VALID")))</f>
        <v/>
      </c>
    </row>
    <row r="618" customFormat="false" ht="15" hidden="false" customHeight="false" outlineLevel="0" collapsed="false">
      <c r="A618" s="21"/>
      <c r="B618" s="22"/>
      <c r="C618" s="21"/>
      <c r="D618" s="22"/>
      <c r="E618" s="22"/>
      <c r="F618" s="28"/>
      <c r="G618" s="22"/>
      <c r="H618" s="21"/>
      <c r="I618" s="28"/>
      <c r="J618" s="22"/>
      <c r="K618" s="22"/>
      <c r="L618" s="22"/>
      <c r="M618" s="21"/>
      <c r="N618" s="22"/>
      <c r="O618" s="29" t="str">
        <f aca="false">IF(A618="","",IF(COUNTIF($A$2:$A$2001,A618)&gt;1,"GANDA","OK"))</f>
        <v/>
      </c>
      <c r="P618" s="29" t="str">
        <f aca="false">IF(A618="","",IF(C618="","KOSONG",IF(AND(LEN(C618)=16,ISNUMBER(--C618)),"OK","TIDAK VALID")))</f>
        <v/>
      </c>
    </row>
    <row r="619" customFormat="false" ht="15" hidden="false" customHeight="false" outlineLevel="0" collapsed="false">
      <c r="A619" s="21"/>
      <c r="B619" s="22"/>
      <c r="C619" s="21"/>
      <c r="D619" s="22"/>
      <c r="E619" s="22"/>
      <c r="F619" s="28"/>
      <c r="G619" s="22"/>
      <c r="H619" s="21"/>
      <c r="I619" s="28"/>
      <c r="J619" s="22"/>
      <c r="K619" s="22"/>
      <c r="L619" s="22"/>
      <c r="M619" s="21"/>
      <c r="N619" s="22"/>
      <c r="O619" s="29" t="str">
        <f aca="false">IF(A619="","",IF(COUNTIF($A$2:$A$2001,A619)&gt;1,"GANDA","OK"))</f>
        <v/>
      </c>
      <c r="P619" s="29" t="str">
        <f aca="false">IF(A619="","",IF(C619="","KOSONG",IF(AND(LEN(C619)=16,ISNUMBER(--C619)),"OK","TIDAK VALID")))</f>
        <v/>
      </c>
    </row>
    <row r="620" customFormat="false" ht="15" hidden="false" customHeight="false" outlineLevel="0" collapsed="false">
      <c r="A620" s="21"/>
      <c r="B620" s="22"/>
      <c r="C620" s="21"/>
      <c r="D620" s="22"/>
      <c r="E620" s="22"/>
      <c r="F620" s="28"/>
      <c r="G620" s="22"/>
      <c r="H620" s="21"/>
      <c r="I620" s="28"/>
      <c r="J620" s="22"/>
      <c r="K620" s="22"/>
      <c r="L620" s="22"/>
      <c r="M620" s="21"/>
      <c r="N620" s="22"/>
      <c r="O620" s="29" t="str">
        <f aca="false">IF(A620="","",IF(COUNTIF($A$2:$A$2001,A620)&gt;1,"GANDA","OK"))</f>
        <v/>
      </c>
      <c r="P620" s="29" t="str">
        <f aca="false">IF(A620="","",IF(C620="","KOSONG",IF(AND(LEN(C620)=16,ISNUMBER(--C620)),"OK","TIDAK VALID")))</f>
        <v/>
      </c>
    </row>
    <row r="621" customFormat="false" ht="15" hidden="false" customHeight="false" outlineLevel="0" collapsed="false">
      <c r="A621" s="21"/>
      <c r="B621" s="22"/>
      <c r="C621" s="21"/>
      <c r="D621" s="22"/>
      <c r="E621" s="22"/>
      <c r="F621" s="28"/>
      <c r="G621" s="22"/>
      <c r="H621" s="21"/>
      <c r="I621" s="28"/>
      <c r="J621" s="22"/>
      <c r="K621" s="22"/>
      <c r="L621" s="22"/>
      <c r="M621" s="21"/>
      <c r="N621" s="22"/>
      <c r="O621" s="29" t="str">
        <f aca="false">IF(A621="","",IF(COUNTIF($A$2:$A$2001,A621)&gt;1,"GANDA","OK"))</f>
        <v/>
      </c>
      <c r="P621" s="29" t="str">
        <f aca="false">IF(A621="","",IF(C621="","KOSONG",IF(AND(LEN(C621)=16,ISNUMBER(--C621)),"OK","TIDAK VALID")))</f>
        <v/>
      </c>
    </row>
    <row r="622" customFormat="false" ht="15" hidden="false" customHeight="false" outlineLevel="0" collapsed="false">
      <c r="A622" s="21"/>
      <c r="B622" s="22"/>
      <c r="C622" s="21"/>
      <c r="D622" s="22"/>
      <c r="E622" s="22"/>
      <c r="F622" s="28"/>
      <c r="G622" s="22"/>
      <c r="H622" s="21"/>
      <c r="I622" s="28"/>
      <c r="J622" s="22"/>
      <c r="K622" s="22"/>
      <c r="L622" s="22"/>
      <c r="M622" s="21"/>
      <c r="N622" s="22"/>
      <c r="O622" s="29" t="str">
        <f aca="false">IF(A622="","",IF(COUNTIF($A$2:$A$2001,A622)&gt;1,"GANDA","OK"))</f>
        <v/>
      </c>
      <c r="P622" s="29" t="str">
        <f aca="false">IF(A622="","",IF(C622="","KOSONG",IF(AND(LEN(C622)=16,ISNUMBER(--C622)),"OK","TIDAK VALID")))</f>
        <v/>
      </c>
    </row>
    <row r="623" customFormat="false" ht="15" hidden="false" customHeight="false" outlineLevel="0" collapsed="false">
      <c r="A623" s="21"/>
      <c r="B623" s="22"/>
      <c r="C623" s="21"/>
      <c r="D623" s="22"/>
      <c r="E623" s="22"/>
      <c r="F623" s="28"/>
      <c r="G623" s="22"/>
      <c r="H623" s="21"/>
      <c r="I623" s="28"/>
      <c r="J623" s="22"/>
      <c r="K623" s="22"/>
      <c r="L623" s="22"/>
      <c r="M623" s="21"/>
      <c r="N623" s="22"/>
      <c r="O623" s="29" t="str">
        <f aca="false">IF(A623="","",IF(COUNTIF($A$2:$A$2001,A623)&gt;1,"GANDA","OK"))</f>
        <v/>
      </c>
      <c r="P623" s="29" t="str">
        <f aca="false">IF(A623="","",IF(C623="","KOSONG",IF(AND(LEN(C623)=16,ISNUMBER(--C623)),"OK","TIDAK VALID")))</f>
        <v/>
      </c>
    </row>
    <row r="624" customFormat="false" ht="15" hidden="false" customHeight="false" outlineLevel="0" collapsed="false">
      <c r="A624" s="21"/>
      <c r="B624" s="22"/>
      <c r="C624" s="21"/>
      <c r="D624" s="22"/>
      <c r="E624" s="22"/>
      <c r="F624" s="28"/>
      <c r="G624" s="22"/>
      <c r="H624" s="21"/>
      <c r="I624" s="28"/>
      <c r="J624" s="22"/>
      <c r="K624" s="22"/>
      <c r="L624" s="22"/>
      <c r="M624" s="21"/>
      <c r="N624" s="22"/>
      <c r="O624" s="29" t="str">
        <f aca="false">IF(A624="","",IF(COUNTIF($A$2:$A$2001,A624)&gt;1,"GANDA","OK"))</f>
        <v/>
      </c>
      <c r="P624" s="29" t="str">
        <f aca="false">IF(A624="","",IF(C624="","KOSONG",IF(AND(LEN(C624)=16,ISNUMBER(--C624)),"OK","TIDAK VALID")))</f>
        <v/>
      </c>
    </row>
    <row r="625" customFormat="false" ht="15" hidden="false" customHeight="false" outlineLevel="0" collapsed="false">
      <c r="A625" s="21"/>
      <c r="B625" s="22"/>
      <c r="C625" s="21"/>
      <c r="D625" s="22"/>
      <c r="E625" s="22"/>
      <c r="F625" s="28"/>
      <c r="G625" s="22"/>
      <c r="H625" s="21"/>
      <c r="I625" s="28"/>
      <c r="J625" s="22"/>
      <c r="K625" s="22"/>
      <c r="L625" s="22"/>
      <c r="M625" s="21"/>
      <c r="N625" s="22"/>
      <c r="O625" s="29" t="str">
        <f aca="false">IF(A625="","",IF(COUNTIF($A$2:$A$2001,A625)&gt;1,"GANDA","OK"))</f>
        <v/>
      </c>
      <c r="P625" s="29" t="str">
        <f aca="false">IF(A625="","",IF(C625="","KOSONG",IF(AND(LEN(C625)=16,ISNUMBER(--C625)),"OK","TIDAK VALID")))</f>
        <v/>
      </c>
    </row>
    <row r="626" customFormat="false" ht="15" hidden="false" customHeight="false" outlineLevel="0" collapsed="false">
      <c r="A626" s="21"/>
      <c r="B626" s="22"/>
      <c r="C626" s="21"/>
      <c r="D626" s="22"/>
      <c r="E626" s="22"/>
      <c r="F626" s="28"/>
      <c r="G626" s="22"/>
      <c r="H626" s="21"/>
      <c r="I626" s="28"/>
      <c r="J626" s="22"/>
      <c r="K626" s="22"/>
      <c r="L626" s="22"/>
      <c r="M626" s="21"/>
      <c r="N626" s="22"/>
      <c r="O626" s="29" t="str">
        <f aca="false">IF(A626="","",IF(COUNTIF($A$2:$A$2001,A626)&gt;1,"GANDA","OK"))</f>
        <v/>
      </c>
      <c r="P626" s="29" t="str">
        <f aca="false">IF(A626="","",IF(C626="","KOSONG",IF(AND(LEN(C626)=16,ISNUMBER(--C626)),"OK","TIDAK VALID")))</f>
        <v/>
      </c>
    </row>
    <row r="627" customFormat="false" ht="15" hidden="false" customHeight="false" outlineLevel="0" collapsed="false">
      <c r="A627" s="21"/>
      <c r="B627" s="22"/>
      <c r="C627" s="21"/>
      <c r="D627" s="22"/>
      <c r="E627" s="22"/>
      <c r="F627" s="28"/>
      <c r="G627" s="22"/>
      <c r="H627" s="21"/>
      <c r="I627" s="28"/>
      <c r="J627" s="22"/>
      <c r="K627" s="22"/>
      <c r="L627" s="22"/>
      <c r="M627" s="21"/>
      <c r="N627" s="22"/>
      <c r="O627" s="29" t="str">
        <f aca="false">IF(A627="","",IF(COUNTIF($A$2:$A$2001,A627)&gt;1,"GANDA","OK"))</f>
        <v/>
      </c>
      <c r="P627" s="29" t="str">
        <f aca="false">IF(A627="","",IF(C627="","KOSONG",IF(AND(LEN(C627)=16,ISNUMBER(--C627)),"OK","TIDAK VALID")))</f>
        <v/>
      </c>
    </row>
    <row r="628" customFormat="false" ht="15" hidden="false" customHeight="false" outlineLevel="0" collapsed="false">
      <c r="A628" s="21"/>
      <c r="B628" s="22"/>
      <c r="C628" s="21"/>
      <c r="D628" s="22"/>
      <c r="E628" s="22"/>
      <c r="F628" s="28"/>
      <c r="G628" s="22"/>
      <c r="H628" s="21"/>
      <c r="I628" s="28"/>
      <c r="J628" s="22"/>
      <c r="K628" s="22"/>
      <c r="L628" s="22"/>
      <c r="M628" s="21"/>
      <c r="N628" s="22"/>
      <c r="O628" s="29" t="str">
        <f aca="false">IF(A628="","",IF(COUNTIF($A$2:$A$2001,A628)&gt;1,"GANDA","OK"))</f>
        <v/>
      </c>
      <c r="P628" s="29" t="str">
        <f aca="false">IF(A628="","",IF(C628="","KOSONG",IF(AND(LEN(C628)=16,ISNUMBER(--C628)),"OK","TIDAK VALID")))</f>
        <v/>
      </c>
    </row>
    <row r="629" customFormat="false" ht="15" hidden="false" customHeight="false" outlineLevel="0" collapsed="false">
      <c r="A629" s="21"/>
      <c r="B629" s="22"/>
      <c r="C629" s="21"/>
      <c r="D629" s="22"/>
      <c r="E629" s="22"/>
      <c r="F629" s="28"/>
      <c r="G629" s="22"/>
      <c r="H629" s="21"/>
      <c r="I629" s="28"/>
      <c r="J629" s="22"/>
      <c r="K629" s="22"/>
      <c r="L629" s="22"/>
      <c r="M629" s="21"/>
      <c r="N629" s="22"/>
      <c r="O629" s="29" t="str">
        <f aca="false">IF(A629="","",IF(COUNTIF($A$2:$A$2001,A629)&gt;1,"GANDA","OK"))</f>
        <v/>
      </c>
      <c r="P629" s="29" t="str">
        <f aca="false">IF(A629="","",IF(C629="","KOSONG",IF(AND(LEN(C629)=16,ISNUMBER(--C629)),"OK","TIDAK VALID")))</f>
        <v/>
      </c>
    </row>
    <row r="630" customFormat="false" ht="15" hidden="false" customHeight="false" outlineLevel="0" collapsed="false">
      <c r="A630" s="21"/>
      <c r="B630" s="22"/>
      <c r="C630" s="21"/>
      <c r="D630" s="22"/>
      <c r="E630" s="22"/>
      <c r="F630" s="28"/>
      <c r="G630" s="22"/>
      <c r="H630" s="21"/>
      <c r="I630" s="28"/>
      <c r="J630" s="22"/>
      <c r="K630" s="22"/>
      <c r="L630" s="22"/>
      <c r="M630" s="21"/>
      <c r="N630" s="22"/>
      <c r="O630" s="29" t="str">
        <f aca="false">IF(A630="","",IF(COUNTIF($A$2:$A$2001,A630)&gt;1,"GANDA","OK"))</f>
        <v/>
      </c>
      <c r="P630" s="29" t="str">
        <f aca="false">IF(A630="","",IF(C630="","KOSONG",IF(AND(LEN(C630)=16,ISNUMBER(--C630)),"OK","TIDAK VALID")))</f>
        <v/>
      </c>
    </row>
    <row r="631" customFormat="false" ht="15" hidden="false" customHeight="false" outlineLevel="0" collapsed="false">
      <c r="A631" s="21"/>
      <c r="B631" s="22"/>
      <c r="C631" s="21"/>
      <c r="D631" s="22"/>
      <c r="E631" s="22"/>
      <c r="F631" s="28"/>
      <c r="G631" s="22"/>
      <c r="H631" s="21"/>
      <c r="I631" s="28"/>
      <c r="J631" s="22"/>
      <c r="K631" s="22"/>
      <c r="L631" s="22"/>
      <c r="M631" s="21"/>
      <c r="N631" s="22"/>
      <c r="O631" s="29" t="str">
        <f aca="false">IF(A631="","",IF(COUNTIF($A$2:$A$2001,A631)&gt;1,"GANDA","OK"))</f>
        <v/>
      </c>
      <c r="P631" s="29" t="str">
        <f aca="false">IF(A631="","",IF(C631="","KOSONG",IF(AND(LEN(C631)=16,ISNUMBER(--C631)),"OK","TIDAK VALID")))</f>
        <v/>
      </c>
    </row>
    <row r="632" customFormat="false" ht="15" hidden="false" customHeight="false" outlineLevel="0" collapsed="false">
      <c r="A632" s="21"/>
      <c r="B632" s="22"/>
      <c r="C632" s="21"/>
      <c r="D632" s="22"/>
      <c r="E632" s="22"/>
      <c r="F632" s="28"/>
      <c r="G632" s="22"/>
      <c r="H632" s="21"/>
      <c r="I632" s="28"/>
      <c r="J632" s="22"/>
      <c r="K632" s="22"/>
      <c r="L632" s="22"/>
      <c r="M632" s="21"/>
      <c r="N632" s="22"/>
      <c r="O632" s="29" t="str">
        <f aca="false">IF(A632="","",IF(COUNTIF($A$2:$A$2001,A632)&gt;1,"GANDA","OK"))</f>
        <v/>
      </c>
      <c r="P632" s="29" t="str">
        <f aca="false">IF(A632="","",IF(C632="","KOSONG",IF(AND(LEN(C632)=16,ISNUMBER(--C632)),"OK","TIDAK VALID")))</f>
        <v/>
      </c>
    </row>
    <row r="633" customFormat="false" ht="15" hidden="false" customHeight="false" outlineLevel="0" collapsed="false">
      <c r="A633" s="21"/>
      <c r="B633" s="22"/>
      <c r="C633" s="21"/>
      <c r="D633" s="22"/>
      <c r="E633" s="22"/>
      <c r="F633" s="28"/>
      <c r="G633" s="22"/>
      <c r="H633" s="21"/>
      <c r="I633" s="28"/>
      <c r="J633" s="22"/>
      <c r="K633" s="22"/>
      <c r="L633" s="22"/>
      <c r="M633" s="21"/>
      <c r="N633" s="22"/>
      <c r="O633" s="29" t="str">
        <f aca="false">IF(A633="","",IF(COUNTIF($A$2:$A$2001,A633)&gt;1,"GANDA","OK"))</f>
        <v/>
      </c>
      <c r="P633" s="29" t="str">
        <f aca="false">IF(A633="","",IF(C633="","KOSONG",IF(AND(LEN(C633)=16,ISNUMBER(--C633)),"OK","TIDAK VALID")))</f>
        <v/>
      </c>
    </row>
    <row r="634" customFormat="false" ht="15" hidden="false" customHeight="false" outlineLevel="0" collapsed="false">
      <c r="A634" s="21"/>
      <c r="B634" s="22"/>
      <c r="C634" s="21"/>
      <c r="D634" s="22"/>
      <c r="E634" s="22"/>
      <c r="F634" s="28"/>
      <c r="G634" s="22"/>
      <c r="H634" s="21"/>
      <c r="I634" s="28"/>
      <c r="J634" s="22"/>
      <c r="K634" s="22"/>
      <c r="L634" s="22"/>
      <c r="M634" s="21"/>
      <c r="N634" s="22"/>
      <c r="O634" s="29" t="str">
        <f aca="false">IF(A634="","",IF(COUNTIF($A$2:$A$2001,A634)&gt;1,"GANDA","OK"))</f>
        <v/>
      </c>
      <c r="P634" s="29" t="str">
        <f aca="false">IF(A634="","",IF(C634="","KOSONG",IF(AND(LEN(C634)=16,ISNUMBER(--C634)),"OK","TIDAK VALID")))</f>
        <v/>
      </c>
    </row>
    <row r="635" customFormat="false" ht="15" hidden="false" customHeight="false" outlineLevel="0" collapsed="false">
      <c r="A635" s="21"/>
      <c r="B635" s="22"/>
      <c r="C635" s="21"/>
      <c r="D635" s="22"/>
      <c r="E635" s="22"/>
      <c r="F635" s="28"/>
      <c r="G635" s="22"/>
      <c r="H635" s="21"/>
      <c r="I635" s="28"/>
      <c r="J635" s="22"/>
      <c r="K635" s="22"/>
      <c r="L635" s="22"/>
      <c r="M635" s="21"/>
      <c r="N635" s="22"/>
      <c r="O635" s="29" t="str">
        <f aca="false">IF(A635="","",IF(COUNTIF($A$2:$A$2001,A635)&gt;1,"GANDA","OK"))</f>
        <v/>
      </c>
      <c r="P635" s="29" t="str">
        <f aca="false">IF(A635="","",IF(C635="","KOSONG",IF(AND(LEN(C635)=16,ISNUMBER(--C635)),"OK","TIDAK VALID")))</f>
        <v/>
      </c>
    </row>
    <row r="636" customFormat="false" ht="15" hidden="false" customHeight="false" outlineLevel="0" collapsed="false">
      <c r="A636" s="21"/>
      <c r="B636" s="22"/>
      <c r="C636" s="21"/>
      <c r="D636" s="22"/>
      <c r="E636" s="22"/>
      <c r="F636" s="28"/>
      <c r="G636" s="22"/>
      <c r="H636" s="21"/>
      <c r="I636" s="28"/>
      <c r="J636" s="22"/>
      <c r="K636" s="22"/>
      <c r="L636" s="22"/>
      <c r="M636" s="21"/>
      <c r="N636" s="22"/>
      <c r="O636" s="29" t="str">
        <f aca="false">IF(A636="","",IF(COUNTIF($A$2:$A$2001,A636)&gt;1,"GANDA","OK"))</f>
        <v/>
      </c>
      <c r="P636" s="29" t="str">
        <f aca="false">IF(A636="","",IF(C636="","KOSONG",IF(AND(LEN(C636)=16,ISNUMBER(--C636)),"OK","TIDAK VALID")))</f>
        <v/>
      </c>
    </row>
    <row r="637" customFormat="false" ht="15" hidden="false" customHeight="false" outlineLevel="0" collapsed="false">
      <c r="A637" s="21"/>
      <c r="B637" s="22"/>
      <c r="C637" s="21"/>
      <c r="D637" s="22"/>
      <c r="E637" s="22"/>
      <c r="F637" s="28"/>
      <c r="G637" s="22"/>
      <c r="H637" s="21"/>
      <c r="I637" s="28"/>
      <c r="J637" s="22"/>
      <c r="K637" s="22"/>
      <c r="L637" s="22"/>
      <c r="M637" s="21"/>
      <c r="N637" s="22"/>
      <c r="O637" s="29" t="str">
        <f aca="false">IF(A637="","",IF(COUNTIF($A$2:$A$2001,A637)&gt;1,"GANDA","OK"))</f>
        <v/>
      </c>
      <c r="P637" s="29" t="str">
        <f aca="false">IF(A637="","",IF(C637="","KOSONG",IF(AND(LEN(C637)=16,ISNUMBER(--C637)),"OK","TIDAK VALID")))</f>
        <v/>
      </c>
    </row>
    <row r="638" customFormat="false" ht="15" hidden="false" customHeight="false" outlineLevel="0" collapsed="false">
      <c r="A638" s="21"/>
      <c r="B638" s="22"/>
      <c r="C638" s="21"/>
      <c r="D638" s="22"/>
      <c r="E638" s="22"/>
      <c r="F638" s="28"/>
      <c r="G638" s="22"/>
      <c r="H638" s="21"/>
      <c r="I638" s="28"/>
      <c r="J638" s="22"/>
      <c r="K638" s="22"/>
      <c r="L638" s="22"/>
      <c r="M638" s="21"/>
      <c r="N638" s="22"/>
      <c r="O638" s="29" t="str">
        <f aca="false">IF(A638="","",IF(COUNTIF($A$2:$A$2001,A638)&gt;1,"GANDA","OK"))</f>
        <v/>
      </c>
      <c r="P638" s="29" t="str">
        <f aca="false">IF(A638="","",IF(C638="","KOSONG",IF(AND(LEN(C638)=16,ISNUMBER(--C638)),"OK","TIDAK VALID")))</f>
        <v/>
      </c>
    </row>
    <row r="639" customFormat="false" ht="15" hidden="false" customHeight="false" outlineLevel="0" collapsed="false">
      <c r="A639" s="21"/>
      <c r="B639" s="22"/>
      <c r="C639" s="21"/>
      <c r="D639" s="22"/>
      <c r="E639" s="22"/>
      <c r="F639" s="28"/>
      <c r="G639" s="22"/>
      <c r="H639" s="21"/>
      <c r="I639" s="28"/>
      <c r="J639" s="22"/>
      <c r="K639" s="22"/>
      <c r="L639" s="22"/>
      <c r="M639" s="21"/>
      <c r="N639" s="22"/>
      <c r="O639" s="29" t="str">
        <f aca="false">IF(A639="","",IF(COUNTIF($A$2:$A$2001,A639)&gt;1,"GANDA","OK"))</f>
        <v/>
      </c>
      <c r="P639" s="29" t="str">
        <f aca="false">IF(A639="","",IF(C639="","KOSONG",IF(AND(LEN(C639)=16,ISNUMBER(--C639)),"OK","TIDAK VALID")))</f>
        <v/>
      </c>
    </row>
    <row r="640" customFormat="false" ht="15" hidden="false" customHeight="false" outlineLevel="0" collapsed="false">
      <c r="A640" s="21"/>
      <c r="B640" s="22"/>
      <c r="C640" s="21"/>
      <c r="D640" s="22"/>
      <c r="E640" s="22"/>
      <c r="F640" s="28"/>
      <c r="G640" s="22"/>
      <c r="H640" s="21"/>
      <c r="I640" s="28"/>
      <c r="J640" s="22"/>
      <c r="K640" s="22"/>
      <c r="L640" s="22"/>
      <c r="M640" s="21"/>
      <c r="N640" s="22"/>
      <c r="O640" s="29" t="str">
        <f aca="false">IF(A640="","",IF(COUNTIF($A$2:$A$2001,A640)&gt;1,"GANDA","OK"))</f>
        <v/>
      </c>
      <c r="P640" s="29" t="str">
        <f aca="false">IF(A640="","",IF(C640="","KOSONG",IF(AND(LEN(C640)=16,ISNUMBER(--C640)),"OK","TIDAK VALID")))</f>
        <v/>
      </c>
    </row>
    <row r="641" customFormat="false" ht="15" hidden="false" customHeight="false" outlineLevel="0" collapsed="false">
      <c r="A641" s="21"/>
      <c r="B641" s="22"/>
      <c r="C641" s="21"/>
      <c r="D641" s="22"/>
      <c r="E641" s="22"/>
      <c r="F641" s="28"/>
      <c r="G641" s="22"/>
      <c r="H641" s="21"/>
      <c r="I641" s="28"/>
      <c r="J641" s="22"/>
      <c r="K641" s="22"/>
      <c r="L641" s="22"/>
      <c r="M641" s="21"/>
      <c r="N641" s="22"/>
      <c r="O641" s="29" t="str">
        <f aca="false">IF(A641="","",IF(COUNTIF($A$2:$A$2001,A641)&gt;1,"GANDA","OK"))</f>
        <v/>
      </c>
      <c r="P641" s="29" t="str">
        <f aca="false">IF(A641="","",IF(C641="","KOSONG",IF(AND(LEN(C641)=16,ISNUMBER(--C641)),"OK","TIDAK VALID")))</f>
        <v/>
      </c>
    </row>
    <row r="642" customFormat="false" ht="15" hidden="false" customHeight="false" outlineLevel="0" collapsed="false">
      <c r="A642" s="21"/>
      <c r="B642" s="22"/>
      <c r="C642" s="21"/>
      <c r="D642" s="22"/>
      <c r="E642" s="22"/>
      <c r="F642" s="28"/>
      <c r="G642" s="22"/>
      <c r="H642" s="21"/>
      <c r="I642" s="28"/>
      <c r="J642" s="22"/>
      <c r="K642" s="22"/>
      <c r="L642" s="22"/>
      <c r="M642" s="21"/>
      <c r="N642" s="22"/>
      <c r="O642" s="29" t="str">
        <f aca="false">IF(A642="","",IF(COUNTIF($A$2:$A$2001,A642)&gt;1,"GANDA","OK"))</f>
        <v/>
      </c>
      <c r="P642" s="29" t="str">
        <f aca="false">IF(A642="","",IF(C642="","KOSONG",IF(AND(LEN(C642)=16,ISNUMBER(--C642)),"OK","TIDAK VALID")))</f>
        <v/>
      </c>
    </row>
    <row r="643" customFormat="false" ht="15" hidden="false" customHeight="false" outlineLevel="0" collapsed="false">
      <c r="A643" s="21"/>
      <c r="B643" s="22"/>
      <c r="C643" s="21"/>
      <c r="D643" s="22"/>
      <c r="E643" s="22"/>
      <c r="F643" s="28"/>
      <c r="G643" s="22"/>
      <c r="H643" s="21"/>
      <c r="I643" s="28"/>
      <c r="J643" s="22"/>
      <c r="K643" s="22"/>
      <c r="L643" s="22"/>
      <c r="M643" s="21"/>
      <c r="N643" s="22"/>
      <c r="O643" s="29" t="str">
        <f aca="false">IF(A643="","",IF(COUNTIF($A$2:$A$2001,A643)&gt;1,"GANDA","OK"))</f>
        <v/>
      </c>
      <c r="P643" s="29" t="str">
        <f aca="false">IF(A643="","",IF(C643="","KOSONG",IF(AND(LEN(C643)=16,ISNUMBER(--C643)),"OK","TIDAK VALID")))</f>
        <v/>
      </c>
    </row>
    <row r="644" customFormat="false" ht="15" hidden="false" customHeight="false" outlineLevel="0" collapsed="false">
      <c r="A644" s="21"/>
      <c r="B644" s="22"/>
      <c r="C644" s="21"/>
      <c r="D644" s="22"/>
      <c r="E644" s="22"/>
      <c r="F644" s="28"/>
      <c r="G644" s="22"/>
      <c r="H644" s="21"/>
      <c r="I644" s="28"/>
      <c r="J644" s="22"/>
      <c r="K644" s="22"/>
      <c r="L644" s="22"/>
      <c r="M644" s="21"/>
      <c r="N644" s="22"/>
      <c r="O644" s="29" t="str">
        <f aca="false">IF(A644="","",IF(COUNTIF($A$2:$A$2001,A644)&gt;1,"GANDA","OK"))</f>
        <v/>
      </c>
      <c r="P644" s="29" t="str">
        <f aca="false">IF(A644="","",IF(C644="","KOSONG",IF(AND(LEN(C644)=16,ISNUMBER(--C644)),"OK","TIDAK VALID")))</f>
        <v/>
      </c>
    </row>
    <row r="645" customFormat="false" ht="15" hidden="false" customHeight="false" outlineLevel="0" collapsed="false">
      <c r="A645" s="21"/>
      <c r="B645" s="22"/>
      <c r="C645" s="21"/>
      <c r="D645" s="22"/>
      <c r="E645" s="22"/>
      <c r="F645" s="28"/>
      <c r="G645" s="22"/>
      <c r="H645" s="21"/>
      <c r="I645" s="28"/>
      <c r="J645" s="22"/>
      <c r="K645" s="22"/>
      <c r="L645" s="22"/>
      <c r="M645" s="21"/>
      <c r="N645" s="22"/>
      <c r="O645" s="29" t="str">
        <f aca="false">IF(A645="","",IF(COUNTIF($A$2:$A$2001,A645)&gt;1,"GANDA","OK"))</f>
        <v/>
      </c>
      <c r="P645" s="29" t="str">
        <f aca="false">IF(A645="","",IF(C645="","KOSONG",IF(AND(LEN(C645)=16,ISNUMBER(--C645)),"OK","TIDAK VALID")))</f>
        <v/>
      </c>
    </row>
    <row r="646" customFormat="false" ht="15" hidden="false" customHeight="false" outlineLevel="0" collapsed="false">
      <c r="A646" s="21"/>
      <c r="B646" s="22"/>
      <c r="C646" s="21"/>
      <c r="D646" s="22"/>
      <c r="E646" s="22"/>
      <c r="F646" s="28"/>
      <c r="G646" s="22"/>
      <c r="H646" s="21"/>
      <c r="I646" s="28"/>
      <c r="J646" s="22"/>
      <c r="K646" s="22"/>
      <c r="L646" s="22"/>
      <c r="M646" s="21"/>
      <c r="N646" s="22"/>
      <c r="O646" s="29" t="str">
        <f aca="false">IF(A646="","",IF(COUNTIF($A$2:$A$2001,A646)&gt;1,"GANDA","OK"))</f>
        <v/>
      </c>
      <c r="P646" s="29" t="str">
        <f aca="false">IF(A646="","",IF(C646="","KOSONG",IF(AND(LEN(C646)=16,ISNUMBER(--C646)),"OK","TIDAK VALID")))</f>
        <v/>
      </c>
    </row>
    <row r="647" customFormat="false" ht="15" hidden="false" customHeight="false" outlineLevel="0" collapsed="false">
      <c r="A647" s="21"/>
      <c r="B647" s="22"/>
      <c r="C647" s="21"/>
      <c r="D647" s="22"/>
      <c r="E647" s="22"/>
      <c r="F647" s="28"/>
      <c r="G647" s="22"/>
      <c r="H647" s="21"/>
      <c r="I647" s="28"/>
      <c r="J647" s="22"/>
      <c r="K647" s="22"/>
      <c r="L647" s="22"/>
      <c r="M647" s="21"/>
      <c r="N647" s="22"/>
      <c r="O647" s="29" t="str">
        <f aca="false">IF(A647="","",IF(COUNTIF($A$2:$A$2001,A647)&gt;1,"GANDA","OK"))</f>
        <v/>
      </c>
      <c r="P647" s="29" t="str">
        <f aca="false">IF(A647="","",IF(C647="","KOSONG",IF(AND(LEN(C647)=16,ISNUMBER(--C647)),"OK","TIDAK VALID")))</f>
        <v/>
      </c>
    </row>
    <row r="648" customFormat="false" ht="15" hidden="false" customHeight="false" outlineLevel="0" collapsed="false">
      <c r="A648" s="21"/>
      <c r="B648" s="22"/>
      <c r="C648" s="21"/>
      <c r="D648" s="22"/>
      <c r="E648" s="22"/>
      <c r="F648" s="28"/>
      <c r="G648" s="22"/>
      <c r="H648" s="21"/>
      <c r="I648" s="28"/>
      <c r="J648" s="22"/>
      <c r="K648" s="22"/>
      <c r="L648" s="22"/>
      <c r="M648" s="21"/>
      <c r="N648" s="22"/>
      <c r="O648" s="29" t="str">
        <f aca="false">IF(A648="","",IF(COUNTIF($A$2:$A$2001,A648)&gt;1,"GANDA","OK"))</f>
        <v/>
      </c>
      <c r="P648" s="29" t="str">
        <f aca="false">IF(A648="","",IF(C648="","KOSONG",IF(AND(LEN(C648)=16,ISNUMBER(--C648)),"OK","TIDAK VALID")))</f>
        <v/>
      </c>
    </row>
    <row r="649" customFormat="false" ht="15" hidden="false" customHeight="false" outlineLevel="0" collapsed="false">
      <c r="A649" s="21"/>
      <c r="B649" s="22"/>
      <c r="C649" s="21"/>
      <c r="D649" s="22"/>
      <c r="E649" s="22"/>
      <c r="F649" s="28"/>
      <c r="G649" s="22"/>
      <c r="H649" s="21"/>
      <c r="I649" s="28"/>
      <c r="J649" s="22"/>
      <c r="K649" s="22"/>
      <c r="L649" s="22"/>
      <c r="M649" s="21"/>
      <c r="N649" s="22"/>
      <c r="O649" s="29" t="str">
        <f aca="false">IF(A649="","",IF(COUNTIF($A$2:$A$2001,A649)&gt;1,"GANDA","OK"))</f>
        <v/>
      </c>
      <c r="P649" s="29" t="str">
        <f aca="false">IF(A649="","",IF(C649="","KOSONG",IF(AND(LEN(C649)=16,ISNUMBER(--C649)),"OK","TIDAK VALID")))</f>
        <v/>
      </c>
    </row>
    <row r="650" customFormat="false" ht="15" hidden="false" customHeight="false" outlineLevel="0" collapsed="false">
      <c r="A650" s="21"/>
      <c r="B650" s="22"/>
      <c r="C650" s="21"/>
      <c r="D650" s="22"/>
      <c r="E650" s="22"/>
      <c r="F650" s="28"/>
      <c r="G650" s="22"/>
      <c r="H650" s="21"/>
      <c r="I650" s="28"/>
      <c r="J650" s="22"/>
      <c r="K650" s="22"/>
      <c r="L650" s="22"/>
      <c r="M650" s="21"/>
      <c r="N650" s="22"/>
      <c r="O650" s="29" t="str">
        <f aca="false">IF(A650="","",IF(COUNTIF($A$2:$A$2001,A650)&gt;1,"GANDA","OK"))</f>
        <v/>
      </c>
      <c r="P650" s="29" t="str">
        <f aca="false">IF(A650="","",IF(C650="","KOSONG",IF(AND(LEN(C650)=16,ISNUMBER(--C650)),"OK","TIDAK VALID")))</f>
        <v/>
      </c>
    </row>
    <row r="651" customFormat="false" ht="15" hidden="false" customHeight="false" outlineLevel="0" collapsed="false">
      <c r="A651" s="21"/>
      <c r="B651" s="22"/>
      <c r="C651" s="21"/>
      <c r="D651" s="22"/>
      <c r="E651" s="22"/>
      <c r="F651" s="28"/>
      <c r="G651" s="22"/>
      <c r="H651" s="21"/>
      <c r="I651" s="28"/>
      <c r="J651" s="22"/>
      <c r="K651" s="22"/>
      <c r="L651" s="22"/>
      <c r="M651" s="21"/>
      <c r="N651" s="22"/>
      <c r="O651" s="29" t="str">
        <f aca="false">IF(A651="","",IF(COUNTIF($A$2:$A$2001,A651)&gt;1,"GANDA","OK"))</f>
        <v/>
      </c>
      <c r="P651" s="29" t="str">
        <f aca="false">IF(A651="","",IF(C651="","KOSONG",IF(AND(LEN(C651)=16,ISNUMBER(--C651)),"OK","TIDAK VALID")))</f>
        <v/>
      </c>
    </row>
    <row r="652" customFormat="false" ht="15" hidden="false" customHeight="false" outlineLevel="0" collapsed="false">
      <c r="A652" s="21"/>
      <c r="B652" s="22"/>
      <c r="C652" s="21"/>
      <c r="D652" s="22"/>
      <c r="E652" s="22"/>
      <c r="F652" s="28"/>
      <c r="G652" s="22"/>
      <c r="H652" s="21"/>
      <c r="I652" s="28"/>
      <c r="J652" s="22"/>
      <c r="K652" s="22"/>
      <c r="L652" s="22"/>
      <c r="M652" s="21"/>
      <c r="N652" s="22"/>
      <c r="O652" s="29" t="str">
        <f aca="false">IF(A652="","",IF(COUNTIF($A$2:$A$2001,A652)&gt;1,"GANDA","OK"))</f>
        <v/>
      </c>
      <c r="P652" s="29" t="str">
        <f aca="false">IF(A652="","",IF(C652="","KOSONG",IF(AND(LEN(C652)=16,ISNUMBER(--C652)),"OK","TIDAK VALID")))</f>
        <v/>
      </c>
    </row>
    <row r="653" customFormat="false" ht="15" hidden="false" customHeight="false" outlineLevel="0" collapsed="false">
      <c r="A653" s="21"/>
      <c r="B653" s="22"/>
      <c r="C653" s="21"/>
      <c r="D653" s="22"/>
      <c r="E653" s="22"/>
      <c r="F653" s="28"/>
      <c r="G653" s="22"/>
      <c r="H653" s="21"/>
      <c r="I653" s="28"/>
      <c r="J653" s="22"/>
      <c r="K653" s="22"/>
      <c r="L653" s="22"/>
      <c r="M653" s="21"/>
      <c r="N653" s="22"/>
      <c r="O653" s="29" t="str">
        <f aca="false">IF(A653="","",IF(COUNTIF($A$2:$A$2001,A653)&gt;1,"GANDA","OK"))</f>
        <v/>
      </c>
      <c r="P653" s="29" t="str">
        <f aca="false">IF(A653="","",IF(C653="","KOSONG",IF(AND(LEN(C653)=16,ISNUMBER(--C653)),"OK","TIDAK VALID")))</f>
        <v/>
      </c>
    </row>
    <row r="654" customFormat="false" ht="15" hidden="false" customHeight="false" outlineLevel="0" collapsed="false">
      <c r="A654" s="21"/>
      <c r="B654" s="22"/>
      <c r="C654" s="21"/>
      <c r="D654" s="22"/>
      <c r="E654" s="22"/>
      <c r="F654" s="28"/>
      <c r="G654" s="22"/>
      <c r="H654" s="21"/>
      <c r="I654" s="28"/>
      <c r="J654" s="22"/>
      <c r="K654" s="22"/>
      <c r="L654" s="22"/>
      <c r="M654" s="21"/>
      <c r="N654" s="22"/>
      <c r="O654" s="29" t="str">
        <f aca="false">IF(A654="","",IF(COUNTIF($A$2:$A$2001,A654)&gt;1,"GANDA","OK"))</f>
        <v/>
      </c>
      <c r="P654" s="29" t="str">
        <f aca="false">IF(A654="","",IF(C654="","KOSONG",IF(AND(LEN(C654)=16,ISNUMBER(--C654)),"OK","TIDAK VALID")))</f>
        <v/>
      </c>
    </row>
    <row r="655" customFormat="false" ht="15" hidden="false" customHeight="false" outlineLevel="0" collapsed="false">
      <c r="A655" s="21"/>
      <c r="B655" s="22"/>
      <c r="C655" s="21"/>
      <c r="D655" s="22"/>
      <c r="E655" s="22"/>
      <c r="F655" s="28"/>
      <c r="G655" s="22"/>
      <c r="H655" s="21"/>
      <c r="I655" s="28"/>
      <c r="J655" s="22"/>
      <c r="K655" s="22"/>
      <c r="L655" s="22"/>
      <c r="M655" s="21"/>
      <c r="N655" s="22"/>
      <c r="O655" s="29" t="str">
        <f aca="false">IF(A655="","",IF(COUNTIF($A$2:$A$2001,A655)&gt;1,"GANDA","OK"))</f>
        <v/>
      </c>
      <c r="P655" s="29" t="str">
        <f aca="false">IF(A655="","",IF(C655="","KOSONG",IF(AND(LEN(C655)=16,ISNUMBER(--C655)),"OK","TIDAK VALID")))</f>
        <v/>
      </c>
    </row>
    <row r="656" customFormat="false" ht="15" hidden="false" customHeight="false" outlineLevel="0" collapsed="false">
      <c r="A656" s="21"/>
      <c r="B656" s="22"/>
      <c r="C656" s="21"/>
      <c r="D656" s="22"/>
      <c r="E656" s="22"/>
      <c r="F656" s="28"/>
      <c r="G656" s="22"/>
      <c r="H656" s="21"/>
      <c r="I656" s="28"/>
      <c r="J656" s="22"/>
      <c r="K656" s="22"/>
      <c r="L656" s="22"/>
      <c r="M656" s="21"/>
      <c r="N656" s="22"/>
      <c r="O656" s="29" t="str">
        <f aca="false">IF(A656="","",IF(COUNTIF($A$2:$A$2001,A656)&gt;1,"GANDA","OK"))</f>
        <v/>
      </c>
      <c r="P656" s="29" t="str">
        <f aca="false">IF(A656="","",IF(C656="","KOSONG",IF(AND(LEN(C656)=16,ISNUMBER(--C656)),"OK","TIDAK VALID")))</f>
        <v/>
      </c>
    </row>
    <row r="657" customFormat="false" ht="15" hidden="false" customHeight="false" outlineLevel="0" collapsed="false">
      <c r="A657" s="21"/>
      <c r="B657" s="22"/>
      <c r="C657" s="21"/>
      <c r="D657" s="22"/>
      <c r="E657" s="22"/>
      <c r="F657" s="28"/>
      <c r="G657" s="22"/>
      <c r="H657" s="21"/>
      <c r="I657" s="28"/>
      <c r="J657" s="22"/>
      <c r="K657" s="22"/>
      <c r="L657" s="22"/>
      <c r="M657" s="21"/>
      <c r="N657" s="22"/>
      <c r="O657" s="29" t="str">
        <f aca="false">IF(A657="","",IF(COUNTIF($A$2:$A$2001,A657)&gt;1,"GANDA","OK"))</f>
        <v/>
      </c>
      <c r="P657" s="29" t="str">
        <f aca="false">IF(A657="","",IF(C657="","KOSONG",IF(AND(LEN(C657)=16,ISNUMBER(--C657)),"OK","TIDAK VALID")))</f>
        <v/>
      </c>
    </row>
    <row r="658" customFormat="false" ht="15" hidden="false" customHeight="false" outlineLevel="0" collapsed="false">
      <c r="A658" s="21"/>
      <c r="B658" s="22"/>
      <c r="C658" s="21"/>
      <c r="D658" s="22"/>
      <c r="E658" s="22"/>
      <c r="F658" s="28"/>
      <c r="G658" s="22"/>
      <c r="H658" s="21"/>
      <c r="I658" s="28"/>
      <c r="J658" s="22"/>
      <c r="K658" s="22"/>
      <c r="L658" s="22"/>
      <c r="M658" s="21"/>
      <c r="N658" s="22"/>
      <c r="O658" s="29" t="str">
        <f aca="false">IF(A658="","",IF(COUNTIF($A$2:$A$2001,A658)&gt;1,"GANDA","OK"))</f>
        <v/>
      </c>
      <c r="P658" s="29" t="str">
        <f aca="false">IF(A658="","",IF(C658="","KOSONG",IF(AND(LEN(C658)=16,ISNUMBER(--C658)),"OK","TIDAK VALID")))</f>
        <v/>
      </c>
    </row>
    <row r="659" customFormat="false" ht="15" hidden="false" customHeight="false" outlineLevel="0" collapsed="false">
      <c r="A659" s="21"/>
      <c r="B659" s="22"/>
      <c r="C659" s="21"/>
      <c r="D659" s="22"/>
      <c r="E659" s="22"/>
      <c r="F659" s="28"/>
      <c r="G659" s="22"/>
      <c r="H659" s="21"/>
      <c r="I659" s="28"/>
      <c r="J659" s="22"/>
      <c r="K659" s="22"/>
      <c r="L659" s="22"/>
      <c r="M659" s="21"/>
      <c r="N659" s="22"/>
      <c r="O659" s="29" t="str">
        <f aca="false">IF(A659="","",IF(COUNTIF($A$2:$A$2001,A659)&gt;1,"GANDA","OK"))</f>
        <v/>
      </c>
      <c r="P659" s="29" t="str">
        <f aca="false">IF(A659="","",IF(C659="","KOSONG",IF(AND(LEN(C659)=16,ISNUMBER(--C659)),"OK","TIDAK VALID")))</f>
        <v/>
      </c>
    </row>
    <row r="660" customFormat="false" ht="15" hidden="false" customHeight="false" outlineLevel="0" collapsed="false">
      <c r="A660" s="21"/>
      <c r="B660" s="22"/>
      <c r="C660" s="21"/>
      <c r="D660" s="22"/>
      <c r="E660" s="22"/>
      <c r="F660" s="28"/>
      <c r="G660" s="22"/>
      <c r="H660" s="21"/>
      <c r="I660" s="28"/>
      <c r="J660" s="22"/>
      <c r="K660" s="22"/>
      <c r="L660" s="22"/>
      <c r="M660" s="21"/>
      <c r="N660" s="22"/>
      <c r="O660" s="29" t="str">
        <f aca="false">IF(A660="","",IF(COUNTIF($A$2:$A$2001,A660)&gt;1,"GANDA","OK"))</f>
        <v/>
      </c>
      <c r="P660" s="29" t="str">
        <f aca="false">IF(A660="","",IF(C660="","KOSONG",IF(AND(LEN(C660)=16,ISNUMBER(--C660)),"OK","TIDAK VALID")))</f>
        <v/>
      </c>
    </row>
    <row r="661" customFormat="false" ht="15" hidden="false" customHeight="false" outlineLevel="0" collapsed="false">
      <c r="A661" s="21"/>
      <c r="B661" s="22"/>
      <c r="C661" s="21"/>
      <c r="D661" s="22"/>
      <c r="E661" s="22"/>
      <c r="F661" s="28"/>
      <c r="G661" s="22"/>
      <c r="H661" s="21"/>
      <c r="I661" s="28"/>
      <c r="J661" s="22"/>
      <c r="K661" s="22"/>
      <c r="L661" s="22"/>
      <c r="M661" s="21"/>
      <c r="N661" s="22"/>
      <c r="O661" s="29" t="str">
        <f aca="false">IF(A661="","",IF(COUNTIF($A$2:$A$2001,A661)&gt;1,"GANDA","OK"))</f>
        <v/>
      </c>
      <c r="P661" s="29" t="str">
        <f aca="false">IF(A661="","",IF(C661="","KOSONG",IF(AND(LEN(C661)=16,ISNUMBER(--C661)),"OK","TIDAK VALID")))</f>
        <v/>
      </c>
    </row>
    <row r="662" customFormat="false" ht="15" hidden="false" customHeight="false" outlineLevel="0" collapsed="false">
      <c r="A662" s="21"/>
      <c r="B662" s="22"/>
      <c r="C662" s="21"/>
      <c r="D662" s="22"/>
      <c r="E662" s="22"/>
      <c r="F662" s="28"/>
      <c r="G662" s="22"/>
      <c r="H662" s="21"/>
      <c r="I662" s="28"/>
      <c r="J662" s="22"/>
      <c r="K662" s="22"/>
      <c r="L662" s="22"/>
      <c r="M662" s="21"/>
      <c r="N662" s="22"/>
      <c r="O662" s="29" t="str">
        <f aca="false">IF(A662="","",IF(COUNTIF($A$2:$A$2001,A662)&gt;1,"GANDA","OK"))</f>
        <v/>
      </c>
      <c r="P662" s="29" t="str">
        <f aca="false">IF(A662="","",IF(C662="","KOSONG",IF(AND(LEN(C662)=16,ISNUMBER(--C662)),"OK","TIDAK VALID")))</f>
        <v/>
      </c>
    </row>
    <row r="663" customFormat="false" ht="15" hidden="false" customHeight="false" outlineLevel="0" collapsed="false">
      <c r="A663" s="21"/>
      <c r="B663" s="22"/>
      <c r="C663" s="21"/>
      <c r="D663" s="22"/>
      <c r="E663" s="22"/>
      <c r="F663" s="28"/>
      <c r="G663" s="22"/>
      <c r="H663" s="21"/>
      <c r="I663" s="28"/>
      <c r="J663" s="22"/>
      <c r="K663" s="22"/>
      <c r="L663" s="22"/>
      <c r="M663" s="21"/>
      <c r="N663" s="22"/>
      <c r="O663" s="29" t="str">
        <f aca="false">IF(A663="","",IF(COUNTIF($A$2:$A$2001,A663)&gt;1,"GANDA","OK"))</f>
        <v/>
      </c>
      <c r="P663" s="29" t="str">
        <f aca="false">IF(A663="","",IF(C663="","KOSONG",IF(AND(LEN(C663)=16,ISNUMBER(--C663)),"OK","TIDAK VALID")))</f>
        <v/>
      </c>
    </row>
    <row r="664" customFormat="false" ht="15" hidden="false" customHeight="false" outlineLevel="0" collapsed="false">
      <c r="A664" s="21"/>
      <c r="B664" s="22"/>
      <c r="C664" s="21"/>
      <c r="D664" s="22"/>
      <c r="E664" s="22"/>
      <c r="F664" s="28"/>
      <c r="G664" s="22"/>
      <c r="H664" s="21"/>
      <c r="I664" s="28"/>
      <c r="J664" s="22"/>
      <c r="K664" s="22"/>
      <c r="L664" s="22"/>
      <c r="M664" s="21"/>
      <c r="N664" s="22"/>
      <c r="O664" s="29" t="str">
        <f aca="false">IF(A664="","",IF(COUNTIF($A$2:$A$2001,A664)&gt;1,"GANDA","OK"))</f>
        <v/>
      </c>
      <c r="P664" s="29" t="str">
        <f aca="false">IF(A664="","",IF(C664="","KOSONG",IF(AND(LEN(C664)=16,ISNUMBER(--C664)),"OK","TIDAK VALID")))</f>
        <v/>
      </c>
    </row>
    <row r="665" customFormat="false" ht="15" hidden="false" customHeight="false" outlineLevel="0" collapsed="false">
      <c r="A665" s="21"/>
      <c r="B665" s="22"/>
      <c r="C665" s="21"/>
      <c r="D665" s="22"/>
      <c r="E665" s="22"/>
      <c r="F665" s="28"/>
      <c r="G665" s="22"/>
      <c r="H665" s="21"/>
      <c r="I665" s="28"/>
      <c r="J665" s="22"/>
      <c r="K665" s="22"/>
      <c r="L665" s="22"/>
      <c r="M665" s="21"/>
      <c r="N665" s="22"/>
      <c r="O665" s="29" t="str">
        <f aca="false">IF(A665="","",IF(COUNTIF($A$2:$A$2001,A665)&gt;1,"GANDA","OK"))</f>
        <v/>
      </c>
      <c r="P665" s="29" t="str">
        <f aca="false">IF(A665="","",IF(C665="","KOSONG",IF(AND(LEN(C665)=16,ISNUMBER(--C665)),"OK","TIDAK VALID")))</f>
        <v/>
      </c>
    </row>
    <row r="666" customFormat="false" ht="15" hidden="false" customHeight="false" outlineLevel="0" collapsed="false">
      <c r="A666" s="21"/>
      <c r="B666" s="22"/>
      <c r="C666" s="21"/>
      <c r="D666" s="22"/>
      <c r="E666" s="22"/>
      <c r="F666" s="28"/>
      <c r="G666" s="22"/>
      <c r="H666" s="21"/>
      <c r="I666" s="28"/>
      <c r="J666" s="22"/>
      <c r="K666" s="22"/>
      <c r="L666" s="22"/>
      <c r="M666" s="21"/>
      <c r="N666" s="22"/>
      <c r="O666" s="29" t="str">
        <f aca="false">IF(A666="","",IF(COUNTIF($A$2:$A$2001,A666)&gt;1,"GANDA","OK"))</f>
        <v/>
      </c>
      <c r="P666" s="29" t="str">
        <f aca="false">IF(A666="","",IF(C666="","KOSONG",IF(AND(LEN(C666)=16,ISNUMBER(--C666)),"OK","TIDAK VALID")))</f>
        <v/>
      </c>
    </row>
    <row r="667" customFormat="false" ht="15" hidden="false" customHeight="false" outlineLevel="0" collapsed="false">
      <c r="A667" s="21"/>
      <c r="B667" s="22"/>
      <c r="C667" s="21"/>
      <c r="D667" s="22"/>
      <c r="E667" s="22"/>
      <c r="F667" s="28"/>
      <c r="G667" s="22"/>
      <c r="H667" s="21"/>
      <c r="I667" s="28"/>
      <c r="J667" s="22"/>
      <c r="K667" s="22"/>
      <c r="L667" s="22"/>
      <c r="M667" s="21"/>
      <c r="N667" s="22"/>
      <c r="O667" s="29" t="str">
        <f aca="false">IF(A667="","",IF(COUNTIF($A$2:$A$2001,A667)&gt;1,"GANDA","OK"))</f>
        <v/>
      </c>
      <c r="P667" s="29" t="str">
        <f aca="false">IF(A667="","",IF(C667="","KOSONG",IF(AND(LEN(C667)=16,ISNUMBER(--C667)),"OK","TIDAK VALID")))</f>
        <v/>
      </c>
    </row>
    <row r="668" customFormat="false" ht="15" hidden="false" customHeight="false" outlineLevel="0" collapsed="false">
      <c r="A668" s="21"/>
      <c r="B668" s="22"/>
      <c r="C668" s="21"/>
      <c r="D668" s="22"/>
      <c r="E668" s="22"/>
      <c r="F668" s="28"/>
      <c r="G668" s="22"/>
      <c r="H668" s="21"/>
      <c r="I668" s="28"/>
      <c r="J668" s="22"/>
      <c r="K668" s="22"/>
      <c r="L668" s="22"/>
      <c r="M668" s="21"/>
      <c r="N668" s="22"/>
      <c r="O668" s="29" t="str">
        <f aca="false">IF(A668="","",IF(COUNTIF($A$2:$A$2001,A668)&gt;1,"GANDA","OK"))</f>
        <v/>
      </c>
      <c r="P668" s="29" t="str">
        <f aca="false">IF(A668="","",IF(C668="","KOSONG",IF(AND(LEN(C668)=16,ISNUMBER(--C668)),"OK","TIDAK VALID")))</f>
        <v/>
      </c>
    </row>
    <row r="669" customFormat="false" ht="15" hidden="false" customHeight="false" outlineLevel="0" collapsed="false">
      <c r="A669" s="21"/>
      <c r="B669" s="22"/>
      <c r="C669" s="21"/>
      <c r="D669" s="22"/>
      <c r="E669" s="22"/>
      <c r="F669" s="28"/>
      <c r="G669" s="22"/>
      <c r="H669" s="21"/>
      <c r="I669" s="28"/>
      <c r="J669" s="22"/>
      <c r="K669" s="22"/>
      <c r="L669" s="22"/>
      <c r="M669" s="21"/>
      <c r="N669" s="22"/>
      <c r="O669" s="29" t="str">
        <f aca="false">IF(A669="","",IF(COUNTIF($A$2:$A$2001,A669)&gt;1,"GANDA","OK"))</f>
        <v/>
      </c>
      <c r="P669" s="29" t="str">
        <f aca="false">IF(A669="","",IF(C669="","KOSONG",IF(AND(LEN(C669)=16,ISNUMBER(--C669)),"OK","TIDAK VALID")))</f>
        <v/>
      </c>
    </row>
    <row r="670" customFormat="false" ht="15" hidden="false" customHeight="false" outlineLevel="0" collapsed="false">
      <c r="A670" s="21"/>
      <c r="B670" s="22"/>
      <c r="C670" s="21"/>
      <c r="D670" s="22"/>
      <c r="E670" s="22"/>
      <c r="F670" s="28"/>
      <c r="G670" s="22"/>
      <c r="H670" s="21"/>
      <c r="I670" s="28"/>
      <c r="J670" s="22"/>
      <c r="K670" s="22"/>
      <c r="L670" s="22"/>
      <c r="M670" s="21"/>
      <c r="N670" s="22"/>
      <c r="O670" s="29" t="str">
        <f aca="false">IF(A670="","",IF(COUNTIF($A$2:$A$2001,A670)&gt;1,"GANDA","OK"))</f>
        <v/>
      </c>
      <c r="P670" s="29" t="str">
        <f aca="false">IF(A670="","",IF(C670="","KOSONG",IF(AND(LEN(C670)=16,ISNUMBER(--C670)),"OK","TIDAK VALID")))</f>
        <v/>
      </c>
    </row>
    <row r="671" customFormat="false" ht="15" hidden="false" customHeight="false" outlineLevel="0" collapsed="false">
      <c r="A671" s="21"/>
      <c r="B671" s="22"/>
      <c r="C671" s="21"/>
      <c r="D671" s="22"/>
      <c r="E671" s="22"/>
      <c r="F671" s="28"/>
      <c r="G671" s="22"/>
      <c r="H671" s="21"/>
      <c r="I671" s="28"/>
      <c r="J671" s="22"/>
      <c r="K671" s="22"/>
      <c r="L671" s="22"/>
      <c r="M671" s="21"/>
      <c r="N671" s="22"/>
      <c r="O671" s="29" t="str">
        <f aca="false">IF(A671="","",IF(COUNTIF($A$2:$A$2001,A671)&gt;1,"GANDA","OK"))</f>
        <v/>
      </c>
      <c r="P671" s="29" t="str">
        <f aca="false">IF(A671="","",IF(C671="","KOSONG",IF(AND(LEN(C671)=16,ISNUMBER(--C671)),"OK","TIDAK VALID")))</f>
        <v/>
      </c>
    </row>
    <row r="672" customFormat="false" ht="15" hidden="false" customHeight="false" outlineLevel="0" collapsed="false">
      <c r="A672" s="21"/>
      <c r="B672" s="22"/>
      <c r="C672" s="21"/>
      <c r="D672" s="22"/>
      <c r="E672" s="22"/>
      <c r="F672" s="28"/>
      <c r="G672" s="22"/>
      <c r="H672" s="21"/>
      <c r="I672" s="28"/>
      <c r="J672" s="22"/>
      <c r="K672" s="22"/>
      <c r="L672" s="22"/>
      <c r="M672" s="21"/>
      <c r="N672" s="22"/>
      <c r="O672" s="29" t="str">
        <f aca="false">IF(A672="","",IF(COUNTIF($A$2:$A$2001,A672)&gt;1,"GANDA","OK"))</f>
        <v/>
      </c>
      <c r="P672" s="29" t="str">
        <f aca="false">IF(A672="","",IF(C672="","KOSONG",IF(AND(LEN(C672)=16,ISNUMBER(--C672)),"OK","TIDAK VALID")))</f>
        <v/>
      </c>
    </row>
    <row r="673" customFormat="false" ht="15" hidden="false" customHeight="false" outlineLevel="0" collapsed="false">
      <c r="A673" s="21"/>
      <c r="B673" s="22"/>
      <c r="C673" s="21"/>
      <c r="D673" s="22"/>
      <c r="E673" s="22"/>
      <c r="F673" s="28"/>
      <c r="G673" s="22"/>
      <c r="H673" s="21"/>
      <c r="I673" s="28"/>
      <c r="J673" s="22"/>
      <c r="K673" s="22"/>
      <c r="L673" s="22"/>
      <c r="M673" s="21"/>
      <c r="N673" s="22"/>
      <c r="O673" s="29" t="str">
        <f aca="false">IF(A673="","",IF(COUNTIF($A$2:$A$2001,A673)&gt;1,"GANDA","OK"))</f>
        <v/>
      </c>
      <c r="P673" s="29" t="str">
        <f aca="false">IF(A673="","",IF(C673="","KOSONG",IF(AND(LEN(C673)=16,ISNUMBER(--C673)),"OK","TIDAK VALID")))</f>
        <v/>
      </c>
    </row>
    <row r="674" customFormat="false" ht="15" hidden="false" customHeight="false" outlineLevel="0" collapsed="false">
      <c r="A674" s="21"/>
      <c r="B674" s="22"/>
      <c r="C674" s="21"/>
      <c r="D674" s="22"/>
      <c r="E674" s="22"/>
      <c r="F674" s="28"/>
      <c r="G674" s="22"/>
      <c r="H674" s="21"/>
      <c r="I674" s="28"/>
      <c r="J674" s="22"/>
      <c r="K674" s="22"/>
      <c r="L674" s="22"/>
      <c r="M674" s="21"/>
      <c r="N674" s="22"/>
      <c r="O674" s="29" t="str">
        <f aca="false">IF(A674="","",IF(COUNTIF($A$2:$A$2001,A674)&gt;1,"GANDA","OK"))</f>
        <v/>
      </c>
      <c r="P674" s="29" t="str">
        <f aca="false">IF(A674="","",IF(C674="","KOSONG",IF(AND(LEN(C674)=16,ISNUMBER(--C674)),"OK","TIDAK VALID")))</f>
        <v/>
      </c>
    </row>
    <row r="675" customFormat="false" ht="15" hidden="false" customHeight="false" outlineLevel="0" collapsed="false">
      <c r="A675" s="21"/>
      <c r="B675" s="22"/>
      <c r="C675" s="21"/>
      <c r="D675" s="22"/>
      <c r="E675" s="22"/>
      <c r="F675" s="28"/>
      <c r="G675" s="22"/>
      <c r="H675" s="21"/>
      <c r="I675" s="28"/>
      <c r="J675" s="22"/>
      <c r="K675" s="22"/>
      <c r="L675" s="22"/>
      <c r="M675" s="21"/>
      <c r="N675" s="22"/>
      <c r="O675" s="29" t="str">
        <f aca="false">IF(A675="","",IF(COUNTIF($A$2:$A$2001,A675)&gt;1,"GANDA","OK"))</f>
        <v/>
      </c>
      <c r="P675" s="29" t="str">
        <f aca="false">IF(A675="","",IF(C675="","KOSONG",IF(AND(LEN(C675)=16,ISNUMBER(--C675)),"OK","TIDAK VALID")))</f>
        <v/>
      </c>
    </row>
    <row r="676" customFormat="false" ht="15" hidden="false" customHeight="false" outlineLevel="0" collapsed="false">
      <c r="A676" s="21"/>
      <c r="B676" s="22"/>
      <c r="C676" s="21"/>
      <c r="D676" s="22"/>
      <c r="E676" s="22"/>
      <c r="F676" s="28"/>
      <c r="G676" s="22"/>
      <c r="H676" s="21"/>
      <c r="I676" s="28"/>
      <c r="J676" s="22"/>
      <c r="K676" s="22"/>
      <c r="L676" s="22"/>
      <c r="M676" s="21"/>
      <c r="N676" s="22"/>
      <c r="O676" s="29" t="str">
        <f aca="false">IF(A676="","",IF(COUNTIF($A$2:$A$2001,A676)&gt;1,"GANDA","OK"))</f>
        <v/>
      </c>
      <c r="P676" s="29" t="str">
        <f aca="false">IF(A676="","",IF(C676="","KOSONG",IF(AND(LEN(C676)=16,ISNUMBER(--C676)),"OK","TIDAK VALID")))</f>
        <v/>
      </c>
    </row>
    <row r="677" customFormat="false" ht="15" hidden="false" customHeight="false" outlineLevel="0" collapsed="false">
      <c r="A677" s="21"/>
      <c r="B677" s="22"/>
      <c r="C677" s="21"/>
      <c r="D677" s="22"/>
      <c r="E677" s="22"/>
      <c r="F677" s="28"/>
      <c r="G677" s="22"/>
      <c r="H677" s="21"/>
      <c r="I677" s="28"/>
      <c r="J677" s="22"/>
      <c r="K677" s="22"/>
      <c r="L677" s="22"/>
      <c r="M677" s="21"/>
      <c r="N677" s="22"/>
      <c r="O677" s="29" t="str">
        <f aca="false">IF(A677="","",IF(COUNTIF($A$2:$A$2001,A677)&gt;1,"GANDA","OK"))</f>
        <v/>
      </c>
      <c r="P677" s="29" t="str">
        <f aca="false">IF(A677="","",IF(C677="","KOSONG",IF(AND(LEN(C677)=16,ISNUMBER(--C677)),"OK","TIDAK VALID")))</f>
        <v/>
      </c>
    </row>
    <row r="678" customFormat="false" ht="15" hidden="false" customHeight="false" outlineLevel="0" collapsed="false">
      <c r="A678" s="21"/>
      <c r="B678" s="22"/>
      <c r="C678" s="21"/>
      <c r="D678" s="22"/>
      <c r="E678" s="22"/>
      <c r="F678" s="28"/>
      <c r="G678" s="22"/>
      <c r="H678" s="21"/>
      <c r="I678" s="28"/>
      <c r="J678" s="22"/>
      <c r="K678" s="22"/>
      <c r="L678" s="22"/>
      <c r="M678" s="21"/>
      <c r="N678" s="22"/>
      <c r="O678" s="29" t="str">
        <f aca="false">IF(A678="","",IF(COUNTIF($A$2:$A$2001,A678)&gt;1,"GANDA","OK"))</f>
        <v/>
      </c>
      <c r="P678" s="29" t="str">
        <f aca="false">IF(A678="","",IF(C678="","KOSONG",IF(AND(LEN(C678)=16,ISNUMBER(--C678)),"OK","TIDAK VALID")))</f>
        <v/>
      </c>
    </row>
    <row r="679" customFormat="false" ht="15" hidden="false" customHeight="false" outlineLevel="0" collapsed="false">
      <c r="A679" s="21"/>
      <c r="B679" s="22"/>
      <c r="C679" s="21"/>
      <c r="D679" s="22"/>
      <c r="E679" s="22"/>
      <c r="F679" s="28"/>
      <c r="G679" s="22"/>
      <c r="H679" s="21"/>
      <c r="I679" s="28"/>
      <c r="J679" s="22"/>
      <c r="K679" s="22"/>
      <c r="L679" s="22"/>
      <c r="M679" s="21"/>
      <c r="N679" s="22"/>
      <c r="O679" s="29" t="str">
        <f aca="false">IF(A679="","",IF(COUNTIF($A$2:$A$2001,A679)&gt;1,"GANDA","OK"))</f>
        <v/>
      </c>
      <c r="P679" s="29" t="str">
        <f aca="false">IF(A679="","",IF(C679="","KOSONG",IF(AND(LEN(C679)=16,ISNUMBER(--C679)),"OK","TIDAK VALID")))</f>
        <v/>
      </c>
    </row>
    <row r="680" customFormat="false" ht="15" hidden="false" customHeight="false" outlineLevel="0" collapsed="false">
      <c r="A680" s="21"/>
      <c r="B680" s="22"/>
      <c r="C680" s="21"/>
      <c r="D680" s="22"/>
      <c r="E680" s="22"/>
      <c r="F680" s="28"/>
      <c r="G680" s="22"/>
      <c r="H680" s="21"/>
      <c r="I680" s="28"/>
      <c r="J680" s="22"/>
      <c r="K680" s="22"/>
      <c r="L680" s="22"/>
      <c r="M680" s="21"/>
      <c r="N680" s="22"/>
      <c r="O680" s="29" t="str">
        <f aca="false">IF(A680="","",IF(COUNTIF($A$2:$A$2001,A680)&gt;1,"GANDA","OK"))</f>
        <v/>
      </c>
      <c r="P680" s="29" t="str">
        <f aca="false">IF(A680="","",IF(C680="","KOSONG",IF(AND(LEN(C680)=16,ISNUMBER(--C680)),"OK","TIDAK VALID")))</f>
        <v/>
      </c>
    </row>
    <row r="681" customFormat="false" ht="15" hidden="false" customHeight="false" outlineLevel="0" collapsed="false">
      <c r="A681" s="21"/>
      <c r="B681" s="22"/>
      <c r="C681" s="21"/>
      <c r="D681" s="22"/>
      <c r="E681" s="22"/>
      <c r="F681" s="28"/>
      <c r="G681" s="22"/>
      <c r="H681" s="21"/>
      <c r="I681" s="28"/>
      <c r="J681" s="22"/>
      <c r="K681" s="22"/>
      <c r="L681" s="22"/>
      <c r="M681" s="21"/>
      <c r="N681" s="22"/>
      <c r="O681" s="29" t="str">
        <f aca="false">IF(A681="","",IF(COUNTIF($A$2:$A$2001,A681)&gt;1,"GANDA","OK"))</f>
        <v/>
      </c>
      <c r="P681" s="29" t="str">
        <f aca="false">IF(A681="","",IF(C681="","KOSONG",IF(AND(LEN(C681)=16,ISNUMBER(--C681)),"OK","TIDAK VALID")))</f>
        <v/>
      </c>
    </row>
    <row r="682" customFormat="false" ht="15" hidden="false" customHeight="false" outlineLevel="0" collapsed="false">
      <c r="A682" s="21"/>
      <c r="B682" s="22"/>
      <c r="C682" s="21"/>
      <c r="D682" s="22"/>
      <c r="E682" s="22"/>
      <c r="F682" s="28"/>
      <c r="G682" s="22"/>
      <c r="H682" s="21"/>
      <c r="I682" s="28"/>
      <c r="J682" s="22"/>
      <c r="K682" s="22"/>
      <c r="L682" s="22"/>
      <c r="M682" s="21"/>
      <c r="N682" s="22"/>
      <c r="O682" s="29" t="str">
        <f aca="false">IF(A682="","",IF(COUNTIF($A$2:$A$2001,A682)&gt;1,"GANDA","OK"))</f>
        <v/>
      </c>
      <c r="P682" s="29" t="str">
        <f aca="false">IF(A682="","",IF(C682="","KOSONG",IF(AND(LEN(C682)=16,ISNUMBER(--C682)),"OK","TIDAK VALID")))</f>
        <v/>
      </c>
    </row>
    <row r="683" customFormat="false" ht="15" hidden="false" customHeight="false" outlineLevel="0" collapsed="false">
      <c r="A683" s="21"/>
      <c r="B683" s="22"/>
      <c r="C683" s="21"/>
      <c r="D683" s="22"/>
      <c r="E683" s="22"/>
      <c r="F683" s="28"/>
      <c r="G683" s="22"/>
      <c r="H683" s="21"/>
      <c r="I683" s="28"/>
      <c r="J683" s="22"/>
      <c r="K683" s="22"/>
      <c r="L683" s="22"/>
      <c r="M683" s="21"/>
      <c r="N683" s="22"/>
      <c r="O683" s="29" t="str">
        <f aca="false">IF(A683="","",IF(COUNTIF($A$2:$A$2001,A683)&gt;1,"GANDA","OK"))</f>
        <v/>
      </c>
      <c r="P683" s="29" t="str">
        <f aca="false">IF(A683="","",IF(C683="","KOSONG",IF(AND(LEN(C683)=16,ISNUMBER(--C683)),"OK","TIDAK VALID")))</f>
        <v/>
      </c>
    </row>
    <row r="684" customFormat="false" ht="15" hidden="false" customHeight="false" outlineLevel="0" collapsed="false">
      <c r="A684" s="21"/>
      <c r="B684" s="22"/>
      <c r="C684" s="21"/>
      <c r="D684" s="22"/>
      <c r="E684" s="22"/>
      <c r="F684" s="28"/>
      <c r="G684" s="22"/>
      <c r="H684" s="21"/>
      <c r="I684" s="28"/>
      <c r="J684" s="22"/>
      <c r="K684" s="22"/>
      <c r="L684" s="22"/>
      <c r="M684" s="21"/>
      <c r="N684" s="22"/>
      <c r="O684" s="29" t="str">
        <f aca="false">IF(A684="","",IF(COUNTIF($A$2:$A$2001,A684)&gt;1,"GANDA","OK"))</f>
        <v/>
      </c>
      <c r="P684" s="29" t="str">
        <f aca="false">IF(A684="","",IF(C684="","KOSONG",IF(AND(LEN(C684)=16,ISNUMBER(--C684)),"OK","TIDAK VALID")))</f>
        <v/>
      </c>
    </row>
    <row r="685" customFormat="false" ht="15" hidden="false" customHeight="false" outlineLevel="0" collapsed="false">
      <c r="A685" s="21"/>
      <c r="B685" s="22"/>
      <c r="C685" s="21"/>
      <c r="D685" s="22"/>
      <c r="E685" s="22"/>
      <c r="F685" s="28"/>
      <c r="G685" s="22"/>
      <c r="H685" s="21"/>
      <c r="I685" s="28"/>
      <c r="J685" s="22"/>
      <c r="K685" s="22"/>
      <c r="L685" s="22"/>
      <c r="M685" s="21"/>
      <c r="N685" s="22"/>
      <c r="O685" s="29" t="str">
        <f aca="false">IF(A685="","",IF(COUNTIF($A$2:$A$2001,A685)&gt;1,"GANDA","OK"))</f>
        <v/>
      </c>
      <c r="P685" s="29" t="str">
        <f aca="false">IF(A685="","",IF(C685="","KOSONG",IF(AND(LEN(C685)=16,ISNUMBER(--C685)),"OK","TIDAK VALID")))</f>
        <v/>
      </c>
    </row>
    <row r="686" customFormat="false" ht="15" hidden="false" customHeight="false" outlineLevel="0" collapsed="false">
      <c r="A686" s="21"/>
      <c r="B686" s="22"/>
      <c r="C686" s="21"/>
      <c r="D686" s="22"/>
      <c r="E686" s="22"/>
      <c r="F686" s="28"/>
      <c r="G686" s="22"/>
      <c r="H686" s="21"/>
      <c r="I686" s="28"/>
      <c r="J686" s="22"/>
      <c r="K686" s="22"/>
      <c r="L686" s="22"/>
      <c r="M686" s="21"/>
      <c r="N686" s="22"/>
      <c r="O686" s="29" t="str">
        <f aca="false">IF(A686="","",IF(COUNTIF($A$2:$A$2001,A686)&gt;1,"GANDA","OK"))</f>
        <v/>
      </c>
      <c r="P686" s="29" t="str">
        <f aca="false">IF(A686="","",IF(C686="","KOSONG",IF(AND(LEN(C686)=16,ISNUMBER(--C686)),"OK","TIDAK VALID")))</f>
        <v/>
      </c>
    </row>
    <row r="687" customFormat="false" ht="15" hidden="false" customHeight="false" outlineLevel="0" collapsed="false">
      <c r="A687" s="21"/>
      <c r="B687" s="22"/>
      <c r="C687" s="21"/>
      <c r="D687" s="22"/>
      <c r="E687" s="22"/>
      <c r="F687" s="28"/>
      <c r="G687" s="22"/>
      <c r="H687" s="21"/>
      <c r="I687" s="28"/>
      <c r="J687" s="22"/>
      <c r="K687" s="22"/>
      <c r="L687" s="22"/>
      <c r="M687" s="21"/>
      <c r="N687" s="22"/>
      <c r="O687" s="29" t="str">
        <f aca="false">IF(A687="","",IF(COUNTIF($A$2:$A$2001,A687)&gt;1,"GANDA","OK"))</f>
        <v/>
      </c>
      <c r="P687" s="29" t="str">
        <f aca="false">IF(A687="","",IF(C687="","KOSONG",IF(AND(LEN(C687)=16,ISNUMBER(--C687)),"OK","TIDAK VALID")))</f>
        <v/>
      </c>
    </row>
    <row r="688" customFormat="false" ht="15" hidden="false" customHeight="false" outlineLevel="0" collapsed="false">
      <c r="A688" s="21"/>
      <c r="B688" s="22"/>
      <c r="C688" s="21"/>
      <c r="D688" s="22"/>
      <c r="E688" s="22"/>
      <c r="F688" s="28"/>
      <c r="G688" s="22"/>
      <c r="H688" s="21"/>
      <c r="I688" s="28"/>
      <c r="J688" s="22"/>
      <c r="K688" s="22"/>
      <c r="L688" s="22"/>
      <c r="M688" s="21"/>
      <c r="N688" s="22"/>
      <c r="O688" s="29" t="str">
        <f aca="false">IF(A688="","",IF(COUNTIF($A$2:$A$2001,A688)&gt;1,"GANDA","OK"))</f>
        <v/>
      </c>
      <c r="P688" s="29" t="str">
        <f aca="false">IF(A688="","",IF(C688="","KOSONG",IF(AND(LEN(C688)=16,ISNUMBER(--C688)),"OK","TIDAK VALID")))</f>
        <v/>
      </c>
    </row>
    <row r="689" customFormat="false" ht="15" hidden="false" customHeight="false" outlineLevel="0" collapsed="false">
      <c r="A689" s="21"/>
      <c r="B689" s="22"/>
      <c r="C689" s="21"/>
      <c r="D689" s="22"/>
      <c r="E689" s="22"/>
      <c r="F689" s="28"/>
      <c r="G689" s="22"/>
      <c r="H689" s="21"/>
      <c r="I689" s="28"/>
      <c r="J689" s="22"/>
      <c r="K689" s="22"/>
      <c r="L689" s="22"/>
      <c r="M689" s="21"/>
      <c r="N689" s="22"/>
      <c r="O689" s="29" t="str">
        <f aca="false">IF(A689="","",IF(COUNTIF($A$2:$A$2001,A689)&gt;1,"GANDA","OK"))</f>
        <v/>
      </c>
      <c r="P689" s="29" t="str">
        <f aca="false">IF(A689="","",IF(C689="","KOSONG",IF(AND(LEN(C689)=16,ISNUMBER(--C689)),"OK","TIDAK VALID")))</f>
        <v/>
      </c>
    </row>
    <row r="690" customFormat="false" ht="15" hidden="false" customHeight="false" outlineLevel="0" collapsed="false">
      <c r="A690" s="21"/>
      <c r="B690" s="22"/>
      <c r="C690" s="21"/>
      <c r="D690" s="22"/>
      <c r="E690" s="22"/>
      <c r="F690" s="28"/>
      <c r="G690" s="22"/>
      <c r="H690" s="21"/>
      <c r="I690" s="28"/>
      <c r="J690" s="22"/>
      <c r="K690" s="22"/>
      <c r="L690" s="22"/>
      <c r="M690" s="21"/>
      <c r="N690" s="22"/>
      <c r="O690" s="29" t="str">
        <f aca="false">IF(A690="","",IF(COUNTIF($A$2:$A$2001,A690)&gt;1,"GANDA","OK"))</f>
        <v/>
      </c>
      <c r="P690" s="29" t="str">
        <f aca="false">IF(A690="","",IF(C690="","KOSONG",IF(AND(LEN(C690)=16,ISNUMBER(--C690)),"OK","TIDAK VALID")))</f>
        <v/>
      </c>
    </row>
    <row r="691" customFormat="false" ht="15" hidden="false" customHeight="false" outlineLevel="0" collapsed="false">
      <c r="A691" s="21"/>
      <c r="B691" s="22"/>
      <c r="C691" s="21"/>
      <c r="D691" s="22"/>
      <c r="E691" s="22"/>
      <c r="F691" s="28"/>
      <c r="G691" s="22"/>
      <c r="H691" s="21"/>
      <c r="I691" s="28"/>
      <c r="J691" s="22"/>
      <c r="K691" s="22"/>
      <c r="L691" s="22"/>
      <c r="M691" s="21"/>
      <c r="N691" s="22"/>
      <c r="O691" s="29" t="str">
        <f aca="false">IF(A691="","",IF(COUNTIF($A$2:$A$2001,A691)&gt;1,"GANDA","OK"))</f>
        <v/>
      </c>
      <c r="P691" s="29" t="str">
        <f aca="false">IF(A691="","",IF(C691="","KOSONG",IF(AND(LEN(C691)=16,ISNUMBER(--C691)),"OK","TIDAK VALID")))</f>
        <v/>
      </c>
    </row>
    <row r="692" customFormat="false" ht="15" hidden="false" customHeight="false" outlineLevel="0" collapsed="false">
      <c r="A692" s="21"/>
      <c r="B692" s="22"/>
      <c r="C692" s="21"/>
      <c r="D692" s="22"/>
      <c r="E692" s="22"/>
      <c r="F692" s="28"/>
      <c r="G692" s="22"/>
      <c r="H692" s="21"/>
      <c r="I692" s="28"/>
      <c r="J692" s="22"/>
      <c r="K692" s="22"/>
      <c r="L692" s="22"/>
      <c r="M692" s="21"/>
      <c r="N692" s="22"/>
      <c r="O692" s="29" t="str">
        <f aca="false">IF(A692="","",IF(COUNTIF($A$2:$A$2001,A692)&gt;1,"GANDA","OK"))</f>
        <v/>
      </c>
      <c r="P692" s="29" t="str">
        <f aca="false">IF(A692="","",IF(C692="","KOSONG",IF(AND(LEN(C692)=16,ISNUMBER(--C692)),"OK","TIDAK VALID")))</f>
        <v/>
      </c>
    </row>
    <row r="693" customFormat="false" ht="15" hidden="false" customHeight="false" outlineLevel="0" collapsed="false">
      <c r="A693" s="21"/>
      <c r="B693" s="22"/>
      <c r="C693" s="21"/>
      <c r="D693" s="22"/>
      <c r="E693" s="22"/>
      <c r="F693" s="28"/>
      <c r="G693" s="22"/>
      <c r="H693" s="21"/>
      <c r="I693" s="28"/>
      <c r="J693" s="22"/>
      <c r="K693" s="22"/>
      <c r="L693" s="22"/>
      <c r="M693" s="21"/>
      <c r="N693" s="22"/>
      <c r="O693" s="29" t="str">
        <f aca="false">IF(A693="","",IF(COUNTIF($A$2:$A$2001,A693)&gt;1,"GANDA","OK"))</f>
        <v/>
      </c>
      <c r="P693" s="29" t="str">
        <f aca="false">IF(A693="","",IF(C693="","KOSONG",IF(AND(LEN(C693)=16,ISNUMBER(--C693)),"OK","TIDAK VALID")))</f>
        <v/>
      </c>
    </row>
    <row r="694" customFormat="false" ht="15" hidden="false" customHeight="false" outlineLevel="0" collapsed="false">
      <c r="A694" s="21"/>
      <c r="B694" s="22"/>
      <c r="C694" s="21"/>
      <c r="D694" s="22"/>
      <c r="E694" s="22"/>
      <c r="F694" s="28"/>
      <c r="G694" s="22"/>
      <c r="H694" s="21"/>
      <c r="I694" s="28"/>
      <c r="J694" s="22"/>
      <c r="K694" s="22"/>
      <c r="L694" s="22"/>
      <c r="M694" s="21"/>
      <c r="N694" s="22"/>
      <c r="O694" s="29" t="str">
        <f aca="false">IF(A694="","",IF(COUNTIF($A$2:$A$2001,A694)&gt;1,"GANDA","OK"))</f>
        <v/>
      </c>
      <c r="P694" s="29" t="str">
        <f aca="false">IF(A694="","",IF(C694="","KOSONG",IF(AND(LEN(C694)=16,ISNUMBER(--C694)),"OK","TIDAK VALID")))</f>
        <v/>
      </c>
    </row>
    <row r="695" customFormat="false" ht="15" hidden="false" customHeight="false" outlineLevel="0" collapsed="false">
      <c r="A695" s="21"/>
      <c r="B695" s="22"/>
      <c r="C695" s="21"/>
      <c r="D695" s="22"/>
      <c r="E695" s="22"/>
      <c r="F695" s="28"/>
      <c r="G695" s="22"/>
      <c r="H695" s="21"/>
      <c r="I695" s="28"/>
      <c r="J695" s="22"/>
      <c r="K695" s="22"/>
      <c r="L695" s="22"/>
      <c r="M695" s="21"/>
      <c r="N695" s="22"/>
      <c r="O695" s="29" t="str">
        <f aca="false">IF(A695="","",IF(COUNTIF($A$2:$A$2001,A695)&gt;1,"GANDA","OK"))</f>
        <v/>
      </c>
      <c r="P695" s="29" t="str">
        <f aca="false">IF(A695="","",IF(C695="","KOSONG",IF(AND(LEN(C695)=16,ISNUMBER(--C695)),"OK","TIDAK VALID")))</f>
        <v/>
      </c>
    </row>
    <row r="696" customFormat="false" ht="15" hidden="false" customHeight="false" outlineLevel="0" collapsed="false">
      <c r="A696" s="21"/>
      <c r="B696" s="22"/>
      <c r="C696" s="21"/>
      <c r="D696" s="22"/>
      <c r="E696" s="22"/>
      <c r="F696" s="28"/>
      <c r="G696" s="22"/>
      <c r="H696" s="21"/>
      <c r="I696" s="28"/>
      <c r="J696" s="22"/>
      <c r="K696" s="22"/>
      <c r="L696" s="22"/>
      <c r="M696" s="21"/>
      <c r="N696" s="22"/>
      <c r="O696" s="29" t="str">
        <f aca="false">IF(A696="","",IF(COUNTIF($A$2:$A$2001,A696)&gt;1,"GANDA","OK"))</f>
        <v/>
      </c>
      <c r="P696" s="29" t="str">
        <f aca="false">IF(A696="","",IF(C696="","KOSONG",IF(AND(LEN(C696)=16,ISNUMBER(--C696)),"OK","TIDAK VALID")))</f>
        <v/>
      </c>
    </row>
    <row r="697" customFormat="false" ht="15" hidden="false" customHeight="false" outlineLevel="0" collapsed="false">
      <c r="A697" s="21"/>
      <c r="B697" s="22"/>
      <c r="C697" s="21"/>
      <c r="D697" s="22"/>
      <c r="E697" s="22"/>
      <c r="F697" s="28"/>
      <c r="G697" s="22"/>
      <c r="H697" s="21"/>
      <c r="I697" s="28"/>
      <c r="J697" s="22"/>
      <c r="K697" s="22"/>
      <c r="L697" s="22"/>
      <c r="M697" s="21"/>
      <c r="N697" s="22"/>
      <c r="O697" s="29" t="str">
        <f aca="false">IF(A697="","",IF(COUNTIF($A$2:$A$2001,A697)&gt;1,"GANDA","OK"))</f>
        <v/>
      </c>
      <c r="P697" s="29" t="str">
        <f aca="false">IF(A697="","",IF(C697="","KOSONG",IF(AND(LEN(C697)=16,ISNUMBER(--C697)),"OK","TIDAK VALID")))</f>
        <v/>
      </c>
    </row>
    <row r="698" customFormat="false" ht="15" hidden="false" customHeight="false" outlineLevel="0" collapsed="false">
      <c r="A698" s="21"/>
      <c r="B698" s="22"/>
      <c r="C698" s="21"/>
      <c r="D698" s="22"/>
      <c r="E698" s="22"/>
      <c r="F698" s="28"/>
      <c r="G698" s="22"/>
      <c r="H698" s="21"/>
      <c r="I698" s="28"/>
      <c r="J698" s="22"/>
      <c r="K698" s="22"/>
      <c r="L698" s="22"/>
      <c r="M698" s="21"/>
      <c r="N698" s="22"/>
      <c r="O698" s="29" t="str">
        <f aca="false">IF(A698="","",IF(COUNTIF($A$2:$A$2001,A698)&gt;1,"GANDA","OK"))</f>
        <v/>
      </c>
      <c r="P698" s="29" t="str">
        <f aca="false">IF(A698="","",IF(C698="","KOSONG",IF(AND(LEN(C698)=16,ISNUMBER(--C698)),"OK","TIDAK VALID")))</f>
        <v/>
      </c>
    </row>
    <row r="699" customFormat="false" ht="15" hidden="false" customHeight="false" outlineLevel="0" collapsed="false">
      <c r="A699" s="21"/>
      <c r="B699" s="22"/>
      <c r="C699" s="21"/>
      <c r="D699" s="22"/>
      <c r="E699" s="22"/>
      <c r="F699" s="28"/>
      <c r="G699" s="22"/>
      <c r="H699" s="21"/>
      <c r="I699" s="28"/>
      <c r="J699" s="22"/>
      <c r="K699" s="22"/>
      <c r="L699" s="22"/>
      <c r="M699" s="21"/>
      <c r="N699" s="22"/>
      <c r="O699" s="29" t="str">
        <f aca="false">IF(A699="","",IF(COUNTIF($A$2:$A$2001,A699)&gt;1,"GANDA","OK"))</f>
        <v/>
      </c>
      <c r="P699" s="29" t="str">
        <f aca="false">IF(A699="","",IF(C699="","KOSONG",IF(AND(LEN(C699)=16,ISNUMBER(--C699)),"OK","TIDAK VALID")))</f>
        <v/>
      </c>
    </row>
    <row r="700" customFormat="false" ht="15" hidden="false" customHeight="false" outlineLevel="0" collapsed="false">
      <c r="A700" s="21"/>
      <c r="B700" s="22"/>
      <c r="C700" s="21"/>
      <c r="D700" s="22"/>
      <c r="E700" s="22"/>
      <c r="F700" s="28"/>
      <c r="G700" s="22"/>
      <c r="H700" s="21"/>
      <c r="I700" s="28"/>
      <c r="J700" s="22"/>
      <c r="K700" s="22"/>
      <c r="L700" s="22"/>
      <c r="M700" s="21"/>
      <c r="N700" s="22"/>
      <c r="O700" s="29" t="str">
        <f aca="false">IF(A700="","",IF(COUNTIF($A$2:$A$2001,A700)&gt;1,"GANDA","OK"))</f>
        <v/>
      </c>
      <c r="P700" s="29" t="str">
        <f aca="false">IF(A700="","",IF(C700="","KOSONG",IF(AND(LEN(C700)=16,ISNUMBER(--C700)),"OK","TIDAK VALID")))</f>
        <v/>
      </c>
    </row>
    <row r="701" customFormat="false" ht="15" hidden="false" customHeight="false" outlineLevel="0" collapsed="false">
      <c r="A701" s="21"/>
      <c r="B701" s="22"/>
      <c r="C701" s="21"/>
      <c r="D701" s="22"/>
      <c r="E701" s="22"/>
      <c r="F701" s="28"/>
      <c r="G701" s="22"/>
      <c r="H701" s="21"/>
      <c r="I701" s="28"/>
      <c r="J701" s="22"/>
      <c r="K701" s="22"/>
      <c r="L701" s="22"/>
      <c r="M701" s="21"/>
      <c r="N701" s="22"/>
      <c r="O701" s="29" t="str">
        <f aca="false">IF(A701="","",IF(COUNTIF($A$2:$A$2001,A701)&gt;1,"GANDA","OK"))</f>
        <v/>
      </c>
      <c r="P701" s="29" t="str">
        <f aca="false">IF(A701="","",IF(C701="","KOSONG",IF(AND(LEN(C701)=16,ISNUMBER(--C701)),"OK","TIDAK VALID")))</f>
        <v/>
      </c>
    </row>
    <row r="702" customFormat="false" ht="15" hidden="false" customHeight="false" outlineLevel="0" collapsed="false">
      <c r="A702" s="21"/>
      <c r="B702" s="22"/>
      <c r="C702" s="21"/>
      <c r="D702" s="22"/>
      <c r="E702" s="22"/>
      <c r="F702" s="28"/>
      <c r="G702" s="22"/>
      <c r="H702" s="21"/>
      <c r="I702" s="28"/>
      <c r="J702" s="22"/>
      <c r="K702" s="22"/>
      <c r="L702" s="22"/>
      <c r="M702" s="21"/>
      <c r="N702" s="22"/>
      <c r="O702" s="29" t="str">
        <f aca="false">IF(A702="","",IF(COUNTIF($A$2:$A$2001,A702)&gt;1,"GANDA","OK"))</f>
        <v/>
      </c>
      <c r="P702" s="29" t="str">
        <f aca="false">IF(A702="","",IF(C702="","KOSONG",IF(AND(LEN(C702)=16,ISNUMBER(--C702)),"OK","TIDAK VALID")))</f>
        <v/>
      </c>
    </row>
    <row r="703" customFormat="false" ht="15" hidden="false" customHeight="false" outlineLevel="0" collapsed="false">
      <c r="A703" s="21"/>
      <c r="B703" s="22"/>
      <c r="C703" s="21"/>
      <c r="D703" s="22"/>
      <c r="E703" s="22"/>
      <c r="F703" s="28"/>
      <c r="G703" s="22"/>
      <c r="H703" s="21"/>
      <c r="I703" s="28"/>
      <c r="J703" s="22"/>
      <c r="K703" s="22"/>
      <c r="L703" s="22"/>
      <c r="M703" s="21"/>
      <c r="N703" s="22"/>
      <c r="O703" s="29" t="str">
        <f aca="false">IF(A703="","",IF(COUNTIF($A$2:$A$2001,A703)&gt;1,"GANDA","OK"))</f>
        <v/>
      </c>
      <c r="P703" s="29" t="str">
        <f aca="false">IF(A703="","",IF(C703="","KOSONG",IF(AND(LEN(C703)=16,ISNUMBER(--C703)),"OK","TIDAK VALID")))</f>
        <v/>
      </c>
    </row>
    <row r="704" customFormat="false" ht="15" hidden="false" customHeight="false" outlineLevel="0" collapsed="false">
      <c r="A704" s="21"/>
      <c r="B704" s="22"/>
      <c r="C704" s="21"/>
      <c r="D704" s="22"/>
      <c r="E704" s="22"/>
      <c r="F704" s="28"/>
      <c r="G704" s="22"/>
      <c r="H704" s="21"/>
      <c r="I704" s="28"/>
      <c r="J704" s="22"/>
      <c r="K704" s="22"/>
      <c r="L704" s="22"/>
      <c r="M704" s="21"/>
      <c r="N704" s="22"/>
      <c r="O704" s="29" t="str">
        <f aca="false">IF(A704="","",IF(COUNTIF($A$2:$A$2001,A704)&gt;1,"GANDA","OK"))</f>
        <v/>
      </c>
      <c r="P704" s="29" t="str">
        <f aca="false">IF(A704="","",IF(C704="","KOSONG",IF(AND(LEN(C704)=16,ISNUMBER(--C704)),"OK","TIDAK VALID")))</f>
        <v/>
      </c>
    </row>
    <row r="705" customFormat="false" ht="15" hidden="false" customHeight="false" outlineLevel="0" collapsed="false">
      <c r="A705" s="21"/>
      <c r="B705" s="22"/>
      <c r="C705" s="21"/>
      <c r="D705" s="22"/>
      <c r="E705" s="22"/>
      <c r="F705" s="28"/>
      <c r="G705" s="22"/>
      <c r="H705" s="21"/>
      <c r="I705" s="28"/>
      <c r="J705" s="22"/>
      <c r="K705" s="22"/>
      <c r="L705" s="22"/>
      <c r="M705" s="21"/>
      <c r="N705" s="22"/>
      <c r="O705" s="29" t="str">
        <f aca="false">IF(A705="","",IF(COUNTIF($A$2:$A$2001,A705)&gt;1,"GANDA","OK"))</f>
        <v/>
      </c>
      <c r="P705" s="29" t="str">
        <f aca="false">IF(A705="","",IF(C705="","KOSONG",IF(AND(LEN(C705)=16,ISNUMBER(--C705)),"OK","TIDAK VALID")))</f>
        <v/>
      </c>
    </row>
    <row r="706" customFormat="false" ht="15" hidden="false" customHeight="false" outlineLevel="0" collapsed="false">
      <c r="A706" s="21"/>
      <c r="B706" s="22"/>
      <c r="C706" s="21"/>
      <c r="D706" s="22"/>
      <c r="E706" s="22"/>
      <c r="F706" s="28"/>
      <c r="G706" s="22"/>
      <c r="H706" s="21"/>
      <c r="I706" s="28"/>
      <c r="J706" s="22"/>
      <c r="K706" s="22"/>
      <c r="L706" s="22"/>
      <c r="M706" s="21"/>
      <c r="N706" s="22"/>
      <c r="O706" s="29" t="str">
        <f aca="false">IF(A706="","",IF(COUNTIF($A$2:$A$2001,A706)&gt;1,"GANDA","OK"))</f>
        <v/>
      </c>
      <c r="P706" s="29" t="str">
        <f aca="false">IF(A706="","",IF(C706="","KOSONG",IF(AND(LEN(C706)=16,ISNUMBER(--C706)),"OK","TIDAK VALID")))</f>
        <v/>
      </c>
    </row>
    <row r="707" customFormat="false" ht="15" hidden="false" customHeight="false" outlineLevel="0" collapsed="false">
      <c r="A707" s="21"/>
      <c r="B707" s="22"/>
      <c r="C707" s="21"/>
      <c r="D707" s="22"/>
      <c r="E707" s="22"/>
      <c r="F707" s="28"/>
      <c r="G707" s="22"/>
      <c r="H707" s="21"/>
      <c r="I707" s="28"/>
      <c r="J707" s="22"/>
      <c r="K707" s="22"/>
      <c r="L707" s="22"/>
      <c r="M707" s="21"/>
      <c r="N707" s="22"/>
      <c r="O707" s="29" t="str">
        <f aca="false">IF(A707="","",IF(COUNTIF($A$2:$A$2001,A707)&gt;1,"GANDA","OK"))</f>
        <v/>
      </c>
      <c r="P707" s="29" t="str">
        <f aca="false">IF(A707="","",IF(C707="","KOSONG",IF(AND(LEN(C707)=16,ISNUMBER(--C707)),"OK","TIDAK VALID")))</f>
        <v/>
      </c>
    </row>
    <row r="708" customFormat="false" ht="15" hidden="false" customHeight="false" outlineLevel="0" collapsed="false">
      <c r="A708" s="21"/>
      <c r="B708" s="22"/>
      <c r="C708" s="21"/>
      <c r="D708" s="22"/>
      <c r="E708" s="22"/>
      <c r="F708" s="28"/>
      <c r="G708" s="22"/>
      <c r="H708" s="21"/>
      <c r="I708" s="28"/>
      <c r="J708" s="22"/>
      <c r="K708" s="22"/>
      <c r="L708" s="22"/>
      <c r="M708" s="21"/>
      <c r="N708" s="22"/>
      <c r="O708" s="29" t="str">
        <f aca="false">IF(A708="","",IF(COUNTIF($A$2:$A$2001,A708)&gt;1,"GANDA","OK"))</f>
        <v/>
      </c>
      <c r="P708" s="29" t="str">
        <f aca="false">IF(A708="","",IF(C708="","KOSONG",IF(AND(LEN(C708)=16,ISNUMBER(--C708)),"OK","TIDAK VALID")))</f>
        <v/>
      </c>
    </row>
    <row r="709" customFormat="false" ht="15" hidden="false" customHeight="false" outlineLevel="0" collapsed="false">
      <c r="A709" s="21"/>
      <c r="B709" s="22"/>
      <c r="C709" s="21"/>
      <c r="D709" s="22"/>
      <c r="E709" s="22"/>
      <c r="F709" s="28"/>
      <c r="G709" s="22"/>
      <c r="H709" s="21"/>
      <c r="I709" s="28"/>
      <c r="J709" s="22"/>
      <c r="K709" s="22"/>
      <c r="L709" s="22"/>
      <c r="M709" s="21"/>
      <c r="N709" s="22"/>
      <c r="O709" s="29" t="str">
        <f aca="false">IF(A709="","",IF(COUNTIF($A$2:$A$2001,A709)&gt;1,"GANDA","OK"))</f>
        <v/>
      </c>
      <c r="P709" s="29" t="str">
        <f aca="false">IF(A709="","",IF(C709="","KOSONG",IF(AND(LEN(C709)=16,ISNUMBER(--C709)),"OK","TIDAK VALID")))</f>
        <v/>
      </c>
    </row>
    <row r="710" customFormat="false" ht="15" hidden="false" customHeight="false" outlineLevel="0" collapsed="false">
      <c r="A710" s="21"/>
      <c r="B710" s="22"/>
      <c r="C710" s="21"/>
      <c r="D710" s="22"/>
      <c r="E710" s="22"/>
      <c r="F710" s="28"/>
      <c r="G710" s="22"/>
      <c r="H710" s="21"/>
      <c r="I710" s="28"/>
      <c r="J710" s="22"/>
      <c r="K710" s="22"/>
      <c r="L710" s="22"/>
      <c r="M710" s="21"/>
      <c r="N710" s="22"/>
      <c r="O710" s="29" t="str">
        <f aca="false">IF(A710="","",IF(COUNTIF($A$2:$A$2001,A710)&gt;1,"GANDA","OK"))</f>
        <v/>
      </c>
      <c r="P710" s="29" t="str">
        <f aca="false">IF(A710="","",IF(C710="","KOSONG",IF(AND(LEN(C710)=16,ISNUMBER(--C710)),"OK","TIDAK VALID")))</f>
        <v/>
      </c>
    </row>
    <row r="711" customFormat="false" ht="15" hidden="false" customHeight="false" outlineLevel="0" collapsed="false">
      <c r="A711" s="21"/>
      <c r="B711" s="22"/>
      <c r="C711" s="21"/>
      <c r="D711" s="22"/>
      <c r="E711" s="22"/>
      <c r="F711" s="28"/>
      <c r="G711" s="22"/>
      <c r="H711" s="21"/>
      <c r="I711" s="28"/>
      <c r="J711" s="22"/>
      <c r="K711" s="22"/>
      <c r="L711" s="22"/>
      <c r="M711" s="21"/>
      <c r="N711" s="22"/>
      <c r="O711" s="29" t="str">
        <f aca="false">IF(A711="","",IF(COUNTIF($A$2:$A$2001,A711)&gt;1,"GANDA","OK"))</f>
        <v/>
      </c>
      <c r="P711" s="29" t="str">
        <f aca="false">IF(A711="","",IF(C711="","KOSONG",IF(AND(LEN(C711)=16,ISNUMBER(--C711)),"OK","TIDAK VALID")))</f>
        <v/>
      </c>
    </row>
    <row r="712" customFormat="false" ht="15" hidden="false" customHeight="false" outlineLevel="0" collapsed="false">
      <c r="A712" s="21"/>
      <c r="B712" s="22"/>
      <c r="C712" s="21"/>
      <c r="D712" s="22"/>
      <c r="E712" s="22"/>
      <c r="F712" s="28"/>
      <c r="G712" s="22"/>
      <c r="H712" s="21"/>
      <c r="I712" s="28"/>
      <c r="J712" s="22"/>
      <c r="K712" s="22"/>
      <c r="L712" s="22"/>
      <c r="M712" s="21"/>
      <c r="N712" s="22"/>
      <c r="O712" s="29" t="str">
        <f aca="false">IF(A712="","",IF(COUNTIF($A$2:$A$2001,A712)&gt;1,"GANDA","OK"))</f>
        <v/>
      </c>
      <c r="P712" s="29" t="str">
        <f aca="false">IF(A712="","",IF(C712="","KOSONG",IF(AND(LEN(C712)=16,ISNUMBER(--C712)),"OK","TIDAK VALID")))</f>
        <v/>
      </c>
    </row>
    <row r="713" customFormat="false" ht="15" hidden="false" customHeight="false" outlineLevel="0" collapsed="false">
      <c r="A713" s="21"/>
      <c r="B713" s="22"/>
      <c r="C713" s="21"/>
      <c r="D713" s="22"/>
      <c r="E713" s="22"/>
      <c r="F713" s="28"/>
      <c r="G713" s="22"/>
      <c r="H713" s="21"/>
      <c r="I713" s="28"/>
      <c r="J713" s="22"/>
      <c r="K713" s="22"/>
      <c r="L713" s="22"/>
      <c r="M713" s="21"/>
      <c r="N713" s="22"/>
      <c r="O713" s="29" t="str">
        <f aca="false">IF(A713="","",IF(COUNTIF($A$2:$A$2001,A713)&gt;1,"GANDA","OK"))</f>
        <v/>
      </c>
      <c r="P713" s="29" t="str">
        <f aca="false">IF(A713="","",IF(C713="","KOSONG",IF(AND(LEN(C713)=16,ISNUMBER(--C713)),"OK","TIDAK VALID")))</f>
        <v/>
      </c>
    </row>
    <row r="714" customFormat="false" ht="15" hidden="false" customHeight="false" outlineLevel="0" collapsed="false">
      <c r="A714" s="21"/>
      <c r="B714" s="22"/>
      <c r="C714" s="21"/>
      <c r="D714" s="22"/>
      <c r="E714" s="22"/>
      <c r="F714" s="28"/>
      <c r="G714" s="22"/>
      <c r="H714" s="21"/>
      <c r="I714" s="28"/>
      <c r="J714" s="22"/>
      <c r="K714" s="22"/>
      <c r="L714" s="22"/>
      <c r="M714" s="21"/>
      <c r="N714" s="22"/>
      <c r="O714" s="29" t="str">
        <f aca="false">IF(A714="","",IF(COUNTIF($A$2:$A$2001,A714)&gt;1,"GANDA","OK"))</f>
        <v/>
      </c>
      <c r="P714" s="29" t="str">
        <f aca="false">IF(A714="","",IF(C714="","KOSONG",IF(AND(LEN(C714)=16,ISNUMBER(--C714)),"OK","TIDAK VALID")))</f>
        <v/>
      </c>
    </row>
    <row r="715" customFormat="false" ht="15" hidden="false" customHeight="false" outlineLevel="0" collapsed="false">
      <c r="A715" s="21"/>
      <c r="B715" s="22"/>
      <c r="C715" s="21"/>
      <c r="D715" s="22"/>
      <c r="E715" s="22"/>
      <c r="F715" s="28"/>
      <c r="G715" s="22"/>
      <c r="H715" s="21"/>
      <c r="I715" s="28"/>
      <c r="J715" s="22"/>
      <c r="K715" s="22"/>
      <c r="L715" s="22"/>
      <c r="M715" s="21"/>
      <c r="N715" s="22"/>
      <c r="O715" s="29" t="str">
        <f aca="false">IF(A715="","",IF(COUNTIF($A$2:$A$2001,A715)&gt;1,"GANDA","OK"))</f>
        <v/>
      </c>
      <c r="P715" s="29" t="str">
        <f aca="false">IF(A715="","",IF(C715="","KOSONG",IF(AND(LEN(C715)=16,ISNUMBER(--C715)),"OK","TIDAK VALID")))</f>
        <v/>
      </c>
    </row>
    <row r="716" customFormat="false" ht="15" hidden="false" customHeight="false" outlineLevel="0" collapsed="false">
      <c r="A716" s="21"/>
      <c r="B716" s="22"/>
      <c r="C716" s="21"/>
      <c r="D716" s="22"/>
      <c r="E716" s="22"/>
      <c r="F716" s="28"/>
      <c r="G716" s="22"/>
      <c r="H716" s="21"/>
      <c r="I716" s="28"/>
      <c r="J716" s="22"/>
      <c r="K716" s="22"/>
      <c r="L716" s="22"/>
      <c r="M716" s="21"/>
      <c r="N716" s="22"/>
      <c r="O716" s="29" t="str">
        <f aca="false">IF(A716="","",IF(COUNTIF($A$2:$A$2001,A716)&gt;1,"GANDA","OK"))</f>
        <v/>
      </c>
      <c r="P716" s="29" t="str">
        <f aca="false">IF(A716="","",IF(C716="","KOSONG",IF(AND(LEN(C716)=16,ISNUMBER(--C716)),"OK","TIDAK VALID")))</f>
        <v/>
      </c>
    </row>
    <row r="717" customFormat="false" ht="15" hidden="false" customHeight="false" outlineLevel="0" collapsed="false">
      <c r="A717" s="21"/>
      <c r="B717" s="22"/>
      <c r="C717" s="21"/>
      <c r="D717" s="22"/>
      <c r="E717" s="22"/>
      <c r="F717" s="28"/>
      <c r="G717" s="22"/>
      <c r="H717" s="21"/>
      <c r="I717" s="28"/>
      <c r="J717" s="22"/>
      <c r="K717" s="22"/>
      <c r="L717" s="22"/>
      <c r="M717" s="21"/>
      <c r="N717" s="22"/>
      <c r="O717" s="29" t="str">
        <f aca="false">IF(A717="","",IF(COUNTIF($A$2:$A$2001,A717)&gt;1,"GANDA","OK"))</f>
        <v/>
      </c>
      <c r="P717" s="29" t="str">
        <f aca="false">IF(A717="","",IF(C717="","KOSONG",IF(AND(LEN(C717)=16,ISNUMBER(--C717)),"OK","TIDAK VALID")))</f>
        <v/>
      </c>
    </row>
    <row r="718" customFormat="false" ht="15" hidden="false" customHeight="false" outlineLevel="0" collapsed="false">
      <c r="A718" s="21"/>
      <c r="B718" s="22"/>
      <c r="C718" s="21"/>
      <c r="D718" s="22"/>
      <c r="E718" s="22"/>
      <c r="F718" s="28"/>
      <c r="G718" s="22"/>
      <c r="H718" s="21"/>
      <c r="I718" s="28"/>
      <c r="J718" s="22"/>
      <c r="K718" s="22"/>
      <c r="L718" s="22"/>
      <c r="M718" s="21"/>
      <c r="N718" s="22"/>
      <c r="O718" s="29" t="str">
        <f aca="false">IF(A718="","",IF(COUNTIF($A$2:$A$2001,A718)&gt;1,"GANDA","OK"))</f>
        <v/>
      </c>
      <c r="P718" s="29" t="str">
        <f aca="false">IF(A718="","",IF(C718="","KOSONG",IF(AND(LEN(C718)=16,ISNUMBER(--C718)),"OK","TIDAK VALID")))</f>
        <v/>
      </c>
    </row>
    <row r="719" customFormat="false" ht="15" hidden="false" customHeight="false" outlineLevel="0" collapsed="false">
      <c r="A719" s="21"/>
      <c r="B719" s="22"/>
      <c r="C719" s="21"/>
      <c r="D719" s="22"/>
      <c r="E719" s="22"/>
      <c r="F719" s="28"/>
      <c r="G719" s="22"/>
      <c r="H719" s="21"/>
      <c r="I719" s="28"/>
      <c r="J719" s="22"/>
      <c r="K719" s="22"/>
      <c r="L719" s="22"/>
      <c r="M719" s="21"/>
      <c r="N719" s="22"/>
      <c r="O719" s="29" t="str">
        <f aca="false">IF(A719="","",IF(COUNTIF($A$2:$A$2001,A719)&gt;1,"GANDA","OK"))</f>
        <v/>
      </c>
      <c r="P719" s="29" t="str">
        <f aca="false">IF(A719="","",IF(C719="","KOSONG",IF(AND(LEN(C719)=16,ISNUMBER(--C719)),"OK","TIDAK VALID")))</f>
        <v/>
      </c>
    </row>
    <row r="720" customFormat="false" ht="15" hidden="false" customHeight="false" outlineLevel="0" collapsed="false">
      <c r="A720" s="21"/>
      <c r="B720" s="22"/>
      <c r="C720" s="21"/>
      <c r="D720" s="22"/>
      <c r="E720" s="22"/>
      <c r="F720" s="28"/>
      <c r="G720" s="22"/>
      <c r="H720" s="21"/>
      <c r="I720" s="28"/>
      <c r="J720" s="22"/>
      <c r="K720" s="22"/>
      <c r="L720" s="22"/>
      <c r="M720" s="21"/>
      <c r="N720" s="22"/>
      <c r="O720" s="29" t="str">
        <f aca="false">IF(A720="","",IF(COUNTIF($A$2:$A$2001,A720)&gt;1,"GANDA","OK"))</f>
        <v/>
      </c>
      <c r="P720" s="29" t="str">
        <f aca="false">IF(A720="","",IF(C720="","KOSONG",IF(AND(LEN(C720)=16,ISNUMBER(--C720)),"OK","TIDAK VALID")))</f>
        <v/>
      </c>
    </row>
    <row r="721" customFormat="false" ht="15" hidden="false" customHeight="false" outlineLevel="0" collapsed="false">
      <c r="A721" s="21"/>
      <c r="B721" s="22"/>
      <c r="C721" s="21"/>
      <c r="D721" s="22"/>
      <c r="E721" s="22"/>
      <c r="F721" s="28"/>
      <c r="G721" s="22"/>
      <c r="H721" s="21"/>
      <c r="I721" s="28"/>
      <c r="J721" s="22"/>
      <c r="K721" s="22"/>
      <c r="L721" s="22"/>
      <c r="M721" s="21"/>
      <c r="N721" s="22"/>
      <c r="O721" s="29" t="str">
        <f aca="false">IF(A721="","",IF(COUNTIF($A$2:$A$2001,A721)&gt;1,"GANDA","OK"))</f>
        <v/>
      </c>
      <c r="P721" s="29" t="str">
        <f aca="false">IF(A721="","",IF(C721="","KOSONG",IF(AND(LEN(C721)=16,ISNUMBER(--C721)),"OK","TIDAK VALID")))</f>
        <v/>
      </c>
    </row>
    <row r="722" customFormat="false" ht="15" hidden="false" customHeight="false" outlineLevel="0" collapsed="false">
      <c r="A722" s="21"/>
      <c r="B722" s="22"/>
      <c r="C722" s="21"/>
      <c r="D722" s="22"/>
      <c r="E722" s="22"/>
      <c r="F722" s="28"/>
      <c r="G722" s="22"/>
      <c r="H722" s="21"/>
      <c r="I722" s="28"/>
      <c r="J722" s="22"/>
      <c r="K722" s="22"/>
      <c r="L722" s="22"/>
      <c r="M722" s="21"/>
      <c r="N722" s="22"/>
      <c r="O722" s="29" t="str">
        <f aca="false">IF(A722="","",IF(COUNTIF($A$2:$A$2001,A722)&gt;1,"GANDA","OK"))</f>
        <v/>
      </c>
      <c r="P722" s="29" t="str">
        <f aca="false">IF(A722="","",IF(C722="","KOSONG",IF(AND(LEN(C722)=16,ISNUMBER(--C722)),"OK","TIDAK VALID")))</f>
        <v/>
      </c>
    </row>
    <row r="723" customFormat="false" ht="15" hidden="false" customHeight="false" outlineLevel="0" collapsed="false">
      <c r="A723" s="21"/>
      <c r="B723" s="22"/>
      <c r="C723" s="21"/>
      <c r="D723" s="22"/>
      <c r="E723" s="22"/>
      <c r="F723" s="28"/>
      <c r="G723" s="22"/>
      <c r="H723" s="21"/>
      <c r="I723" s="28"/>
      <c r="J723" s="22"/>
      <c r="K723" s="22"/>
      <c r="L723" s="22"/>
      <c r="M723" s="21"/>
      <c r="N723" s="22"/>
      <c r="O723" s="29" t="str">
        <f aca="false">IF(A723="","",IF(COUNTIF($A$2:$A$2001,A723)&gt;1,"GANDA","OK"))</f>
        <v/>
      </c>
      <c r="P723" s="29" t="str">
        <f aca="false">IF(A723="","",IF(C723="","KOSONG",IF(AND(LEN(C723)=16,ISNUMBER(--C723)),"OK","TIDAK VALID")))</f>
        <v/>
      </c>
    </row>
    <row r="724" customFormat="false" ht="15" hidden="false" customHeight="false" outlineLevel="0" collapsed="false">
      <c r="A724" s="21"/>
      <c r="B724" s="22"/>
      <c r="C724" s="21"/>
      <c r="D724" s="22"/>
      <c r="E724" s="22"/>
      <c r="F724" s="28"/>
      <c r="G724" s="22"/>
      <c r="H724" s="21"/>
      <c r="I724" s="28"/>
      <c r="J724" s="22"/>
      <c r="K724" s="22"/>
      <c r="L724" s="22"/>
      <c r="M724" s="21"/>
      <c r="N724" s="22"/>
      <c r="O724" s="29" t="str">
        <f aca="false">IF(A724="","",IF(COUNTIF($A$2:$A$2001,A724)&gt;1,"GANDA","OK"))</f>
        <v/>
      </c>
      <c r="P724" s="29" t="str">
        <f aca="false">IF(A724="","",IF(C724="","KOSONG",IF(AND(LEN(C724)=16,ISNUMBER(--C724)),"OK","TIDAK VALID")))</f>
        <v/>
      </c>
    </row>
    <row r="725" customFormat="false" ht="15" hidden="false" customHeight="false" outlineLevel="0" collapsed="false">
      <c r="A725" s="21"/>
      <c r="B725" s="22"/>
      <c r="C725" s="21"/>
      <c r="D725" s="22"/>
      <c r="E725" s="22"/>
      <c r="F725" s="28"/>
      <c r="G725" s="22"/>
      <c r="H725" s="21"/>
      <c r="I725" s="28"/>
      <c r="J725" s="22"/>
      <c r="K725" s="22"/>
      <c r="L725" s="22"/>
      <c r="M725" s="21"/>
      <c r="N725" s="22"/>
      <c r="O725" s="29" t="str">
        <f aca="false">IF(A725="","",IF(COUNTIF($A$2:$A$2001,A725)&gt;1,"GANDA","OK"))</f>
        <v/>
      </c>
      <c r="P725" s="29" t="str">
        <f aca="false">IF(A725="","",IF(C725="","KOSONG",IF(AND(LEN(C725)=16,ISNUMBER(--C725)),"OK","TIDAK VALID")))</f>
        <v/>
      </c>
    </row>
    <row r="726" customFormat="false" ht="15" hidden="false" customHeight="false" outlineLevel="0" collapsed="false">
      <c r="A726" s="21"/>
      <c r="B726" s="22"/>
      <c r="C726" s="21"/>
      <c r="D726" s="22"/>
      <c r="E726" s="22"/>
      <c r="F726" s="28"/>
      <c r="G726" s="22"/>
      <c r="H726" s="21"/>
      <c r="I726" s="28"/>
      <c r="J726" s="22"/>
      <c r="K726" s="22"/>
      <c r="L726" s="22"/>
      <c r="M726" s="21"/>
      <c r="N726" s="22"/>
      <c r="O726" s="29" t="str">
        <f aca="false">IF(A726="","",IF(COUNTIF($A$2:$A$2001,A726)&gt;1,"GANDA","OK"))</f>
        <v/>
      </c>
      <c r="P726" s="29" t="str">
        <f aca="false">IF(A726="","",IF(C726="","KOSONG",IF(AND(LEN(C726)=16,ISNUMBER(--C726)),"OK","TIDAK VALID")))</f>
        <v/>
      </c>
    </row>
    <row r="727" customFormat="false" ht="15" hidden="false" customHeight="false" outlineLevel="0" collapsed="false">
      <c r="A727" s="21"/>
      <c r="B727" s="22"/>
      <c r="C727" s="21"/>
      <c r="D727" s="22"/>
      <c r="E727" s="22"/>
      <c r="F727" s="28"/>
      <c r="G727" s="22"/>
      <c r="H727" s="21"/>
      <c r="I727" s="28"/>
      <c r="J727" s="22"/>
      <c r="K727" s="22"/>
      <c r="L727" s="22"/>
      <c r="M727" s="21"/>
      <c r="N727" s="22"/>
      <c r="O727" s="29" t="str">
        <f aca="false">IF(A727="","",IF(COUNTIF($A$2:$A$2001,A727)&gt;1,"GANDA","OK"))</f>
        <v/>
      </c>
      <c r="P727" s="29" t="str">
        <f aca="false">IF(A727="","",IF(C727="","KOSONG",IF(AND(LEN(C727)=16,ISNUMBER(--C727)),"OK","TIDAK VALID")))</f>
        <v/>
      </c>
    </row>
    <row r="728" customFormat="false" ht="15" hidden="false" customHeight="false" outlineLevel="0" collapsed="false">
      <c r="A728" s="21"/>
      <c r="B728" s="22"/>
      <c r="C728" s="21"/>
      <c r="D728" s="22"/>
      <c r="E728" s="22"/>
      <c r="F728" s="28"/>
      <c r="G728" s="22"/>
      <c r="H728" s="21"/>
      <c r="I728" s="28"/>
      <c r="J728" s="22"/>
      <c r="K728" s="22"/>
      <c r="L728" s="22"/>
      <c r="M728" s="21"/>
      <c r="N728" s="22"/>
      <c r="O728" s="29" t="str">
        <f aca="false">IF(A728="","",IF(COUNTIF($A$2:$A$2001,A728)&gt;1,"GANDA","OK"))</f>
        <v/>
      </c>
      <c r="P728" s="29" t="str">
        <f aca="false">IF(A728="","",IF(C728="","KOSONG",IF(AND(LEN(C728)=16,ISNUMBER(--C728)),"OK","TIDAK VALID")))</f>
        <v/>
      </c>
    </row>
    <row r="729" customFormat="false" ht="15" hidden="false" customHeight="false" outlineLevel="0" collapsed="false">
      <c r="A729" s="21"/>
      <c r="B729" s="22"/>
      <c r="C729" s="21"/>
      <c r="D729" s="22"/>
      <c r="E729" s="22"/>
      <c r="F729" s="28"/>
      <c r="G729" s="22"/>
      <c r="H729" s="21"/>
      <c r="I729" s="28"/>
      <c r="J729" s="22"/>
      <c r="K729" s="22"/>
      <c r="L729" s="22"/>
      <c r="M729" s="21"/>
      <c r="N729" s="22"/>
      <c r="O729" s="29" t="str">
        <f aca="false">IF(A729="","",IF(COUNTIF($A$2:$A$2001,A729)&gt;1,"GANDA","OK"))</f>
        <v/>
      </c>
      <c r="P729" s="29" t="str">
        <f aca="false">IF(A729="","",IF(C729="","KOSONG",IF(AND(LEN(C729)=16,ISNUMBER(--C729)),"OK","TIDAK VALID")))</f>
        <v/>
      </c>
    </row>
    <row r="730" customFormat="false" ht="15" hidden="false" customHeight="false" outlineLevel="0" collapsed="false">
      <c r="A730" s="21"/>
      <c r="B730" s="22"/>
      <c r="C730" s="21"/>
      <c r="D730" s="22"/>
      <c r="E730" s="22"/>
      <c r="F730" s="28"/>
      <c r="G730" s="22"/>
      <c r="H730" s="21"/>
      <c r="I730" s="28"/>
      <c r="J730" s="22"/>
      <c r="K730" s="22"/>
      <c r="L730" s="22"/>
      <c r="M730" s="21"/>
      <c r="N730" s="22"/>
      <c r="O730" s="29" t="str">
        <f aca="false">IF(A730="","",IF(COUNTIF($A$2:$A$2001,A730)&gt;1,"GANDA","OK"))</f>
        <v/>
      </c>
      <c r="P730" s="29" t="str">
        <f aca="false">IF(A730="","",IF(C730="","KOSONG",IF(AND(LEN(C730)=16,ISNUMBER(--C730)),"OK","TIDAK VALID")))</f>
        <v/>
      </c>
    </row>
    <row r="731" customFormat="false" ht="15" hidden="false" customHeight="false" outlineLevel="0" collapsed="false">
      <c r="A731" s="21"/>
      <c r="B731" s="22"/>
      <c r="C731" s="21"/>
      <c r="D731" s="22"/>
      <c r="E731" s="22"/>
      <c r="F731" s="28"/>
      <c r="G731" s="22"/>
      <c r="H731" s="21"/>
      <c r="I731" s="28"/>
      <c r="J731" s="22"/>
      <c r="K731" s="22"/>
      <c r="L731" s="22"/>
      <c r="M731" s="21"/>
      <c r="N731" s="22"/>
      <c r="O731" s="29" t="str">
        <f aca="false">IF(A731="","",IF(COUNTIF($A$2:$A$2001,A731)&gt;1,"GANDA","OK"))</f>
        <v/>
      </c>
      <c r="P731" s="29" t="str">
        <f aca="false">IF(A731="","",IF(C731="","KOSONG",IF(AND(LEN(C731)=16,ISNUMBER(--C731)),"OK","TIDAK VALID")))</f>
        <v/>
      </c>
    </row>
    <row r="732" customFormat="false" ht="15" hidden="false" customHeight="false" outlineLevel="0" collapsed="false">
      <c r="A732" s="21"/>
      <c r="B732" s="22"/>
      <c r="C732" s="21"/>
      <c r="D732" s="22"/>
      <c r="E732" s="22"/>
      <c r="F732" s="28"/>
      <c r="G732" s="22"/>
      <c r="H732" s="21"/>
      <c r="I732" s="28"/>
      <c r="J732" s="22"/>
      <c r="K732" s="22"/>
      <c r="L732" s="22"/>
      <c r="M732" s="21"/>
      <c r="N732" s="22"/>
      <c r="O732" s="29" t="str">
        <f aca="false">IF(A732="","",IF(COUNTIF($A$2:$A$2001,A732)&gt;1,"GANDA","OK"))</f>
        <v/>
      </c>
      <c r="P732" s="29" t="str">
        <f aca="false">IF(A732="","",IF(C732="","KOSONG",IF(AND(LEN(C732)=16,ISNUMBER(--C732)),"OK","TIDAK VALID")))</f>
        <v/>
      </c>
    </row>
    <row r="733" customFormat="false" ht="15" hidden="false" customHeight="false" outlineLevel="0" collapsed="false">
      <c r="A733" s="21"/>
      <c r="B733" s="22"/>
      <c r="C733" s="21"/>
      <c r="D733" s="22"/>
      <c r="E733" s="22"/>
      <c r="F733" s="28"/>
      <c r="G733" s="22"/>
      <c r="H733" s="21"/>
      <c r="I733" s="28"/>
      <c r="J733" s="22"/>
      <c r="K733" s="22"/>
      <c r="L733" s="22"/>
      <c r="M733" s="21"/>
      <c r="N733" s="22"/>
      <c r="O733" s="29" t="str">
        <f aca="false">IF(A733="","",IF(COUNTIF($A$2:$A$2001,A733)&gt;1,"GANDA","OK"))</f>
        <v/>
      </c>
      <c r="P733" s="29" t="str">
        <f aca="false">IF(A733="","",IF(C733="","KOSONG",IF(AND(LEN(C733)=16,ISNUMBER(--C733)),"OK","TIDAK VALID")))</f>
        <v/>
      </c>
    </row>
    <row r="734" customFormat="false" ht="15" hidden="false" customHeight="false" outlineLevel="0" collapsed="false">
      <c r="A734" s="21"/>
      <c r="B734" s="22"/>
      <c r="C734" s="21"/>
      <c r="D734" s="22"/>
      <c r="E734" s="22"/>
      <c r="F734" s="28"/>
      <c r="G734" s="22"/>
      <c r="H734" s="21"/>
      <c r="I734" s="28"/>
      <c r="J734" s="22"/>
      <c r="K734" s="22"/>
      <c r="L734" s="22"/>
      <c r="M734" s="21"/>
      <c r="N734" s="22"/>
      <c r="O734" s="29" t="str">
        <f aca="false">IF(A734="","",IF(COUNTIF($A$2:$A$2001,A734)&gt;1,"GANDA","OK"))</f>
        <v/>
      </c>
      <c r="P734" s="29" t="str">
        <f aca="false">IF(A734="","",IF(C734="","KOSONG",IF(AND(LEN(C734)=16,ISNUMBER(--C734)),"OK","TIDAK VALID")))</f>
        <v/>
      </c>
    </row>
    <row r="735" customFormat="false" ht="15" hidden="false" customHeight="false" outlineLevel="0" collapsed="false">
      <c r="A735" s="21"/>
      <c r="B735" s="22"/>
      <c r="C735" s="21"/>
      <c r="D735" s="22"/>
      <c r="E735" s="22"/>
      <c r="F735" s="28"/>
      <c r="G735" s="22"/>
      <c r="H735" s="21"/>
      <c r="I735" s="28"/>
      <c r="J735" s="22"/>
      <c r="K735" s="22"/>
      <c r="L735" s="22"/>
      <c r="M735" s="21"/>
      <c r="N735" s="22"/>
      <c r="O735" s="29" t="str">
        <f aca="false">IF(A735="","",IF(COUNTIF($A$2:$A$2001,A735)&gt;1,"GANDA","OK"))</f>
        <v/>
      </c>
      <c r="P735" s="29" t="str">
        <f aca="false">IF(A735="","",IF(C735="","KOSONG",IF(AND(LEN(C735)=16,ISNUMBER(--C735)),"OK","TIDAK VALID")))</f>
        <v/>
      </c>
    </row>
    <row r="736" customFormat="false" ht="15" hidden="false" customHeight="false" outlineLevel="0" collapsed="false">
      <c r="A736" s="21"/>
      <c r="B736" s="22"/>
      <c r="C736" s="21"/>
      <c r="D736" s="22"/>
      <c r="E736" s="22"/>
      <c r="F736" s="28"/>
      <c r="G736" s="22"/>
      <c r="H736" s="21"/>
      <c r="I736" s="28"/>
      <c r="J736" s="22"/>
      <c r="K736" s="22"/>
      <c r="L736" s="22"/>
      <c r="M736" s="21"/>
      <c r="N736" s="22"/>
      <c r="O736" s="29" t="str">
        <f aca="false">IF(A736="","",IF(COUNTIF($A$2:$A$2001,A736)&gt;1,"GANDA","OK"))</f>
        <v/>
      </c>
      <c r="P736" s="29" t="str">
        <f aca="false">IF(A736="","",IF(C736="","KOSONG",IF(AND(LEN(C736)=16,ISNUMBER(--C736)),"OK","TIDAK VALID")))</f>
        <v/>
      </c>
    </row>
    <row r="737" customFormat="false" ht="15" hidden="false" customHeight="false" outlineLevel="0" collapsed="false">
      <c r="A737" s="21"/>
      <c r="B737" s="22"/>
      <c r="C737" s="21"/>
      <c r="D737" s="22"/>
      <c r="E737" s="22"/>
      <c r="F737" s="28"/>
      <c r="G737" s="22"/>
      <c r="H737" s="21"/>
      <c r="I737" s="28"/>
      <c r="J737" s="22"/>
      <c r="K737" s="22"/>
      <c r="L737" s="22"/>
      <c r="M737" s="21"/>
      <c r="N737" s="22"/>
      <c r="O737" s="29" t="str">
        <f aca="false">IF(A737="","",IF(COUNTIF($A$2:$A$2001,A737)&gt;1,"GANDA","OK"))</f>
        <v/>
      </c>
      <c r="P737" s="29" t="str">
        <f aca="false">IF(A737="","",IF(C737="","KOSONG",IF(AND(LEN(C737)=16,ISNUMBER(--C737)),"OK","TIDAK VALID")))</f>
        <v/>
      </c>
    </row>
    <row r="738" customFormat="false" ht="15" hidden="false" customHeight="false" outlineLevel="0" collapsed="false">
      <c r="A738" s="21"/>
      <c r="B738" s="22"/>
      <c r="C738" s="21"/>
      <c r="D738" s="22"/>
      <c r="E738" s="22"/>
      <c r="F738" s="28"/>
      <c r="G738" s="22"/>
      <c r="H738" s="21"/>
      <c r="I738" s="28"/>
      <c r="J738" s="22"/>
      <c r="K738" s="22"/>
      <c r="L738" s="22"/>
      <c r="M738" s="21"/>
      <c r="N738" s="22"/>
      <c r="O738" s="29" t="str">
        <f aca="false">IF(A738="","",IF(COUNTIF($A$2:$A$2001,A738)&gt;1,"GANDA","OK"))</f>
        <v/>
      </c>
      <c r="P738" s="29" t="str">
        <f aca="false">IF(A738="","",IF(C738="","KOSONG",IF(AND(LEN(C738)=16,ISNUMBER(--C738)),"OK","TIDAK VALID")))</f>
        <v/>
      </c>
    </row>
    <row r="739" customFormat="false" ht="15" hidden="false" customHeight="false" outlineLevel="0" collapsed="false">
      <c r="A739" s="21"/>
      <c r="B739" s="22"/>
      <c r="C739" s="21"/>
      <c r="D739" s="22"/>
      <c r="E739" s="22"/>
      <c r="F739" s="28"/>
      <c r="G739" s="22"/>
      <c r="H739" s="21"/>
      <c r="I739" s="28"/>
      <c r="J739" s="22"/>
      <c r="K739" s="22"/>
      <c r="L739" s="22"/>
      <c r="M739" s="21"/>
      <c r="N739" s="22"/>
      <c r="O739" s="29" t="str">
        <f aca="false">IF(A739="","",IF(COUNTIF($A$2:$A$2001,A739)&gt;1,"GANDA","OK"))</f>
        <v/>
      </c>
      <c r="P739" s="29" t="str">
        <f aca="false">IF(A739="","",IF(C739="","KOSONG",IF(AND(LEN(C739)=16,ISNUMBER(--C739)),"OK","TIDAK VALID")))</f>
        <v/>
      </c>
    </row>
    <row r="740" customFormat="false" ht="15" hidden="false" customHeight="false" outlineLevel="0" collapsed="false">
      <c r="A740" s="21"/>
      <c r="B740" s="22"/>
      <c r="C740" s="21"/>
      <c r="D740" s="22"/>
      <c r="E740" s="22"/>
      <c r="F740" s="28"/>
      <c r="G740" s="22"/>
      <c r="H740" s="21"/>
      <c r="I740" s="28"/>
      <c r="J740" s="22"/>
      <c r="K740" s="22"/>
      <c r="L740" s="22"/>
      <c r="M740" s="21"/>
      <c r="N740" s="22"/>
      <c r="O740" s="29" t="str">
        <f aca="false">IF(A740="","",IF(COUNTIF($A$2:$A$2001,A740)&gt;1,"GANDA","OK"))</f>
        <v/>
      </c>
      <c r="P740" s="29" t="str">
        <f aca="false">IF(A740="","",IF(C740="","KOSONG",IF(AND(LEN(C740)=16,ISNUMBER(--C740)),"OK","TIDAK VALID")))</f>
        <v/>
      </c>
    </row>
    <row r="741" customFormat="false" ht="15" hidden="false" customHeight="false" outlineLevel="0" collapsed="false">
      <c r="A741" s="21"/>
      <c r="B741" s="22"/>
      <c r="C741" s="21"/>
      <c r="D741" s="22"/>
      <c r="E741" s="22"/>
      <c r="F741" s="28"/>
      <c r="G741" s="22"/>
      <c r="H741" s="21"/>
      <c r="I741" s="28"/>
      <c r="J741" s="22"/>
      <c r="K741" s="22"/>
      <c r="L741" s="22"/>
      <c r="M741" s="21"/>
      <c r="N741" s="22"/>
      <c r="O741" s="29" t="str">
        <f aca="false">IF(A741="","",IF(COUNTIF($A$2:$A$2001,A741)&gt;1,"GANDA","OK"))</f>
        <v/>
      </c>
      <c r="P741" s="29" t="str">
        <f aca="false">IF(A741="","",IF(C741="","KOSONG",IF(AND(LEN(C741)=16,ISNUMBER(--C741)),"OK","TIDAK VALID")))</f>
        <v/>
      </c>
    </row>
    <row r="742" customFormat="false" ht="15" hidden="false" customHeight="false" outlineLevel="0" collapsed="false">
      <c r="A742" s="21"/>
      <c r="B742" s="22"/>
      <c r="C742" s="21"/>
      <c r="D742" s="22"/>
      <c r="E742" s="22"/>
      <c r="F742" s="28"/>
      <c r="G742" s="22"/>
      <c r="H742" s="21"/>
      <c r="I742" s="28"/>
      <c r="J742" s="22"/>
      <c r="K742" s="22"/>
      <c r="L742" s="22"/>
      <c r="M742" s="21"/>
      <c r="N742" s="22"/>
      <c r="O742" s="29" t="str">
        <f aca="false">IF(A742="","",IF(COUNTIF($A$2:$A$2001,A742)&gt;1,"GANDA","OK"))</f>
        <v/>
      </c>
      <c r="P742" s="29" t="str">
        <f aca="false">IF(A742="","",IF(C742="","KOSONG",IF(AND(LEN(C742)=16,ISNUMBER(--C742)),"OK","TIDAK VALID")))</f>
        <v/>
      </c>
    </row>
    <row r="743" customFormat="false" ht="15" hidden="false" customHeight="false" outlineLevel="0" collapsed="false">
      <c r="A743" s="21"/>
      <c r="B743" s="22"/>
      <c r="C743" s="21"/>
      <c r="D743" s="22"/>
      <c r="E743" s="22"/>
      <c r="F743" s="28"/>
      <c r="G743" s="22"/>
      <c r="H743" s="21"/>
      <c r="I743" s="28"/>
      <c r="J743" s="22"/>
      <c r="K743" s="22"/>
      <c r="L743" s="22"/>
      <c r="M743" s="21"/>
      <c r="N743" s="22"/>
      <c r="O743" s="29" t="str">
        <f aca="false">IF(A743="","",IF(COUNTIF($A$2:$A$2001,A743)&gt;1,"GANDA","OK"))</f>
        <v/>
      </c>
      <c r="P743" s="29" t="str">
        <f aca="false">IF(A743="","",IF(C743="","KOSONG",IF(AND(LEN(C743)=16,ISNUMBER(--C743)),"OK","TIDAK VALID")))</f>
        <v/>
      </c>
    </row>
    <row r="744" customFormat="false" ht="15" hidden="false" customHeight="false" outlineLevel="0" collapsed="false">
      <c r="A744" s="21"/>
      <c r="B744" s="22"/>
      <c r="C744" s="21"/>
      <c r="D744" s="22"/>
      <c r="E744" s="22"/>
      <c r="F744" s="28"/>
      <c r="G744" s="22"/>
      <c r="H744" s="21"/>
      <c r="I744" s="28"/>
      <c r="J744" s="22"/>
      <c r="K744" s="22"/>
      <c r="L744" s="22"/>
      <c r="M744" s="21"/>
      <c r="N744" s="22"/>
      <c r="O744" s="29" t="str">
        <f aca="false">IF(A744="","",IF(COUNTIF($A$2:$A$2001,A744)&gt;1,"GANDA","OK"))</f>
        <v/>
      </c>
      <c r="P744" s="29" t="str">
        <f aca="false">IF(A744="","",IF(C744="","KOSONG",IF(AND(LEN(C744)=16,ISNUMBER(--C744)),"OK","TIDAK VALID")))</f>
        <v/>
      </c>
    </row>
    <row r="745" customFormat="false" ht="15" hidden="false" customHeight="false" outlineLevel="0" collapsed="false">
      <c r="A745" s="21"/>
      <c r="B745" s="22"/>
      <c r="C745" s="21"/>
      <c r="D745" s="22"/>
      <c r="E745" s="22"/>
      <c r="F745" s="28"/>
      <c r="G745" s="22"/>
      <c r="H745" s="21"/>
      <c r="I745" s="28"/>
      <c r="J745" s="22"/>
      <c r="K745" s="22"/>
      <c r="L745" s="22"/>
      <c r="M745" s="21"/>
      <c r="N745" s="22"/>
      <c r="O745" s="29" t="str">
        <f aca="false">IF(A745="","",IF(COUNTIF($A$2:$A$2001,A745)&gt;1,"GANDA","OK"))</f>
        <v/>
      </c>
      <c r="P745" s="29" t="str">
        <f aca="false">IF(A745="","",IF(C745="","KOSONG",IF(AND(LEN(C745)=16,ISNUMBER(--C745)),"OK","TIDAK VALID")))</f>
        <v/>
      </c>
    </row>
    <row r="746" customFormat="false" ht="15" hidden="false" customHeight="false" outlineLevel="0" collapsed="false">
      <c r="A746" s="21"/>
      <c r="B746" s="22"/>
      <c r="C746" s="21"/>
      <c r="D746" s="22"/>
      <c r="E746" s="22"/>
      <c r="F746" s="28"/>
      <c r="G746" s="22"/>
      <c r="H746" s="21"/>
      <c r="I746" s="28"/>
      <c r="J746" s="22"/>
      <c r="K746" s="22"/>
      <c r="L746" s="22"/>
      <c r="M746" s="21"/>
      <c r="N746" s="22"/>
      <c r="O746" s="29" t="str">
        <f aca="false">IF(A746="","",IF(COUNTIF($A$2:$A$2001,A746)&gt;1,"GANDA","OK"))</f>
        <v/>
      </c>
      <c r="P746" s="29" t="str">
        <f aca="false">IF(A746="","",IF(C746="","KOSONG",IF(AND(LEN(C746)=16,ISNUMBER(--C746)),"OK","TIDAK VALID")))</f>
        <v/>
      </c>
    </row>
    <row r="747" customFormat="false" ht="15" hidden="false" customHeight="false" outlineLevel="0" collapsed="false">
      <c r="A747" s="21"/>
      <c r="B747" s="22"/>
      <c r="C747" s="21"/>
      <c r="D747" s="22"/>
      <c r="E747" s="22"/>
      <c r="F747" s="28"/>
      <c r="G747" s="22"/>
      <c r="H747" s="21"/>
      <c r="I747" s="28"/>
      <c r="J747" s="22"/>
      <c r="K747" s="22"/>
      <c r="L747" s="22"/>
      <c r="M747" s="21"/>
      <c r="N747" s="22"/>
      <c r="O747" s="29" t="str">
        <f aca="false">IF(A747="","",IF(COUNTIF($A$2:$A$2001,A747)&gt;1,"GANDA","OK"))</f>
        <v/>
      </c>
      <c r="P747" s="29" t="str">
        <f aca="false">IF(A747="","",IF(C747="","KOSONG",IF(AND(LEN(C747)=16,ISNUMBER(--C747)),"OK","TIDAK VALID")))</f>
        <v/>
      </c>
    </row>
    <row r="748" customFormat="false" ht="15" hidden="false" customHeight="false" outlineLevel="0" collapsed="false">
      <c r="A748" s="21"/>
      <c r="B748" s="22"/>
      <c r="C748" s="21"/>
      <c r="D748" s="22"/>
      <c r="E748" s="22"/>
      <c r="F748" s="28"/>
      <c r="G748" s="22"/>
      <c r="H748" s="21"/>
      <c r="I748" s="28"/>
      <c r="J748" s="22"/>
      <c r="K748" s="22"/>
      <c r="L748" s="22"/>
      <c r="M748" s="21"/>
      <c r="N748" s="22"/>
      <c r="O748" s="29" t="str">
        <f aca="false">IF(A748="","",IF(COUNTIF($A$2:$A$2001,A748)&gt;1,"GANDA","OK"))</f>
        <v/>
      </c>
      <c r="P748" s="29" t="str">
        <f aca="false">IF(A748="","",IF(C748="","KOSONG",IF(AND(LEN(C748)=16,ISNUMBER(--C748)),"OK","TIDAK VALID")))</f>
        <v/>
      </c>
    </row>
    <row r="749" customFormat="false" ht="15" hidden="false" customHeight="false" outlineLevel="0" collapsed="false">
      <c r="A749" s="21"/>
      <c r="B749" s="22"/>
      <c r="C749" s="21"/>
      <c r="D749" s="22"/>
      <c r="E749" s="22"/>
      <c r="F749" s="28"/>
      <c r="G749" s="22"/>
      <c r="H749" s="21"/>
      <c r="I749" s="28"/>
      <c r="J749" s="22"/>
      <c r="K749" s="22"/>
      <c r="L749" s="22"/>
      <c r="M749" s="21"/>
      <c r="N749" s="22"/>
      <c r="O749" s="29" t="str">
        <f aca="false">IF(A749="","",IF(COUNTIF($A$2:$A$2001,A749)&gt;1,"GANDA","OK"))</f>
        <v/>
      </c>
      <c r="P749" s="29" t="str">
        <f aca="false">IF(A749="","",IF(C749="","KOSONG",IF(AND(LEN(C749)=16,ISNUMBER(--C749)),"OK","TIDAK VALID")))</f>
        <v/>
      </c>
    </row>
    <row r="750" customFormat="false" ht="15" hidden="false" customHeight="false" outlineLevel="0" collapsed="false">
      <c r="A750" s="21"/>
      <c r="B750" s="22"/>
      <c r="C750" s="21"/>
      <c r="D750" s="22"/>
      <c r="E750" s="22"/>
      <c r="F750" s="28"/>
      <c r="G750" s="22"/>
      <c r="H750" s="21"/>
      <c r="I750" s="28"/>
      <c r="J750" s="22"/>
      <c r="K750" s="22"/>
      <c r="L750" s="22"/>
      <c r="M750" s="21"/>
      <c r="N750" s="22"/>
      <c r="O750" s="29" t="str">
        <f aca="false">IF(A750="","",IF(COUNTIF($A$2:$A$2001,A750)&gt;1,"GANDA","OK"))</f>
        <v/>
      </c>
      <c r="P750" s="29" t="str">
        <f aca="false">IF(A750="","",IF(C750="","KOSONG",IF(AND(LEN(C750)=16,ISNUMBER(--C750)),"OK","TIDAK VALID")))</f>
        <v/>
      </c>
    </row>
    <row r="751" customFormat="false" ht="15" hidden="false" customHeight="false" outlineLevel="0" collapsed="false">
      <c r="A751" s="21"/>
      <c r="B751" s="22"/>
      <c r="C751" s="21"/>
      <c r="D751" s="22"/>
      <c r="E751" s="22"/>
      <c r="F751" s="28"/>
      <c r="G751" s="22"/>
      <c r="H751" s="21"/>
      <c r="I751" s="28"/>
      <c r="J751" s="22"/>
      <c r="K751" s="22"/>
      <c r="L751" s="22"/>
      <c r="M751" s="21"/>
      <c r="N751" s="22"/>
      <c r="O751" s="29" t="str">
        <f aca="false">IF(A751="","",IF(COUNTIF($A$2:$A$2001,A751)&gt;1,"GANDA","OK"))</f>
        <v/>
      </c>
      <c r="P751" s="29" t="str">
        <f aca="false">IF(A751="","",IF(C751="","KOSONG",IF(AND(LEN(C751)=16,ISNUMBER(--C751)),"OK","TIDAK VALID")))</f>
        <v/>
      </c>
    </row>
    <row r="752" customFormat="false" ht="15" hidden="false" customHeight="false" outlineLevel="0" collapsed="false">
      <c r="A752" s="21"/>
      <c r="B752" s="22"/>
      <c r="C752" s="21"/>
      <c r="D752" s="22"/>
      <c r="E752" s="22"/>
      <c r="F752" s="28"/>
      <c r="G752" s="22"/>
      <c r="H752" s="21"/>
      <c r="I752" s="28"/>
      <c r="J752" s="22"/>
      <c r="K752" s="22"/>
      <c r="L752" s="22"/>
      <c r="M752" s="21"/>
      <c r="N752" s="22"/>
      <c r="O752" s="29" t="str">
        <f aca="false">IF(A752="","",IF(COUNTIF($A$2:$A$2001,A752)&gt;1,"GANDA","OK"))</f>
        <v/>
      </c>
      <c r="P752" s="29" t="str">
        <f aca="false">IF(A752="","",IF(C752="","KOSONG",IF(AND(LEN(C752)=16,ISNUMBER(--C752)),"OK","TIDAK VALID")))</f>
        <v/>
      </c>
    </row>
    <row r="753" customFormat="false" ht="15" hidden="false" customHeight="false" outlineLevel="0" collapsed="false">
      <c r="A753" s="21"/>
      <c r="B753" s="22"/>
      <c r="C753" s="21"/>
      <c r="D753" s="22"/>
      <c r="E753" s="22"/>
      <c r="F753" s="28"/>
      <c r="G753" s="22"/>
      <c r="H753" s="21"/>
      <c r="I753" s="28"/>
      <c r="J753" s="22"/>
      <c r="K753" s="22"/>
      <c r="L753" s="22"/>
      <c r="M753" s="21"/>
      <c r="N753" s="22"/>
      <c r="O753" s="29" t="str">
        <f aca="false">IF(A753="","",IF(COUNTIF($A$2:$A$2001,A753)&gt;1,"GANDA","OK"))</f>
        <v/>
      </c>
      <c r="P753" s="29" t="str">
        <f aca="false">IF(A753="","",IF(C753="","KOSONG",IF(AND(LEN(C753)=16,ISNUMBER(--C753)),"OK","TIDAK VALID")))</f>
        <v/>
      </c>
    </row>
    <row r="754" customFormat="false" ht="15" hidden="false" customHeight="false" outlineLevel="0" collapsed="false">
      <c r="A754" s="21"/>
      <c r="B754" s="22"/>
      <c r="C754" s="21"/>
      <c r="D754" s="22"/>
      <c r="E754" s="22"/>
      <c r="F754" s="28"/>
      <c r="G754" s="22"/>
      <c r="H754" s="21"/>
      <c r="I754" s="28"/>
      <c r="J754" s="22"/>
      <c r="K754" s="22"/>
      <c r="L754" s="22"/>
      <c r="M754" s="21"/>
      <c r="N754" s="22"/>
      <c r="O754" s="29" t="str">
        <f aca="false">IF(A754="","",IF(COUNTIF($A$2:$A$2001,A754)&gt;1,"GANDA","OK"))</f>
        <v/>
      </c>
      <c r="P754" s="29" t="str">
        <f aca="false">IF(A754="","",IF(C754="","KOSONG",IF(AND(LEN(C754)=16,ISNUMBER(--C754)),"OK","TIDAK VALID")))</f>
        <v/>
      </c>
    </row>
    <row r="755" customFormat="false" ht="15" hidden="false" customHeight="false" outlineLevel="0" collapsed="false">
      <c r="A755" s="21"/>
      <c r="B755" s="22"/>
      <c r="C755" s="21"/>
      <c r="D755" s="22"/>
      <c r="E755" s="22"/>
      <c r="F755" s="28"/>
      <c r="G755" s="22"/>
      <c r="H755" s="21"/>
      <c r="I755" s="28"/>
      <c r="J755" s="22"/>
      <c r="K755" s="22"/>
      <c r="L755" s="22"/>
      <c r="M755" s="21"/>
      <c r="N755" s="22"/>
      <c r="O755" s="29" t="str">
        <f aca="false">IF(A755="","",IF(COUNTIF($A$2:$A$2001,A755)&gt;1,"GANDA","OK"))</f>
        <v/>
      </c>
      <c r="P755" s="29" t="str">
        <f aca="false">IF(A755="","",IF(C755="","KOSONG",IF(AND(LEN(C755)=16,ISNUMBER(--C755)),"OK","TIDAK VALID")))</f>
        <v/>
      </c>
    </row>
    <row r="756" customFormat="false" ht="15" hidden="false" customHeight="false" outlineLevel="0" collapsed="false">
      <c r="A756" s="21"/>
      <c r="B756" s="22"/>
      <c r="C756" s="21"/>
      <c r="D756" s="22"/>
      <c r="E756" s="22"/>
      <c r="F756" s="28"/>
      <c r="G756" s="22"/>
      <c r="H756" s="21"/>
      <c r="I756" s="28"/>
      <c r="J756" s="22"/>
      <c r="K756" s="22"/>
      <c r="L756" s="22"/>
      <c r="M756" s="21"/>
      <c r="N756" s="22"/>
      <c r="O756" s="29" t="str">
        <f aca="false">IF(A756="","",IF(COUNTIF($A$2:$A$2001,A756)&gt;1,"GANDA","OK"))</f>
        <v/>
      </c>
      <c r="P756" s="29" t="str">
        <f aca="false">IF(A756="","",IF(C756="","KOSONG",IF(AND(LEN(C756)=16,ISNUMBER(--C756)),"OK","TIDAK VALID")))</f>
        <v/>
      </c>
    </row>
    <row r="757" customFormat="false" ht="15" hidden="false" customHeight="false" outlineLevel="0" collapsed="false">
      <c r="A757" s="21"/>
      <c r="B757" s="22"/>
      <c r="C757" s="21"/>
      <c r="D757" s="22"/>
      <c r="E757" s="22"/>
      <c r="F757" s="28"/>
      <c r="G757" s="22"/>
      <c r="H757" s="21"/>
      <c r="I757" s="28"/>
      <c r="J757" s="22"/>
      <c r="K757" s="22"/>
      <c r="L757" s="22"/>
      <c r="M757" s="21"/>
      <c r="N757" s="22"/>
      <c r="O757" s="29" t="str">
        <f aca="false">IF(A757="","",IF(COUNTIF($A$2:$A$2001,A757)&gt;1,"GANDA","OK"))</f>
        <v/>
      </c>
      <c r="P757" s="29" t="str">
        <f aca="false">IF(A757="","",IF(C757="","KOSONG",IF(AND(LEN(C757)=16,ISNUMBER(--C757)),"OK","TIDAK VALID")))</f>
        <v/>
      </c>
    </row>
    <row r="758" customFormat="false" ht="15" hidden="false" customHeight="false" outlineLevel="0" collapsed="false">
      <c r="A758" s="21"/>
      <c r="B758" s="22"/>
      <c r="C758" s="21"/>
      <c r="D758" s="22"/>
      <c r="E758" s="22"/>
      <c r="F758" s="28"/>
      <c r="G758" s="22"/>
      <c r="H758" s="21"/>
      <c r="I758" s="28"/>
      <c r="J758" s="22"/>
      <c r="K758" s="22"/>
      <c r="L758" s="22"/>
      <c r="M758" s="21"/>
      <c r="N758" s="22"/>
      <c r="O758" s="29" t="str">
        <f aca="false">IF(A758="","",IF(COUNTIF($A$2:$A$2001,A758)&gt;1,"GANDA","OK"))</f>
        <v/>
      </c>
      <c r="P758" s="29" t="str">
        <f aca="false">IF(A758="","",IF(C758="","KOSONG",IF(AND(LEN(C758)=16,ISNUMBER(--C758)),"OK","TIDAK VALID")))</f>
        <v/>
      </c>
    </row>
    <row r="759" customFormat="false" ht="15" hidden="false" customHeight="false" outlineLevel="0" collapsed="false">
      <c r="A759" s="21"/>
      <c r="B759" s="22"/>
      <c r="C759" s="21"/>
      <c r="D759" s="22"/>
      <c r="E759" s="22"/>
      <c r="F759" s="28"/>
      <c r="G759" s="22"/>
      <c r="H759" s="21"/>
      <c r="I759" s="28"/>
      <c r="J759" s="22"/>
      <c r="K759" s="22"/>
      <c r="L759" s="22"/>
      <c r="M759" s="21"/>
      <c r="N759" s="22"/>
      <c r="O759" s="29" t="str">
        <f aca="false">IF(A759="","",IF(COUNTIF($A$2:$A$2001,A759)&gt;1,"GANDA","OK"))</f>
        <v/>
      </c>
      <c r="P759" s="29" t="str">
        <f aca="false">IF(A759="","",IF(C759="","KOSONG",IF(AND(LEN(C759)=16,ISNUMBER(--C759)),"OK","TIDAK VALID")))</f>
        <v/>
      </c>
    </row>
    <row r="760" customFormat="false" ht="15" hidden="false" customHeight="false" outlineLevel="0" collapsed="false">
      <c r="A760" s="21"/>
      <c r="B760" s="22"/>
      <c r="C760" s="21"/>
      <c r="D760" s="22"/>
      <c r="E760" s="22"/>
      <c r="F760" s="28"/>
      <c r="G760" s="22"/>
      <c r="H760" s="21"/>
      <c r="I760" s="28"/>
      <c r="J760" s="22"/>
      <c r="K760" s="22"/>
      <c r="L760" s="22"/>
      <c r="M760" s="21"/>
      <c r="N760" s="22"/>
      <c r="O760" s="29" t="str">
        <f aca="false">IF(A760="","",IF(COUNTIF($A$2:$A$2001,A760)&gt;1,"GANDA","OK"))</f>
        <v/>
      </c>
      <c r="P760" s="29" t="str">
        <f aca="false">IF(A760="","",IF(C760="","KOSONG",IF(AND(LEN(C760)=16,ISNUMBER(--C760)),"OK","TIDAK VALID")))</f>
        <v/>
      </c>
    </row>
    <row r="761" customFormat="false" ht="15" hidden="false" customHeight="false" outlineLevel="0" collapsed="false">
      <c r="A761" s="21"/>
      <c r="B761" s="22"/>
      <c r="C761" s="21"/>
      <c r="D761" s="22"/>
      <c r="E761" s="22"/>
      <c r="F761" s="28"/>
      <c r="G761" s="22"/>
      <c r="H761" s="21"/>
      <c r="I761" s="28"/>
      <c r="J761" s="22"/>
      <c r="K761" s="22"/>
      <c r="L761" s="22"/>
      <c r="M761" s="21"/>
      <c r="N761" s="22"/>
      <c r="O761" s="29" t="str">
        <f aca="false">IF(A761="","",IF(COUNTIF($A$2:$A$2001,A761)&gt;1,"GANDA","OK"))</f>
        <v/>
      </c>
      <c r="P761" s="29" t="str">
        <f aca="false">IF(A761="","",IF(C761="","KOSONG",IF(AND(LEN(C761)=16,ISNUMBER(--C761)),"OK","TIDAK VALID")))</f>
        <v/>
      </c>
    </row>
    <row r="762" customFormat="false" ht="15" hidden="false" customHeight="false" outlineLevel="0" collapsed="false">
      <c r="A762" s="21"/>
      <c r="B762" s="22"/>
      <c r="C762" s="21"/>
      <c r="D762" s="22"/>
      <c r="E762" s="22"/>
      <c r="F762" s="28"/>
      <c r="G762" s="22"/>
      <c r="H762" s="21"/>
      <c r="I762" s="28"/>
      <c r="J762" s="22"/>
      <c r="K762" s="22"/>
      <c r="L762" s="22"/>
      <c r="M762" s="21"/>
      <c r="N762" s="22"/>
      <c r="O762" s="29" t="str">
        <f aca="false">IF(A762="","",IF(COUNTIF($A$2:$A$2001,A762)&gt;1,"GANDA","OK"))</f>
        <v/>
      </c>
      <c r="P762" s="29" t="str">
        <f aca="false">IF(A762="","",IF(C762="","KOSONG",IF(AND(LEN(C762)=16,ISNUMBER(--C762)),"OK","TIDAK VALID")))</f>
        <v/>
      </c>
    </row>
    <row r="763" customFormat="false" ht="15" hidden="false" customHeight="false" outlineLevel="0" collapsed="false">
      <c r="A763" s="21"/>
      <c r="B763" s="22"/>
      <c r="C763" s="21"/>
      <c r="D763" s="22"/>
      <c r="E763" s="22"/>
      <c r="F763" s="28"/>
      <c r="G763" s="22"/>
      <c r="H763" s="21"/>
      <c r="I763" s="28"/>
      <c r="J763" s="22"/>
      <c r="K763" s="22"/>
      <c r="L763" s="22"/>
      <c r="M763" s="21"/>
      <c r="N763" s="22"/>
      <c r="O763" s="29" t="str">
        <f aca="false">IF(A763="","",IF(COUNTIF($A$2:$A$2001,A763)&gt;1,"GANDA","OK"))</f>
        <v/>
      </c>
      <c r="P763" s="29" t="str">
        <f aca="false">IF(A763="","",IF(C763="","KOSONG",IF(AND(LEN(C763)=16,ISNUMBER(--C763)),"OK","TIDAK VALID")))</f>
        <v/>
      </c>
    </row>
    <row r="764" customFormat="false" ht="15" hidden="false" customHeight="false" outlineLevel="0" collapsed="false">
      <c r="A764" s="21"/>
      <c r="B764" s="22"/>
      <c r="C764" s="21"/>
      <c r="D764" s="22"/>
      <c r="E764" s="22"/>
      <c r="F764" s="28"/>
      <c r="G764" s="22"/>
      <c r="H764" s="21"/>
      <c r="I764" s="28"/>
      <c r="J764" s="22"/>
      <c r="K764" s="22"/>
      <c r="L764" s="22"/>
      <c r="M764" s="21"/>
      <c r="N764" s="22"/>
      <c r="O764" s="29" t="str">
        <f aca="false">IF(A764="","",IF(COUNTIF($A$2:$A$2001,A764)&gt;1,"GANDA","OK"))</f>
        <v/>
      </c>
      <c r="P764" s="29" t="str">
        <f aca="false">IF(A764="","",IF(C764="","KOSONG",IF(AND(LEN(C764)=16,ISNUMBER(--C764)),"OK","TIDAK VALID")))</f>
        <v/>
      </c>
    </row>
    <row r="765" customFormat="false" ht="15" hidden="false" customHeight="false" outlineLevel="0" collapsed="false">
      <c r="A765" s="21"/>
      <c r="B765" s="22"/>
      <c r="C765" s="21"/>
      <c r="D765" s="22"/>
      <c r="E765" s="22"/>
      <c r="F765" s="28"/>
      <c r="G765" s="22"/>
      <c r="H765" s="21"/>
      <c r="I765" s="28"/>
      <c r="J765" s="22"/>
      <c r="K765" s="22"/>
      <c r="L765" s="22"/>
      <c r="M765" s="21"/>
      <c r="N765" s="22"/>
      <c r="O765" s="29" t="str">
        <f aca="false">IF(A765="","",IF(COUNTIF($A$2:$A$2001,A765)&gt;1,"GANDA","OK"))</f>
        <v/>
      </c>
      <c r="P765" s="29" t="str">
        <f aca="false">IF(A765="","",IF(C765="","KOSONG",IF(AND(LEN(C765)=16,ISNUMBER(--C765)),"OK","TIDAK VALID")))</f>
        <v/>
      </c>
    </row>
    <row r="766" customFormat="false" ht="15" hidden="false" customHeight="false" outlineLevel="0" collapsed="false">
      <c r="A766" s="21"/>
      <c r="B766" s="22"/>
      <c r="C766" s="21"/>
      <c r="D766" s="22"/>
      <c r="E766" s="22"/>
      <c r="F766" s="28"/>
      <c r="G766" s="22"/>
      <c r="H766" s="21"/>
      <c r="I766" s="28"/>
      <c r="J766" s="22"/>
      <c r="K766" s="22"/>
      <c r="L766" s="22"/>
      <c r="M766" s="21"/>
      <c r="N766" s="22"/>
      <c r="O766" s="29" t="str">
        <f aca="false">IF(A766="","",IF(COUNTIF($A$2:$A$2001,A766)&gt;1,"GANDA","OK"))</f>
        <v/>
      </c>
      <c r="P766" s="29" t="str">
        <f aca="false">IF(A766="","",IF(C766="","KOSONG",IF(AND(LEN(C766)=16,ISNUMBER(--C766)),"OK","TIDAK VALID")))</f>
        <v/>
      </c>
    </row>
    <row r="767" customFormat="false" ht="15" hidden="false" customHeight="false" outlineLevel="0" collapsed="false">
      <c r="A767" s="21"/>
      <c r="B767" s="22"/>
      <c r="C767" s="21"/>
      <c r="D767" s="22"/>
      <c r="E767" s="22"/>
      <c r="F767" s="28"/>
      <c r="G767" s="22"/>
      <c r="H767" s="21"/>
      <c r="I767" s="28"/>
      <c r="J767" s="22"/>
      <c r="K767" s="22"/>
      <c r="L767" s="22"/>
      <c r="M767" s="21"/>
      <c r="N767" s="22"/>
      <c r="O767" s="29" t="str">
        <f aca="false">IF(A767="","",IF(COUNTIF($A$2:$A$2001,A767)&gt;1,"GANDA","OK"))</f>
        <v/>
      </c>
      <c r="P767" s="29" t="str">
        <f aca="false">IF(A767="","",IF(C767="","KOSONG",IF(AND(LEN(C767)=16,ISNUMBER(--C767)),"OK","TIDAK VALID")))</f>
        <v/>
      </c>
    </row>
    <row r="768" customFormat="false" ht="15" hidden="false" customHeight="false" outlineLevel="0" collapsed="false">
      <c r="A768" s="21"/>
      <c r="B768" s="22"/>
      <c r="C768" s="21"/>
      <c r="D768" s="22"/>
      <c r="E768" s="22"/>
      <c r="F768" s="28"/>
      <c r="G768" s="22"/>
      <c r="H768" s="21"/>
      <c r="I768" s="28"/>
      <c r="J768" s="22"/>
      <c r="K768" s="22"/>
      <c r="L768" s="22"/>
      <c r="M768" s="21"/>
      <c r="N768" s="22"/>
      <c r="O768" s="29" t="str">
        <f aca="false">IF(A768="","",IF(COUNTIF($A$2:$A$2001,A768)&gt;1,"GANDA","OK"))</f>
        <v/>
      </c>
      <c r="P768" s="29" t="str">
        <f aca="false">IF(A768="","",IF(C768="","KOSONG",IF(AND(LEN(C768)=16,ISNUMBER(--C768)),"OK","TIDAK VALID")))</f>
        <v/>
      </c>
    </row>
    <row r="769" customFormat="false" ht="15" hidden="false" customHeight="false" outlineLevel="0" collapsed="false">
      <c r="A769" s="21"/>
      <c r="B769" s="22"/>
      <c r="C769" s="21"/>
      <c r="D769" s="22"/>
      <c r="E769" s="22"/>
      <c r="F769" s="28"/>
      <c r="G769" s="22"/>
      <c r="H769" s="21"/>
      <c r="I769" s="28"/>
      <c r="J769" s="22"/>
      <c r="K769" s="22"/>
      <c r="L769" s="22"/>
      <c r="M769" s="21"/>
      <c r="N769" s="22"/>
      <c r="O769" s="29" t="str">
        <f aca="false">IF(A769="","",IF(COUNTIF($A$2:$A$2001,A769)&gt;1,"GANDA","OK"))</f>
        <v/>
      </c>
      <c r="P769" s="29" t="str">
        <f aca="false">IF(A769="","",IF(C769="","KOSONG",IF(AND(LEN(C769)=16,ISNUMBER(--C769)),"OK","TIDAK VALID")))</f>
        <v/>
      </c>
    </row>
    <row r="770" customFormat="false" ht="15" hidden="false" customHeight="false" outlineLevel="0" collapsed="false">
      <c r="A770" s="21"/>
      <c r="B770" s="22"/>
      <c r="C770" s="21"/>
      <c r="D770" s="22"/>
      <c r="E770" s="22"/>
      <c r="F770" s="28"/>
      <c r="G770" s="22"/>
      <c r="H770" s="21"/>
      <c r="I770" s="28"/>
      <c r="J770" s="22"/>
      <c r="K770" s="22"/>
      <c r="L770" s="22"/>
      <c r="M770" s="21"/>
      <c r="N770" s="22"/>
      <c r="O770" s="29" t="str">
        <f aca="false">IF(A770="","",IF(COUNTIF($A$2:$A$2001,A770)&gt;1,"GANDA","OK"))</f>
        <v/>
      </c>
      <c r="P770" s="29" t="str">
        <f aca="false">IF(A770="","",IF(C770="","KOSONG",IF(AND(LEN(C770)=16,ISNUMBER(--C770)),"OK","TIDAK VALID")))</f>
        <v/>
      </c>
    </row>
    <row r="771" customFormat="false" ht="15" hidden="false" customHeight="false" outlineLevel="0" collapsed="false">
      <c r="A771" s="21"/>
      <c r="B771" s="22"/>
      <c r="C771" s="21"/>
      <c r="D771" s="22"/>
      <c r="E771" s="22"/>
      <c r="F771" s="28"/>
      <c r="G771" s="22"/>
      <c r="H771" s="21"/>
      <c r="I771" s="28"/>
      <c r="J771" s="22"/>
      <c r="K771" s="22"/>
      <c r="L771" s="22"/>
      <c r="M771" s="21"/>
      <c r="N771" s="22"/>
      <c r="O771" s="29" t="str">
        <f aca="false">IF(A771="","",IF(COUNTIF($A$2:$A$2001,A771)&gt;1,"GANDA","OK"))</f>
        <v/>
      </c>
      <c r="P771" s="29" t="str">
        <f aca="false">IF(A771="","",IF(C771="","KOSONG",IF(AND(LEN(C771)=16,ISNUMBER(--C771)),"OK","TIDAK VALID")))</f>
        <v/>
      </c>
    </row>
    <row r="772" customFormat="false" ht="15" hidden="false" customHeight="false" outlineLevel="0" collapsed="false">
      <c r="A772" s="21"/>
      <c r="B772" s="22"/>
      <c r="C772" s="21"/>
      <c r="D772" s="22"/>
      <c r="E772" s="22"/>
      <c r="F772" s="28"/>
      <c r="G772" s="22"/>
      <c r="H772" s="21"/>
      <c r="I772" s="28"/>
      <c r="J772" s="22"/>
      <c r="K772" s="22"/>
      <c r="L772" s="22"/>
      <c r="M772" s="21"/>
      <c r="N772" s="22"/>
      <c r="O772" s="29" t="str">
        <f aca="false">IF(A772="","",IF(COUNTIF($A$2:$A$2001,A772)&gt;1,"GANDA","OK"))</f>
        <v/>
      </c>
      <c r="P772" s="29" t="str">
        <f aca="false">IF(A772="","",IF(C772="","KOSONG",IF(AND(LEN(C772)=16,ISNUMBER(--C772)),"OK","TIDAK VALID")))</f>
        <v/>
      </c>
    </row>
    <row r="773" customFormat="false" ht="15" hidden="false" customHeight="false" outlineLevel="0" collapsed="false">
      <c r="A773" s="21"/>
      <c r="B773" s="22"/>
      <c r="C773" s="21"/>
      <c r="D773" s="22"/>
      <c r="E773" s="22"/>
      <c r="F773" s="28"/>
      <c r="G773" s="22"/>
      <c r="H773" s="21"/>
      <c r="I773" s="28"/>
      <c r="J773" s="22"/>
      <c r="K773" s="22"/>
      <c r="L773" s="22"/>
      <c r="M773" s="21"/>
      <c r="N773" s="22"/>
      <c r="O773" s="29" t="str">
        <f aca="false">IF(A773="","",IF(COUNTIF($A$2:$A$2001,A773)&gt;1,"GANDA","OK"))</f>
        <v/>
      </c>
      <c r="P773" s="29" t="str">
        <f aca="false">IF(A773="","",IF(C773="","KOSONG",IF(AND(LEN(C773)=16,ISNUMBER(--C773)),"OK","TIDAK VALID")))</f>
        <v/>
      </c>
    </row>
    <row r="774" customFormat="false" ht="15" hidden="false" customHeight="false" outlineLevel="0" collapsed="false">
      <c r="A774" s="21"/>
      <c r="B774" s="22"/>
      <c r="C774" s="21"/>
      <c r="D774" s="22"/>
      <c r="E774" s="22"/>
      <c r="F774" s="28"/>
      <c r="G774" s="22"/>
      <c r="H774" s="21"/>
      <c r="I774" s="28"/>
      <c r="J774" s="22"/>
      <c r="K774" s="22"/>
      <c r="L774" s="22"/>
      <c r="M774" s="21"/>
      <c r="N774" s="22"/>
      <c r="O774" s="29" t="str">
        <f aca="false">IF(A774="","",IF(COUNTIF($A$2:$A$2001,A774)&gt;1,"GANDA","OK"))</f>
        <v/>
      </c>
      <c r="P774" s="29" t="str">
        <f aca="false">IF(A774="","",IF(C774="","KOSONG",IF(AND(LEN(C774)=16,ISNUMBER(--C774)),"OK","TIDAK VALID")))</f>
        <v/>
      </c>
    </row>
    <row r="775" customFormat="false" ht="15" hidden="false" customHeight="false" outlineLevel="0" collapsed="false">
      <c r="A775" s="21"/>
      <c r="B775" s="22"/>
      <c r="C775" s="21"/>
      <c r="D775" s="22"/>
      <c r="E775" s="22"/>
      <c r="F775" s="28"/>
      <c r="G775" s="22"/>
      <c r="H775" s="21"/>
      <c r="I775" s="28"/>
      <c r="J775" s="22"/>
      <c r="K775" s="22"/>
      <c r="L775" s="22"/>
      <c r="M775" s="21"/>
      <c r="N775" s="22"/>
      <c r="O775" s="29" t="str">
        <f aca="false">IF(A775="","",IF(COUNTIF($A$2:$A$2001,A775)&gt;1,"GANDA","OK"))</f>
        <v/>
      </c>
      <c r="P775" s="29" t="str">
        <f aca="false">IF(A775="","",IF(C775="","KOSONG",IF(AND(LEN(C775)=16,ISNUMBER(--C775)),"OK","TIDAK VALID")))</f>
        <v/>
      </c>
    </row>
    <row r="776" customFormat="false" ht="15" hidden="false" customHeight="false" outlineLevel="0" collapsed="false">
      <c r="A776" s="21"/>
      <c r="B776" s="22"/>
      <c r="C776" s="21"/>
      <c r="D776" s="22"/>
      <c r="E776" s="22"/>
      <c r="F776" s="28"/>
      <c r="G776" s="22"/>
      <c r="H776" s="21"/>
      <c r="I776" s="28"/>
      <c r="J776" s="22"/>
      <c r="K776" s="22"/>
      <c r="L776" s="22"/>
      <c r="M776" s="21"/>
      <c r="N776" s="22"/>
      <c r="O776" s="29" t="str">
        <f aca="false">IF(A776="","",IF(COUNTIF($A$2:$A$2001,A776)&gt;1,"GANDA","OK"))</f>
        <v/>
      </c>
      <c r="P776" s="29" t="str">
        <f aca="false">IF(A776="","",IF(C776="","KOSONG",IF(AND(LEN(C776)=16,ISNUMBER(--C776)),"OK","TIDAK VALID")))</f>
        <v/>
      </c>
    </row>
    <row r="777" customFormat="false" ht="15" hidden="false" customHeight="false" outlineLevel="0" collapsed="false">
      <c r="A777" s="21"/>
      <c r="B777" s="22"/>
      <c r="C777" s="21"/>
      <c r="D777" s="22"/>
      <c r="E777" s="22"/>
      <c r="F777" s="28"/>
      <c r="G777" s="22"/>
      <c r="H777" s="21"/>
      <c r="I777" s="28"/>
      <c r="J777" s="22"/>
      <c r="K777" s="22"/>
      <c r="L777" s="22"/>
      <c r="M777" s="21"/>
      <c r="N777" s="22"/>
      <c r="O777" s="29" t="str">
        <f aca="false">IF(A777="","",IF(COUNTIF($A$2:$A$2001,A777)&gt;1,"GANDA","OK"))</f>
        <v/>
      </c>
      <c r="P777" s="29" t="str">
        <f aca="false">IF(A777="","",IF(C777="","KOSONG",IF(AND(LEN(C777)=16,ISNUMBER(--C777)),"OK","TIDAK VALID")))</f>
        <v/>
      </c>
    </row>
    <row r="778" customFormat="false" ht="15" hidden="false" customHeight="false" outlineLevel="0" collapsed="false">
      <c r="A778" s="21"/>
      <c r="B778" s="22"/>
      <c r="C778" s="21"/>
      <c r="D778" s="22"/>
      <c r="E778" s="22"/>
      <c r="F778" s="28"/>
      <c r="G778" s="22"/>
      <c r="H778" s="21"/>
      <c r="I778" s="28"/>
      <c r="J778" s="22"/>
      <c r="K778" s="22"/>
      <c r="L778" s="22"/>
      <c r="M778" s="21"/>
      <c r="N778" s="22"/>
      <c r="O778" s="29" t="str">
        <f aca="false">IF(A778="","",IF(COUNTIF($A$2:$A$2001,A778)&gt;1,"GANDA","OK"))</f>
        <v/>
      </c>
      <c r="P778" s="29" t="str">
        <f aca="false">IF(A778="","",IF(C778="","KOSONG",IF(AND(LEN(C778)=16,ISNUMBER(--C778)),"OK","TIDAK VALID")))</f>
        <v/>
      </c>
    </row>
    <row r="779" customFormat="false" ht="15" hidden="false" customHeight="false" outlineLevel="0" collapsed="false">
      <c r="A779" s="21"/>
      <c r="B779" s="22"/>
      <c r="C779" s="21"/>
      <c r="D779" s="22"/>
      <c r="E779" s="22"/>
      <c r="F779" s="28"/>
      <c r="G779" s="22"/>
      <c r="H779" s="21"/>
      <c r="I779" s="28"/>
      <c r="J779" s="22"/>
      <c r="K779" s="22"/>
      <c r="L779" s="22"/>
      <c r="M779" s="21"/>
      <c r="N779" s="22"/>
      <c r="O779" s="29" t="str">
        <f aca="false">IF(A779="","",IF(COUNTIF($A$2:$A$2001,A779)&gt;1,"GANDA","OK"))</f>
        <v/>
      </c>
      <c r="P779" s="29" t="str">
        <f aca="false">IF(A779="","",IF(C779="","KOSONG",IF(AND(LEN(C779)=16,ISNUMBER(--C779)),"OK","TIDAK VALID")))</f>
        <v/>
      </c>
    </row>
    <row r="780" customFormat="false" ht="15" hidden="false" customHeight="false" outlineLevel="0" collapsed="false">
      <c r="A780" s="21"/>
      <c r="B780" s="22"/>
      <c r="C780" s="21"/>
      <c r="D780" s="22"/>
      <c r="E780" s="22"/>
      <c r="F780" s="28"/>
      <c r="G780" s="22"/>
      <c r="H780" s="21"/>
      <c r="I780" s="28"/>
      <c r="J780" s="22"/>
      <c r="K780" s="22"/>
      <c r="L780" s="22"/>
      <c r="M780" s="21"/>
      <c r="N780" s="22"/>
      <c r="O780" s="29" t="str">
        <f aca="false">IF(A780="","",IF(COUNTIF($A$2:$A$2001,A780)&gt;1,"GANDA","OK"))</f>
        <v/>
      </c>
      <c r="P780" s="29" t="str">
        <f aca="false">IF(A780="","",IF(C780="","KOSONG",IF(AND(LEN(C780)=16,ISNUMBER(--C780)),"OK","TIDAK VALID")))</f>
        <v/>
      </c>
    </row>
    <row r="781" customFormat="false" ht="15" hidden="false" customHeight="false" outlineLevel="0" collapsed="false">
      <c r="A781" s="21"/>
      <c r="B781" s="22"/>
      <c r="C781" s="21"/>
      <c r="D781" s="22"/>
      <c r="E781" s="22"/>
      <c r="F781" s="28"/>
      <c r="G781" s="22"/>
      <c r="H781" s="21"/>
      <c r="I781" s="28"/>
      <c r="J781" s="22"/>
      <c r="K781" s="22"/>
      <c r="L781" s="22"/>
      <c r="M781" s="21"/>
      <c r="N781" s="22"/>
      <c r="O781" s="29" t="str">
        <f aca="false">IF(A781="","",IF(COUNTIF($A$2:$A$2001,A781)&gt;1,"GANDA","OK"))</f>
        <v/>
      </c>
      <c r="P781" s="29" t="str">
        <f aca="false">IF(A781="","",IF(C781="","KOSONG",IF(AND(LEN(C781)=16,ISNUMBER(--C781)),"OK","TIDAK VALID")))</f>
        <v/>
      </c>
    </row>
    <row r="782" customFormat="false" ht="15" hidden="false" customHeight="false" outlineLevel="0" collapsed="false">
      <c r="A782" s="21"/>
      <c r="B782" s="22"/>
      <c r="C782" s="21"/>
      <c r="D782" s="22"/>
      <c r="E782" s="22"/>
      <c r="F782" s="28"/>
      <c r="G782" s="22"/>
      <c r="H782" s="21"/>
      <c r="I782" s="28"/>
      <c r="J782" s="22"/>
      <c r="K782" s="22"/>
      <c r="L782" s="22"/>
      <c r="M782" s="21"/>
      <c r="N782" s="22"/>
      <c r="O782" s="29" t="str">
        <f aca="false">IF(A782="","",IF(COUNTIF($A$2:$A$2001,A782)&gt;1,"GANDA","OK"))</f>
        <v/>
      </c>
      <c r="P782" s="29" t="str">
        <f aca="false">IF(A782="","",IF(C782="","KOSONG",IF(AND(LEN(C782)=16,ISNUMBER(--C782)),"OK","TIDAK VALID")))</f>
        <v/>
      </c>
    </row>
    <row r="783" customFormat="false" ht="15" hidden="false" customHeight="false" outlineLevel="0" collapsed="false">
      <c r="A783" s="21"/>
      <c r="B783" s="22"/>
      <c r="C783" s="21"/>
      <c r="D783" s="22"/>
      <c r="E783" s="22"/>
      <c r="F783" s="28"/>
      <c r="G783" s="22"/>
      <c r="H783" s="21"/>
      <c r="I783" s="28"/>
      <c r="J783" s="22"/>
      <c r="K783" s="22"/>
      <c r="L783" s="22"/>
      <c r="M783" s="21"/>
      <c r="N783" s="22"/>
      <c r="O783" s="29" t="str">
        <f aca="false">IF(A783="","",IF(COUNTIF($A$2:$A$2001,A783)&gt;1,"GANDA","OK"))</f>
        <v/>
      </c>
      <c r="P783" s="29" t="str">
        <f aca="false">IF(A783="","",IF(C783="","KOSONG",IF(AND(LEN(C783)=16,ISNUMBER(--C783)),"OK","TIDAK VALID")))</f>
        <v/>
      </c>
    </row>
    <row r="784" customFormat="false" ht="15" hidden="false" customHeight="false" outlineLevel="0" collapsed="false">
      <c r="A784" s="21"/>
      <c r="B784" s="22"/>
      <c r="C784" s="21"/>
      <c r="D784" s="22"/>
      <c r="E784" s="22"/>
      <c r="F784" s="28"/>
      <c r="G784" s="22"/>
      <c r="H784" s="21"/>
      <c r="I784" s="28"/>
      <c r="J784" s="22"/>
      <c r="K784" s="22"/>
      <c r="L784" s="22"/>
      <c r="M784" s="21"/>
      <c r="N784" s="22"/>
      <c r="O784" s="29" t="str">
        <f aca="false">IF(A784="","",IF(COUNTIF($A$2:$A$2001,A784)&gt;1,"GANDA","OK"))</f>
        <v/>
      </c>
      <c r="P784" s="29" t="str">
        <f aca="false">IF(A784="","",IF(C784="","KOSONG",IF(AND(LEN(C784)=16,ISNUMBER(--C784)),"OK","TIDAK VALID")))</f>
        <v/>
      </c>
    </row>
    <row r="785" customFormat="false" ht="15" hidden="false" customHeight="false" outlineLevel="0" collapsed="false">
      <c r="A785" s="21"/>
      <c r="B785" s="22"/>
      <c r="C785" s="21"/>
      <c r="D785" s="22"/>
      <c r="E785" s="22"/>
      <c r="F785" s="28"/>
      <c r="G785" s="22"/>
      <c r="H785" s="21"/>
      <c r="I785" s="28"/>
      <c r="J785" s="22"/>
      <c r="K785" s="22"/>
      <c r="L785" s="22"/>
      <c r="M785" s="21"/>
      <c r="N785" s="22"/>
      <c r="O785" s="29" t="str">
        <f aca="false">IF(A785="","",IF(COUNTIF($A$2:$A$2001,A785)&gt;1,"GANDA","OK"))</f>
        <v/>
      </c>
      <c r="P785" s="29" t="str">
        <f aca="false">IF(A785="","",IF(C785="","KOSONG",IF(AND(LEN(C785)=16,ISNUMBER(--C785)),"OK","TIDAK VALID")))</f>
        <v/>
      </c>
    </row>
    <row r="786" customFormat="false" ht="15" hidden="false" customHeight="false" outlineLevel="0" collapsed="false">
      <c r="A786" s="21"/>
      <c r="B786" s="22"/>
      <c r="C786" s="21"/>
      <c r="D786" s="22"/>
      <c r="E786" s="22"/>
      <c r="F786" s="28"/>
      <c r="G786" s="22"/>
      <c r="H786" s="21"/>
      <c r="I786" s="28"/>
      <c r="J786" s="22"/>
      <c r="K786" s="22"/>
      <c r="L786" s="22"/>
      <c r="M786" s="21"/>
      <c r="N786" s="22"/>
      <c r="O786" s="29" t="str">
        <f aca="false">IF(A786="","",IF(COUNTIF($A$2:$A$2001,A786)&gt;1,"GANDA","OK"))</f>
        <v/>
      </c>
      <c r="P786" s="29" t="str">
        <f aca="false">IF(A786="","",IF(C786="","KOSONG",IF(AND(LEN(C786)=16,ISNUMBER(--C786)),"OK","TIDAK VALID")))</f>
        <v/>
      </c>
    </row>
    <row r="787" customFormat="false" ht="15" hidden="false" customHeight="false" outlineLevel="0" collapsed="false">
      <c r="A787" s="21"/>
      <c r="B787" s="22"/>
      <c r="C787" s="21"/>
      <c r="D787" s="22"/>
      <c r="E787" s="22"/>
      <c r="F787" s="28"/>
      <c r="G787" s="22"/>
      <c r="H787" s="21"/>
      <c r="I787" s="28"/>
      <c r="J787" s="22"/>
      <c r="K787" s="22"/>
      <c r="L787" s="22"/>
      <c r="M787" s="21"/>
      <c r="N787" s="22"/>
      <c r="O787" s="29" t="str">
        <f aca="false">IF(A787="","",IF(COUNTIF($A$2:$A$2001,A787)&gt;1,"GANDA","OK"))</f>
        <v/>
      </c>
      <c r="P787" s="29" t="str">
        <f aca="false">IF(A787="","",IF(C787="","KOSONG",IF(AND(LEN(C787)=16,ISNUMBER(--C787)),"OK","TIDAK VALID")))</f>
        <v/>
      </c>
    </row>
    <row r="788" customFormat="false" ht="15" hidden="false" customHeight="false" outlineLevel="0" collapsed="false">
      <c r="A788" s="21"/>
      <c r="B788" s="22"/>
      <c r="C788" s="21"/>
      <c r="D788" s="22"/>
      <c r="E788" s="22"/>
      <c r="F788" s="28"/>
      <c r="G788" s="22"/>
      <c r="H788" s="21"/>
      <c r="I788" s="28"/>
      <c r="J788" s="22"/>
      <c r="K788" s="22"/>
      <c r="L788" s="22"/>
      <c r="M788" s="21"/>
      <c r="N788" s="22"/>
      <c r="O788" s="29" t="str">
        <f aca="false">IF(A788="","",IF(COUNTIF($A$2:$A$2001,A788)&gt;1,"GANDA","OK"))</f>
        <v/>
      </c>
      <c r="P788" s="29" t="str">
        <f aca="false">IF(A788="","",IF(C788="","KOSONG",IF(AND(LEN(C788)=16,ISNUMBER(--C788)),"OK","TIDAK VALID")))</f>
        <v/>
      </c>
    </row>
    <row r="789" customFormat="false" ht="15" hidden="false" customHeight="false" outlineLevel="0" collapsed="false">
      <c r="A789" s="21"/>
      <c r="B789" s="22"/>
      <c r="C789" s="21"/>
      <c r="D789" s="22"/>
      <c r="E789" s="22"/>
      <c r="F789" s="28"/>
      <c r="G789" s="22"/>
      <c r="H789" s="21"/>
      <c r="I789" s="28"/>
      <c r="J789" s="22"/>
      <c r="K789" s="22"/>
      <c r="L789" s="22"/>
      <c r="M789" s="21"/>
      <c r="N789" s="22"/>
      <c r="O789" s="29" t="str">
        <f aca="false">IF(A789="","",IF(COUNTIF($A$2:$A$2001,A789)&gt;1,"GANDA","OK"))</f>
        <v/>
      </c>
      <c r="P789" s="29" t="str">
        <f aca="false">IF(A789="","",IF(C789="","KOSONG",IF(AND(LEN(C789)=16,ISNUMBER(--C789)),"OK","TIDAK VALID")))</f>
        <v/>
      </c>
    </row>
    <row r="790" customFormat="false" ht="15" hidden="false" customHeight="false" outlineLevel="0" collapsed="false">
      <c r="A790" s="21"/>
      <c r="B790" s="22"/>
      <c r="C790" s="21"/>
      <c r="D790" s="22"/>
      <c r="E790" s="22"/>
      <c r="F790" s="28"/>
      <c r="G790" s="22"/>
      <c r="H790" s="21"/>
      <c r="I790" s="28"/>
      <c r="J790" s="22"/>
      <c r="K790" s="22"/>
      <c r="L790" s="22"/>
      <c r="M790" s="21"/>
      <c r="N790" s="22"/>
      <c r="O790" s="29" t="str">
        <f aca="false">IF(A790="","",IF(COUNTIF($A$2:$A$2001,A790)&gt;1,"GANDA","OK"))</f>
        <v/>
      </c>
      <c r="P790" s="29" t="str">
        <f aca="false">IF(A790="","",IF(C790="","KOSONG",IF(AND(LEN(C790)=16,ISNUMBER(--C790)),"OK","TIDAK VALID")))</f>
        <v/>
      </c>
    </row>
    <row r="791" customFormat="false" ht="15" hidden="false" customHeight="false" outlineLevel="0" collapsed="false">
      <c r="A791" s="21"/>
      <c r="B791" s="22"/>
      <c r="C791" s="21"/>
      <c r="D791" s="22"/>
      <c r="E791" s="22"/>
      <c r="F791" s="28"/>
      <c r="G791" s="22"/>
      <c r="H791" s="21"/>
      <c r="I791" s="28"/>
      <c r="J791" s="22"/>
      <c r="K791" s="22"/>
      <c r="L791" s="22"/>
      <c r="M791" s="21"/>
      <c r="N791" s="22"/>
      <c r="O791" s="29" t="str">
        <f aca="false">IF(A791="","",IF(COUNTIF($A$2:$A$2001,A791)&gt;1,"GANDA","OK"))</f>
        <v/>
      </c>
      <c r="P791" s="29" t="str">
        <f aca="false">IF(A791="","",IF(C791="","KOSONG",IF(AND(LEN(C791)=16,ISNUMBER(--C791)),"OK","TIDAK VALID")))</f>
        <v/>
      </c>
    </row>
    <row r="792" customFormat="false" ht="15" hidden="false" customHeight="false" outlineLevel="0" collapsed="false">
      <c r="A792" s="21"/>
      <c r="B792" s="22"/>
      <c r="C792" s="21"/>
      <c r="D792" s="22"/>
      <c r="E792" s="22"/>
      <c r="F792" s="28"/>
      <c r="G792" s="22"/>
      <c r="H792" s="21"/>
      <c r="I792" s="28"/>
      <c r="J792" s="22"/>
      <c r="K792" s="22"/>
      <c r="L792" s="22"/>
      <c r="M792" s="21"/>
      <c r="N792" s="22"/>
      <c r="O792" s="29" t="str">
        <f aca="false">IF(A792="","",IF(COUNTIF($A$2:$A$2001,A792)&gt;1,"GANDA","OK"))</f>
        <v/>
      </c>
      <c r="P792" s="29" t="str">
        <f aca="false">IF(A792="","",IF(C792="","KOSONG",IF(AND(LEN(C792)=16,ISNUMBER(--C792)),"OK","TIDAK VALID")))</f>
        <v/>
      </c>
    </row>
    <row r="793" customFormat="false" ht="15" hidden="false" customHeight="false" outlineLevel="0" collapsed="false">
      <c r="A793" s="21"/>
      <c r="B793" s="22"/>
      <c r="C793" s="21"/>
      <c r="D793" s="22"/>
      <c r="E793" s="22"/>
      <c r="F793" s="28"/>
      <c r="G793" s="22"/>
      <c r="H793" s="21"/>
      <c r="I793" s="28"/>
      <c r="J793" s="22"/>
      <c r="K793" s="22"/>
      <c r="L793" s="22"/>
      <c r="M793" s="21"/>
      <c r="N793" s="22"/>
      <c r="O793" s="29" t="str">
        <f aca="false">IF(A793="","",IF(COUNTIF($A$2:$A$2001,A793)&gt;1,"GANDA","OK"))</f>
        <v/>
      </c>
      <c r="P793" s="29" t="str">
        <f aca="false">IF(A793="","",IF(C793="","KOSONG",IF(AND(LEN(C793)=16,ISNUMBER(--C793)),"OK","TIDAK VALID")))</f>
        <v/>
      </c>
    </row>
    <row r="794" customFormat="false" ht="15" hidden="false" customHeight="false" outlineLevel="0" collapsed="false">
      <c r="A794" s="21"/>
      <c r="B794" s="22"/>
      <c r="C794" s="21"/>
      <c r="D794" s="22"/>
      <c r="E794" s="22"/>
      <c r="F794" s="28"/>
      <c r="G794" s="22"/>
      <c r="H794" s="21"/>
      <c r="I794" s="28"/>
      <c r="J794" s="22"/>
      <c r="K794" s="22"/>
      <c r="L794" s="22"/>
      <c r="M794" s="21"/>
      <c r="N794" s="22"/>
      <c r="O794" s="29" t="str">
        <f aca="false">IF(A794="","",IF(COUNTIF($A$2:$A$2001,A794)&gt;1,"GANDA","OK"))</f>
        <v/>
      </c>
      <c r="P794" s="29" t="str">
        <f aca="false">IF(A794="","",IF(C794="","KOSONG",IF(AND(LEN(C794)=16,ISNUMBER(--C794)),"OK","TIDAK VALID")))</f>
        <v/>
      </c>
    </row>
    <row r="795" customFormat="false" ht="15" hidden="false" customHeight="false" outlineLevel="0" collapsed="false">
      <c r="A795" s="21"/>
      <c r="B795" s="22"/>
      <c r="C795" s="21"/>
      <c r="D795" s="22"/>
      <c r="E795" s="22"/>
      <c r="F795" s="28"/>
      <c r="G795" s="22"/>
      <c r="H795" s="21"/>
      <c r="I795" s="28"/>
      <c r="J795" s="22"/>
      <c r="K795" s="22"/>
      <c r="L795" s="22"/>
      <c r="M795" s="21"/>
      <c r="N795" s="22"/>
      <c r="O795" s="29" t="str">
        <f aca="false">IF(A795="","",IF(COUNTIF($A$2:$A$2001,A795)&gt;1,"GANDA","OK"))</f>
        <v/>
      </c>
      <c r="P795" s="29" t="str">
        <f aca="false">IF(A795="","",IF(C795="","KOSONG",IF(AND(LEN(C795)=16,ISNUMBER(--C795)),"OK","TIDAK VALID")))</f>
        <v/>
      </c>
    </row>
    <row r="796" customFormat="false" ht="15" hidden="false" customHeight="false" outlineLevel="0" collapsed="false">
      <c r="A796" s="21"/>
      <c r="B796" s="22"/>
      <c r="C796" s="21"/>
      <c r="D796" s="22"/>
      <c r="E796" s="22"/>
      <c r="F796" s="28"/>
      <c r="G796" s="22"/>
      <c r="H796" s="21"/>
      <c r="I796" s="28"/>
      <c r="J796" s="22"/>
      <c r="K796" s="22"/>
      <c r="L796" s="22"/>
      <c r="M796" s="21"/>
      <c r="N796" s="22"/>
      <c r="O796" s="29" t="str">
        <f aca="false">IF(A796="","",IF(COUNTIF($A$2:$A$2001,A796)&gt;1,"GANDA","OK"))</f>
        <v/>
      </c>
      <c r="P796" s="29" t="str">
        <f aca="false">IF(A796="","",IF(C796="","KOSONG",IF(AND(LEN(C796)=16,ISNUMBER(--C796)),"OK","TIDAK VALID")))</f>
        <v/>
      </c>
    </row>
    <row r="797" customFormat="false" ht="15" hidden="false" customHeight="false" outlineLevel="0" collapsed="false">
      <c r="A797" s="21"/>
      <c r="B797" s="22"/>
      <c r="C797" s="21"/>
      <c r="D797" s="22"/>
      <c r="E797" s="22"/>
      <c r="F797" s="28"/>
      <c r="G797" s="22"/>
      <c r="H797" s="21"/>
      <c r="I797" s="28"/>
      <c r="J797" s="22"/>
      <c r="K797" s="22"/>
      <c r="L797" s="22"/>
      <c r="M797" s="21"/>
      <c r="N797" s="22"/>
      <c r="O797" s="29" t="str">
        <f aca="false">IF(A797="","",IF(COUNTIF($A$2:$A$2001,A797)&gt;1,"GANDA","OK"))</f>
        <v/>
      </c>
      <c r="P797" s="29" t="str">
        <f aca="false">IF(A797="","",IF(C797="","KOSONG",IF(AND(LEN(C797)=16,ISNUMBER(--C797)),"OK","TIDAK VALID")))</f>
        <v/>
      </c>
    </row>
    <row r="798" customFormat="false" ht="15" hidden="false" customHeight="false" outlineLevel="0" collapsed="false">
      <c r="A798" s="21"/>
      <c r="B798" s="22"/>
      <c r="C798" s="21"/>
      <c r="D798" s="22"/>
      <c r="E798" s="22"/>
      <c r="F798" s="28"/>
      <c r="G798" s="22"/>
      <c r="H798" s="21"/>
      <c r="I798" s="28"/>
      <c r="J798" s="22"/>
      <c r="K798" s="22"/>
      <c r="L798" s="22"/>
      <c r="M798" s="21"/>
      <c r="N798" s="22"/>
      <c r="O798" s="29" t="str">
        <f aca="false">IF(A798="","",IF(COUNTIF($A$2:$A$2001,A798)&gt;1,"GANDA","OK"))</f>
        <v/>
      </c>
      <c r="P798" s="29" t="str">
        <f aca="false">IF(A798="","",IF(C798="","KOSONG",IF(AND(LEN(C798)=16,ISNUMBER(--C798)),"OK","TIDAK VALID")))</f>
        <v/>
      </c>
    </row>
    <row r="799" customFormat="false" ht="15" hidden="false" customHeight="false" outlineLevel="0" collapsed="false">
      <c r="A799" s="21"/>
      <c r="B799" s="22"/>
      <c r="C799" s="21"/>
      <c r="D799" s="22"/>
      <c r="E799" s="22"/>
      <c r="F799" s="28"/>
      <c r="G799" s="22"/>
      <c r="H799" s="21"/>
      <c r="I799" s="28"/>
      <c r="J799" s="22"/>
      <c r="K799" s="22"/>
      <c r="L799" s="22"/>
      <c r="M799" s="21"/>
      <c r="N799" s="22"/>
      <c r="O799" s="29" t="str">
        <f aca="false">IF(A799="","",IF(COUNTIF($A$2:$A$2001,A799)&gt;1,"GANDA","OK"))</f>
        <v/>
      </c>
      <c r="P799" s="29" t="str">
        <f aca="false">IF(A799="","",IF(C799="","KOSONG",IF(AND(LEN(C799)=16,ISNUMBER(--C799)),"OK","TIDAK VALID")))</f>
        <v/>
      </c>
    </row>
    <row r="800" customFormat="false" ht="15" hidden="false" customHeight="false" outlineLevel="0" collapsed="false">
      <c r="A800" s="21"/>
      <c r="B800" s="22"/>
      <c r="C800" s="21"/>
      <c r="D800" s="22"/>
      <c r="E800" s="22"/>
      <c r="F800" s="28"/>
      <c r="G800" s="22"/>
      <c r="H800" s="21"/>
      <c r="I800" s="28"/>
      <c r="J800" s="22"/>
      <c r="K800" s="22"/>
      <c r="L800" s="22"/>
      <c r="M800" s="21"/>
      <c r="N800" s="22"/>
      <c r="O800" s="29" t="str">
        <f aca="false">IF(A800="","",IF(COUNTIF($A$2:$A$2001,A800)&gt;1,"GANDA","OK"))</f>
        <v/>
      </c>
      <c r="P800" s="29" t="str">
        <f aca="false">IF(A800="","",IF(C800="","KOSONG",IF(AND(LEN(C800)=16,ISNUMBER(--C800)),"OK","TIDAK VALID")))</f>
        <v/>
      </c>
    </row>
    <row r="801" customFormat="false" ht="15" hidden="false" customHeight="false" outlineLevel="0" collapsed="false">
      <c r="A801" s="21"/>
      <c r="B801" s="22"/>
      <c r="C801" s="21"/>
      <c r="D801" s="22"/>
      <c r="E801" s="22"/>
      <c r="F801" s="28"/>
      <c r="G801" s="22"/>
      <c r="H801" s="21"/>
      <c r="I801" s="28"/>
      <c r="J801" s="22"/>
      <c r="K801" s="22"/>
      <c r="L801" s="22"/>
      <c r="M801" s="21"/>
      <c r="N801" s="22"/>
      <c r="O801" s="29" t="str">
        <f aca="false">IF(A801="","",IF(COUNTIF($A$2:$A$2001,A801)&gt;1,"GANDA","OK"))</f>
        <v/>
      </c>
      <c r="P801" s="29" t="str">
        <f aca="false">IF(A801="","",IF(C801="","KOSONG",IF(AND(LEN(C801)=16,ISNUMBER(--C801)),"OK","TIDAK VALID")))</f>
        <v/>
      </c>
    </row>
    <row r="802" customFormat="false" ht="15" hidden="false" customHeight="false" outlineLevel="0" collapsed="false">
      <c r="A802" s="21"/>
      <c r="B802" s="22"/>
      <c r="C802" s="21"/>
      <c r="D802" s="22"/>
      <c r="E802" s="22"/>
      <c r="F802" s="28"/>
      <c r="G802" s="22"/>
      <c r="H802" s="21"/>
      <c r="I802" s="28"/>
      <c r="J802" s="22"/>
      <c r="K802" s="22"/>
      <c r="L802" s="22"/>
      <c r="M802" s="21"/>
      <c r="N802" s="22"/>
      <c r="O802" s="29" t="str">
        <f aca="false">IF(A802="","",IF(COUNTIF($A$2:$A$2001,A802)&gt;1,"GANDA","OK"))</f>
        <v/>
      </c>
      <c r="P802" s="29" t="str">
        <f aca="false">IF(A802="","",IF(C802="","KOSONG",IF(AND(LEN(C802)=16,ISNUMBER(--C802)),"OK","TIDAK VALID")))</f>
        <v/>
      </c>
    </row>
    <row r="803" customFormat="false" ht="15" hidden="false" customHeight="false" outlineLevel="0" collapsed="false">
      <c r="A803" s="21"/>
      <c r="B803" s="22"/>
      <c r="C803" s="21"/>
      <c r="D803" s="22"/>
      <c r="E803" s="22"/>
      <c r="F803" s="28"/>
      <c r="G803" s="22"/>
      <c r="H803" s="21"/>
      <c r="I803" s="28"/>
      <c r="J803" s="22"/>
      <c r="K803" s="22"/>
      <c r="L803" s="22"/>
      <c r="M803" s="21"/>
      <c r="N803" s="22"/>
      <c r="O803" s="29" t="str">
        <f aca="false">IF(A803="","",IF(COUNTIF($A$2:$A$2001,A803)&gt;1,"GANDA","OK"))</f>
        <v/>
      </c>
      <c r="P803" s="29" t="str">
        <f aca="false">IF(A803="","",IF(C803="","KOSONG",IF(AND(LEN(C803)=16,ISNUMBER(--C803)),"OK","TIDAK VALID")))</f>
        <v/>
      </c>
    </row>
    <row r="804" customFormat="false" ht="15" hidden="false" customHeight="false" outlineLevel="0" collapsed="false">
      <c r="A804" s="21"/>
      <c r="B804" s="22"/>
      <c r="C804" s="21"/>
      <c r="D804" s="22"/>
      <c r="E804" s="22"/>
      <c r="F804" s="28"/>
      <c r="G804" s="22"/>
      <c r="H804" s="21"/>
      <c r="I804" s="28"/>
      <c r="J804" s="22"/>
      <c r="K804" s="22"/>
      <c r="L804" s="22"/>
      <c r="M804" s="21"/>
      <c r="N804" s="22"/>
      <c r="O804" s="29" t="str">
        <f aca="false">IF(A804="","",IF(COUNTIF($A$2:$A$2001,A804)&gt;1,"GANDA","OK"))</f>
        <v/>
      </c>
      <c r="P804" s="29" t="str">
        <f aca="false">IF(A804="","",IF(C804="","KOSONG",IF(AND(LEN(C804)=16,ISNUMBER(--C804)),"OK","TIDAK VALID")))</f>
        <v/>
      </c>
    </row>
    <row r="805" customFormat="false" ht="15" hidden="false" customHeight="false" outlineLevel="0" collapsed="false">
      <c r="A805" s="21"/>
      <c r="B805" s="22"/>
      <c r="C805" s="21"/>
      <c r="D805" s="22"/>
      <c r="E805" s="22"/>
      <c r="F805" s="28"/>
      <c r="G805" s="22"/>
      <c r="H805" s="21"/>
      <c r="I805" s="28"/>
      <c r="J805" s="22"/>
      <c r="K805" s="22"/>
      <c r="L805" s="22"/>
      <c r="M805" s="21"/>
      <c r="N805" s="22"/>
      <c r="O805" s="29" t="str">
        <f aca="false">IF(A805="","",IF(COUNTIF($A$2:$A$2001,A805)&gt;1,"GANDA","OK"))</f>
        <v/>
      </c>
      <c r="P805" s="29" t="str">
        <f aca="false">IF(A805="","",IF(C805="","KOSONG",IF(AND(LEN(C805)=16,ISNUMBER(--C805)),"OK","TIDAK VALID")))</f>
        <v/>
      </c>
    </row>
    <row r="806" customFormat="false" ht="15" hidden="false" customHeight="false" outlineLevel="0" collapsed="false">
      <c r="A806" s="21"/>
      <c r="B806" s="22"/>
      <c r="C806" s="21"/>
      <c r="D806" s="22"/>
      <c r="E806" s="22"/>
      <c r="F806" s="28"/>
      <c r="G806" s="22"/>
      <c r="H806" s="21"/>
      <c r="I806" s="28"/>
      <c r="J806" s="22"/>
      <c r="K806" s="22"/>
      <c r="L806" s="22"/>
      <c r="M806" s="21"/>
      <c r="N806" s="22"/>
      <c r="O806" s="29" t="str">
        <f aca="false">IF(A806="","",IF(COUNTIF($A$2:$A$2001,A806)&gt;1,"GANDA","OK"))</f>
        <v/>
      </c>
      <c r="P806" s="29" t="str">
        <f aca="false">IF(A806="","",IF(C806="","KOSONG",IF(AND(LEN(C806)=16,ISNUMBER(--C806)),"OK","TIDAK VALID")))</f>
        <v/>
      </c>
    </row>
    <row r="807" customFormat="false" ht="15" hidden="false" customHeight="false" outlineLevel="0" collapsed="false">
      <c r="A807" s="21"/>
      <c r="B807" s="22"/>
      <c r="C807" s="21"/>
      <c r="D807" s="22"/>
      <c r="E807" s="22"/>
      <c r="F807" s="28"/>
      <c r="G807" s="22"/>
      <c r="H807" s="21"/>
      <c r="I807" s="28"/>
      <c r="J807" s="22"/>
      <c r="K807" s="22"/>
      <c r="L807" s="22"/>
      <c r="M807" s="21"/>
      <c r="N807" s="22"/>
      <c r="O807" s="29" t="str">
        <f aca="false">IF(A807="","",IF(COUNTIF($A$2:$A$2001,A807)&gt;1,"GANDA","OK"))</f>
        <v/>
      </c>
      <c r="P807" s="29" t="str">
        <f aca="false">IF(A807="","",IF(C807="","KOSONG",IF(AND(LEN(C807)=16,ISNUMBER(--C807)),"OK","TIDAK VALID")))</f>
        <v/>
      </c>
    </row>
    <row r="808" customFormat="false" ht="15" hidden="false" customHeight="false" outlineLevel="0" collapsed="false">
      <c r="A808" s="21"/>
      <c r="B808" s="22"/>
      <c r="C808" s="21"/>
      <c r="D808" s="22"/>
      <c r="E808" s="22"/>
      <c r="F808" s="28"/>
      <c r="G808" s="22"/>
      <c r="H808" s="21"/>
      <c r="I808" s="28"/>
      <c r="J808" s="22"/>
      <c r="K808" s="22"/>
      <c r="L808" s="22"/>
      <c r="M808" s="21"/>
      <c r="N808" s="22"/>
      <c r="O808" s="29" t="str">
        <f aca="false">IF(A808="","",IF(COUNTIF($A$2:$A$2001,A808)&gt;1,"GANDA","OK"))</f>
        <v/>
      </c>
      <c r="P808" s="29" t="str">
        <f aca="false">IF(A808="","",IF(C808="","KOSONG",IF(AND(LEN(C808)=16,ISNUMBER(--C808)),"OK","TIDAK VALID")))</f>
        <v/>
      </c>
    </row>
    <row r="809" customFormat="false" ht="15" hidden="false" customHeight="false" outlineLevel="0" collapsed="false">
      <c r="A809" s="21"/>
      <c r="B809" s="22"/>
      <c r="C809" s="21"/>
      <c r="D809" s="22"/>
      <c r="E809" s="22"/>
      <c r="F809" s="28"/>
      <c r="G809" s="22"/>
      <c r="H809" s="21"/>
      <c r="I809" s="28"/>
      <c r="J809" s="22"/>
      <c r="K809" s="22"/>
      <c r="L809" s="22"/>
      <c r="M809" s="21"/>
      <c r="N809" s="22"/>
      <c r="O809" s="29" t="str">
        <f aca="false">IF(A809="","",IF(COUNTIF($A$2:$A$2001,A809)&gt;1,"GANDA","OK"))</f>
        <v/>
      </c>
      <c r="P809" s="29" t="str">
        <f aca="false">IF(A809="","",IF(C809="","KOSONG",IF(AND(LEN(C809)=16,ISNUMBER(--C809)),"OK","TIDAK VALID")))</f>
        <v/>
      </c>
    </row>
    <row r="810" customFormat="false" ht="15" hidden="false" customHeight="false" outlineLevel="0" collapsed="false">
      <c r="A810" s="21"/>
      <c r="B810" s="22"/>
      <c r="C810" s="21"/>
      <c r="D810" s="22"/>
      <c r="E810" s="22"/>
      <c r="F810" s="28"/>
      <c r="G810" s="22"/>
      <c r="H810" s="21"/>
      <c r="I810" s="28"/>
      <c r="J810" s="22"/>
      <c r="K810" s="22"/>
      <c r="L810" s="22"/>
      <c r="M810" s="21"/>
      <c r="N810" s="22"/>
      <c r="O810" s="29" t="str">
        <f aca="false">IF(A810="","",IF(COUNTIF($A$2:$A$2001,A810)&gt;1,"GANDA","OK"))</f>
        <v/>
      </c>
      <c r="P810" s="29" t="str">
        <f aca="false">IF(A810="","",IF(C810="","KOSONG",IF(AND(LEN(C810)=16,ISNUMBER(--C810)),"OK","TIDAK VALID")))</f>
        <v/>
      </c>
    </row>
    <row r="811" customFormat="false" ht="15" hidden="false" customHeight="false" outlineLevel="0" collapsed="false">
      <c r="A811" s="21"/>
      <c r="B811" s="22"/>
      <c r="C811" s="21"/>
      <c r="D811" s="22"/>
      <c r="E811" s="22"/>
      <c r="F811" s="28"/>
      <c r="G811" s="22"/>
      <c r="H811" s="21"/>
      <c r="I811" s="28"/>
      <c r="J811" s="22"/>
      <c r="K811" s="22"/>
      <c r="L811" s="22"/>
      <c r="M811" s="21"/>
      <c r="N811" s="22"/>
      <c r="O811" s="29" t="str">
        <f aca="false">IF(A811="","",IF(COUNTIF($A$2:$A$2001,A811)&gt;1,"GANDA","OK"))</f>
        <v/>
      </c>
      <c r="P811" s="29" t="str">
        <f aca="false">IF(A811="","",IF(C811="","KOSONG",IF(AND(LEN(C811)=16,ISNUMBER(--C811)),"OK","TIDAK VALID")))</f>
        <v/>
      </c>
    </row>
    <row r="812" customFormat="false" ht="15" hidden="false" customHeight="false" outlineLevel="0" collapsed="false">
      <c r="A812" s="21"/>
      <c r="B812" s="22"/>
      <c r="C812" s="21"/>
      <c r="D812" s="22"/>
      <c r="E812" s="22"/>
      <c r="F812" s="28"/>
      <c r="G812" s="22"/>
      <c r="H812" s="21"/>
      <c r="I812" s="28"/>
      <c r="J812" s="22"/>
      <c r="K812" s="22"/>
      <c r="L812" s="22"/>
      <c r="M812" s="21"/>
      <c r="N812" s="22"/>
      <c r="O812" s="29" t="str">
        <f aca="false">IF(A812="","",IF(COUNTIF($A$2:$A$2001,A812)&gt;1,"GANDA","OK"))</f>
        <v/>
      </c>
      <c r="P812" s="29" t="str">
        <f aca="false">IF(A812="","",IF(C812="","KOSONG",IF(AND(LEN(C812)=16,ISNUMBER(--C812)),"OK","TIDAK VALID")))</f>
        <v/>
      </c>
    </row>
    <row r="813" customFormat="false" ht="15" hidden="false" customHeight="false" outlineLevel="0" collapsed="false">
      <c r="A813" s="21"/>
      <c r="B813" s="22"/>
      <c r="C813" s="21"/>
      <c r="D813" s="22"/>
      <c r="E813" s="22"/>
      <c r="F813" s="28"/>
      <c r="G813" s="22"/>
      <c r="H813" s="21"/>
      <c r="I813" s="28"/>
      <c r="J813" s="22"/>
      <c r="K813" s="22"/>
      <c r="L813" s="22"/>
      <c r="M813" s="21"/>
      <c r="N813" s="22"/>
      <c r="O813" s="29" t="str">
        <f aca="false">IF(A813="","",IF(COUNTIF($A$2:$A$2001,A813)&gt;1,"GANDA","OK"))</f>
        <v/>
      </c>
      <c r="P813" s="29" t="str">
        <f aca="false">IF(A813="","",IF(C813="","KOSONG",IF(AND(LEN(C813)=16,ISNUMBER(--C813)),"OK","TIDAK VALID")))</f>
        <v/>
      </c>
    </row>
    <row r="814" customFormat="false" ht="15" hidden="false" customHeight="false" outlineLevel="0" collapsed="false">
      <c r="A814" s="21"/>
      <c r="B814" s="22"/>
      <c r="C814" s="21"/>
      <c r="D814" s="22"/>
      <c r="E814" s="22"/>
      <c r="F814" s="28"/>
      <c r="G814" s="22"/>
      <c r="H814" s="21"/>
      <c r="I814" s="28"/>
      <c r="J814" s="22"/>
      <c r="K814" s="22"/>
      <c r="L814" s="22"/>
      <c r="M814" s="21"/>
      <c r="N814" s="22"/>
      <c r="O814" s="29" t="str">
        <f aca="false">IF(A814="","",IF(COUNTIF($A$2:$A$2001,A814)&gt;1,"GANDA","OK"))</f>
        <v/>
      </c>
      <c r="P814" s="29" t="str">
        <f aca="false">IF(A814="","",IF(C814="","KOSONG",IF(AND(LEN(C814)=16,ISNUMBER(--C814)),"OK","TIDAK VALID")))</f>
        <v/>
      </c>
    </row>
    <row r="815" customFormat="false" ht="15" hidden="false" customHeight="false" outlineLevel="0" collapsed="false">
      <c r="A815" s="21"/>
      <c r="B815" s="22"/>
      <c r="C815" s="21"/>
      <c r="D815" s="22"/>
      <c r="E815" s="22"/>
      <c r="F815" s="28"/>
      <c r="G815" s="22"/>
      <c r="H815" s="21"/>
      <c r="I815" s="28"/>
      <c r="J815" s="22"/>
      <c r="K815" s="22"/>
      <c r="L815" s="22"/>
      <c r="M815" s="21"/>
      <c r="N815" s="22"/>
      <c r="O815" s="29" t="str">
        <f aca="false">IF(A815="","",IF(COUNTIF($A$2:$A$2001,A815)&gt;1,"GANDA","OK"))</f>
        <v/>
      </c>
      <c r="P815" s="29" t="str">
        <f aca="false">IF(A815="","",IF(C815="","KOSONG",IF(AND(LEN(C815)=16,ISNUMBER(--C815)),"OK","TIDAK VALID")))</f>
        <v/>
      </c>
    </row>
    <row r="816" customFormat="false" ht="15" hidden="false" customHeight="false" outlineLevel="0" collapsed="false">
      <c r="A816" s="21"/>
      <c r="B816" s="22"/>
      <c r="C816" s="21"/>
      <c r="D816" s="22"/>
      <c r="E816" s="22"/>
      <c r="F816" s="28"/>
      <c r="G816" s="22"/>
      <c r="H816" s="21"/>
      <c r="I816" s="28"/>
      <c r="J816" s="22"/>
      <c r="K816" s="22"/>
      <c r="L816" s="22"/>
      <c r="M816" s="21"/>
      <c r="N816" s="22"/>
      <c r="O816" s="29" t="str">
        <f aca="false">IF(A816="","",IF(COUNTIF($A$2:$A$2001,A816)&gt;1,"GANDA","OK"))</f>
        <v/>
      </c>
      <c r="P816" s="29" t="str">
        <f aca="false">IF(A816="","",IF(C816="","KOSONG",IF(AND(LEN(C816)=16,ISNUMBER(--C816)),"OK","TIDAK VALID")))</f>
        <v/>
      </c>
    </row>
    <row r="817" customFormat="false" ht="15" hidden="false" customHeight="false" outlineLevel="0" collapsed="false">
      <c r="A817" s="21"/>
      <c r="B817" s="22"/>
      <c r="C817" s="21"/>
      <c r="D817" s="22"/>
      <c r="E817" s="22"/>
      <c r="F817" s="28"/>
      <c r="G817" s="22"/>
      <c r="H817" s="21"/>
      <c r="I817" s="28"/>
      <c r="J817" s="22"/>
      <c r="K817" s="22"/>
      <c r="L817" s="22"/>
      <c r="M817" s="21"/>
      <c r="N817" s="22"/>
      <c r="O817" s="29" t="str">
        <f aca="false">IF(A817="","",IF(COUNTIF($A$2:$A$2001,A817)&gt;1,"GANDA","OK"))</f>
        <v/>
      </c>
      <c r="P817" s="29" t="str">
        <f aca="false">IF(A817="","",IF(C817="","KOSONG",IF(AND(LEN(C817)=16,ISNUMBER(--C817)),"OK","TIDAK VALID")))</f>
        <v/>
      </c>
    </row>
    <row r="818" customFormat="false" ht="15" hidden="false" customHeight="false" outlineLevel="0" collapsed="false">
      <c r="A818" s="21"/>
      <c r="B818" s="22"/>
      <c r="C818" s="21"/>
      <c r="D818" s="22"/>
      <c r="E818" s="22"/>
      <c r="F818" s="28"/>
      <c r="G818" s="22"/>
      <c r="H818" s="21"/>
      <c r="I818" s="28"/>
      <c r="J818" s="22"/>
      <c r="K818" s="22"/>
      <c r="L818" s="22"/>
      <c r="M818" s="21"/>
      <c r="N818" s="22"/>
      <c r="O818" s="29" t="str">
        <f aca="false">IF(A818="","",IF(COUNTIF($A$2:$A$2001,A818)&gt;1,"GANDA","OK"))</f>
        <v/>
      </c>
      <c r="P818" s="29" t="str">
        <f aca="false">IF(A818="","",IF(C818="","KOSONG",IF(AND(LEN(C818)=16,ISNUMBER(--C818)),"OK","TIDAK VALID")))</f>
        <v/>
      </c>
    </row>
    <row r="819" customFormat="false" ht="15" hidden="false" customHeight="false" outlineLevel="0" collapsed="false">
      <c r="A819" s="21"/>
      <c r="B819" s="22"/>
      <c r="C819" s="21"/>
      <c r="D819" s="22"/>
      <c r="E819" s="22"/>
      <c r="F819" s="28"/>
      <c r="G819" s="22"/>
      <c r="H819" s="21"/>
      <c r="I819" s="28"/>
      <c r="J819" s="22"/>
      <c r="K819" s="22"/>
      <c r="L819" s="22"/>
      <c r="M819" s="21"/>
      <c r="N819" s="22"/>
      <c r="O819" s="29" t="str">
        <f aca="false">IF(A819="","",IF(COUNTIF($A$2:$A$2001,A819)&gt;1,"GANDA","OK"))</f>
        <v/>
      </c>
      <c r="P819" s="29" t="str">
        <f aca="false">IF(A819="","",IF(C819="","KOSONG",IF(AND(LEN(C819)=16,ISNUMBER(--C819)),"OK","TIDAK VALID")))</f>
        <v/>
      </c>
    </row>
    <row r="820" customFormat="false" ht="15" hidden="false" customHeight="false" outlineLevel="0" collapsed="false">
      <c r="A820" s="21"/>
      <c r="B820" s="22"/>
      <c r="C820" s="21"/>
      <c r="D820" s="22"/>
      <c r="E820" s="22"/>
      <c r="F820" s="28"/>
      <c r="G820" s="22"/>
      <c r="H820" s="21"/>
      <c r="I820" s="28"/>
      <c r="J820" s="22"/>
      <c r="K820" s="22"/>
      <c r="L820" s="22"/>
      <c r="M820" s="21"/>
      <c r="N820" s="22"/>
      <c r="O820" s="29" t="str">
        <f aca="false">IF(A820="","",IF(COUNTIF($A$2:$A$2001,A820)&gt;1,"GANDA","OK"))</f>
        <v/>
      </c>
      <c r="P820" s="29" t="str">
        <f aca="false">IF(A820="","",IF(C820="","KOSONG",IF(AND(LEN(C820)=16,ISNUMBER(--C820)),"OK","TIDAK VALID")))</f>
        <v/>
      </c>
    </row>
    <row r="821" customFormat="false" ht="15" hidden="false" customHeight="false" outlineLevel="0" collapsed="false">
      <c r="A821" s="21"/>
      <c r="B821" s="22"/>
      <c r="C821" s="21"/>
      <c r="D821" s="22"/>
      <c r="E821" s="22"/>
      <c r="F821" s="28"/>
      <c r="G821" s="22"/>
      <c r="H821" s="21"/>
      <c r="I821" s="28"/>
      <c r="J821" s="22"/>
      <c r="K821" s="22"/>
      <c r="L821" s="22"/>
      <c r="M821" s="21"/>
      <c r="N821" s="22"/>
      <c r="O821" s="29" t="str">
        <f aca="false">IF(A821="","",IF(COUNTIF($A$2:$A$2001,A821)&gt;1,"GANDA","OK"))</f>
        <v/>
      </c>
      <c r="P821" s="29" t="str">
        <f aca="false">IF(A821="","",IF(C821="","KOSONG",IF(AND(LEN(C821)=16,ISNUMBER(--C821)),"OK","TIDAK VALID")))</f>
        <v/>
      </c>
    </row>
    <row r="822" customFormat="false" ht="15" hidden="false" customHeight="false" outlineLevel="0" collapsed="false">
      <c r="A822" s="21"/>
      <c r="B822" s="22"/>
      <c r="C822" s="21"/>
      <c r="D822" s="22"/>
      <c r="E822" s="22"/>
      <c r="F822" s="28"/>
      <c r="G822" s="22"/>
      <c r="H822" s="21"/>
      <c r="I822" s="28"/>
      <c r="J822" s="22"/>
      <c r="K822" s="22"/>
      <c r="L822" s="22"/>
      <c r="M822" s="21"/>
      <c r="N822" s="22"/>
      <c r="O822" s="29" t="str">
        <f aca="false">IF(A822="","",IF(COUNTIF($A$2:$A$2001,A822)&gt;1,"GANDA","OK"))</f>
        <v/>
      </c>
      <c r="P822" s="29" t="str">
        <f aca="false">IF(A822="","",IF(C822="","KOSONG",IF(AND(LEN(C822)=16,ISNUMBER(--C822)),"OK","TIDAK VALID")))</f>
        <v/>
      </c>
    </row>
    <row r="823" customFormat="false" ht="15" hidden="false" customHeight="false" outlineLevel="0" collapsed="false">
      <c r="A823" s="21"/>
      <c r="B823" s="22"/>
      <c r="C823" s="21"/>
      <c r="D823" s="22"/>
      <c r="E823" s="22"/>
      <c r="F823" s="28"/>
      <c r="G823" s="22"/>
      <c r="H823" s="21"/>
      <c r="I823" s="28"/>
      <c r="J823" s="22"/>
      <c r="K823" s="22"/>
      <c r="L823" s="22"/>
      <c r="M823" s="21"/>
      <c r="N823" s="22"/>
      <c r="O823" s="29" t="str">
        <f aca="false">IF(A823="","",IF(COUNTIF($A$2:$A$2001,A823)&gt;1,"GANDA","OK"))</f>
        <v/>
      </c>
      <c r="P823" s="29" t="str">
        <f aca="false">IF(A823="","",IF(C823="","KOSONG",IF(AND(LEN(C823)=16,ISNUMBER(--C823)),"OK","TIDAK VALID")))</f>
        <v/>
      </c>
    </row>
    <row r="824" customFormat="false" ht="15" hidden="false" customHeight="false" outlineLevel="0" collapsed="false">
      <c r="A824" s="21"/>
      <c r="B824" s="22"/>
      <c r="C824" s="21"/>
      <c r="D824" s="22"/>
      <c r="E824" s="22"/>
      <c r="F824" s="28"/>
      <c r="G824" s="22"/>
      <c r="H824" s="21"/>
      <c r="I824" s="28"/>
      <c r="J824" s="22"/>
      <c r="K824" s="22"/>
      <c r="L824" s="22"/>
      <c r="M824" s="21"/>
      <c r="N824" s="22"/>
      <c r="O824" s="29" t="str">
        <f aca="false">IF(A824="","",IF(COUNTIF($A$2:$A$2001,A824)&gt;1,"GANDA","OK"))</f>
        <v/>
      </c>
      <c r="P824" s="29" t="str">
        <f aca="false">IF(A824="","",IF(C824="","KOSONG",IF(AND(LEN(C824)=16,ISNUMBER(--C824)),"OK","TIDAK VALID")))</f>
        <v/>
      </c>
    </row>
    <row r="825" customFormat="false" ht="15" hidden="false" customHeight="false" outlineLevel="0" collapsed="false">
      <c r="A825" s="21"/>
      <c r="B825" s="22"/>
      <c r="C825" s="21"/>
      <c r="D825" s="22"/>
      <c r="E825" s="22"/>
      <c r="F825" s="28"/>
      <c r="G825" s="22"/>
      <c r="H825" s="21"/>
      <c r="I825" s="28"/>
      <c r="J825" s="22"/>
      <c r="K825" s="22"/>
      <c r="L825" s="22"/>
      <c r="M825" s="21"/>
      <c r="N825" s="22"/>
      <c r="O825" s="29" t="str">
        <f aca="false">IF(A825="","",IF(COUNTIF($A$2:$A$2001,A825)&gt;1,"GANDA","OK"))</f>
        <v/>
      </c>
      <c r="P825" s="29" t="str">
        <f aca="false">IF(A825="","",IF(C825="","KOSONG",IF(AND(LEN(C825)=16,ISNUMBER(--C825)),"OK","TIDAK VALID")))</f>
        <v/>
      </c>
    </row>
    <row r="826" customFormat="false" ht="15" hidden="false" customHeight="false" outlineLevel="0" collapsed="false">
      <c r="A826" s="21"/>
      <c r="B826" s="22"/>
      <c r="C826" s="21"/>
      <c r="D826" s="22"/>
      <c r="E826" s="22"/>
      <c r="F826" s="28"/>
      <c r="G826" s="22"/>
      <c r="H826" s="21"/>
      <c r="I826" s="28"/>
      <c r="J826" s="22"/>
      <c r="K826" s="22"/>
      <c r="L826" s="22"/>
      <c r="M826" s="21"/>
      <c r="N826" s="22"/>
      <c r="O826" s="29" t="str">
        <f aca="false">IF(A826="","",IF(COUNTIF($A$2:$A$2001,A826)&gt;1,"GANDA","OK"))</f>
        <v/>
      </c>
      <c r="P826" s="29" t="str">
        <f aca="false">IF(A826="","",IF(C826="","KOSONG",IF(AND(LEN(C826)=16,ISNUMBER(--C826)),"OK","TIDAK VALID")))</f>
        <v/>
      </c>
    </row>
    <row r="827" customFormat="false" ht="15" hidden="false" customHeight="false" outlineLevel="0" collapsed="false">
      <c r="A827" s="21"/>
      <c r="B827" s="22"/>
      <c r="C827" s="21"/>
      <c r="D827" s="22"/>
      <c r="E827" s="22"/>
      <c r="F827" s="28"/>
      <c r="G827" s="22"/>
      <c r="H827" s="21"/>
      <c r="I827" s="28"/>
      <c r="J827" s="22"/>
      <c r="K827" s="22"/>
      <c r="L827" s="22"/>
      <c r="M827" s="21"/>
      <c r="N827" s="22"/>
      <c r="O827" s="29" t="str">
        <f aca="false">IF(A827="","",IF(COUNTIF($A$2:$A$2001,A827)&gt;1,"GANDA","OK"))</f>
        <v/>
      </c>
      <c r="P827" s="29" t="str">
        <f aca="false">IF(A827="","",IF(C827="","KOSONG",IF(AND(LEN(C827)=16,ISNUMBER(--C827)),"OK","TIDAK VALID")))</f>
        <v/>
      </c>
    </row>
    <row r="828" customFormat="false" ht="15" hidden="false" customHeight="false" outlineLevel="0" collapsed="false">
      <c r="A828" s="21"/>
      <c r="B828" s="22"/>
      <c r="C828" s="21"/>
      <c r="D828" s="22"/>
      <c r="E828" s="22"/>
      <c r="F828" s="28"/>
      <c r="G828" s="22"/>
      <c r="H828" s="21"/>
      <c r="I828" s="28"/>
      <c r="J828" s="22"/>
      <c r="K828" s="22"/>
      <c r="L828" s="22"/>
      <c r="M828" s="21"/>
      <c r="N828" s="22"/>
      <c r="O828" s="29" t="str">
        <f aca="false">IF(A828="","",IF(COUNTIF($A$2:$A$2001,A828)&gt;1,"GANDA","OK"))</f>
        <v/>
      </c>
      <c r="P828" s="29" t="str">
        <f aca="false">IF(A828="","",IF(C828="","KOSONG",IF(AND(LEN(C828)=16,ISNUMBER(--C828)),"OK","TIDAK VALID")))</f>
        <v/>
      </c>
    </row>
    <row r="829" customFormat="false" ht="15" hidden="false" customHeight="false" outlineLevel="0" collapsed="false">
      <c r="A829" s="21"/>
      <c r="B829" s="22"/>
      <c r="C829" s="21"/>
      <c r="D829" s="22"/>
      <c r="E829" s="22"/>
      <c r="F829" s="28"/>
      <c r="G829" s="22"/>
      <c r="H829" s="21"/>
      <c r="I829" s="28"/>
      <c r="J829" s="22"/>
      <c r="K829" s="22"/>
      <c r="L829" s="22"/>
      <c r="M829" s="21"/>
      <c r="N829" s="22"/>
      <c r="O829" s="29" t="str">
        <f aca="false">IF(A829="","",IF(COUNTIF($A$2:$A$2001,A829)&gt;1,"GANDA","OK"))</f>
        <v/>
      </c>
      <c r="P829" s="29" t="str">
        <f aca="false">IF(A829="","",IF(C829="","KOSONG",IF(AND(LEN(C829)=16,ISNUMBER(--C829)),"OK","TIDAK VALID")))</f>
        <v/>
      </c>
    </row>
    <row r="830" customFormat="false" ht="15" hidden="false" customHeight="false" outlineLevel="0" collapsed="false">
      <c r="A830" s="21"/>
      <c r="B830" s="22"/>
      <c r="C830" s="21"/>
      <c r="D830" s="22"/>
      <c r="E830" s="22"/>
      <c r="F830" s="28"/>
      <c r="G830" s="22"/>
      <c r="H830" s="21"/>
      <c r="I830" s="28"/>
      <c r="J830" s="22"/>
      <c r="K830" s="22"/>
      <c r="L830" s="22"/>
      <c r="M830" s="21"/>
      <c r="N830" s="22"/>
      <c r="O830" s="29" t="str">
        <f aca="false">IF(A830="","",IF(COUNTIF($A$2:$A$2001,A830)&gt;1,"GANDA","OK"))</f>
        <v/>
      </c>
      <c r="P830" s="29" t="str">
        <f aca="false">IF(A830="","",IF(C830="","KOSONG",IF(AND(LEN(C830)=16,ISNUMBER(--C830)),"OK","TIDAK VALID")))</f>
        <v/>
      </c>
    </row>
    <row r="831" customFormat="false" ht="15" hidden="false" customHeight="false" outlineLevel="0" collapsed="false">
      <c r="A831" s="21"/>
      <c r="B831" s="22"/>
      <c r="C831" s="21"/>
      <c r="D831" s="22"/>
      <c r="E831" s="22"/>
      <c r="F831" s="28"/>
      <c r="G831" s="22"/>
      <c r="H831" s="21"/>
      <c r="I831" s="28"/>
      <c r="J831" s="22"/>
      <c r="K831" s="22"/>
      <c r="L831" s="22"/>
      <c r="M831" s="21"/>
      <c r="N831" s="22"/>
      <c r="O831" s="29" t="str">
        <f aca="false">IF(A831="","",IF(COUNTIF($A$2:$A$2001,A831)&gt;1,"GANDA","OK"))</f>
        <v/>
      </c>
      <c r="P831" s="29" t="str">
        <f aca="false">IF(A831="","",IF(C831="","KOSONG",IF(AND(LEN(C831)=16,ISNUMBER(--C831)),"OK","TIDAK VALID")))</f>
        <v/>
      </c>
    </row>
    <row r="832" customFormat="false" ht="15" hidden="false" customHeight="false" outlineLevel="0" collapsed="false">
      <c r="A832" s="21"/>
      <c r="B832" s="22"/>
      <c r="C832" s="21"/>
      <c r="D832" s="22"/>
      <c r="E832" s="22"/>
      <c r="F832" s="28"/>
      <c r="G832" s="22"/>
      <c r="H832" s="21"/>
      <c r="I832" s="28"/>
      <c r="J832" s="22"/>
      <c r="K832" s="22"/>
      <c r="L832" s="22"/>
      <c r="M832" s="21"/>
      <c r="N832" s="22"/>
      <c r="O832" s="29" t="str">
        <f aca="false">IF(A832="","",IF(COUNTIF($A$2:$A$2001,A832)&gt;1,"GANDA","OK"))</f>
        <v/>
      </c>
      <c r="P832" s="29" t="str">
        <f aca="false">IF(A832="","",IF(C832="","KOSONG",IF(AND(LEN(C832)=16,ISNUMBER(--C832)),"OK","TIDAK VALID")))</f>
        <v/>
      </c>
    </row>
    <row r="833" customFormat="false" ht="15" hidden="false" customHeight="false" outlineLevel="0" collapsed="false">
      <c r="A833" s="21"/>
      <c r="B833" s="22"/>
      <c r="C833" s="21"/>
      <c r="D833" s="22"/>
      <c r="E833" s="22"/>
      <c r="F833" s="28"/>
      <c r="G833" s="22"/>
      <c r="H833" s="21"/>
      <c r="I833" s="28"/>
      <c r="J833" s="22"/>
      <c r="K833" s="22"/>
      <c r="L833" s="22"/>
      <c r="M833" s="21"/>
      <c r="N833" s="22"/>
      <c r="O833" s="29" t="str">
        <f aca="false">IF(A833="","",IF(COUNTIF($A$2:$A$2001,A833)&gt;1,"GANDA","OK"))</f>
        <v/>
      </c>
      <c r="P833" s="29" t="str">
        <f aca="false">IF(A833="","",IF(C833="","KOSONG",IF(AND(LEN(C833)=16,ISNUMBER(--C833)),"OK","TIDAK VALID")))</f>
        <v/>
      </c>
    </row>
    <row r="834" customFormat="false" ht="15" hidden="false" customHeight="false" outlineLevel="0" collapsed="false">
      <c r="A834" s="21"/>
      <c r="B834" s="22"/>
      <c r="C834" s="21"/>
      <c r="D834" s="22"/>
      <c r="E834" s="22"/>
      <c r="F834" s="28"/>
      <c r="G834" s="22"/>
      <c r="H834" s="21"/>
      <c r="I834" s="28"/>
      <c r="J834" s="22"/>
      <c r="K834" s="22"/>
      <c r="L834" s="22"/>
      <c r="M834" s="21"/>
      <c r="N834" s="22"/>
      <c r="O834" s="29" t="str">
        <f aca="false">IF(A834="","",IF(COUNTIF($A$2:$A$2001,A834)&gt;1,"GANDA","OK"))</f>
        <v/>
      </c>
      <c r="P834" s="29" t="str">
        <f aca="false">IF(A834="","",IF(C834="","KOSONG",IF(AND(LEN(C834)=16,ISNUMBER(--C834)),"OK","TIDAK VALID")))</f>
        <v/>
      </c>
    </row>
    <row r="835" customFormat="false" ht="15" hidden="false" customHeight="false" outlineLevel="0" collapsed="false">
      <c r="A835" s="21"/>
      <c r="B835" s="22"/>
      <c r="C835" s="21"/>
      <c r="D835" s="22"/>
      <c r="E835" s="22"/>
      <c r="F835" s="28"/>
      <c r="G835" s="22"/>
      <c r="H835" s="21"/>
      <c r="I835" s="28"/>
      <c r="J835" s="22"/>
      <c r="K835" s="22"/>
      <c r="L835" s="22"/>
      <c r="M835" s="21"/>
      <c r="N835" s="22"/>
      <c r="O835" s="29" t="str">
        <f aca="false">IF(A835="","",IF(COUNTIF($A$2:$A$2001,A835)&gt;1,"GANDA","OK"))</f>
        <v/>
      </c>
      <c r="P835" s="29" t="str">
        <f aca="false">IF(A835="","",IF(C835="","KOSONG",IF(AND(LEN(C835)=16,ISNUMBER(--C835)),"OK","TIDAK VALID")))</f>
        <v/>
      </c>
    </row>
    <row r="836" customFormat="false" ht="15" hidden="false" customHeight="false" outlineLevel="0" collapsed="false">
      <c r="A836" s="21"/>
      <c r="B836" s="22"/>
      <c r="C836" s="21"/>
      <c r="D836" s="22"/>
      <c r="E836" s="22"/>
      <c r="F836" s="28"/>
      <c r="G836" s="22"/>
      <c r="H836" s="21"/>
      <c r="I836" s="28"/>
      <c r="J836" s="22"/>
      <c r="K836" s="22"/>
      <c r="L836" s="22"/>
      <c r="M836" s="21"/>
      <c r="N836" s="22"/>
      <c r="O836" s="29" t="str">
        <f aca="false">IF(A836="","",IF(COUNTIF($A$2:$A$2001,A836)&gt;1,"GANDA","OK"))</f>
        <v/>
      </c>
      <c r="P836" s="29" t="str">
        <f aca="false">IF(A836="","",IF(C836="","KOSONG",IF(AND(LEN(C836)=16,ISNUMBER(--C836)),"OK","TIDAK VALID")))</f>
        <v/>
      </c>
    </row>
    <row r="837" customFormat="false" ht="15" hidden="false" customHeight="false" outlineLevel="0" collapsed="false">
      <c r="A837" s="21"/>
      <c r="B837" s="22"/>
      <c r="C837" s="21"/>
      <c r="D837" s="22"/>
      <c r="E837" s="22"/>
      <c r="F837" s="28"/>
      <c r="G837" s="22"/>
      <c r="H837" s="21"/>
      <c r="I837" s="28"/>
      <c r="J837" s="22"/>
      <c r="K837" s="22"/>
      <c r="L837" s="22"/>
      <c r="M837" s="21"/>
      <c r="N837" s="22"/>
      <c r="O837" s="29" t="str">
        <f aca="false">IF(A837="","",IF(COUNTIF($A$2:$A$2001,A837)&gt;1,"GANDA","OK"))</f>
        <v/>
      </c>
      <c r="P837" s="29" t="str">
        <f aca="false">IF(A837="","",IF(C837="","KOSONG",IF(AND(LEN(C837)=16,ISNUMBER(--C837)),"OK","TIDAK VALID")))</f>
        <v/>
      </c>
    </row>
    <row r="838" customFormat="false" ht="15" hidden="false" customHeight="false" outlineLevel="0" collapsed="false">
      <c r="A838" s="21"/>
      <c r="B838" s="22"/>
      <c r="C838" s="21"/>
      <c r="D838" s="22"/>
      <c r="E838" s="22"/>
      <c r="F838" s="28"/>
      <c r="G838" s="22"/>
      <c r="H838" s="21"/>
      <c r="I838" s="28"/>
      <c r="J838" s="22"/>
      <c r="K838" s="22"/>
      <c r="L838" s="22"/>
      <c r="M838" s="21"/>
      <c r="N838" s="22"/>
      <c r="O838" s="29" t="str">
        <f aca="false">IF(A838="","",IF(COUNTIF($A$2:$A$2001,A838)&gt;1,"GANDA","OK"))</f>
        <v/>
      </c>
      <c r="P838" s="29" t="str">
        <f aca="false">IF(A838="","",IF(C838="","KOSONG",IF(AND(LEN(C838)=16,ISNUMBER(--C838)),"OK","TIDAK VALID")))</f>
        <v/>
      </c>
    </row>
    <row r="839" customFormat="false" ht="15" hidden="false" customHeight="false" outlineLevel="0" collapsed="false">
      <c r="A839" s="21"/>
      <c r="B839" s="22"/>
      <c r="C839" s="21"/>
      <c r="D839" s="22"/>
      <c r="E839" s="22"/>
      <c r="F839" s="28"/>
      <c r="G839" s="22"/>
      <c r="H839" s="21"/>
      <c r="I839" s="28"/>
      <c r="J839" s="22"/>
      <c r="K839" s="22"/>
      <c r="L839" s="22"/>
      <c r="M839" s="21"/>
      <c r="N839" s="22"/>
      <c r="O839" s="29" t="str">
        <f aca="false">IF(A839="","",IF(COUNTIF($A$2:$A$2001,A839)&gt;1,"GANDA","OK"))</f>
        <v/>
      </c>
      <c r="P839" s="29" t="str">
        <f aca="false">IF(A839="","",IF(C839="","KOSONG",IF(AND(LEN(C839)=16,ISNUMBER(--C839)),"OK","TIDAK VALID")))</f>
        <v/>
      </c>
    </row>
    <row r="840" customFormat="false" ht="15" hidden="false" customHeight="false" outlineLevel="0" collapsed="false">
      <c r="A840" s="21"/>
      <c r="B840" s="22"/>
      <c r="C840" s="21"/>
      <c r="D840" s="22"/>
      <c r="E840" s="22"/>
      <c r="F840" s="28"/>
      <c r="G840" s="22"/>
      <c r="H840" s="21"/>
      <c r="I840" s="28"/>
      <c r="J840" s="22"/>
      <c r="K840" s="22"/>
      <c r="L840" s="22"/>
      <c r="M840" s="21"/>
      <c r="N840" s="22"/>
      <c r="O840" s="29" t="str">
        <f aca="false">IF(A840="","",IF(COUNTIF($A$2:$A$2001,A840)&gt;1,"GANDA","OK"))</f>
        <v/>
      </c>
      <c r="P840" s="29" t="str">
        <f aca="false">IF(A840="","",IF(C840="","KOSONG",IF(AND(LEN(C840)=16,ISNUMBER(--C840)),"OK","TIDAK VALID")))</f>
        <v/>
      </c>
    </row>
    <row r="841" customFormat="false" ht="15" hidden="false" customHeight="false" outlineLevel="0" collapsed="false">
      <c r="A841" s="21"/>
      <c r="B841" s="22"/>
      <c r="C841" s="21"/>
      <c r="D841" s="22"/>
      <c r="E841" s="22"/>
      <c r="F841" s="28"/>
      <c r="G841" s="22"/>
      <c r="H841" s="21"/>
      <c r="I841" s="28"/>
      <c r="J841" s="22"/>
      <c r="K841" s="22"/>
      <c r="L841" s="22"/>
      <c r="M841" s="21"/>
      <c r="N841" s="22"/>
      <c r="O841" s="29" t="str">
        <f aca="false">IF(A841="","",IF(COUNTIF($A$2:$A$2001,A841)&gt;1,"GANDA","OK"))</f>
        <v/>
      </c>
      <c r="P841" s="29" t="str">
        <f aca="false">IF(A841="","",IF(C841="","KOSONG",IF(AND(LEN(C841)=16,ISNUMBER(--C841)),"OK","TIDAK VALID")))</f>
        <v/>
      </c>
    </row>
    <row r="842" customFormat="false" ht="15" hidden="false" customHeight="false" outlineLevel="0" collapsed="false">
      <c r="A842" s="21"/>
      <c r="B842" s="22"/>
      <c r="C842" s="21"/>
      <c r="D842" s="22"/>
      <c r="E842" s="22"/>
      <c r="F842" s="28"/>
      <c r="G842" s="22"/>
      <c r="H842" s="21"/>
      <c r="I842" s="28"/>
      <c r="J842" s="22"/>
      <c r="K842" s="22"/>
      <c r="L842" s="22"/>
      <c r="M842" s="21"/>
      <c r="N842" s="22"/>
      <c r="O842" s="29" t="str">
        <f aca="false">IF(A842="","",IF(COUNTIF($A$2:$A$2001,A842)&gt;1,"GANDA","OK"))</f>
        <v/>
      </c>
      <c r="P842" s="29" t="str">
        <f aca="false">IF(A842="","",IF(C842="","KOSONG",IF(AND(LEN(C842)=16,ISNUMBER(--C842)),"OK","TIDAK VALID")))</f>
        <v/>
      </c>
    </row>
    <row r="843" customFormat="false" ht="15" hidden="false" customHeight="false" outlineLevel="0" collapsed="false">
      <c r="A843" s="21"/>
      <c r="B843" s="22"/>
      <c r="C843" s="21"/>
      <c r="D843" s="22"/>
      <c r="E843" s="22"/>
      <c r="F843" s="28"/>
      <c r="G843" s="22"/>
      <c r="H843" s="21"/>
      <c r="I843" s="28"/>
      <c r="J843" s="22"/>
      <c r="K843" s="22"/>
      <c r="L843" s="22"/>
      <c r="M843" s="21"/>
      <c r="N843" s="22"/>
      <c r="O843" s="29" t="str">
        <f aca="false">IF(A843="","",IF(COUNTIF($A$2:$A$2001,A843)&gt;1,"GANDA","OK"))</f>
        <v/>
      </c>
      <c r="P843" s="29" t="str">
        <f aca="false">IF(A843="","",IF(C843="","KOSONG",IF(AND(LEN(C843)=16,ISNUMBER(--C843)),"OK","TIDAK VALID")))</f>
        <v/>
      </c>
    </row>
    <row r="844" customFormat="false" ht="15" hidden="false" customHeight="false" outlineLevel="0" collapsed="false">
      <c r="A844" s="21"/>
      <c r="B844" s="22"/>
      <c r="C844" s="21"/>
      <c r="D844" s="22"/>
      <c r="E844" s="22"/>
      <c r="F844" s="28"/>
      <c r="G844" s="22"/>
      <c r="H844" s="21"/>
      <c r="I844" s="28"/>
      <c r="J844" s="22"/>
      <c r="K844" s="22"/>
      <c r="L844" s="22"/>
      <c r="M844" s="21"/>
      <c r="N844" s="22"/>
      <c r="O844" s="29" t="str">
        <f aca="false">IF(A844="","",IF(COUNTIF($A$2:$A$2001,A844)&gt;1,"GANDA","OK"))</f>
        <v/>
      </c>
      <c r="P844" s="29" t="str">
        <f aca="false">IF(A844="","",IF(C844="","KOSONG",IF(AND(LEN(C844)=16,ISNUMBER(--C844)),"OK","TIDAK VALID")))</f>
        <v/>
      </c>
    </row>
    <row r="845" customFormat="false" ht="15" hidden="false" customHeight="false" outlineLevel="0" collapsed="false">
      <c r="A845" s="21"/>
      <c r="B845" s="22"/>
      <c r="C845" s="21"/>
      <c r="D845" s="22"/>
      <c r="E845" s="22"/>
      <c r="F845" s="28"/>
      <c r="G845" s="22"/>
      <c r="H845" s="21"/>
      <c r="I845" s="28"/>
      <c r="J845" s="22"/>
      <c r="K845" s="22"/>
      <c r="L845" s="22"/>
      <c r="M845" s="21"/>
      <c r="N845" s="22"/>
      <c r="O845" s="29" t="str">
        <f aca="false">IF(A845="","",IF(COUNTIF($A$2:$A$2001,A845)&gt;1,"GANDA","OK"))</f>
        <v/>
      </c>
      <c r="P845" s="29" t="str">
        <f aca="false">IF(A845="","",IF(C845="","KOSONG",IF(AND(LEN(C845)=16,ISNUMBER(--C845)),"OK","TIDAK VALID")))</f>
        <v/>
      </c>
    </row>
    <row r="846" customFormat="false" ht="15" hidden="false" customHeight="false" outlineLevel="0" collapsed="false">
      <c r="A846" s="21"/>
      <c r="B846" s="22"/>
      <c r="C846" s="21"/>
      <c r="D846" s="22"/>
      <c r="E846" s="22"/>
      <c r="F846" s="28"/>
      <c r="G846" s="22"/>
      <c r="H846" s="21"/>
      <c r="I846" s="28"/>
      <c r="J846" s="22"/>
      <c r="K846" s="22"/>
      <c r="L846" s="22"/>
      <c r="M846" s="21"/>
      <c r="N846" s="22"/>
      <c r="O846" s="29" t="str">
        <f aca="false">IF(A846="","",IF(COUNTIF($A$2:$A$2001,A846)&gt;1,"GANDA","OK"))</f>
        <v/>
      </c>
      <c r="P846" s="29" t="str">
        <f aca="false">IF(A846="","",IF(C846="","KOSONG",IF(AND(LEN(C846)=16,ISNUMBER(--C846)),"OK","TIDAK VALID")))</f>
        <v/>
      </c>
    </row>
    <row r="847" customFormat="false" ht="15" hidden="false" customHeight="false" outlineLevel="0" collapsed="false">
      <c r="A847" s="21"/>
      <c r="B847" s="22"/>
      <c r="C847" s="21"/>
      <c r="D847" s="22"/>
      <c r="E847" s="22"/>
      <c r="F847" s="28"/>
      <c r="G847" s="22"/>
      <c r="H847" s="21"/>
      <c r="I847" s="28"/>
      <c r="J847" s="22"/>
      <c r="K847" s="22"/>
      <c r="L847" s="22"/>
      <c r="M847" s="21"/>
      <c r="N847" s="22"/>
      <c r="O847" s="29" t="str">
        <f aca="false">IF(A847="","",IF(COUNTIF($A$2:$A$2001,A847)&gt;1,"GANDA","OK"))</f>
        <v/>
      </c>
      <c r="P847" s="29" t="str">
        <f aca="false">IF(A847="","",IF(C847="","KOSONG",IF(AND(LEN(C847)=16,ISNUMBER(--C847)),"OK","TIDAK VALID")))</f>
        <v/>
      </c>
    </row>
    <row r="848" customFormat="false" ht="15" hidden="false" customHeight="false" outlineLevel="0" collapsed="false">
      <c r="A848" s="21"/>
      <c r="B848" s="22"/>
      <c r="C848" s="21"/>
      <c r="D848" s="22"/>
      <c r="E848" s="22"/>
      <c r="F848" s="28"/>
      <c r="G848" s="22"/>
      <c r="H848" s="21"/>
      <c r="I848" s="28"/>
      <c r="J848" s="22"/>
      <c r="K848" s="22"/>
      <c r="L848" s="22"/>
      <c r="M848" s="21"/>
      <c r="N848" s="22"/>
      <c r="O848" s="29" t="str">
        <f aca="false">IF(A848="","",IF(COUNTIF($A$2:$A$2001,A848)&gt;1,"GANDA","OK"))</f>
        <v/>
      </c>
      <c r="P848" s="29" t="str">
        <f aca="false">IF(A848="","",IF(C848="","KOSONG",IF(AND(LEN(C848)=16,ISNUMBER(--C848)),"OK","TIDAK VALID")))</f>
        <v/>
      </c>
    </row>
    <row r="849" customFormat="false" ht="15" hidden="false" customHeight="false" outlineLevel="0" collapsed="false">
      <c r="A849" s="21"/>
      <c r="B849" s="22"/>
      <c r="C849" s="21"/>
      <c r="D849" s="22"/>
      <c r="E849" s="22"/>
      <c r="F849" s="28"/>
      <c r="G849" s="22"/>
      <c r="H849" s="21"/>
      <c r="I849" s="28"/>
      <c r="J849" s="22"/>
      <c r="K849" s="22"/>
      <c r="L849" s="22"/>
      <c r="M849" s="21"/>
      <c r="N849" s="22"/>
      <c r="O849" s="29" t="str">
        <f aca="false">IF(A849="","",IF(COUNTIF($A$2:$A$2001,A849)&gt;1,"GANDA","OK"))</f>
        <v/>
      </c>
      <c r="P849" s="29" t="str">
        <f aca="false">IF(A849="","",IF(C849="","KOSONG",IF(AND(LEN(C849)=16,ISNUMBER(--C849)),"OK","TIDAK VALID")))</f>
        <v/>
      </c>
    </row>
    <row r="850" customFormat="false" ht="15" hidden="false" customHeight="false" outlineLevel="0" collapsed="false">
      <c r="A850" s="21"/>
      <c r="B850" s="22"/>
      <c r="C850" s="21"/>
      <c r="D850" s="22"/>
      <c r="E850" s="22"/>
      <c r="F850" s="28"/>
      <c r="G850" s="22"/>
      <c r="H850" s="21"/>
      <c r="I850" s="28"/>
      <c r="J850" s="22"/>
      <c r="K850" s="22"/>
      <c r="L850" s="22"/>
      <c r="M850" s="21"/>
      <c r="N850" s="22"/>
      <c r="O850" s="29" t="str">
        <f aca="false">IF(A850="","",IF(COUNTIF($A$2:$A$2001,A850)&gt;1,"GANDA","OK"))</f>
        <v/>
      </c>
      <c r="P850" s="29" t="str">
        <f aca="false">IF(A850="","",IF(C850="","KOSONG",IF(AND(LEN(C850)=16,ISNUMBER(--C850)),"OK","TIDAK VALID")))</f>
        <v/>
      </c>
    </row>
    <row r="851" customFormat="false" ht="15" hidden="false" customHeight="false" outlineLevel="0" collapsed="false">
      <c r="A851" s="21"/>
      <c r="B851" s="22"/>
      <c r="C851" s="21"/>
      <c r="D851" s="22"/>
      <c r="E851" s="22"/>
      <c r="F851" s="28"/>
      <c r="G851" s="22"/>
      <c r="H851" s="21"/>
      <c r="I851" s="28"/>
      <c r="J851" s="22"/>
      <c r="K851" s="22"/>
      <c r="L851" s="22"/>
      <c r="M851" s="21"/>
      <c r="N851" s="22"/>
      <c r="O851" s="29" t="str">
        <f aca="false">IF(A851="","",IF(COUNTIF($A$2:$A$2001,A851)&gt;1,"GANDA","OK"))</f>
        <v/>
      </c>
      <c r="P851" s="29" t="str">
        <f aca="false">IF(A851="","",IF(C851="","KOSONG",IF(AND(LEN(C851)=16,ISNUMBER(--C851)),"OK","TIDAK VALID")))</f>
        <v/>
      </c>
    </row>
    <row r="852" customFormat="false" ht="15" hidden="false" customHeight="false" outlineLevel="0" collapsed="false">
      <c r="A852" s="21"/>
      <c r="B852" s="22"/>
      <c r="C852" s="21"/>
      <c r="D852" s="22"/>
      <c r="E852" s="22"/>
      <c r="F852" s="28"/>
      <c r="G852" s="22"/>
      <c r="H852" s="21"/>
      <c r="I852" s="28"/>
      <c r="J852" s="22"/>
      <c r="K852" s="22"/>
      <c r="L852" s="22"/>
      <c r="M852" s="21"/>
      <c r="N852" s="22"/>
      <c r="O852" s="29" t="str">
        <f aca="false">IF(A852="","",IF(COUNTIF($A$2:$A$2001,A852)&gt;1,"GANDA","OK"))</f>
        <v/>
      </c>
      <c r="P852" s="29" t="str">
        <f aca="false">IF(A852="","",IF(C852="","KOSONG",IF(AND(LEN(C852)=16,ISNUMBER(--C852)),"OK","TIDAK VALID")))</f>
        <v/>
      </c>
    </row>
    <row r="853" customFormat="false" ht="15" hidden="false" customHeight="false" outlineLevel="0" collapsed="false">
      <c r="A853" s="21"/>
      <c r="B853" s="22"/>
      <c r="C853" s="21"/>
      <c r="D853" s="22"/>
      <c r="E853" s="22"/>
      <c r="F853" s="28"/>
      <c r="G853" s="22"/>
      <c r="H853" s="21"/>
      <c r="I853" s="28"/>
      <c r="J853" s="22"/>
      <c r="K853" s="22"/>
      <c r="L853" s="22"/>
      <c r="M853" s="21"/>
      <c r="N853" s="22"/>
      <c r="O853" s="29" t="str">
        <f aca="false">IF(A853="","",IF(COUNTIF($A$2:$A$2001,A853)&gt;1,"GANDA","OK"))</f>
        <v/>
      </c>
      <c r="P853" s="29" t="str">
        <f aca="false">IF(A853="","",IF(C853="","KOSONG",IF(AND(LEN(C853)=16,ISNUMBER(--C853)),"OK","TIDAK VALID")))</f>
        <v/>
      </c>
    </row>
    <row r="854" customFormat="false" ht="15" hidden="false" customHeight="false" outlineLevel="0" collapsed="false">
      <c r="A854" s="21"/>
      <c r="B854" s="22"/>
      <c r="C854" s="21"/>
      <c r="D854" s="22"/>
      <c r="E854" s="22"/>
      <c r="F854" s="28"/>
      <c r="G854" s="22"/>
      <c r="H854" s="21"/>
      <c r="I854" s="28"/>
      <c r="J854" s="22"/>
      <c r="K854" s="22"/>
      <c r="L854" s="22"/>
      <c r="M854" s="21"/>
      <c r="N854" s="22"/>
      <c r="O854" s="29" t="str">
        <f aca="false">IF(A854="","",IF(COUNTIF($A$2:$A$2001,A854)&gt;1,"GANDA","OK"))</f>
        <v/>
      </c>
      <c r="P854" s="29" t="str">
        <f aca="false">IF(A854="","",IF(C854="","KOSONG",IF(AND(LEN(C854)=16,ISNUMBER(--C854)),"OK","TIDAK VALID")))</f>
        <v/>
      </c>
    </row>
    <row r="855" customFormat="false" ht="15" hidden="false" customHeight="false" outlineLevel="0" collapsed="false">
      <c r="A855" s="21"/>
      <c r="B855" s="22"/>
      <c r="C855" s="21"/>
      <c r="D855" s="22"/>
      <c r="E855" s="22"/>
      <c r="F855" s="28"/>
      <c r="G855" s="22"/>
      <c r="H855" s="21"/>
      <c r="I855" s="28"/>
      <c r="J855" s="22"/>
      <c r="K855" s="22"/>
      <c r="L855" s="22"/>
      <c r="M855" s="21"/>
      <c r="N855" s="22"/>
      <c r="O855" s="29" t="str">
        <f aca="false">IF(A855="","",IF(COUNTIF($A$2:$A$2001,A855)&gt;1,"GANDA","OK"))</f>
        <v/>
      </c>
      <c r="P855" s="29" t="str">
        <f aca="false">IF(A855="","",IF(C855="","KOSONG",IF(AND(LEN(C855)=16,ISNUMBER(--C855)),"OK","TIDAK VALID")))</f>
        <v/>
      </c>
    </row>
    <row r="856" customFormat="false" ht="15" hidden="false" customHeight="false" outlineLevel="0" collapsed="false">
      <c r="A856" s="21"/>
      <c r="B856" s="22"/>
      <c r="C856" s="21"/>
      <c r="D856" s="22"/>
      <c r="E856" s="22"/>
      <c r="F856" s="28"/>
      <c r="G856" s="22"/>
      <c r="H856" s="21"/>
      <c r="I856" s="28"/>
      <c r="J856" s="22"/>
      <c r="K856" s="22"/>
      <c r="L856" s="22"/>
      <c r="M856" s="21"/>
      <c r="N856" s="22"/>
      <c r="O856" s="29" t="str">
        <f aca="false">IF(A856="","",IF(COUNTIF($A$2:$A$2001,A856)&gt;1,"GANDA","OK"))</f>
        <v/>
      </c>
      <c r="P856" s="29" t="str">
        <f aca="false">IF(A856="","",IF(C856="","KOSONG",IF(AND(LEN(C856)=16,ISNUMBER(--C856)),"OK","TIDAK VALID")))</f>
        <v/>
      </c>
    </row>
    <row r="857" customFormat="false" ht="15" hidden="false" customHeight="false" outlineLevel="0" collapsed="false">
      <c r="A857" s="21"/>
      <c r="B857" s="22"/>
      <c r="C857" s="21"/>
      <c r="D857" s="22"/>
      <c r="E857" s="22"/>
      <c r="F857" s="28"/>
      <c r="G857" s="22"/>
      <c r="H857" s="21"/>
      <c r="I857" s="28"/>
      <c r="J857" s="22"/>
      <c r="K857" s="22"/>
      <c r="L857" s="22"/>
      <c r="M857" s="21"/>
      <c r="N857" s="22"/>
      <c r="O857" s="29" t="str">
        <f aca="false">IF(A857="","",IF(COUNTIF($A$2:$A$2001,A857)&gt;1,"GANDA","OK"))</f>
        <v/>
      </c>
      <c r="P857" s="29" t="str">
        <f aca="false">IF(A857="","",IF(C857="","KOSONG",IF(AND(LEN(C857)=16,ISNUMBER(--C857)),"OK","TIDAK VALID")))</f>
        <v/>
      </c>
    </row>
    <row r="858" customFormat="false" ht="15" hidden="false" customHeight="false" outlineLevel="0" collapsed="false">
      <c r="A858" s="21"/>
      <c r="B858" s="22"/>
      <c r="C858" s="21"/>
      <c r="D858" s="22"/>
      <c r="E858" s="22"/>
      <c r="F858" s="28"/>
      <c r="G858" s="22"/>
      <c r="H858" s="21"/>
      <c r="I858" s="28"/>
      <c r="J858" s="22"/>
      <c r="K858" s="22"/>
      <c r="L858" s="22"/>
      <c r="M858" s="21"/>
      <c r="N858" s="22"/>
      <c r="O858" s="29" t="str">
        <f aca="false">IF(A858="","",IF(COUNTIF($A$2:$A$2001,A858)&gt;1,"GANDA","OK"))</f>
        <v/>
      </c>
      <c r="P858" s="29" t="str">
        <f aca="false">IF(A858="","",IF(C858="","KOSONG",IF(AND(LEN(C858)=16,ISNUMBER(--C858)),"OK","TIDAK VALID")))</f>
        <v/>
      </c>
    </row>
    <row r="859" customFormat="false" ht="15" hidden="false" customHeight="false" outlineLevel="0" collapsed="false">
      <c r="A859" s="21"/>
      <c r="B859" s="22"/>
      <c r="C859" s="21"/>
      <c r="D859" s="22"/>
      <c r="E859" s="22"/>
      <c r="F859" s="28"/>
      <c r="G859" s="22"/>
      <c r="H859" s="21"/>
      <c r="I859" s="28"/>
      <c r="J859" s="22"/>
      <c r="K859" s="22"/>
      <c r="L859" s="22"/>
      <c r="M859" s="21"/>
      <c r="N859" s="22"/>
      <c r="O859" s="29" t="str">
        <f aca="false">IF(A859="","",IF(COUNTIF($A$2:$A$2001,A859)&gt;1,"GANDA","OK"))</f>
        <v/>
      </c>
      <c r="P859" s="29" t="str">
        <f aca="false">IF(A859="","",IF(C859="","KOSONG",IF(AND(LEN(C859)=16,ISNUMBER(--C859)),"OK","TIDAK VALID")))</f>
        <v/>
      </c>
    </row>
    <row r="860" customFormat="false" ht="15" hidden="false" customHeight="false" outlineLevel="0" collapsed="false">
      <c r="A860" s="21"/>
      <c r="B860" s="22"/>
      <c r="C860" s="21"/>
      <c r="D860" s="22"/>
      <c r="E860" s="22"/>
      <c r="F860" s="28"/>
      <c r="G860" s="22"/>
      <c r="H860" s="21"/>
      <c r="I860" s="28"/>
      <c r="J860" s="22"/>
      <c r="K860" s="22"/>
      <c r="L860" s="22"/>
      <c r="M860" s="21"/>
      <c r="N860" s="22"/>
      <c r="O860" s="29" t="str">
        <f aca="false">IF(A860="","",IF(COUNTIF($A$2:$A$2001,A860)&gt;1,"GANDA","OK"))</f>
        <v/>
      </c>
      <c r="P860" s="29" t="str">
        <f aca="false">IF(A860="","",IF(C860="","KOSONG",IF(AND(LEN(C860)=16,ISNUMBER(--C860)),"OK","TIDAK VALID")))</f>
        <v/>
      </c>
    </row>
    <row r="861" customFormat="false" ht="15" hidden="false" customHeight="false" outlineLevel="0" collapsed="false">
      <c r="A861" s="21"/>
      <c r="B861" s="22"/>
      <c r="C861" s="21"/>
      <c r="D861" s="22"/>
      <c r="E861" s="22"/>
      <c r="F861" s="28"/>
      <c r="G861" s="22"/>
      <c r="H861" s="21"/>
      <c r="I861" s="28"/>
      <c r="J861" s="22"/>
      <c r="K861" s="22"/>
      <c r="L861" s="22"/>
      <c r="M861" s="21"/>
      <c r="N861" s="22"/>
      <c r="O861" s="29" t="str">
        <f aca="false">IF(A861="","",IF(COUNTIF($A$2:$A$2001,A861)&gt;1,"GANDA","OK"))</f>
        <v/>
      </c>
      <c r="P861" s="29" t="str">
        <f aca="false">IF(A861="","",IF(C861="","KOSONG",IF(AND(LEN(C861)=16,ISNUMBER(--C861)),"OK","TIDAK VALID")))</f>
        <v/>
      </c>
    </row>
    <row r="862" customFormat="false" ht="15" hidden="false" customHeight="false" outlineLevel="0" collapsed="false">
      <c r="A862" s="21"/>
      <c r="B862" s="22"/>
      <c r="C862" s="21"/>
      <c r="D862" s="22"/>
      <c r="E862" s="22"/>
      <c r="F862" s="28"/>
      <c r="G862" s="22"/>
      <c r="H862" s="21"/>
      <c r="I862" s="28"/>
      <c r="J862" s="22"/>
      <c r="K862" s="22"/>
      <c r="L862" s="22"/>
      <c r="M862" s="21"/>
      <c r="N862" s="22"/>
      <c r="O862" s="29" t="str">
        <f aca="false">IF(A862="","",IF(COUNTIF($A$2:$A$2001,A862)&gt;1,"GANDA","OK"))</f>
        <v/>
      </c>
      <c r="P862" s="29" t="str">
        <f aca="false">IF(A862="","",IF(C862="","KOSONG",IF(AND(LEN(C862)=16,ISNUMBER(--C862)),"OK","TIDAK VALID")))</f>
        <v/>
      </c>
    </row>
    <row r="863" customFormat="false" ht="15" hidden="false" customHeight="false" outlineLevel="0" collapsed="false">
      <c r="A863" s="21"/>
      <c r="B863" s="22"/>
      <c r="C863" s="21"/>
      <c r="D863" s="22"/>
      <c r="E863" s="22"/>
      <c r="F863" s="28"/>
      <c r="G863" s="22"/>
      <c r="H863" s="21"/>
      <c r="I863" s="28"/>
      <c r="J863" s="22"/>
      <c r="K863" s="22"/>
      <c r="L863" s="22"/>
      <c r="M863" s="21"/>
      <c r="N863" s="22"/>
      <c r="O863" s="29" t="str">
        <f aca="false">IF(A863="","",IF(COUNTIF($A$2:$A$2001,A863)&gt;1,"GANDA","OK"))</f>
        <v/>
      </c>
      <c r="P863" s="29" t="str">
        <f aca="false">IF(A863="","",IF(C863="","KOSONG",IF(AND(LEN(C863)=16,ISNUMBER(--C863)),"OK","TIDAK VALID")))</f>
        <v/>
      </c>
    </row>
    <row r="864" customFormat="false" ht="15" hidden="false" customHeight="false" outlineLevel="0" collapsed="false">
      <c r="A864" s="21"/>
      <c r="B864" s="22"/>
      <c r="C864" s="21"/>
      <c r="D864" s="22"/>
      <c r="E864" s="22"/>
      <c r="F864" s="28"/>
      <c r="G864" s="22"/>
      <c r="H864" s="21"/>
      <c r="I864" s="28"/>
      <c r="J864" s="22"/>
      <c r="K864" s="22"/>
      <c r="L864" s="22"/>
      <c r="M864" s="21"/>
      <c r="N864" s="22"/>
      <c r="O864" s="29" t="str">
        <f aca="false">IF(A864="","",IF(COUNTIF($A$2:$A$2001,A864)&gt;1,"GANDA","OK"))</f>
        <v/>
      </c>
      <c r="P864" s="29" t="str">
        <f aca="false">IF(A864="","",IF(C864="","KOSONG",IF(AND(LEN(C864)=16,ISNUMBER(--C864)),"OK","TIDAK VALID")))</f>
        <v/>
      </c>
    </row>
    <row r="865" customFormat="false" ht="15" hidden="false" customHeight="false" outlineLevel="0" collapsed="false">
      <c r="A865" s="21"/>
      <c r="B865" s="22"/>
      <c r="C865" s="21"/>
      <c r="D865" s="22"/>
      <c r="E865" s="22"/>
      <c r="F865" s="28"/>
      <c r="G865" s="22"/>
      <c r="H865" s="21"/>
      <c r="I865" s="28"/>
      <c r="J865" s="22"/>
      <c r="K865" s="22"/>
      <c r="L865" s="22"/>
      <c r="M865" s="21"/>
      <c r="N865" s="22"/>
      <c r="O865" s="29" t="str">
        <f aca="false">IF(A865="","",IF(COUNTIF($A$2:$A$2001,A865)&gt;1,"GANDA","OK"))</f>
        <v/>
      </c>
      <c r="P865" s="29" t="str">
        <f aca="false">IF(A865="","",IF(C865="","KOSONG",IF(AND(LEN(C865)=16,ISNUMBER(--C865)),"OK","TIDAK VALID")))</f>
        <v/>
      </c>
    </row>
    <row r="866" customFormat="false" ht="15" hidden="false" customHeight="false" outlineLevel="0" collapsed="false">
      <c r="A866" s="21"/>
      <c r="B866" s="22"/>
      <c r="C866" s="21"/>
      <c r="D866" s="22"/>
      <c r="E866" s="22"/>
      <c r="F866" s="28"/>
      <c r="G866" s="22"/>
      <c r="H866" s="21"/>
      <c r="I866" s="28"/>
      <c r="J866" s="22"/>
      <c r="K866" s="22"/>
      <c r="L866" s="22"/>
      <c r="M866" s="21"/>
      <c r="N866" s="22"/>
      <c r="O866" s="29" t="str">
        <f aca="false">IF(A866="","",IF(COUNTIF($A$2:$A$2001,A866)&gt;1,"GANDA","OK"))</f>
        <v/>
      </c>
      <c r="P866" s="29" t="str">
        <f aca="false">IF(A866="","",IF(C866="","KOSONG",IF(AND(LEN(C866)=16,ISNUMBER(--C866)),"OK","TIDAK VALID")))</f>
        <v/>
      </c>
    </row>
    <row r="867" customFormat="false" ht="15" hidden="false" customHeight="false" outlineLevel="0" collapsed="false">
      <c r="A867" s="21"/>
      <c r="B867" s="22"/>
      <c r="C867" s="21"/>
      <c r="D867" s="22"/>
      <c r="E867" s="22"/>
      <c r="F867" s="28"/>
      <c r="G867" s="22"/>
      <c r="H867" s="21"/>
      <c r="I867" s="28"/>
      <c r="J867" s="22"/>
      <c r="K867" s="22"/>
      <c r="L867" s="22"/>
      <c r="M867" s="21"/>
      <c r="N867" s="22"/>
      <c r="O867" s="29" t="str">
        <f aca="false">IF(A867="","",IF(COUNTIF($A$2:$A$2001,A867)&gt;1,"GANDA","OK"))</f>
        <v/>
      </c>
      <c r="P867" s="29" t="str">
        <f aca="false">IF(A867="","",IF(C867="","KOSONG",IF(AND(LEN(C867)=16,ISNUMBER(--C867)),"OK","TIDAK VALID")))</f>
        <v/>
      </c>
    </row>
    <row r="868" customFormat="false" ht="15" hidden="false" customHeight="false" outlineLevel="0" collapsed="false">
      <c r="A868" s="21"/>
      <c r="B868" s="22"/>
      <c r="C868" s="21"/>
      <c r="D868" s="22"/>
      <c r="E868" s="22"/>
      <c r="F868" s="28"/>
      <c r="G868" s="22"/>
      <c r="H868" s="21"/>
      <c r="I868" s="28"/>
      <c r="J868" s="22"/>
      <c r="K868" s="22"/>
      <c r="L868" s="22"/>
      <c r="M868" s="21"/>
      <c r="N868" s="22"/>
      <c r="O868" s="29" t="str">
        <f aca="false">IF(A868="","",IF(COUNTIF($A$2:$A$2001,A868)&gt;1,"GANDA","OK"))</f>
        <v/>
      </c>
      <c r="P868" s="29" t="str">
        <f aca="false">IF(A868="","",IF(C868="","KOSONG",IF(AND(LEN(C868)=16,ISNUMBER(--C868)),"OK","TIDAK VALID")))</f>
        <v/>
      </c>
    </row>
    <row r="869" customFormat="false" ht="15" hidden="false" customHeight="false" outlineLevel="0" collapsed="false">
      <c r="A869" s="21"/>
      <c r="B869" s="22"/>
      <c r="C869" s="21"/>
      <c r="D869" s="22"/>
      <c r="E869" s="22"/>
      <c r="F869" s="28"/>
      <c r="G869" s="22"/>
      <c r="H869" s="21"/>
      <c r="I869" s="28"/>
      <c r="J869" s="22"/>
      <c r="K869" s="22"/>
      <c r="L869" s="22"/>
      <c r="M869" s="21"/>
      <c r="N869" s="22"/>
      <c r="O869" s="29" t="str">
        <f aca="false">IF(A869="","",IF(COUNTIF($A$2:$A$2001,A869)&gt;1,"GANDA","OK"))</f>
        <v/>
      </c>
      <c r="P869" s="29" t="str">
        <f aca="false">IF(A869="","",IF(C869="","KOSONG",IF(AND(LEN(C869)=16,ISNUMBER(--C869)),"OK","TIDAK VALID")))</f>
        <v/>
      </c>
    </row>
    <row r="870" customFormat="false" ht="15" hidden="false" customHeight="false" outlineLevel="0" collapsed="false">
      <c r="A870" s="21"/>
      <c r="B870" s="22"/>
      <c r="C870" s="21"/>
      <c r="D870" s="22"/>
      <c r="E870" s="22"/>
      <c r="F870" s="28"/>
      <c r="G870" s="22"/>
      <c r="H870" s="21"/>
      <c r="I870" s="28"/>
      <c r="J870" s="22"/>
      <c r="K870" s="22"/>
      <c r="L870" s="22"/>
      <c r="M870" s="21"/>
      <c r="N870" s="22"/>
      <c r="O870" s="29" t="str">
        <f aca="false">IF(A870="","",IF(COUNTIF($A$2:$A$2001,A870)&gt;1,"GANDA","OK"))</f>
        <v/>
      </c>
      <c r="P870" s="29" t="str">
        <f aca="false">IF(A870="","",IF(C870="","KOSONG",IF(AND(LEN(C870)=16,ISNUMBER(--C870)),"OK","TIDAK VALID")))</f>
        <v/>
      </c>
    </row>
    <row r="871" customFormat="false" ht="15" hidden="false" customHeight="false" outlineLevel="0" collapsed="false">
      <c r="A871" s="21"/>
      <c r="B871" s="22"/>
      <c r="C871" s="21"/>
      <c r="D871" s="22"/>
      <c r="E871" s="22"/>
      <c r="F871" s="28"/>
      <c r="G871" s="22"/>
      <c r="H871" s="21"/>
      <c r="I871" s="28"/>
      <c r="J871" s="22"/>
      <c r="K871" s="22"/>
      <c r="L871" s="22"/>
      <c r="M871" s="21"/>
      <c r="N871" s="22"/>
      <c r="O871" s="29" t="str">
        <f aca="false">IF(A871="","",IF(COUNTIF($A$2:$A$2001,A871)&gt;1,"GANDA","OK"))</f>
        <v/>
      </c>
      <c r="P871" s="29" t="str">
        <f aca="false">IF(A871="","",IF(C871="","KOSONG",IF(AND(LEN(C871)=16,ISNUMBER(--C871)),"OK","TIDAK VALID")))</f>
        <v/>
      </c>
    </row>
    <row r="872" customFormat="false" ht="15" hidden="false" customHeight="false" outlineLevel="0" collapsed="false">
      <c r="A872" s="21"/>
      <c r="B872" s="22"/>
      <c r="C872" s="21"/>
      <c r="D872" s="22"/>
      <c r="E872" s="22"/>
      <c r="F872" s="28"/>
      <c r="G872" s="22"/>
      <c r="H872" s="21"/>
      <c r="I872" s="28"/>
      <c r="J872" s="22"/>
      <c r="K872" s="22"/>
      <c r="L872" s="22"/>
      <c r="M872" s="21"/>
      <c r="N872" s="22"/>
      <c r="O872" s="29" t="str">
        <f aca="false">IF(A872="","",IF(COUNTIF($A$2:$A$2001,A872)&gt;1,"GANDA","OK"))</f>
        <v/>
      </c>
      <c r="P872" s="29" t="str">
        <f aca="false">IF(A872="","",IF(C872="","KOSONG",IF(AND(LEN(C872)=16,ISNUMBER(--C872)),"OK","TIDAK VALID")))</f>
        <v/>
      </c>
    </row>
    <row r="873" customFormat="false" ht="15" hidden="false" customHeight="false" outlineLevel="0" collapsed="false">
      <c r="A873" s="21"/>
      <c r="B873" s="22"/>
      <c r="C873" s="21"/>
      <c r="D873" s="22"/>
      <c r="E873" s="22"/>
      <c r="F873" s="28"/>
      <c r="G873" s="22"/>
      <c r="H873" s="21"/>
      <c r="I873" s="28"/>
      <c r="J873" s="22"/>
      <c r="K873" s="22"/>
      <c r="L873" s="22"/>
      <c r="M873" s="21"/>
      <c r="N873" s="22"/>
      <c r="O873" s="29" t="str">
        <f aca="false">IF(A873="","",IF(COUNTIF($A$2:$A$2001,A873)&gt;1,"GANDA","OK"))</f>
        <v/>
      </c>
      <c r="P873" s="29" t="str">
        <f aca="false">IF(A873="","",IF(C873="","KOSONG",IF(AND(LEN(C873)=16,ISNUMBER(--C873)),"OK","TIDAK VALID")))</f>
        <v/>
      </c>
    </row>
    <row r="874" customFormat="false" ht="15" hidden="false" customHeight="false" outlineLevel="0" collapsed="false">
      <c r="A874" s="21"/>
      <c r="B874" s="22"/>
      <c r="C874" s="21"/>
      <c r="D874" s="22"/>
      <c r="E874" s="22"/>
      <c r="F874" s="28"/>
      <c r="G874" s="22"/>
      <c r="H874" s="21"/>
      <c r="I874" s="28"/>
      <c r="J874" s="22"/>
      <c r="K874" s="22"/>
      <c r="L874" s="22"/>
      <c r="M874" s="21"/>
      <c r="N874" s="22"/>
      <c r="O874" s="29" t="str">
        <f aca="false">IF(A874="","",IF(COUNTIF($A$2:$A$2001,A874)&gt;1,"GANDA","OK"))</f>
        <v/>
      </c>
      <c r="P874" s="29" t="str">
        <f aca="false">IF(A874="","",IF(C874="","KOSONG",IF(AND(LEN(C874)=16,ISNUMBER(--C874)),"OK","TIDAK VALID")))</f>
        <v/>
      </c>
    </row>
    <row r="875" customFormat="false" ht="15" hidden="false" customHeight="false" outlineLevel="0" collapsed="false">
      <c r="A875" s="21"/>
      <c r="B875" s="22"/>
      <c r="C875" s="21"/>
      <c r="D875" s="22"/>
      <c r="E875" s="22"/>
      <c r="F875" s="28"/>
      <c r="G875" s="22"/>
      <c r="H875" s="21"/>
      <c r="I875" s="28"/>
      <c r="J875" s="22"/>
      <c r="K875" s="22"/>
      <c r="L875" s="22"/>
      <c r="M875" s="21"/>
      <c r="N875" s="22"/>
      <c r="O875" s="29" t="str">
        <f aca="false">IF(A875="","",IF(COUNTIF($A$2:$A$2001,A875)&gt;1,"GANDA","OK"))</f>
        <v/>
      </c>
      <c r="P875" s="29" t="str">
        <f aca="false">IF(A875="","",IF(C875="","KOSONG",IF(AND(LEN(C875)=16,ISNUMBER(--C875)),"OK","TIDAK VALID")))</f>
        <v/>
      </c>
    </row>
    <row r="876" customFormat="false" ht="15" hidden="false" customHeight="false" outlineLevel="0" collapsed="false">
      <c r="A876" s="21"/>
      <c r="B876" s="22"/>
      <c r="C876" s="21"/>
      <c r="D876" s="22"/>
      <c r="E876" s="22"/>
      <c r="F876" s="28"/>
      <c r="G876" s="22"/>
      <c r="H876" s="21"/>
      <c r="I876" s="28"/>
      <c r="J876" s="22"/>
      <c r="K876" s="22"/>
      <c r="L876" s="22"/>
      <c r="M876" s="21"/>
      <c r="N876" s="22"/>
      <c r="O876" s="29" t="str">
        <f aca="false">IF(A876="","",IF(COUNTIF($A$2:$A$2001,A876)&gt;1,"GANDA","OK"))</f>
        <v/>
      </c>
      <c r="P876" s="29" t="str">
        <f aca="false">IF(A876="","",IF(C876="","KOSONG",IF(AND(LEN(C876)=16,ISNUMBER(--C876)),"OK","TIDAK VALID")))</f>
        <v/>
      </c>
    </row>
    <row r="877" customFormat="false" ht="15" hidden="false" customHeight="false" outlineLevel="0" collapsed="false">
      <c r="A877" s="21"/>
      <c r="B877" s="22"/>
      <c r="C877" s="21"/>
      <c r="D877" s="22"/>
      <c r="E877" s="22"/>
      <c r="F877" s="28"/>
      <c r="G877" s="22"/>
      <c r="H877" s="21"/>
      <c r="I877" s="28"/>
      <c r="J877" s="22"/>
      <c r="K877" s="22"/>
      <c r="L877" s="22"/>
      <c r="M877" s="21"/>
      <c r="N877" s="22"/>
      <c r="O877" s="29" t="str">
        <f aca="false">IF(A877="","",IF(COUNTIF($A$2:$A$2001,A877)&gt;1,"GANDA","OK"))</f>
        <v/>
      </c>
      <c r="P877" s="29" t="str">
        <f aca="false">IF(A877="","",IF(C877="","KOSONG",IF(AND(LEN(C877)=16,ISNUMBER(--C877)),"OK","TIDAK VALID")))</f>
        <v/>
      </c>
    </row>
    <row r="878" customFormat="false" ht="15" hidden="false" customHeight="false" outlineLevel="0" collapsed="false">
      <c r="A878" s="21"/>
      <c r="B878" s="22"/>
      <c r="C878" s="21"/>
      <c r="D878" s="22"/>
      <c r="E878" s="22"/>
      <c r="F878" s="28"/>
      <c r="G878" s="22"/>
      <c r="H878" s="21"/>
      <c r="I878" s="28"/>
      <c r="J878" s="22"/>
      <c r="K878" s="22"/>
      <c r="L878" s="22"/>
      <c r="M878" s="21"/>
      <c r="N878" s="22"/>
      <c r="O878" s="29" t="str">
        <f aca="false">IF(A878="","",IF(COUNTIF($A$2:$A$2001,A878)&gt;1,"GANDA","OK"))</f>
        <v/>
      </c>
      <c r="P878" s="29" t="str">
        <f aca="false">IF(A878="","",IF(C878="","KOSONG",IF(AND(LEN(C878)=16,ISNUMBER(--C878)),"OK","TIDAK VALID")))</f>
        <v/>
      </c>
    </row>
    <row r="879" customFormat="false" ht="15" hidden="false" customHeight="false" outlineLevel="0" collapsed="false">
      <c r="A879" s="21"/>
      <c r="B879" s="22"/>
      <c r="C879" s="21"/>
      <c r="D879" s="22"/>
      <c r="E879" s="22"/>
      <c r="F879" s="28"/>
      <c r="G879" s="22"/>
      <c r="H879" s="21"/>
      <c r="I879" s="28"/>
      <c r="J879" s="22"/>
      <c r="K879" s="22"/>
      <c r="L879" s="22"/>
      <c r="M879" s="21"/>
      <c r="N879" s="22"/>
      <c r="O879" s="29" t="str">
        <f aca="false">IF(A879="","",IF(COUNTIF($A$2:$A$2001,A879)&gt;1,"GANDA","OK"))</f>
        <v/>
      </c>
      <c r="P879" s="29" t="str">
        <f aca="false">IF(A879="","",IF(C879="","KOSONG",IF(AND(LEN(C879)=16,ISNUMBER(--C879)),"OK","TIDAK VALID")))</f>
        <v/>
      </c>
    </row>
    <row r="880" customFormat="false" ht="15" hidden="false" customHeight="false" outlineLevel="0" collapsed="false">
      <c r="A880" s="21"/>
      <c r="B880" s="22"/>
      <c r="C880" s="21"/>
      <c r="D880" s="22"/>
      <c r="E880" s="22"/>
      <c r="F880" s="28"/>
      <c r="G880" s="22"/>
      <c r="H880" s="21"/>
      <c r="I880" s="28"/>
      <c r="J880" s="22"/>
      <c r="K880" s="22"/>
      <c r="L880" s="22"/>
      <c r="M880" s="21"/>
      <c r="N880" s="22"/>
      <c r="O880" s="29" t="str">
        <f aca="false">IF(A880="","",IF(COUNTIF($A$2:$A$2001,A880)&gt;1,"GANDA","OK"))</f>
        <v/>
      </c>
      <c r="P880" s="29" t="str">
        <f aca="false">IF(A880="","",IF(C880="","KOSONG",IF(AND(LEN(C880)=16,ISNUMBER(--C880)),"OK","TIDAK VALID")))</f>
        <v/>
      </c>
    </row>
    <row r="881" customFormat="false" ht="15" hidden="false" customHeight="false" outlineLevel="0" collapsed="false">
      <c r="A881" s="21"/>
      <c r="B881" s="22"/>
      <c r="C881" s="21"/>
      <c r="D881" s="22"/>
      <c r="E881" s="22"/>
      <c r="F881" s="28"/>
      <c r="G881" s="22"/>
      <c r="H881" s="21"/>
      <c r="I881" s="28"/>
      <c r="J881" s="22"/>
      <c r="K881" s="22"/>
      <c r="L881" s="22"/>
      <c r="M881" s="21"/>
      <c r="N881" s="22"/>
      <c r="O881" s="29" t="str">
        <f aca="false">IF(A881="","",IF(COUNTIF($A$2:$A$2001,A881)&gt;1,"GANDA","OK"))</f>
        <v/>
      </c>
      <c r="P881" s="29" t="str">
        <f aca="false">IF(A881="","",IF(C881="","KOSONG",IF(AND(LEN(C881)=16,ISNUMBER(--C881)),"OK","TIDAK VALID")))</f>
        <v/>
      </c>
    </row>
    <row r="882" customFormat="false" ht="15" hidden="false" customHeight="false" outlineLevel="0" collapsed="false">
      <c r="A882" s="21"/>
      <c r="B882" s="22"/>
      <c r="C882" s="21"/>
      <c r="D882" s="22"/>
      <c r="E882" s="22"/>
      <c r="F882" s="28"/>
      <c r="G882" s="22"/>
      <c r="H882" s="21"/>
      <c r="I882" s="28"/>
      <c r="J882" s="22"/>
      <c r="K882" s="22"/>
      <c r="L882" s="22"/>
      <c r="M882" s="21"/>
      <c r="N882" s="22"/>
      <c r="O882" s="29" t="str">
        <f aca="false">IF(A882="","",IF(COUNTIF($A$2:$A$2001,A882)&gt;1,"GANDA","OK"))</f>
        <v/>
      </c>
      <c r="P882" s="29" t="str">
        <f aca="false">IF(A882="","",IF(C882="","KOSONG",IF(AND(LEN(C882)=16,ISNUMBER(--C882)),"OK","TIDAK VALID")))</f>
        <v/>
      </c>
    </row>
    <row r="883" customFormat="false" ht="15" hidden="false" customHeight="false" outlineLevel="0" collapsed="false">
      <c r="A883" s="21"/>
      <c r="B883" s="22"/>
      <c r="C883" s="21"/>
      <c r="D883" s="22"/>
      <c r="E883" s="22"/>
      <c r="F883" s="28"/>
      <c r="G883" s="22"/>
      <c r="H883" s="21"/>
      <c r="I883" s="28"/>
      <c r="J883" s="22"/>
      <c r="K883" s="22"/>
      <c r="L883" s="22"/>
      <c r="M883" s="21"/>
      <c r="N883" s="22"/>
      <c r="O883" s="29" t="str">
        <f aca="false">IF(A883="","",IF(COUNTIF($A$2:$A$2001,A883)&gt;1,"GANDA","OK"))</f>
        <v/>
      </c>
      <c r="P883" s="29" t="str">
        <f aca="false">IF(A883="","",IF(C883="","KOSONG",IF(AND(LEN(C883)=16,ISNUMBER(--C883)),"OK","TIDAK VALID")))</f>
        <v/>
      </c>
    </row>
    <row r="884" customFormat="false" ht="15" hidden="false" customHeight="false" outlineLevel="0" collapsed="false">
      <c r="A884" s="21"/>
      <c r="B884" s="22"/>
      <c r="C884" s="21"/>
      <c r="D884" s="22"/>
      <c r="E884" s="22"/>
      <c r="F884" s="28"/>
      <c r="G884" s="22"/>
      <c r="H884" s="21"/>
      <c r="I884" s="28"/>
      <c r="J884" s="22"/>
      <c r="K884" s="22"/>
      <c r="L884" s="22"/>
      <c r="M884" s="21"/>
      <c r="N884" s="22"/>
      <c r="O884" s="29" t="str">
        <f aca="false">IF(A884="","",IF(COUNTIF($A$2:$A$2001,A884)&gt;1,"GANDA","OK"))</f>
        <v/>
      </c>
      <c r="P884" s="29" t="str">
        <f aca="false">IF(A884="","",IF(C884="","KOSONG",IF(AND(LEN(C884)=16,ISNUMBER(--C884)),"OK","TIDAK VALID")))</f>
        <v/>
      </c>
    </row>
    <row r="885" customFormat="false" ht="15" hidden="false" customHeight="false" outlineLevel="0" collapsed="false">
      <c r="A885" s="21"/>
      <c r="B885" s="22"/>
      <c r="C885" s="21"/>
      <c r="D885" s="22"/>
      <c r="E885" s="22"/>
      <c r="F885" s="28"/>
      <c r="G885" s="22"/>
      <c r="H885" s="21"/>
      <c r="I885" s="28"/>
      <c r="J885" s="22"/>
      <c r="K885" s="22"/>
      <c r="L885" s="22"/>
      <c r="M885" s="21"/>
      <c r="N885" s="22"/>
      <c r="O885" s="29" t="str">
        <f aca="false">IF(A885="","",IF(COUNTIF($A$2:$A$2001,A885)&gt;1,"GANDA","OK"))</f>
        <v/>
      </c>
      <c r="P885" s="29" t="str">
        <f aca="false">IF(A885="","",IF(C885="","KOSONG",IF(AND(LEN(C885)=16,ISNUMBER(--C885)),"OK","TIDAK VALID")))</f>
        <v/>
      </c>
    </row>
    <row r="886" customFormat="false" ht="15" hidden="false" customHeight="false" outlineLevel="0" collapsed="false">
      <c r="A886" s="21"/>
      <c r="B886" s="22"/>
      <c r="C886" s="21"/>
      <c r="D886" s="22"/>
      <c r="E886" s="22"/>
      <c r="F886" s="28"/>
      <c r="G886" s="22"/>
      <c r="H886" s="21"/>
      <c r="I886" s="28"/>
      <c r="J886" s="22"/>
      <c r="K886" s="22"/>
      <c r="L886" s="22"/>
      <c r="M886" s="21"/>
      <c r="N886" s="22"/>
      <c r="O886" s="29" t="str">
        <f aca="false">IF(A886="","",IF(COUNTIF($A$2:$A$2001,A886)&gt;1,"GANDA","OK"))</f>
        <v/>
      </c>
      <c r="P886" s="29" t="str">
        <f aca="false">IF(A886="","",IF(C886="","KOSONG",IF(AND(LEN(C886)=16,ISNUMBER(--C886)),"OK","TIDAK VALID")))</f>
        <v/>
      </c>
    </row>
    <row r="887" customFormat="false" ht="15" hidden="false" customHeight="false" outlineLevel="0" collapsed="false">
      <c r="A887" s="21"/>
      <c r="B887" s="22"/>
      <c r="C887" s="21"/>
      <c r="D887" s="22"/>
      <c r="E887" s="22"/>
      <c r="F887" s="28"/>
      <c r="G887" s="22"/>
      <c r="H887" s="21"/>
      <c r="I887" s="28"/>
      <c r="J887" s="22"/>
      <c r="K887" s="22"/>
      <c r="L887" s="22"/>
      <c r="M887" s="21"/>
      <c r="N887" s="22"/>
      <c r="O887" s="29" t="str">
        <f aca="false">IF(A887="","",IF(COUNTIF($A$2:$A$2001,A887)&gt;1,"GANDA","OK"))</f>
        <v/>
      </c>
      <c r="P887" s="29" t="str">
        <f aca="false">IF(A887="","",IF(C887="","KOSONG",IF(AND(LEN(C887)=16,ISNUMBER(--C887)),"OK","TIDAK VALID")))</f>
        <v/>
      </c>
    </row>
    <row r="888" customFormat="false" ht="15" hidden="false" customHeight="false" outlineLevel="0" collapsed="false">
      <c r="A888" s="21"/>
      <c r="B888" s="22"/>
      <c r="C888" s="21"/>
      <c r="D888" s="22"/>
      <c r="E888" s="22"/>
      <c r="F888" s="28"/>
      <c r="G888" s="22"/>
      <c r="H888" s="21"/>
      <c r="I888" s="28"/>
      <c r="J888" s="22"/>
      <c r="K888" s="22"/>
      <c r="L888" s="22"/>
      <c r="M888" s="21"/>
      <c r="N888" s="22"/>
      <c r="O888" s="29" t="str">
        <f aca="false">IF(A888="","",IF(COUNTIF($A$2:$A$2001,A888)&gt;1,"GANDA","OK"))</f>
        <v/>
      </c>
      <c r="P888" s="29" t="str">
        <f aca="false">IF(A888="","",IF(C888="","KOSONG",IF(AND(LEN(C888)=16,ISNUMBER(--C888)),"OK","TIDAK VALID")))</f>
        <v/>
      </c>
    </row>
    <row r="889" customFormat="false" ht="15" hidden="false" customHeight="false" outlineLevel="0" collapsed="false">
      <c r="A889" s="21"/>
      <c r="B889" s="22"/>
      <c r="C889" s="21"/>
      <c r="D889" s="22"/>
      <c r="E889" s="22"/>
      <c r="F889" s="28"/>
      <c r="G889" s="22"/>
      <c r="H889" s="21"/>
      <c r="I889" s="28"/>
      <c r="J889" s="22"/>
      <c r="K889" s="22"/>
      <c r="L889" s="22"/>
      <c r="M889" s="21"/>
      <c r="N889" s="22"/>
      <c r="O889" s="29" t="str">
        <f aca="false">IF(A889="","",IF(COUNTIF($A$2:$A$2001,A889)&gt;1,"GANDA","OK"))</f>
        <v/>
      </c>
      <c r="P889" s="29" t="str">
        <f aca="false">IF(A889="","",IF(C889="","KOSONG",IF(AND(LEN(C889)=16,ISNUMBER(--C889)),"OK","TIDAK VALID")))</f>
        <v/>
      </c>
    </row>
    <row r="890" customFormat="false" ht="15" hidden="false" customHeight="false" outlineLevel="0" collapsed="false">
      <c r="A890" s="21"/>
      <c r="B890" s="22"/>
      <c r="C890" s="21"/>
      <c r="D890" s="22"/>
      <c r="E890" s="22"/>
      <c r="F890" s="28"/>
      <c r="G890" s="22"/>
      <c r="H890" s="21"/>
      <c r="I890" s="28"/>
      <c r="J890" s="22"/>
      <c r="K890" s="22"/>
      <c r="L890" s="22"/>
      <c r="M890" s="21"/>
      <c r="N890" s="22"/>
      <c r="O890" s="29" t="str">
        <f aca="false">IF(A890="","",IF(COUNTIF($A$2:$A$2001,A890)&gt;1,"GANDA","OK"))</f>
        <v/>
      </c>
      <c r="P890" s="29" t="str">
        <f aca="false">IF(A890="","",IF(C890="","KOSONG",IF(AND(LEN(C890)=16,ISNUMBER(--C890)),"OK","TIDAK VALID")))</f>
        <v/>
      </c>
    </row>
    <row r="891" customFormat="false" ht="15" hidden="false" customHeight="false" outlineLevel="0" collapsed="false">
      <c r="A891" s="21"/>
      <c r="B891" s="22"/>
      <c r="C891" s="21"/>
      <c r="D891" s="22"/>
      <c r="E891" s="22"/>
      <c r="F891" s="28"/>
      <c r="G891" s="22"/>
      <c r="H891" s="21"/>
      <c r="I891" s="28"/>
      <c r="J891" s="22"/>
      <c r="K891" s="22"/>
      <c r="L891" s="22"/>
      <c r="M891" s="21"/>
      <c r="N891" s="22"/>
      <c r="O891" s="29" t="str">
        <f aca="false">IF(A891="","",IF(COUNTIF($A$2:$A$2001,A891)&gt;1,"GANDA","OK"))</f>
        <v/>
      </c>
      <c r="P891" s="29" t="str">
        <f aca="false">IF(A891="","",IF(C891="","KOSONG",IF(AND(LEN(C891)=16,ISNUMBER(--C891)),"OK","TIDAK VALID")))</f>
        <v/>
      </c>
    </row>
    <row r="892" customFormat="false" ht="15" hidden="false" customHeight="false" outlineLevel="0" collapsed="false">
      <c r="A892" s="21"/>
      <c r="B892" s="22"/>
      <c r="C892" s="21"/>
      <c r="D892" s="22"/>
      <c r="E892" s="22"/>
      <c r="F892" s="28"/>
      <c r="G892" s="22"/>
      <c r="H892" s="21"/>
      <c r="I892" s="28"/>
      <c r="J892" s="22"/>
      <c r="K892" s="22"/>
      <c r="L892" s="22"/>
      <c r="M892" s="21"/>
      <c r="N892" s="22"/>
      <c r="O892" s="29" t="str">
        <f aca="false">IF(A892="","",IF(COUNTIF($A$2:$A$2001,A892)&gt;1,"GANDA","OK"))</f>
        <v/>
      </c>
      <c r="P892" s="29" t="str">
        <f aca="false">IF(A892="","",IF(C892="","KOSONG",IF(AND(LEN(C892)=16,ISNUMBER(--C892)),"OK","TIDAK VALID")))</f>
        <v/>
      </c>
    </row>
    <row r="893" customFormat="false" ht="15" hidden="false" customHeight="false" outlineLevel="0" collapsed="false">
      <c r="A893" s="21"/>
      <c r="B893" s="22"/>
      <c r="C893" s="21"/>
      <c r="D893" s="22"/>
      <c r="E893" s="22"/>
      <c r="F893" s="28"/>
      <c r="G893" s="22"/>
      <c r="H893" s="21"/>
      <c r="I893" s="28"/>
      <c r="J893" s="22"/>
      <c r="K893" s="22"/>
      <c r="L893" s="22"/>
      <c r="M893" s="21"/>
      <c r="N893" s="22"/>
      <c r="O893" s="29" t="str">
        <f aca="false">IF(A893="","",IF(COUNTIF($A$2:$A$2001,A893)&gt;1,"GANDA","OK"))</f>
        <v/>
      </c>
      <c r="P893" s="29" t="str">
        <f aca="false">IF(A893="","",IF(C893="","KOSONG",IF(AND(LEN(C893)=16,ISNUMBER(--C893)),"OK","TIDAK VALID")))</f>
        <v/>
      </c>
    </row>
    <row r="894" customFormat="false" ht="15" hidden="false" customHeight="false" outlineLevel="0" collapsed="false">
      <c r="A894" s="21"/>
      <c r="B894" s="22"/>
      <c r="C894" s="21"/>
      <c r="D894" s="22"/>
      <c r="E894" s="22"/>
      <c r="F894" s="28"/>
      <c r="G894" s="22"/>
      <c r="H894" s="21"/>
      <c r="I894" s="28"/>
      <c r="J894" s="22"/>
      <c r="K894" s="22"/>
      <c r="L894" s="22"/>
      <c r="M894" s="21"/>
      <c r="N894" s="22"/>
      <c r="O894" s="29" t="str">
        <f aca="false">IF(A894="","",IF(COUNTIF($A$2:$A$2001,A894)&gt;1,"GANDA","OK"))</f>
        <v/>
      </c>
      <c r="P894" s="29" t="str">
        <f aca="false">IF(A894="","",IF(C894="","KOSONG",IF(AND(LEN(C894)=16,ISNUMBER(--C894)),"OK","TIDAK VALID")))</f>
        <v/>
      </c>
    </row>
    <row r="895" customFormat="false" ht="15" hidden="false" customHeight="false" outlineLevel="0" collapsed="false">
      <c r="A895" s="21"/>
      <c r="B895" s="22"/>
      <c r="C895" s="21"/>
      <c r="D895" s="22"/>
      <c r="E895" s="22"/>
      <c r="F895" s="28"/>
      <c r="G895" s="22"/>
      <c r="H895" s="21"/>
      <c r="I895" s="28"/>
      <c r="J895" s="22"/>
      <c r="K895" s="22"/>
      <c r="L895" s="22"/>
      <c r="M895" s="21"/>
      <c r="N895" s="22"/>
      <c r="O895" s="29" t="str">
        <f aca="false">IF(A895="","",IF(COUNTIF($A$2:$A$2001,A895)&gt;1,"GANDA","OK"))</f>
        <v/>
      </c>
      <c r="P895" s="29" t="str">
        <f aca="false">IF(A895="","",IF(C895="","KOSONG",IF(AND(LEN(C895)=16,ISNUMBER(--C895)),"OK","TIDAK VALID")))</f>
        <v/>
      </c>
    </row>
    <row r="896" customFormat="false" ht="15" hidden="false" customHeight="false" outlineLevel="0" collapsed="false">
      <c r="A896" s="21"/>
      <c r="B896" s="22"/>
      <c r="C896" s="21"/>
      <c r="D896" s="22"/>
      <c r="E896" s="22"/>
      <c r="F896" s="28"/>
      <c r="G896" s="22"/>
      <c r="H896" s="21"/>
      <c r="I896" s="28"/>
      <c r="J896" s="22"/>
      <c r="K896" s="22"/>
      <c r="L896" s="22"/>
      <c r="M896" s="21"/>
      <c r="N896" s="22"/>
      <c r="O896" s="29" t="str">
        <f aca="false">IF(A896="","",IF(COUNTIF($A$2:$A$2001,A896)&gt;1,"GANDA","OK"))</f>
        <v/>
      </c>
      <c r="P896" s="29" t="str">
        <f aca="false">IF(A896="","",IF(C896="","KOSONG",IF(AND(LEN(C896)=16,ISNUMBER(--C896)),"OK","TIDAK VALID")))</f>
        <v/>
      </c>
    </row>
    <row r="897" customFormat="false" ht="15" hidden="false" customHeight="false" outlineLevel="0" collapsed="false">
      <c r="A897" s="21"/>
      <c r="B897" s="22"/>
      <c r="C897" s="21"/>
      <c r="D897" s="22"/>
      <c r="E897" s="22"/>
      <c r="F897" s="28"/>
      <c r="G897" s="22"/>
      <c r="H897" s="21"/>
      <c r="I897" s="28"/>
      <c r="J897" s="22"/>
      <c r="K897" s="22"/>
      <c r="L897" s="22"/>
      <c r="M897" s="21"/>
      <c r="N897" s="22"/>
      <c r="O897" s="29" t="str">
        <f aca="false">IF(A897="","",IF(COUNTIF($A$2:$A$2001,A897)&gt;1,"GANDA","OK"))</f>
        <v/>
      </c>
      <c r="P897" s="29" t="str">
        <f aca="false">IF(A897="","",IF(C897="","KOSONG",IF(AND(LEN(C897)=16,ISNUMBER(--C897)),"OK","TIDAK VALID")))</f>
        <v/>
      </c>
    </row>
    <row r="898" customFormat="false" ht="15" hidden="false" customHeight="false" outlineLevel="0" collapsed="false">
      <c r="A898" s="21"/>
      <c r="B898" s="22"/>
      <c r="C898" s="21"/>
      <c r="D898" s="22"/>
      <c r="E898" s="22"/>
      <c r="F898" s="28"/>
      <c r="G898" s="22"/>
      <c r="H898" s="21"/>
      <c r="I898" s="28"/>
      <c r="J898" s="22"/>
      <c r="K898" s="22"/>
      <c r="L898" s="22"/>
      <c r="M898" s="21"/>
      <c r="N898" s="22"/>
      <c r="O898" s="29" t="str">
        <f aca="false">IF(A898="","",IF(COUNTIF($A$2:$A$2001,A898)&gt;1,"GANDA","OK"))</f>
        <v/>
      </c>
      <c r="P898" s="29" t="str">
        <f aca="false">IF(A898="","",IF(C898="","KOSONG",IF(AND(LEN(C898)=16,ISNUMBER(--C898)),"OK","TIDAK VALID")))</f>
        <v/>
      </c>
    </row>
    <row r="899" customFormat="false" ht="15" hidden="false" customHeight="false" outlineLevel="0" collapsed="false">
      <c r="A899" s="21"/>
      <c r="B899" s="22"/>
      <c r="C899" s="21"/>
      <c r="D899" s="22"/>
      <c r="E899" s="22"/>
      <c r="F899" s="28"/>
      <c r="G899" s="22"/>
      <c r="H899" s="21"/>
      <c r="I899" s="28"/>
      <c r="J899" s="22"/>
      <c r="K899" s="22"/>
      <c r="L899" s="22"/>
      <c r="M899" s="21"/>
      <c r="N899" s="22"/>
      <c r="O899" s="29" t="str">
        <f aca="false">IF(A899="","",IF(COUNTIF($A$2:$A$2001,A899)&gt;1,"GANDA","OK"))</f>
        <v/>
      </c>
      <c r="P899" s="29" t="str">
        <f aca="false">IF(A899="","",IF(C899="","KOSONG",IF(AND(LEN(C899)=16,ISNUMBER(--C899)),"OK","TIDAK VALID")))</f>
        <v/>
      </c>
    </row>
    <row r="900" customFormat="false" ht="15" hidden="false" customHeight="false" outlineLevel="0" collapsed="false">
      <c r="A900" s="21"/>
      <c r="B900" s="22"/>
      <c r="C900" s="21"/>
      <c r="D900" s="22"/>
      <c r="E900" s="22"/>
      <c r="F900" s="28"/>
      <c r="G900" s="22"/>
      <c r="H900" s="21"/>
      <c r="I900" s="28"/>
      <c r="J900" s="22"/>
      <c r="K900" s="22"/>
      <c r="L900" s="22"/>
      <c r="M900" s="21"/>
      <c r="N900" s="22"/>
      <c r="O900" s="29" t="str">
        <f aca="false">IF(A900="","",IF(COUNTIF($A$2:$A$2001,A900)&gt;1,"GANDA","OK"))</f>
        <v/>
      </c>
      <c r="P900" s="29" t="str">
        <f aca="false">IF(A900="","",IF(C900="","KOSONG",IF(AND(LEN(C900)=16,ISNUMBER(--C900)),"OK","TIDAK VALID")))</f>
        <v/>
      </c>
    </row>
    <row r="901" customFormat="false" ht="15" hidden="false" customHeight="false" outlineLevel="0" collapsed="false">
      <c r="A901" s="21"/>
      <c r="B901" s="22"/>
      <c r="C901" s="21"/>
      <c r="D901" s="22"/>
      <c r="E901" s="22"/>
      <c r="F901" s="28"/>
      <c r="G901" s="22"/>
      <c r="H901" s="21"/>
      <c r="I901" s="28"/>
      <c r="J901" s="22"/>
      <c r="K901" s="22"/>
      <c r="L901" s="22"/>
      <c r="M901" s="21"/>
      <c r="N901" s="22"/>
      <c r="O901" s="29" t="str">
        <f aca="false">IF(A901="","",IF(COUNTIF($A$2:$A$2001,A901)&gt;1,"GANDA","OK"))</f>
        <v/>
      </c>
      <c r="P901" s="29" t="str">
        <f aca="false">IF(A901="","",IF(C901="","KOSONG",IF(AND(LEN(C901)=16,ISNUMBER(--C901)),"OK","TIDAK VALID")))</f>
        <v/>
      </c>
    </row>
    <row r="902" customFormat="false" ht="15" hidden="false" customHeight="false" outlineLevel="0" collapsed="false">
      <c r="A902" s="21"/>
      <c r="B902" s="22"/>
      <c r="C902" s="21"/>
      <c r="D902" s="22"/>
      <c r="E902" s="22"/>
      <c r="F902" s="28"/>
      <c r="G902" s="22"/>
      <c r="H902" s="21"/>
      <c r="I902" s="28"/>
      <c r="J902" s="22"/>
      <c r="K902" s="22"/>
      <c r="L902" s="22"/>
      <c r="M902" s="21"/>
      <c r="N902" s="22"/>
      <c r="O902" s="29" t="str">
        <f aca="false">IF(A902="","",IF(COUNTIF($A$2:$A$2001,A902)&gt;1,"GANDA","OK"))</f>
        <v/>
      </c>
      <c r="P902" s="29" t="str">
        <f aca="false">IF(A902="","",IF(C902="","KOSONG",IF(AND(LEN(C902)=16,ISNUMBER(--C902)),"OK","TIDAK VALID")))</f>
        <v/>
      </c>
    </row>
    <row r="903" customFormat="false" ht="15" hidden="false" customHeight="false" outlineLevel="0" collapsed="false">
      <c r="A903" s="21"/>
      <c r="B903" s="22"/>
      <c r="C903" s="21"/>
      <c r="D903" s="22"/>
      <c r="E903" s="22"/>
      <c r="F903" s="28"/>
      <c r="G903" s="22"/>
      <c r="H903" s="21"/>
      <c r="I903" s="28"/>
      <c r="J903" s="22"/>
      <c r="K903" s="22"/>
      <c r="L903" s="22"/>
      <c r="M903" s="21"/>
      <c r="N903" s="22"/>
      <c r="O903" s="29" t="str">
        <f aca="false">IF(A903="","",IF(COUNTIF($A$2:$A$2001,A903)&gt;1,"GANDA","OK"))</f>
        <v/>
      </c>
      <c r="P903" s="29" t="str">
        <f aca="false">IF(A903="","",IF(C903="","KOSONG",IF(AND(LEN(C903)=16,ISNUMBER(--C903)),"OK","TIDAK VALID")))</f>
        <v/>
      </c>
    </row>
    <row r="904" customFormat="false" ht="15" hidden="false" customHeight="false" outlineLevel="0" collapsed="false">
      <c r="A904" s="21"/>
      <c r="B904" s="22"/>
      <c r="C904" s="21"/>
      <c r="D904" s="22"/>
      <c r="E904" s="22"/>
      <c r="F904" s="28"/>
      <c r="G904" s="22"/>
      <c r="H904" s="21"/>
      <c r="I904" s="28"/>
      <c r="J904" s="22"/>
      <c r="K904" s="22"/>
      <c r="L904" s="22"/>
      <c r="M904" s="21"/>
      <c r="N904" s="22"/>
      <c r="O904" s="29" t="str">
        <f aca="false">IF(A904="","",IF(COUNTIF($A$2:$A$2001,A904)&gt;1,"GANDA","OK"))</f>
        <v/>
      </c>
      <c r="P904" s="29" t="str">
        <f aca="false">IF(A904="","",IF(C904="","KOSONG",IF(AND(LEN(C904)=16,ISNUMBER(--C904)),"OK","TIDAK VALID")))</f>
        <v/>
      </c>
    </row>
    <row r="905" customFormat="false" ht="15" hidden="false" customHeight="false" outlineLevel="0" collapsed="false">
      <c r="A905" s="21"/>
      <c r="B905" s="22"/>
      <c r="C905" s="21"/>
      <c r="D905" s="22"/>
      <c r="E905" s="22"/>
      <c r="F905" s="28"/>
      <c r="G905" s="22"/>
      <c r="H905" s="21"/>
      <c r="I905" s="28"/>
      <c r="J905" s="22"/>
      <c r="K905" s="22"/>
      <c r="L905" s="22"/>
      <c r="M905" s="21"/>
      <c r="N905" s="22"/>
      <c r="O905" s="29" t="str">
        <f aca="false">IF(A905="","",IF(COUNTIF($A$2:$A$2001,A905)&gt;1,"GANDA","OK"))</f>
        <v/>
      </c>
      <c r="P905" s="29" t="str">
        <f aca="false">IF(A905="","",IF(C905="","KOSONG",IF(AND(LEN(C905)=16,ISNUMBER(--C905)),"OK","TIDAK VALID")))</f>
        <v/>
      </c>
    </row>
    <row r="906" customFormat="false" ht="15" hidden="false" customHeight="false" outlineLevel="0" collapsed="false">
      <c r="A906" s="21"/>
      <c r="B906" s="22"/>
      <c r="C906" s="21"/>
      <c r="D906" s="22"/>
      <c r="E906" s="22"/>
      <c r="F906" s="28"/>
      <c r="G906" s="22"/>
      <c r="H906" s="21"/>
      <c r="I906" s="28"/>
      <c r="J906" s="22"/>
      <c r="K906" s="22"/>
      <c r="L906" s="22"/>
      <c r="M906" s="21"/>
      <c r="N906" s="22"/>
      <c r="O906" s="29" t="str">
        <f aca="false">IF(A906="","",IF(COUNTIF($A$2:$A$2001,A906)&gt;1,"GANDA","OK"))</f>
        <v/>
      </c>
      <c r="P906" s="29" t="str">
        <f aca="false">IF(A906="","",IF(C906="","KOSONG",IF(AND(LEN(C906)=16,ISNUMBER(--C906)),"OK","TIDAK VALID")))</f>
        <v/>
      </c>
    </row>
    <row r="907" customFormat="false" ht="15" hidden="false" customHeight="false" outlineLevel="0" collapsed="false">
      <c r="A907" s="21"/>
      <c r="B907" s="22"/>
      <c r="C907" s="21"/>
      <c r="D907" s="22"/>
      <c r="E907" s="22"/>
      <c r="F907" s="28"/>
      <c r="G907" s="22"/>
      <c r="H907" s="21"/>
      <c r="I907" s="28"/>
      <c r="J907" s="22"/>
      <c r="K907" s="22"/>
      <c r="L907" s="22"/>
      <c r="M907" s="21"/>
      <c r="N907" s="22"/>
      <c r="O907" s="29" t="str">
        <f aca="false">IF(A907="","",IF(COUNTIF($A$2:$A$2001,A907)&gt;1,"GANDA","OK"))</f>
        <v/>
      </c>
      <c r="P907" s="29" t="str">
        <f aca="false">IF(A907="","",IF(C907="","KOSONG",IF(AND(LEN(C907)=16,ISNUMBER(--C907)),"OK","TIDAK VALID")))</f>
        <v/>
      </c>
    </row>
    <row r="908" customFormat="false" ht="15" hidden="false" customHeight="false" outlineLevel="0" collapsed="false">
      <c r="A908" s="21"/>
      <c r="B908" s="22"/>
      <c r="C908" s="21"/>
      <c r="D908" s="22"/>
      <c r="E908" s="22"/>
      <c r="F908" s="28"/>
      <c r="G908" s="22"/>
      <c r="H908" s="21"/>
      <c r="I908" s="28"/>
      <c r="J908" s="22"/>
      <c r="K908" s="22"/>
      <c r="L908" s="22"/>
      <c r="M908" s="21"/>
      <c r="N908" s="22"/>
      <c r="O908" s="29" t="str">
        <f aca="false">IF(A908="","",IF(COUNTIF($A$2:$A$2001,A908)&gt;1,"GANDA","OK"))</f>
        <v/>
      </c>
      <c r="P908" s="29" t="str">
        <f aca="false">IF(A908="","",IF(C908="","KOSONG",IF(AND(LEN(C908)=16,ISNUMBER(--C908)),"OK","TIDAK VALID")))</f>
        <v/>
      </c>
    </row>
    <row r="909" customFormat="false" ht="15" hidden="false" customHeight="false" outlineLevel="0" collapsed="false">
      <c r="A909" s="21"/>
      <c r="B909" s="22"/>
      <c r="C909" s="21"/>
      <c r="D909" s="22"/>
      <c r="E909" s="22"/>
      <c r="F909" s="28"/>
      <c r="G909" s="22"/>
      <c r="H909" s="21"/>
      <c r="I909" s="28"/>
      <c r="J909" s="22"/>
      <c r="K909" s="22"/>
      <c r="L909" s="22"/>
      <c r="M909" s="21"/>
      <c r="N909" s="22"/>
      <c r="O909" s="29" t="str">
        <f aca="false">IF(A909="","",IF(COUNTIF($A$2:$A$2001,A909)&gt;1,"GANDA","OK"))</f>
        <v/>
      </c>
      <c r="P909" s="29" t="str">
        <f aca="false">IF(A909="","",IF(C909="","KOSONG",IF(AND(LEN(C909)=16,ISNUMBER(--C909)),"OK","TIDAK VALID")))</f>
        <v/>
      </c>
    </row>
    <row r="910" customFormat="false" ht="15" hidden="false" customHeight="false" outlineLevel="0" collapsed="false">
      <c r="A910" s="21"/>
      <c r="B910" s="22"/>
      <c r="C910" s="21"/>
      <c r="D910" s="22"/>
      <c r="E910" s="22"/>
      <c r="F910" s="28"/>
      <c r="G910" s="22"/>
      <c r="H910" s="21"/>
      <c r="I910" s="28"/>
      <c r="J910" s="22"/>
      <c r="K910" s="22"/>
      <c r="L910" s="22"/>
      <c r="M910" s="21"/>
      <c r="N910" s="22"/>
      <c r="O910" s="29" t="str">
        <f aca="false">IF(A910="","",IF(COUNTIF($A$2:$A$2001,A910)&gt;1,"GANDA","OK"))</f>
        <v/>
      </c>
      <c r="P910" s="29" t="str">
        <f aca="false">IF(A910="","",IF(C910="","KOSONG",IF(AND(LEN(C910)=16,ISNUMBER(--C910)),"OK","TIDAK VALID")))</f>
        <v/>
      </c>
    </row>
    <row r="911" customFormat="false" ht="15" hidden="false" customHeight="false" outlineLevel="0" collapsed="false">
      <c r="A911" s="21"/>
      <c r="B911" s="22"/>
      <c r="C911" s="21"/>
      <c r="D911" s="22"/>
      <c r="E911" s="22"/>
      <c r="F911" s="28"/>
      <c r="G911" s="22"/>
      <c r="H911" s="21"/>
      <c r="I911" s="28"/>
      <c r="J911" s="22"/>
      <c r="K911" s="22"/>
      <c r="L911" s="22"/>
      <c r="M911" s="21"/>
      <c r="N911" s="22"/>
      <c r="O911" s="29" t="str">
        <f aca="false">IF(A911="","",IF(COUNTIF($A$2:$A$2001,A911)&gt;1,"GANDA","OK"))</f>
        <v/>
      </c>
      <c r="P911" s="29" t="str">
        <f aca="false">IF(A911="","",IF(C911="","KOSONG",IF(AND(LEN(C911)=16,ISNUMBER(--C911)),"OK","TIDAK VALID")))</f>
        <v/>
      </c>
    </row>
    <row r="912" customFormat="false" ht="15" hidden="false" customHeight="false" outlineLevel="0" collapsed="false">
      <c r="A912" s="21"/>
      <c r="B912" s="22"/>
      <c r="C912" s="21"/>
      <c r="D912" s="22"/>
      <c r="E912" s="22"/>
      <c r="F912" s="28"/>
      <c r="G912" s="22"/>
      <c r="H912" s="21"/>
      <c r="I912" s="28"/>
      <c r="J912" s="22"/>
      <c r="K912" s="22"/>
      <c r="L912" s="22"/>
      <c r="M912" s="21"/>
      <c r="N912" s="22"/>
      <c r="O912" s="29" t="str">
        <f aca="false">IF(A912="","",IF(COUNTIF($A$2:$A$2001,A912)&gt;1,"GANDA","OK"))</f>
        <v/>
      </c>
      <c r="P912" s="29" t="str">
        <f aca="false">IF(A912="","",IF(C912="","KOSONG",IF(AND(LEN(C912)=16,ISNUMBER(--C912)),"OK","TIDAK VALID")))</f>
        <v/>
      </c>
    </row>
    <row r="913" customFormat="false" ht="15" hidden="false" customHeight="false" outlineLevel="0" collapsed="false">
      <c r="A913" s="21"/>
      <c r="B913" s="22"/>
      <c r="C913" s="21"/>
      <c r="D913" s="22"/>
      <c r="E913" s="22"/>
      <c r="F913" s="28"/>
      <c r="G913" s="22"/>
      <c r="H913" s="21"/>
      <c r="I913" s="28"/>
      <c r="J913" s="22"/>
      <c r="K913" s="22"/>
      <c r="L913" s="22"/>
      <c r="M913" s="21"/>
      <c r="N913" s="22"/>
      <c r="O913" s="29" t="str">
        <f aca="false">IF(A913="","",IF(COUNTIF($A$2:$A$2001,A913)&gt;1,"GANDA","OK"))</f>
        <v/>
      </c>
      <c r="P913" s="29" t="str">
        <f aca="false">IF(A913="","",IF(C913="","KOSONG",IF(AND(LEN(C913)=16,ISNUMBER(--C913)),"OK","TIDAK VALID")))</f>
        <v/>
      </c>
    </row>
    <row r="914" customFormat="false" ht="15" hidden="false" customHeight="false" outlineLevel="0" collapsed="false">
      <c r="A914" s="21"/>
      <c r="B914" s="22"/>
      <c r="C914" s="21"/>
      <c r="D914" s="22"/>
      <c r="E914" s="22"/>
      <c r="F914" s="28"/>
      <c r="G914" s="22"/>
      <c r="H914" s="21"/>
      <c r="I914" s="28"/>
      <c r="J914" s="22"/>
      <c r="K914" s="22"/>
      <c r="L914" s="22"/>
      <c r="M914" s="21"/>
      <c r="N914" s="22"/>
      <c r="O914" s="29" t="str">
        <f aca="false">IF(A914="","",IF(COUNTIF($A$2:$A$2001,A914)&gt;1,"GANDA","OK"))</f>
        <v/>
      </c>
      <c r="P914" s="29" t="str">
        <f aca="false">IF(A914="","",IF(C914="","KOSONG",IF(AND(LEN(C914)=16,ISNUMBER(--C914)),"OK","TIDAK VALID")))</f>
        <v/>
      </c>
    </row>
    <row r="915" customFormat="false" ht="15" hidden="false" customHeight="false" outlineLevel="0" collapsed="false">
      <c r="A915" s="21"/>
      <c r="B915" s="22"/>
      <c r="C915" s="21"/>
      <c r="D915" s="22"/>
      <c r="E915" s="22"/>
      <c r="F915" s="28"/>
      <c r="G915" s="22"/>
      <c r="H915" s="21"/>
      <c r="I915" s="28"/>
      <c r="J915" s="22"/>
      <c r="K915" s="22"/>
      <c r="L915" s="22"/>
      <c r="M915" s="21"/>
      <c r="N915" s="22"/>
      <c r="O915" s="29" t="str">
        <f aca="false">IF(A915="","",IF(COUNTIF($A$2:$A$2001,A915)&gt;1,"GANDA","OK"))</f>
        <v/>
      </c>
      <c r="P915" s="29" t="str">
        <f aca="false">IF(A915="","",IF(C915="","KOSONG",IF(AND(LEN(C915)=16,ISNUMBER(--C915)),"OK","TIDAK VALID")))</f>
        <v/>
      </c>
    </row>
    <row r="916" customFormat="false" ht="15" hidden="false" customHeight="false" outlineLevel="0" collapsed="false">
      <c r="A916" s="21"/>
      <c r="B916" s="22"/>
      <c r="C916" s="21"/>
      <c r="D916" s="22"/>
      <c r="E916" s="22"/>
      <c r="F916" s="28"/>
      <c r="G916" s="22"/>
      <c r="H916" s="21"/>
      <c r="I916" s="28"/>
      <c r="J916" s="22"/>
      <c r="K916" s="22"/>
      <c r="L916" s="22"/>
      <c r="M916" s="21"/>
      <c r="N916" s="22"/>
      <c r="O916" s="29" t="str">
        <f aca="false">IF(A916="","",IF(COUNTIF($A$2:$A$2001,A916)&gt;1,"GANDA","OK"))</f>
        <v/>
      </c>
      <c r="P916" s="29" t="str">
        <f aca="false">IF(A916="","",IF(C916="","KOSONG",IF(AND(LEN(C916)=16,ISNUMBER(--C916)),"OK","TIDAK VALID")))</f>
        <v/>
      </c>
    </row>
    <row r="917" customFormat="false" ht="15" hidden="false" customHeight="false" outlineLevel="0" collapsed="false">
      <c r="A917" s="21"/>
      <c r="B917" s="22"/>
      <c r="C917" s="21"/>
      <c r="D917" s="22"/>
      <c r="E917" s="22"/>
      <c r="F917" s="28"/>
      <c r="G917" s="22"/>
      <c r="H917" s="21"/>
      <c r="I917" s="28"/>
      <c r="J917" s="22"/>
      <c r="K917" s="22"/>
      <c r="L917" s="22"/>
      <c r="M917" s="21"/>
      <c r="N917" s="22"/>
      <c r="O917" s="29" t="str">
        <f aca="false">IF(A917="","",IF(COUNTIF($A$2:$A$2001,A917)&gt;1,"GANDA","OK"))</f>
        <v/>
      </c>
      <c r="P917" s="29" t="str">
        <f aca="false">IF(A917="","",IF(C917="","KOSONG",IF(AND(LEN(C917)=16,ISNUMBER(--C917)),"OK","TIDAK VALID")))</f>
        <v/>
      </c>
    </row>
    <row r="918" customFormat="false" ht="15" hidden="false" customHeight="false" outlineLevel="0" collapsed="false">
      <c r="A918" s="21"/>
      <c r="B918" s="22"/>
      <c r="C918" s="21"/>
      <c r="D918" s="22"/>
      <c r="E918" s="22"/>
      <c r="F918" s="28"/>
      <c r="G918" s="22"/>
      <c r="H918" s="21"/>
      <c r="I918" s="28"/>
      <c r="J918" s="22"/>
      <c r="K918" s="22"/>
      <c r="L918" s="22"/>
      <c r="M918" s="21"/>
      <c r="N918" s="22"/>
      <c r="O918" s="29" t="str">
        <f aca="false">IF(A918="","",IF(COUNTIF($A$2:$A$2001,A918)&gt;1,"GANDA","OK"))</f>
        <v/>
      </c>
      <c r="P918" s="29" t="str">
        <f aca="false">IF(A918="","",IF(C918="","KOSONG",IF(AND(LEN(C918)=16,ISNUMBER(--C918)),"OK","TIDAK VALID")))</f>
        <v/>
      </c>
    </row>
    <row r="919" customFormat="false" ht="15" hidden="false" customHeight="false" outlineLevel="0" collapsed="false">
      <c r="A919" s="21"/>
      <c r="B919" s="22"/>
      <c r="C919" s="21"/>
      <c r="D919" s="22"/>
      <c r="E919" s="22"/>
      <c r="F919" s="28"/>
      <c r="G919" s="22"/>
      <c r="H919" s="21"/>
      <c r="I919" s="28"/>
      <c r="J919" s="22"/>
      <c r="K919" s="22"/>
      <c r="L919" s="22"/>
      <c r="M919" s="21"/>
      <c r="N919" s="22"/>
      <c r="O919" s="29" t="str">
        <f aca="false">IF(A919="","",IF(COUNTIF($A$2:$A$2001,A919)&gt;1,"GANDA","OK"))</f>
        <v/>
      </c>
      <c r="P919" s="29" t="str">
        <f aca="false">IF(A919="","",IF(C919="","KOSONG",IF(AND(LEN(C919)=16,ISNUMBER(--C919)),"OK","TIDAK VALID")))</f>
        <v/>
      </c>
    </row>
    <row r="920" customFormat="false" ht="15" hidden="false" customHeight="false" outlineLevel="0" collapsed="false">
      <c r="A920" s="21"/>
      <c r="B920" s="22"/>
      <c r="C920" s="21"/>
      <c r="D920" s="22"/>
      <c r="E920" s="22"/>
      <c r="F920" s="28"/>
      <c r="G920" s="22"/>
      <c r="H920" s="21"/>
      <c r="I920" s="28"/>
      <c r="J920" s="22"/>
      <c r="K920" s="22"/>
      <c r="L920" s="22"/>
      <c r="M920" s="21"/>
      <c r="N920" s="22"/>
      <c r="O920" s="29" t="str">
        <f aca="false">IF(A920="","",IF(COUNTIF($A$2:$A$2001,A920)&gt;1,"GANDA","OK"))</f>
        <v/>
      </c>
      <c r="P920" s="29" t="str">
        <f aca="false">IF(A920="","",IF(C920="","KOSONG",IF(AND(LEN(C920)=16,ISNUMBER(--C920)),"OK","TIDAK VALID")))</f>
        <v/>
      </c>
    </row>
    <row r="921" customFormat="false" ht="15" hidden="false" customHeight="false" outlineLevel="0" collapsed="false">
      <c r="A921" s="21"/>
      <c r="B921" s="22"/>
      <c r="C921" s="21"/>
      <c r="D921" s="22"/>
      <c r="E921" s="22"/>
      <c r="F921" s="28"/>
      <c r="G921" s="22"/>
      <c r="H921" s="21"/>
      <c r="I921" s="28"/>
      <c r="J921" s="22"/>
      <c r="K921" s="22"/>
      <c r="L921" s="22"/>
      <c r="M921" s="21"/>
      <c r="N921" s="22"/>
      <c r="O921" s="29" t="str">
        <f aca="false">IF(A921="","",IF(COUNTIF($A$2:$A$2001,A921)&gt;1,"GANDA","OK"))</f>
        <v/>
      </c>
      <c r="P921" s="29" t="str">
        <f aca="false">IF(A921="","",IF(C921="","KOSONG",IF(AND(LEN(C921)=16,ISNUMBER(--C921)),"OK","TIDAK VALID")))</f>
        <v/>
      </c>
    </row>
    <row r="922" customFormat="false" ht="15" hidden="false" customHeight="false" outlineLevel="0" collapsed="false">
      <c r="A922" s="21"/>
      <c r="B922" s="22"/>
      <c r="C922" s="21"/>
      <c r="D922" s="22"/>
      <c r="E922" s="22"/>
      <c r="F922" s="28"/>
      <c r="G922" s="22"/>
      <c r="H922" s="21"/>
      <c r="I922" s="28"/>
      <c r="J922" s="22"/>
      <c r="K922" s="22"/>
      <c r="L922" s="22"/>
      <c r="M922" s="21"/>
      <c r="N922" s="22"/>
      <c r="O922" s="29" t="str">
        <f aca="false">IF(A922="","",IF(COUNTIF($A$2:$A$2001,A922)&gt;1,"GANDA","OK"))</f>
        <v/>
      </c>
      <c r="P922" s="29" t="str">
        <f aca="false">IF(A922="","",IF(C922="","KOSONG",IF(AND(LEN(C922)=16,ISNUMBER(--C922)),"OK","TIDAK VALID")))</f>
        <v/>
      </c>
    </row>
    <row r="923" customFormat="false" ht="15" hidden="false" customHeight="false" outlineLevel="0" collapsed="false">
      <c r="A923" s="21"/>
      <c r="B923" s="22"/>
      <c r="C923" s="21"/>
      <c r="D923" s="22"/>
      <c r="E923" s="22"/>
      <c r="F923" s="28"/>
      <c r="G923" s="22"/>
      <c r="H923" s="21"/>
      <c r="I923" s="28"/>
      <c r="J923" s="22"/>
      <c r="K923" s="22"/>
      <c r="L923" s="22"/>
      <c r="M923" s="21"/>
      <c r="N923" s="22"/>
      <c r="O923" s="29" t="str">
        <f aca="false">IF(A923="","",IF(COUNTIF($A$2:$A$2001,A923)&gt;1,"GANDA","OK"))</f>
        <v/>
      </c>
      <c r="P923" s="29" t="str">
        <f aca="false">IF(A923="","",IF(C923="","KOSONG",IF(AND(LEN(C923)=16,ISNUMBER(--C923)),"OK","TIDAK VALID")))</f>
        <v/>
      </c>
    </row>
    <row r="924" customFormat="false" ht="15" hidden="false" customHeight="false" outlineLevel="0" collapsed="false">
      <c r="A924" s="21"/>
      <c r="B924" s="22"/>
      <c r="C924" s="21"/>
      <c r="D924" s="22"/>
      <c r="E924" s="22"/>
      <c r="F924" s="28"/>
      <c r="G924" s="22"/>
      <c r="H924" s="21"/>
      <c r="I924" s="28"/>
      <c r="J924" s="22"/>
      <c r="K924" s="22"/>
      <c r="L924" s="22"/>
      <c r="M924" s="21"/>
      <c r="N924" s="22"/>
      <c r="O924" s="29" t="str">
        <f aca="false">IF(A924="","",IF(COUNTIF($A$2:$A$2001,A924)&gt;1,"GANDA","OK"))</f>
        <v/>
      </c>
      <c r="P924" s="29" t="str">
        <f aca="false">IF(A924="","",IF(C924="","KOSONG",IF(AND(LEN(C924)=16,ISNUMBER(--C924)),"OK","TIDAK VALID")))</f>
        <v/>
      </c>
    </row>
    <row r="925" customFormat="false" ht="15" hidden="false" customHeight="false" outlineLevel="0" collapsed="false">
      <c r="A925" s="21"/>
      <c r="B925" s="22"/>
      <c r="C925" s="21"/>
      <c r="D925" s="22"/>
      <c r="E925" s="22"/>
      <c r="F925" s="28"/>
      <c r="G925" s="22"/>
      <c r="H925" s="21"/>
      <c r="I925" s="28"/>
      <c r="J925" s="22"/>
      <c r="K925" s="22"/>
      <c r="L925" s="22"/>
      <c r="M925" s="21"/>
      <c r="N925" s="22"/>
      <c r="O925" s="29" t="str">
        <f aca="false">IF(A925="","",IF(COUNTIF($A$2:$A$2001,A925)&gt;1,"GANDA","OK"))</f>
        <v/>
      </c>
      <c r="P925" s="29" t="str">
        <f aca="false">IF(A925="","",IF(C925="","KOSONG",IF(AND(LEN(C925)=16,ISNUMBER(--C925)),"OK","TIDAK VALID")))</f>
        <v/>
      </c>
    </row>
    <row r="926" customFormat="false" ht="15" hidden="false" customHeight="false" outlineLevel="0" collapsed="false">
      <c r="A926" s="21"/>
      <c r="B926" s="22"/>
      <c r="C926" s="21"/>
      <c r="D926" s="22"/>
      <c r="E926" s="22"/>
      <c r="F926" s="28"/>
      <c r="G926" s="22"/>
      <c r="H926" s="21"/>
      <c r="I926" s="28"/>
      <c r="J926" s="22"/>
      <c r="K926" s="22"/>
      <c r="L926" s="22"/>
      <c r="M926" s="21"/>
      <c r="N926" s="22"/>
      <c r="O926" s="29" t="str">
        <f aca="false">IF(A926="","",IF(COUNTIF($A$2:$A$2001,A926)&gt;1,"GANDA","OK"))</f>
        <v/>
      </c>
      <c r="P926" s="29" t="str">
        <f aca="false">IF(A926="","",IF(C926="","KOSONG",IF(AND(LEN(C926)=16,ISNUMBER(--C926)),"OK","TIDAK VALID")))</f>
        <v/>
      </c>
    </row>
    <row r="927" customFormat="false" ht="15" hidden="false" customHeight="false" outlineLevel="0" collapsed="false">
      <c r="A927" s="21"/>
      <c r="B927" s="22"/>
      <c r="C927" s="21"/>
      <c r="D927" s="22"/>
      <c r="E927" s="22"/>
      <c r="F927" s="28"/>
      <c r="G927" s="22"/>
      <c r="H927" s="21"/>
      <c r="I927" s="28"/>
      <c r="J927" s="22"/>
      <c r="K927" s="22"/>
      <c r="L927" s="22"/>
      <c r="M927" s="21"/>
      <c r="N927" s="22"/>
      <c r="O927" s="29" t="str">
        <f aca="false">IF(A927="","",IF(COUNTIF($A$2:$A$2001,A927)&gt;1,"GANDA","OK"))</f>
        <v/>
      </c>
      <c r="P927" s="29" t="str">
        <f aca="false">IF(A927="","",IF(C927="","KOSONG",IF(AND(LEN(C927)=16,ISNUMBER(--C927)),"OK","TIDAK VALID")))</f>
        <v/>
      </c>
    </row>
    <row r="928" customFormat="false" ht="15" hidden="false" customHeight="false" outlineLevel="0" collapsed="false">
      <c r="A928" s="21"/>
      <c r="B928" s="22"/>
      <c r="C928" s="21"/>
      <c r="D928" s="22"/>
      <c r="E928" s="22"/>
      <c r="F928" s="28"/>
      <c r="G928" s="22"/>
      <c r="H928" s="21"/>
      <c r="I928" s="28"/>
      <c r="J928" s="22"/>
      <c r="K928" s="22"/>
      <c r="L928" s="22"/>
      <c r="M928" s="21"/>
      <c r="N928" s="22"/>
      <c r="O928" s="29" t="str">
        <f aca="false">IF(A928="","",IF(COUNTIF($A$2:$A$2001,A928)&gt;1,"GANDA","OK"))</f>
        <v/>
      </c>
      <c r="P928" s="29" t="str">
        <f aca="false">IF(A928="","",IF(C928="","KOSONG",IF(AND(LEN(C928)=16,ISNUMBER(--C928)),"OK","TIDAK VALID")))</f>
        <v/>
      </c>
    </row>
    <row r="929" customFormat="false" ht="15" hidden="false" customHeight="false" outlineLevel="0" collapsed="false">
      <c r="A929" s="21"/>
      <c r="B929" s="22"/>
      <c r="C929" s="21"/>
      <c r="D929" s="22"/>
      <c r="E929" s="22"/>
      <c r="F929" s="28"/>
      <c r="G929" s="22"/>
      <c r="H929" s="21"/>
      <c r="I929" s="28"/>
      <c r="J929" s="22"/>
      <c r="K929" s="22"/>
      <c r="L929" s="22"/>
      <c r="M929" s="21"/>
      <c r="N929" s="22"/>
      <c r="O929" s="29" t="str">
        <f aca="false">IF(A929="","",IF(COUNTIF($A$2:$A$2001,A929)&gt;1,"GANDA","OK"))</f>
        <v/>
      </c>
      <c r="P929" s="29" t="str">
        <f aca="false">IF(A929="","",IF(C929="","KOSONG",IF(AND(LEN(C929)=16,ISNUMBER(--C929)),"OK","TIDAK VALID")))</f>
        <v/>
      </c>
    </row>
    <row r="930" customFormat="false" ht="15" hidden="false" customHeight="false" outlineLevel="0" collapsed="false">
      <c r="A930" s="21"/>
      <c r="B930" s="22"/>
      <c r="C930" s="21"/>
      <c r="D930" s="22"/>
      <c r="E930" s="22"/>
      <c r="F930" s="28"/>
      <c r="G930" s="22"/>
      <c r="H930" s="21"/>
      <c r="I930" s="28"/>
      <c r="J930" s="22"/>
      <c r="K930" s="22"/>
      <c r="L930" s="22"/>
      <c r="M930" s="21"/>
      <c r="N930" s="22"/>
      <c r="O930" s="29" t="str">
        <f aca="false">IF(A930="","",IF(COUNTIF($A$2:$A$2001,A930)&gt;1,"GANDA","OK"))</f>
        <v/>
      </c>
      <c r="P930" s="29" t="str">
        <f aca="false">IF(A930="","",IF(C930="","KOSONG",IF(AND(LEN(C930)=16,ISNUMBER(--C930)),"OK","TIDAK VALID")))</f>
        <v/>
      </c>
    </row>
    <row r="931" customFormat="false" ht="15" hidden="false" customHeight="false" outlineLevel="0" collapsed="false">
      <c r="A931" s="21"/>
      <c r="B931" s="22"/>
      <c r="C931" s="21"/>
      <c r="D931" s="22"/>
      <c r="E931" s="22"/>
      <c r="F931" s="28"/>
      <c r="G931" s="22"/>
      <c r="H931" s="21"/>
      <c r="I931" s="28"/>
      <c r="J931" s="22"/>
      <c r="K931" s="22"/>
      <c r="L931" s="22"/>
      <c r="M931" s="21"/>
      <c r="N931" s="22"/>
      <c r="O931" s="29" t="str">
        <f aca="false">IF(A931="","",IF(COUNTIF($A$2:$A$2001,A931)&gt;1,"GANDA","OK"))</f>
        <v/>
      </c>
      <c r="P931" s="29" t="str">
        <f aca="false">IF(A931="","",IF(C931="","KOSONG",IF(AND(LEN(C931)=16,ISNUMBER(--C931)),"OK","TIDAK VALID")))</f>
        <v/>
      </c>
    </row>
    <row r="932" customFormat="false" ht="15" hidden="false" customHeight="false" outlineLevel="0" collapsed="false">
      <c r="A932" s="21"/>
      <c r="B932" s="22"/>
      <c r="C932" s="21"/>
      <c r="D932" s="22"/>
      <c r="E932" s="22"/>
      <c r="F932" s="28"/>
      <c r="G932" s="22"/>
      <c r="H932" s="21"/>
      <c r="I932" s="28"/>
      <c r="J932" s="22"/>
      <c r="K932" s="22"/>
      <c r="L932" s="22"/>
      <c r="M932" s="21"/>
      <c r="N932" s="22"/>
      <c r="O932" s="29" t="str">
        <f aca="false">IF(A932="","",IF(COUNTIF($A$2:$A$2001,A932)&gt;1,"GANDA","OK"))</f>
        <v/>
      </c>
      <c r="P932" s="29" t="str">
        <f aca="false">IF(A932="","",IF(C932="","KOSONG",IF(AND(LEN(C932)=16,ISNUMBER(--C932)),"OK","TIDAK VALID")))</f>
        <v/>
      </c>
    </row>
    <row r="933" customFormat="false" ht="15" hidden="false" customHeight="false" outlineLevel="0" collapsed="false">
      <c r="A933" s="21"/>
      <c r="B933" s="22"/>
      <c r="C933" s="21"/>
      <c r="D933" s="22"/>
      <c r="E933" s="22"/>
      <c r="F933" s="28"/>
      <c r="G933" s="22"/>
      <c r="H933" s="21"/>
      <c r="I933" s="28"/>
      <c r="J933" s="22"/>
      <c r="K933" s="22"/>
      <c r="L933" s="22"/>
      <c r="M933" s="21"/>
      <c r="N933" s="22"/>
      <c r="O933" s="29" t="str">
        <f aca="false">IF(A933="","",IF(COUNTIF($A$2:$A$2001,A933)&gt;1,"GANDA","OK"))</f>
        <v/>
      </c>
      <c r="P933" s="29" t="str">
        <f aca="false">IF(A933="","",IF(C933="","KOSONG",IF(AND(LEN(C933)=16,ISNUMBER(--C933)),"OK","TIDAK VALID")))</f>
        <v/>
      </c>
    </row>
    <row r="934" customFormat="false" ht="15" hidden="false" customHeight="false" outlineLevel="0" collapsed="false">
      <c r="A934" s="21"/>
      <c r="B934" s="22"/>
      <c r="C934" s="21"/>
      <c r="D934" s="22"/>
      <c r="E934" s="22"/>
      <c r="F934" s="28"/>
      <c r="G934" s="22"/>
      <c r="H934" s="21"/>
      <c r="I934" s="28"/>
      <c r="J934" s="22"/>
      <c r="K934" s="22"/>
      <c r="L934" s="22"/>
      <c r="M934" s="21"/>
      <c r="N934" s="22"/>
      <c r="O934" s="29" t="str">
        <f aca="false">IF(A934="","",IF(COUNTIF($A$2:$A$2001,A934)&gt;1,"GANDA","OK"))</f>
        <v/>
      </c>
      <c r="P934" s="29" t="str">
        <f aca="false">IF(A934="","",IF(C934="","KOSONG",IF(AND(LEN(C934)=16,ISNUMBER(--C934)),"OK","TIDAK VALID")))</f>
        <v/>
      </c>
    </row>
    <row r="935" customFormat="false" ht="15" hidden="false" customHeight="false" outlineLevel="0" collapsed="false">
      <c r="A935" s="21"/>
      <c r="B935" s="22"/>
      <c r="C935" s="21"/>
      <c r="D935" s="22"/>
      <c r="E935" s="22"/>
      <c r="F935" s="28"/>
      <c r="G935" s="22"/>
      <c r="H935" s="21"/>
      <c r="I935" s="28"/>
      <c r="J935" s="22"/>
      <c r="K935" s="22"/>
      <c r="L935" s="22"/>
      <c r="M935" s="21"/>
      <c r="N935" s="22"/>
      <c r="O935" s="29" t="str">
        <f aca="false">IF(A935="","",IF(COUNTIF($A$2:$A$2001,A935)&gt;1,"GANDA","OK"))</f>
        <v/>
      </c>
      <c r="P935" s="29" t="str">
        <f aca="false">IF(A935="","",IF(C935="","KOSONG",IF(AND(LEN(C935)=16,ISNUMBER(--C935)),"OK","TIDAK VALID")))</f>
        <v/>
      </c>
    </row>
    <row r="936" customFormat="false" ht="15" hidden="false" customHeight="false" outlineLevel="0" collapsed="false">
      <c r="A936" s="21"/>
      <c r="B936" s="22"/>
      <c r="C936" s="21"/>
      <c r="D936" s="22"/>
      <c r="E936" s="22"/>
      <c r="F936" s="28"/>
      <c r="G936" s="22"/>
      <c r="H936" s="21"/>
      <c r="I936" s="28"/>
      <c r="J936" s="22"/>
      <c r="K936" s="22"/>
      <c r="L936" s="22"/>
      <c r="M936" s="21"/>
      <c r="N936" s="22"/>
      <c r="O936" s="29" t="str">
        <f aca="false">IF(A936="","",IF(COUNTIF($A$2:$A$2001,A936)&gt;1,"GANDA","OK"))</f>
        <v/>
      </c>
      <c r="P936" s="29" t="str">
        <f aca="false">IF(A936="","",IF(C936="","KOSONG",IF(AND(LEN(C936)=16,ISNUMBER(--C936)),"OK","TIDAK VALID")))</f>
        <v/>
      </c>
    </row>
    <row r="937" customFormat="false" ht="15" hidden="false" customHeight="false" outlineLevel="0" collapsed="false">
      <c r="A937" s="21"/>
      <c r="B937" s="22"/>
      <c r="C937" s="21"/>
      <c r="D937" s="22"/>
      <c r="E937" s="22"/>
      <c r="F937" s="28"/>
      <c r="G937" s="22"/>
      <c r="H937" s="21"/>
      <c r="I937" s="28"/>
      <c r="J937" s="22"/>
      <c r="K937" s="22"/>
      <c r="L937" s="22"/>
      <c r="M937" s="21"/>
      <c r="N937" s="22"/>
      <c r="O937" s="29" t="str">
        <f aca="false">IF(A937="","",IF(COUNTIF($A$2:$A$2001,A937)&gt;1,"GANDA","OK"))</f>
        <v/>
      </c>
      <c r="P937" s="29" t="str">
        <f aca="false">IF(A937="","",IF(C937="","KOSONG",IF(AND(LEN(C937)=16,ISNUMBER(--C937)),"OK","TIDAK VALID")))</f>
        <v/>
      </c>
    </row>
    <row r="938" customFormat="false" ht="15" hidden="false" customHeight="false" outlineLevel="0" collapsed="false">
      <c r="A938" s="21"/>
      <c r="B938" s="22"/>
      <c r="C938" s="21"/>
      <c r="D938" s="22"/>
      <c r="E938" s="22"/>
      <c r="F938" s="28"/>
      <c r="G938" s="22"/>
      <c r="H938" s="21"/>
      <c r="I938" s="28"/>
      <c r="J938" s="22"/>
      <c r="K938" s="22"/>
      <c r="L938" s="22"/>
      <c r="M938" s="21"/>
      <c r="N938" s="22"/>
      <c r="O938" s="29" t="str">
        <f aca="false">IF(A938="","",IF(COUNTIF($A$2:$A$2001,A938)&gt;1,"GANDA","OK"))</f>
        <v/>
      </c>
      <c r="P938" s="29" t="str">
        <f aca="false">IF(A938="","",IF(C938="","KOSONG",IF(AND(LEN(C938)=16,ISNUMBER(--C938)),"OK","TIDAK VALID")))</f>
        <v/>
      </c>
    </row>
    <row r="939" customFormat="false" ht="15" hidden="false" customHeight="false" outlineLevel="0" collapsed="false">
      <c r="A939" s="21"/>
      <c r="B939" s="22"/>
      <c r="C939" s="21"/>
      <c r="D939" s="22"/>
      <c r="E939" s="22"/>
      <c r="F939" s="28"/>
      <c r="G939" s="22"/>
      <c r="H939" s="21"/>
      <c r="I939" s="28"/>
      <c r="J939" s="22"/>
      <c r="K939" s="22"/>
      <c r="L939" s="22"/>
      <c r="M939" s="21"/>
      <c r="N939" s="22"/>
      <c r="O939" s="29" t="str">
        <f aca="false">IF(A939="","",IF(COUNTIF($A$2:$A$2001,A939)&gt;1,"GANDA","OK"))</f>
        <v/>
      </c>
      <c r="P939" s="29" t="str">
        <f aca="false">IF(A939="","",IF(C939="","KOSONG",IF(AND(LEN(C939)=16,ISNUMBER(--C939)),"OK","TIDAK VALID")))</f>
        <v/>
      </c>
    </row>
    <row r="940" customFormat="false" ht="15" hidden="false" customHeight="false" outlineLevel="0" collapsed="false">
      <c r="A940" s="21"/>
      <c r="B940" s="22"/>
      <c r="C940" s="21"/>
      <c r="D940" s="22"/>
      <c r="E940" s="22"/>
      <c r="F940" s="28"/>
      <c r="G940" s="22"/>
      <c r="H940" s="21"/>
      <c r="I940" s="28"/>
      <c r="J940" s="22"/>
      <c r="K940" s="22"/>
      <c r="L940" s="22"/>
      <c r="M940" s="21"/>
      <c r="N940" s="22"/>
      <c r="O940" s="29" t="str">
        <f aca="false">IF(A940="","",IF(COUNTIF($A$2:$A$2001,A940)&gt;1,"GANDA","OK"))</f>
        <v/>
      </c>
      <c r="P940" s="29" t="str">
        <f aca="false">IF(A940="","",IF(C940="","KOSONG",IF(AND(LEN(C940)=16,ISNUMBER(--C940)),"OK","TIDAK VALID")))</f>
        <v/>
      </c>
    </row>
    <row r="941" customFormat="false" ht="15" hidden="false" customHeight="false" outlineLevel="0" collapsed="false">
      <c r="A941" s="21"/>
      <c r="B941" s="22"/>
      <c r="C941" s="21"/>
      <c r="D941" s="22"/>
      <c r="E941" s="22"/>
      <c r="F941" s="28"/>
      <c r="G941" s="22"/>
      <c r="H941" s="21"/>
      <c r="I941" s="28"/>
      <c r="J941" s="22"/>
      <c r="K941" s="22"/>
      <c r="L941" s="22"/>
      <c r="M941" s="21"/>
      <c r="N941" s="22"/>
      <c r="O941" s="29" t="str">
        <f aca="false">IF(A941="","",IF(COUNTIF($A$2:$A$2001,A941)&gt;1,"GANDA","OK"))</f>
        <v/>
      </c>
      <c r="P941" s="29" t="str">
        <f aca="false">IF(A941="","",IF(C941="","KOSONG",IF(AND(LEN(C941)=16,ISNUMBER(--C941)),"OK","TIDAK VALID")))</f>
        <v/>
      </c>
    </row>
    <row r="942" customFormat="false" ht="15" hidden="false" customHeight="false" outlineLevel="0" collapsed="false">
      <c r="A942" s="21"/>
      <c r="B942" s="22"/>
      <c r="C942" s="21"/>
      <c r="D942" s="22"/>
      <c r="E942" s="22"/>
      <c r="F942" s="28"/>
      <c r="G942" s="22"/>
      <c r="H942" s="21"/>
      <c r="I942" s="28"/>
      <c r="J942" s="22"/>
      <c r="K942" s="22"/>
      <c r="L942" s="22"/>
      <c r="M942" s="21"/>
      <c r="N942" s="22"/>
      <c r="O942" s="29" t="str">
        <f aca="false">IF(A942="","",IF(COUNTIF($A$2:$A$2001,A942)&gt;1,"GANDA","OK"))</f>
        <v/>
      </c>
      <c r="P942" s="29" t="str">
        <f aca="false">IF(A942="","",IF(C942="","KOSONG",IF(AND(LEN(C942)=16,ISNUMBER(--C942)),"OK","TIDAK VALID")))</f>
        <v/>
      </c>
    </row>
    <row r="943" customFormat="false" ht="15" hidden="false" customHeight="false" outlineLevel="0" collapsed="false">
      <c r="A943" s="21"/>
      <c r="B943" s="22"/>
      <c r="C943" s="21"/>
      <c r="D943" s="22"/>
      <c r="E943" s="22"/>
      <c r="F943" s="28"/>
      <c r="G943" s="22"/>
      <c r="H943" s="21"/>
      <c r="I943" s="28"/>
      <c r="J943" s="22"/>
      <c r="K943" s="22"/>
      <c r="L943" s="22"/>
      <c r="M943" s="21"/>
      <c r="N943" s="22"/>
      <c r="O943" s="29" t="str">
        <f aca="false">IF(A943="","",IF(COUNTIF($A$2:$A$2001,A943)&gt;1,"GANDA","OK"))</f>
        <v/>
      </c>
      <c r="P943" s="29" t="str">
        <f aca="false">IF(A943="","",IF(C943="","KOSONG",IF(AND(LEN(C943)=16,ISNUMBER(--C943)),"OK","TIDAK VALID")))</f>
        <v/>
      </c>
    </row>
    <row r="944" customFormat="false" ht="15" hidden="false" customHeight="false" outlineLevel="0" collapsed="false">
      <c r="A944" s="21"/>
      <c r="B944" s="22"/>
      <c r="C944" s="21"/>
      <c r="D944" s="22"/>
      <c r="E944" s="22"/>
      <c r="F944" s="28"/>
      <c r="G944" s="22"/>
      <c r="H944" s="21"/>
      <c r="I944" s="28"/>
      <c r="J944" s="22"/>
      <c r="K944" s="22"/>
      <c r="L944" s="22"/>
      <c r="M944" s="21"/>
      <c r="N944" s="22"/>
      <c r="O944" s="29" t="str">
        <f aca="false">IF(A944="","",IF(COUNTIF($A$2:$A$2001,A944)&gt;1,"GANDA","OK"))</f>
        <v/>
      </c>
      <c r="P944" s="29" t="str">
        <f aca="false">IF(A944="","",IF(C944="","KOSONG",IF(AND(LEN(C944)=16,ISNUMBER(--C944)),"OK","TIDAK VALID")))</f>
        <v/>
      </c>
    </row>
    <row r="945" customFormat="false" ht="15" hidden="false" customHeight="false" outlineLevel="0" collapsed="false">
      <c r="A945" s="21"/>
      <c r="B945" s="22"/>
      <c r="C945" s="21"/>
      <c r="D945" s="22"/>
      <c r="E945" s="22"/>
      <c r="F945" s="28"/>
      <c r="G945" s="22"/>
      <c r="H945" s="21"/>
      <c r="I945" s="28"/>
      <c r="J945" s="22"/>
      <c r="K945" s="22"/>
      <c r="L945" s="22"/>
      <c r="M945" s="21"/>
      <c r="N945" s="22"/>
      <c r="O945" s="29" t="str">
        <f aca="false">IF(A945="","",IF(COUNTIF($A$2:$A$2001,A945)&gt;1,"GANDA","OK"))</f>
        <v/>
      </c>
      <c r="P945" s="29" t="str">
        <f aca="false">IF(A945="","",IF(C945="","KOSONG",IF(AND(LEN(C945)=16,ISNUMBER(--C945)),"OK","TIDAK VALID")))</f>
        <v/>
      </c>
    </row>
    <row r="946" customFormat="false" ht="15" hidden="false" customHeight="false" outlineLevel="0" collapsed="false">
      <c r="A946" s="21"/>
      <c r="B946" s="22"/>
      <c r="C946" s="21"/>
      <c r="D946" s="22"/>
      <c r="E946" s="22"/>
      <c r="F946" s="28"/>
      <c r="G946" s="22"/>
      <c r="H946" s="21"/>
      <c r="I946" s="28"/>
      <c r="J946" s="22"/>
      <c r="K946" s="22"/>
      <c r="L946" s="22"/>
      <c r="M946" s="21"/>
      <c r="N946" s="22"/>
      <c r="O946" s="29" t="str">
        <f aca="false">IF(A946="","",IF(COUNTIF($A$2:$A$2001,A946)&gt;1,"GANDA","OK"))</f>
        <v/>
      </c>
      <c r="P946" s="29" t="str">
        <f aca="false">IF(A946="","",IF(C946="","KOSONG",IF(AND(LEN(C946)=16,ISNUMBER(--C946)),"OK","TIDAK VALID")))</f>
        <v/>
      </c>
    </row>
    <row r="947" customFormat="false" ht="15" hidden="false" customHeight="false" outlineLevel="0" collapsed="false">
      <c r="A947" s="21"/>
      <c r="B947" s="22"/>
      <c r="C947" s="21"/>
      <c r="D947" s="22"/>
      <c r="E947" s="22"/>
      <c r="F947" s="28"/>
      <c r="G947" s="22"/>
      <c r="H947" s="21"/>
      <c r="I947" s="28"/>
      <c r="J947" s="22"/>
      <c r="K947" s="22"/>
      <c r="L947" s="22"/>
      <c r="M947" s="21"/>
      <c r="N947" s="22"/>
      <c r="O947" s="29" t="str">
        <f aca="false">IF(A947="","",IF(COUNTIF($A$2:$A$2001,A947)&gt;1,"GANDA","OK"))</f>
        <v/>
      </c>
      <c r="P947" s="29" t="str">
        <f aca="false">IF(A947="","",IF(C947="","KOSONG",IF(AND(LEN(C947)=16,ISNUMBER(--C947)),"OK","TIDAK VALID")))</f>
        <v/>
      </c>
    </row>
    <row r="948" customFormat="false" ht="15" hidden="false" customHeight="false" outlineLevel="0" collapsed="false">
      <c r="A948" s="21"/>
      <c r="B948" s="22"/>
      <c r="C948" s="21"/>
      <c r="D948" s="22"/>
      <c r="E948" s="22"/>
      <c r="F948" s="28"/>
      <c r="G948" s="22"/>
      <c r="H948" s="21"/>
      <c r="I948" s="28"/>
      <c r="J948" s="22"/>
      <c r="K948" s="22"/>
      <c r="L948" s="22"/>
      <c r="M948" s="21"/>
      <c r="N948" s="22"/>
      <c r="O948" s="29" t="str">
        <f aca="false">IF(A948="","",IF(COUNTIF($A$2:$A$2001,A948)&gt;1,"GANDA","OK"))</f>
        <v/>
      </c>
      <c r="P948" s="29" t="str">
        <f aca="false">IF(A948="","",IF(C948="","KOSONG",IF(AND(LEN(C948)=16,ISNUMBER(--C948)),"OK","TIDAK VALID")))</f>
        <v/>
      </c>
    </row>
    <row r="949" customFormat="false" ht="15" hidden="false" customHeight="false" outlineLevel="0" collapsed="false">
      <c r="A949" s="21"/>
      <c r="B949" s="22"/>
      <c r="C949" s="21"/>
      <c r="D949" s="22"/>
      <c r="E949" s="22"/>
      <c r="F949" s="28"/>
      <c r="G949" s="22"/>
      <c r="H949" s="21"/>
      <c r="I949" s="28"/>
      <c r="J949" s="22"/>
      <c r="K949" s="22"/>
      <c r="L949" s="22"/>
      <c r="M949" s="21"/>
      <c r="N949" s="22"/>
      <c r="O949" s="29" t="str">
        <f aca="false">IF(A949="","",IF(COUNTIF($A$2:$A$2001,A949)&gt;1,"GANDA","OK"))</f>
        <v/>
      </c>
      <c r="P949" s="29" t="str">
        <f aca="false">IF(A949="","",IF(C949="","KOSONG",IF(AND(LEN(C949)=16,ISNUMBER(--C949)),"OK","TIDAK VALID")))</f>
        <v/>
      </c>
    </row>
    <row r="950" customFormat="false" ht="15" hidden="false" customHeight="false" outlineLevel="0" collapsed="false">
      <c r="A950" s="21"/>
      <c r="B950" s="22"/>
      <c r="C950" s="21"/>
      <c r="D950" s="22"/>
      <c r="E950" s="22"/>
      <c r="F950" s="28"/>
      <c r="G950" s="22"/>
      <c r="H950" s="21"/>
      <c r="I950" s="28"/>
      <c r="J950" s="22"/>
      <c r="K950" s="22"/>
      <c r="L950" s="22"/>
      <c r="M950" s="21"/>
      <c r="N950" s="22"/>
      <c r="O950" s="29" t="str">
        <f aca="false">IF(A950="","",IF(COUNTIF($A$2:$A$2001,A950)&gt;1,"GANDA","OK"))</f>
        <v/>
      </c>
      <c r="P950" s="29" t="str">
        <f aca="false">IF(A950="","",IF(C950="","KOSONG",IF(AND(LEN(C950)=16,ISNUMBER(--C950)),"OK","TIDAK VALID")))</f>
        <v/>
      </c>
    </row>
    <row r="951" customFormat="false" ht="15" hidden="false" customHeight="false" outlineLevel="0" collapsed="false">
      <c r="A951" s="21"/>
      <c r="B951" s="22"/>
      <c r="C951" s="21"/>
      <c r="D951" s="22"/>
      <c r="E951" s="22"/>
      <c r="F951" s="28"/>
      <c r="G951" s="22"/>
      <c r="H951" s="21"/>
      <c r="I951" s="28"/>
      <c r="J951" s="22"/>
      <c r="K951" s="22"/>
      <c r="L951" s="22"/>
      <c r="M951" s="21"/>
      <c r="N951" s="22"/>
      <c r="O951" s="29" t="str">
        <f aca="false">IF(A951="","",IF(COUNTIF($A$2:$A$2001,A951)&gt;1,"GANDA","OK"))</f>
        <v/>
      </c>
      <c r="P951" s="29" t="str">
        <f aca="false">IF(A951="","",IF(C951="","KOSONG",IF(AND(LEN(C951)=16,ISNUMBER(--C951)),"OK","TIDAK VALID")))</f>
        <v/>
      </c>
    </row>
    <row r="952" customFormat="false" ht="15" hidden="false" customHeight="false" outlineLevel="0" collapsed="false">
      <c r="A952" s="21"/>
      <c r="B952" s="22"/>
      <c r="C952" s="21"/>
      <c r="D952" s="22"/>
      <c r="E952" s="22"/>
      <c r="F952" s="28"/>
      <c r="G952" s="22"/>
      <c r="H952" s="21"/>
      <c r="I952" s="28"/>
      <c r="J952" s="22"/>
      <c r="K952" s="22"/>
      <c r="L952" s="22"/>
      <c r="M952" s="21"/>
      <c r="N952" s="22"/>
      <c r="O952" s="29" t="str">
        <f aca="false">IF(A952="","",IF(COUNTIF($A$2:$A$2001,A952)&gt;1,"GANDA","OK"))</f>
        <v/>
      </c>
      <c r="P952" s="29" t="str">
        <f aca="false">IF(A952="","",IF(C952="","KOSONG",IF(AND(LEN(C952)=16,ISNUMBER(--C952)),"OK","TIDAK VALID")))</f>
        <v/>
      </c>
    </row>
    <row r="953" customFormat="false" ht="15" hidden="false" customHeight="false" outlineLevel="0" collapsed="false">
      <c r="A953" s="21"/>
      <c r="B953" s="22"/>
      <c r="C953" s="21"/>
      <c r="D953" s="22"/>
      <c r="E953" s="22"/>
      <c r="F953" s="28"/>
      <c r="G953" s="22"/>
      <c r="H953" s="21"/>
      <c r="I953" s="28"/>
      <c r="J953" s="22"/>
      <c r="K953" s="22"/>
      <c r="L953" s="22"/>
      <c r="M953" s="21"/>
      <c r="N953" s="22"/>
      <c r="O953" s="29" t="str">
        <f aca="false">IF(A953="","",IF(COUNTIF($A$2:$A$2001,A953)&gt;1,"GANDA","OK"))</f>
        <v/>
      </c>
      <c r="P953" s="29" t="str">
        <f aca="false">IF(A953="","",IF(C953="","KOSONG",IF(AND(LEN(C953)=16,ISNUMBER(--C953)),"OK","TIDAK VALID")))</f>
        <v/>
      </c>
    </row>
    <row r="954" customFormat="false" ht="15" hidden="false" customHeight="false" outlineLevel="0" collapsed="false">
      <c r="A954" s="21"/>
      <c r="B954" s="22"/>
      <c r="C954" s="21"/>
      <c r="D954" s="22"/>
      <c r="E954" s="22"/>
      <c r="F954" s="28"/>
      <c r="G954" s="22"/>
      <c r="H954" s="21"/>
      <c r="I954" s="28"/>
      <c r="J954" s="22"/>
      <c r="K954" s="22"/>
      <c r="L954" s="22"/>
      <c r="M954" s="21"/>
      <c r="N954" s="22"/>
      <c r="O954" s="29" t="str">
        <f aca="false">IF(A954="","",IF(COUNTIF($A$2:$A$2001,A954)&gt;1,"GANDA","OK"))</f>
        <v/>
      </c>
      <c r="P954" s="29" t="str">
        <f aca="false">IF(A954="","",IF(C954="","KOSONG",IF(AND(LEN(C954)=16,ISNUMBER(--C954)),"OK","TIDAK VALID")))</f>
        <v/>
      </c>
    </row>
    <row r="955" customFormat="false" ht="15" hidden="false" customHeight="false" outlineLevel="0" collapsed="false">
      <c r="A955" s="21"/>
      <c r="B955" s="22"/>
      <c r="C955" s="21"/>
      <c r="D955" s="22"/>
      <c r="E955" s="22"/>
      <c r="F955" s="28"/>
      <c r="G955" s="22"/>
      <c r="H955" s="21"/>
      <c r="I955" s="28"/>
      <c r="J955" s="22"/>
      <c r="K955" s="22"/>
      <c r="L955" s="22"/>
      <c r="M955" s="21"/>
      <c r="N955" s="22"/>
      <c r="O955" s="29" t="str">
        <f aca="false">IF(A955="","",IF(COUNTIF($A$2:$A$2001,A955)&gt;1,"GANDA","OK"))</f>
        <v/>
      </c>
      <c r="P955" s="29" t="str">
        <f aca="false">IF(A955="","",IF(C955="","KOSONG",IF(AND(LEN(C955)=16,ISNUMBER(--C955)),"OK","TIDAK VALID")))</f>
        <v/>
      </c>
    </row>
    <row r="956" customFormat="false" ht="15" hidden="false" customHeight="false" outlineLevel="0" collapsed="false">
      <c r="A956" s="21"/>
      <c r="B956" s="22"/>
      <c r="C956" s="21"/>
      <c r="D956" s="22"/>
      <c r="E956" s="22"/>
      <c r="F956" s="28"/>
      <c r="G956" s="22"/>
      <c r="H956" s="21"/>
      <c r="I956" s="28"/>
      <c r="J956" s="22"/>
      <c r="K956" s="22"/>
      <c r="L956" s="22"/>
      <c r="M956" s="21"/>
      <c r="N956" s="22"/>
      <c r="O956" s="29" t="str">
        <f aca="false">IF(A956="","",IF(COUNTIF($A$2:$A$2001,A956)&gt;1,"GANDA","OK"))</f>
        <v/>
      </c>
      <c r="P956" s="29" t="str">
        <f aca="false">IF(A956="","",IF(C956="","KOSONG",IF(AND(LEN(C956)=16,ISNUMBER(--C956)),"OK","TIDAK VALID")))</f>
        <v/>
      </c>
    </row>
    <row r="957" customFormat="false" ht="15" hidden="false" customHeight="false" outlineLevel="0" collapsed="false">
      <c r="A957" s="21"/>
      <c r="B957" s="22"/>
      <c r="C957" s="21"/>
      <c r="D957" s="22"/>
      <c r="E957" s="22"/>
      <c r="F957" s="28"/>
      <c r="G957" s="22"/>
      <c r="H957" s="21"/>
      <c r="I957" s="28"/>
      <c r="J957" s="22"/>
      <c r="K957" s="22"/>
      <c r="L957" s="22"/>
      <c r="M957" s="21"/>
      <c r="N957" s="22"/>
      <c r="O957" s="29" t="str">
        <f aca="false">IF(A957="","",IF(COUNTIF($A$2:$A$2001,A957)&gt;1,"GANDA","OK"))</f>
        <v/>
      </c>
      <c r="P957" s="29" t="str">
        <f aca="false">IF(A957="","",IF(C957="","KOSONG",IF(AND(LEN(C957)=16,ISNUMBER(--C957)),"OK","TIDAK VALID")))</f>
        <v/>
      </c>
    </row>
    <row r="958" customFormat="false" ht="15" hidden="false" customHeight="false" outlineLevel="0" collapsed="false">
      <c r="A958" s="21"/>
      <c r="B958" s="22"/>
      <c r="C958" s="21"/>
      <c r="D958" s="22"/>
      <c r="E958" s="22"/>
      <c r="F958" s="28"/>
      <c r="G958" s="22"/>
      <c r="H958" s="21"/>
      <c r="I958" s="28"/>
      <c r="J958" s="22"/>
      <c r="K958" s="22"/>
      <c r="L958" s="22"/>
      <c r="M958" s="21"/>
      <c r="N958" s="22"/>
      <c r="O958" s="29" t="str">
        <f aca="false">IF(A958="","",IF(COUNTIF($A$2:$A$2001,A958)&gt;1,"GANDA","OK"))</f>
        <v/>
      </c>
      <c r="P958" s="29" t="str">
        <f aca="false">IF(A958="","",IF(C958="","KOSONG",IF(AND(LEN(C958)=16,ISNUMBER(--C958)),"OK","TIDAK VALID")))</f>
        <v/>
      </c>
    </row>
    <row r="959" customFormat="false" ht="15" hidden="false" customHeight="false" outlineLevel="0" collapsed="false">
      <c r="A959" s="21"/>
      <c r="B959" s="22"/>
      <c r="C959" s="21"/>
      <c r="D959" s="22"/>
      <c r="E959" s="22"/>
      <c r="F959" s="28"/>
      <c r="G959" s="22"/>
      <c r="H959" s="21"/>
      <c r="I959" s="28"/>
      <c r="J959" s="22"/>
      <c r="K959" s="22"/>
      <c r="L959" s="22"/>
      <c r="M959" s="21"/>
      <c r="N959" s="22"/>
      <c r="O959" s="29" t="str">
        <f aca="false">IF(A959="","",IF(COUNTIF($A$2:$A$2001,A959)&gt;1,"GANDA","OK"))</f>
        <v/>
      </c>
      <c r="P959" s="29" t="str">
        <f aca="false">IF(A959="","",IF(C959="","KOSONG",IF(AND(LEN(C959)=16,ISNUMBER(--C959)),"OK","TIDAK VALID")))</f>
        <v/>
      </c>
    </row>
    <row r="960" customFormat="false" ht="15" hidden="false" customHeight="false" outlineLevel="0" collapsed="false">
      <c r="A960" s="21"/>
      <c r="B960" s="22"/>
      <c r="C960" s="21"/>
      <c r="D960" s="22"/>
      <c r="E960" s="22"/>
      <c r="F960" s="28"/>
      <c r="G960" s="22"/>
      <c r="H960" s="21"/>
      <c r="I960" s="28"/>
      <c r="J960" s="22"/>
      <c r="K960" s="22"/>
      <c r="L960" s="22"/>
      <c r="M960" s="21"/>
      <c r="N960" s="22"/>
      <c r="O960" s="29" t="str">
        <f aca="false">IF(A960="","",IF(COUNTIF($A$2:$A$2001,A960)&gt;1,"GANDA","OK"))</f>
        <v/>
      </c>
      <c r="P960" s="29" t="str">
        <f aca="false">IF(A960="","",IF(C960="","KOSONG",IF(AND(LEN(C960)=16,ISNUMBER(--C960)),"OK","TIDAK VALID")))</f>
        <v/>
      </c>
    </row>
    <row r="961" customFormat="false" ht="15" hidden="false" customHeight="false" outlineLevel="0" collapsed="false">
      <c r="A961" s="21"/>
      <c r="B961" s="22"/>
      <c r="C961" s="21"/>
      <c r="D961" s="22"/>
      <c r="E961" s="22"/>
      <c r="F961" s="28"/>
      <c r="G961" s="22"/>
      <c r="H961" s="21"/>
      <c r="I961" s="28"/>
      <c r="J961" s="22"/>
      <c r="K961" s="22"/>
      <c r="L961" s="22"/>
      <c r="M961" s="21"/>
      <c r="N961" s="22"/>
      <c r="O961" s="29" t="str">
        <f aca="false">IF(A961="","",IF(COUNTIF($A$2:$A$2001,A961)&gt;1,"GANDA","OK"))</f>
        <v/>
      </c>
      <c r="P961" s="29" t="str">
        <f aca="false">IF(A961="","",IF(C961="","KOSONG",IF(AND(LEN(C961)=16,ISNUMBER(--C961)),"OK","TIDAK VALID")))</f>
        <v/>
      </c>
    </row>
    <row r="962" customFormat="false" ht="15" hidden="false" customHeight="false" outlineLevel="0" collapsed="false">
      <c r="A962" s="21"/>
      <c r="B962" s="22"/>
      <c r="C962" s="21"/>
      <c r="D962" s="22"/>
      <c r="E962" s="22"/>
      <c r="F962" s="28"/>
      <c r="G962" s="22"/>
      <c r="H962" s="21"/>
      <c r="I962" s="28"/>
      <c r="J962" s="22"/>
      <c r="K962" s="22"/>
      <c r="L962" s="22"/>
      <c r="M962" s="21"/>
      <c r="N962" s="22"/>
      <c r="O962" s="29" t="str">
        <f aca="false">IF(A962="","",IF(COUNTIF($A$2:$A$2001,A962)&gt;1,"GANDA","OK"))</f>
        <v/>
      </c>
      <c r="P962" s="29" t="str">
        <f aca="false">IF(A962="","",IF(C962="","KOSONG",IF(AND(LEN(C962)=16,ISNUMBER(--C962)),"OK","TIDAK VALID")))</f>
        <v/>
      </c>
    </row>
    <row r="963" customFormat="false" ht="15" hidden="false" customHeight="false" outlineLevel="0" collapsed="false">
      <c r="A963" s="21"/>
      <c r="B963" s="22"/>
      <c r="C963" s="21"/>
      <c r="D963" s="22"/>
      <c r="E963" s="22"/>
      <c r="F963" s="28"/>
      <c r="G963" s="22"/>
      <c r="H963" s="21"/>
      <c r="I963" s="28"/>
      <c r="J963" s="22"/>
      <c r="K963" s="22"/>
      <c r="L963" s="22"/>
      <c r="M963" s="21"/>
      <c r="N963" s="22"/>
      <c r="O963" s="29" t="str">
        <f aca="false">IF(A963="","",IF(COUNTIF($A$2:$A$2001,A963)&gt;1,"GANDA","OK"))</f>
        <v/>
      </c>
      <c r="P963" s="29" t="str">
        <f aca="false">IF(A963="","",IF(C963="","KOSONG",IF(AND(LEN(C963)=16,ISNUMBER(--C963)),"OK","TIDAK VALID")))</f>
        <v/>
      </c>
    </row>
    <row r="964" customFormat="false" ht="15" hidden="false" customHeight="false" outlineLevel="0" collapsed="false">
      <c r="A964" s="21"/>
      <c r="B964" s="22"/>
      <c r="C964" s="21"/>
      <c r="D964" s="22"/>
      <c r="E964" s="22"/>
      <c r="F964" s="28"/>
      <c r="G964" s="22"/>
      <c r="H964" s="21"/>
      <c r="I964" s="28"/>
      <c r="J964" s="22"/>
      <c r="K964" s="22"/>
      <c r="L964" s="22"/>
      <c r="M964" s="21"/>
      <c r="N964" s="22"/>
      <c r="O964" s="29" t="str">
        <f aca="false">IF(A964="","",IF(COUNTIF($A$2:$A$2001,A964)&gt;1,"GANDA","OK"))</f>
        <v/>
      </c>
      <c r="P964" s="29" t="str">
        <f aca="false">IF(A964="","",IF(C964="","KOSONG",IF(AND(LEN(C964)=16,ISNUMBER(--C964)),"OK","TIDAK VALID")))</f>
        <v/>
      </c>
    </row>
    <row r="965" customFormat="false" ht="15" hidden="false" customHeight="false" outlineLevel="0" collapsed="false">
      <c r="A965" s="21"/>
      <c r="B965" s="22"/>
      <c r="C965" s="21"/>
      <c r="D965" s="22"/>
      <c r="E965" s="22"/>
      <c r="F965" s="28"/>
      <c r="G965" s="22"/>
      <c r="H965" s="21"/>
      <c r="I965" s="28"/>
      <c r="J965" s="22"/>
      <c r="K965" s="22"/>
      <c r="L965" s="22"/>
      <c r="M965" s="21"/>
      <c r="N965" s="22"/>
      <c r="O965" s="29" t="str">
        <f aca="false">IF(A965="","",IF(COUNTIF($A$2:$A$2001,A965)&gt;1,"GANDA","OK"))</f>
        <v/>
      </c>
      <c r="P965" s="29" t="str">
        <f aca="false">IF(A965="","",IF(C965="","KOSONG",IF(AND(LEN(C965)=16,ISNUMBER(--C965)),"OK","TIDAK VALID")))</f>
        <v/>
      </c>
    </row>
    <row r="966" customFormat="false" ht="15" hidden="false" customHeight="false" outlineLevel="0" collapsed="false">
      <c r="A966" s="21"/>
      <c r="B966" s="22"/>
      <c r="C966" s="21"/>
      <c r="D966" s="22"/>
      <c r="E966" s="22"/>
      <c r="F966" s="28"/>
      <c r="G966" s="22"/>
      <c r="H966" s="21"/>
      <c r="I966" s="28"/>
      <c r="J966" s="22"/>
      <c r="K966" s="22"/>
      <c r="L966" s="22"/>
      <c r="M966" s="21"/>
      <c r="N966" s="22"/>
      <c r="O966" s="29" t="str">
        <f aca="false">IF(A966="","",IF(COUNTIF($A$2:$A$2001,A966)&gt;1,"GANDA","OK"))</f>
        <v/>
      </c>
      <c r="P966" s="29" t="str">
        <f aca="false">IF(A966="","",IF(C966="","KOSONG",IF(AND(LEN(C966)=16,ISNUMBER(--C966)),"OK","TIDAK VALID")))</f>
        <v/>
      </c>
    </row>
    <row r="967" customFormat="false" ht="15" hidden="false" customHeight="false" outlineLevel="0" collapsed="false">
      <c r="A967" s="21"/>
      <c r="B967" s="22"/>
      <c r="C967" s="21"/>
      <c r="D967" s="22"/>
      <c r="E967" s="22"/>
      <c r="F967" s="28"/>
      <c r="G967" s="22"/>
      <c r="H967" s="21"/>
      <c r="I967" s="28"/>
      <c r="J967" s="22"/>
      <c r="K967" s="22"/>
      <c r="L967" s="22"/>
      <c r="M967" s="21"/>
      <c r="N967" s="22"/>
      <c r="O967" s="29" t="str">
        <f aca="false">IF(A967="","",IF(COUNTIF($A$2:$A$2001,A967)&gt;1,"GANDA","OK"))</f>
        <v/>
      </c>
      <c r="P967" s="29" t="str">
        <f aca="false">IF(A967="","",IF(C967="","KOSONG",IF(AND(LEN(C967)=16,ISNUMBER(--C967)),"OK","TIDAK VALID")))</f>
        <v/>
      </c>
    </row>
    <row r="968" customFormat="false" ht="15" hidden="false" customHeight="false" outlineLevel="0" collapsed="false">
      <c r="A968" s="21"/>
      <c r="B968" s="22"/>
      <c r="C968" s="21"/>
      <c r="D968" s="22"/>
      <c r="E968" s="22"/>
      <c r="F968" s="28"/>
      <c r="G968" s="22"/>
      <c r="H968" s="21"/>
      <c r="I968" s="28"/>
      <c r="J968" s="22"/>
      <c r="K968" s="22"/>
      <c r="L968" s="22"/>
      <c r="M968" s="21"/>
      <c r="N968" s="22"/>
      <c r="O968" s="29" t="str">
        <f aca="false">IF(A968="","",IF(COUNTIF($A$2:$A$2001,A968)&gt;1,"GANDA","OK"))</f>
        <v/>
      </c>
      <c r="P968" s="29" t="str">
        <f aca="false">IF(A968="","",IF(C968="","KOSONG",IF(AND(LEN(C968)=16,ISNUMBER(--C968)),"OK","TIDAK VALID")))</f>
        <v/>
      </c>
    </row>
    <row r="969" customFormat="false" ht="15" hidden="false" customHeight="false" outlineLevel="0" collapsed="false">
      <c r="A969" s="21"/>
      <c r="B969" s="22"/>
      <c r="C969" s="21"/>
      <c r="D969" s="22"/>
      <c r="E969" s="22"/>
      <c r="F969" s="28"/>
      <c r="G969" s="22"/>
      <c r="H969" s="21"/>
      <c r="I969" s="28"/>
      <c r="J969" s="22"/>
      <c r="K969" s="22"/>
      <c r="L969" s="22"/>
      <c r="M969" s="21"/>
      <c r="N969" s="22"/>
      <c r="O969" s="29" t="str">
        <f aca="false">IF(A969="","",IF(COUNTIF($A$2:$A$2001,A969)&gt;1,"GANDA","OK"))</f>
        <v/>
      </c>
      <c r="P969" s="29" t="str">
        <f aca="false">IF(A969="","",IF(C969="","KOSONG",IF(AND(LEN(C969)=16,ISNUMBER(--C969)),"OK","TIDAK VALID")))</f>
        <v/>
      </c>
    </row>
    <row r="970" customFormat="false" ht="15" hidden="false" customHeight="false" outlineLevel="0" collapsed="false">
      <c r="A970" s="21"/>
      <c r="B970" s="22"/>
      <c r="C970" s="21"/>
      <c r="D970" s="22"/>
      <c r="E970" s="22"/>
      <c r="F970" s="28"/>
      <c r="G970" s="22"/>
      <c r="H970" s="21"/>
      <c r="I970" s="28"/>
      <c r="J970" s="22"/>
      <c r="K970" s="22"/>
      <c r="L970" s="22"/>
      <c r="M970" s="21"/>
      <c r="N970" s="22"/>
      <c r="O970" s="29" t="str">
        <f aca="false">IF(A970="","",IF(COUNTIF($A$2:$A$2001,A970)&gt;1,"GANDA","OK"))</f>
        <v/>
      </c>
      <c r="P970" s="29" t="str">
        <f aca="false">IF(A970="","",IF(C970="","KOSONG",IF(AND(LEN(C970)=16,ISNUMBER(--C970)),"OK","TIDAK VALID")))</f>
        <v/>
      </c>
    </row>
    <row r="971" customFormat="false" ht="15" hidden="false" customHeight="false" outlineLevel="0" collapsed="false">
      <c r="A971" s="21"/>
      <c r="B971" s="22"/>
      <c r="C971" s="21"/>
      <c r="D971" s="22"/>
      <c r="E971" s="22"/>
      <c r="F971" s="28"/>
      <c r="G971" s="22"/>
      <c r="H971" s="21"/>
      <c r="I971" s="28"/>
      <c r="J971" s="22"/>
      <c r="K971" s="22"/>
      <c r="L971" s="22"/>
      <c r="M971" s="21"/>
      <c r="N971" s="22"/>
      <c r="O971" s="29" t="str">
        <f aca="false">IF(A971="","",IF(COUNTIF($A$2:$A$2001,A971)&gt;1,"GANDA","OK"))</f>
        <v/>
      </c>
      <c r="P971" s="29" t="str">
        <f aca="false">IF(A971="","",IF(C971="","KOSONG",IF(AND(LEN(C971)=16,ISNUMBER(--C971)),"OK","TIDAK VALID")))</f>
        <v/>
      </c>
    </row>
    <row r="972" customFormat="false" ht="15" hidden="false" customHeight="false" outlineLevel="0" collapsed="false">
      <c r="A972" s="21"/>
      <c r="B972" s="22"/>
      <c r="C972" s="21"/>
      <c r="D972" s="22"/>
      <c r="E972" s="22"/>
      <c r="F972" s="28"/>
      <c r="G972" s="22"/>
      <c r="H972" s="21"/>
      <c r="I972" s="28"/>
      <c r="J972" s="22"/>
      <c r="K972" s="22"/>
      <c r="L972" s="22"/>
      <c r="M972" s="21"/>
      <c r="N972" s="22"/>
      <c r="O972" s="29" t="str">
        <f aca="false">IF(A972="","",IF(COUNTIF($A$2:$A$2001,A972)&gt;1,"GANDA","OK"))</f>
        <v/>
      </c>
      <c r="P972" s="29" t="str">
        <f aca="false">IF(A972="","",IF(C972="","KOSONG",IF(AND(LEN(C972)=16,ISNUMBER(--C972)),"OK","TIDAK VALID")))</f>
        <v/>
      </c>
    </row>
    <row r="973" customFormat="false" ht="15" hidden="false" customHeight="false" outlineLevel="0" collapsed="false">
      <c r="A973" s="21"/>
      <c r="B973" s="22"/>
      <c r="C973" s="21"/>
      <c r="D973" s="22"/>
      <c r="E973" s="22"/>
      <c r="F973" s="28"/>
      <c r="G973" s="22"/>
      <c r="H973" s="21"/>
      <c r="I973" s="28"/>
      <c r="J973" s="22"/>
      <c r="K973" s="22"/>
      <c r="L973" s="22"/>
      <c r="M973" s="21"/>
      <c r="N973" s="22"/>
      <c r="O973" s="29" t="str">
        <f aca="false">IF(A973="","",IF(COUNTIF($A$2:$A$2001,A973)&gt;1,"GANDA","OK"))</f>
        <v/>
      </c>
      <c r="P973" s="29" t="str">
        <f aca="false">IF(A973="","",IF(C973="","KOSONG",IF(AND(LEN(C973)=16,ISNUMBER(--C973)),"OK","TIDAK VALID")))</f>
        <v/>
      </c>
    </row>
    <row r="974" customFormat="false" ht="15" hidden="false" customHeight="false" outlineLevel="0" collapsed="false">
      <c r="A974" s="21"/>
      <c r="B974" s="22"/>
      <c r="C974" s="21"/>
      <c r="D974" s="22"/>
      <c r="E974" s="22"/>
      <c r="F974" s="28"/>
      <c r="G974" s="22"/>
      <c r="H974" s="21"/>
      <c r="I974" s="28"/>
      <c r="J974" s="22"/>
      <c r="K974" s="22"/>
      <c r="L974" s="22"/>
      <c r="M974" s="21"/>
      <c r="N974" s="22"/>
      <c r="O974" s="29" t="str">
        <f aca="false">IF(A974="","",IF(COUNTIF($A$2:$A$2001,A974)&gt;1,"GANDA","OK"))</f>
        <v/>
      </c>
      <c r="P974" s="29" t="str">
        <f aca="false">IF(A974="","",IF(C974="","KOSONG",IF(AND(LEN(C974)=16,ISNUMBER(--C974)),"OK","TIDAK VALID")))</f>
        <v/>
      </c>
    </row>
    <row r="975" customFormat="false" ht="15" hidden="false" customHeight="false" outlineLevel="0" collapsed="false">
      <c r="A975" s="21"/>
      <c r="B975" s="22"/>
      <c r="C975" s="21"/>
      <c r="D975" s="22"/>
      <c r="E975" s="22"/>
      <c r="F975" s="28"/>
      <c r="G975" s="22"/>
      <c r="H975" s="21"/>
      <c r="I975" s="28"/>
      <c r="J975" s="22"/>
      <c r="K975" s="22"/>
      <c r="L975" s="22"/>
      <c r="M975" s="21"/>
      <c r="N975" s="22"/>
      <c r="O975" s="29" t="str">
        <f aca="false">IF(A975="","",IF(COUNTIF($A$2:$A$2001,A975)&gt;1,"GANDA","OK"))</f>
        <v/>
      </c>
      <c r="P975" s="29" t="str">
        <f aca="false">IF(A975="","",IF(C975="","KOSONG",IF(AND(LEN(C975)=16,ISNUMBER(--C975)),"OK","TIDAK VALID")))</f>
        <v/>
      </c>
    </row>
    <row r="976" customFormat="false" ht="15" hidden="false" customHeight="false" outlineLevel="0" collapsed="false">
      <c r="A976" s="21"/>
      <c r="B976" s="22"/>
      <c r="C976" s="21"/>
      <c r="D976" s="22"/>
      <c r="E976" s="22"/>
      <c r="F976" s="28"/>
      <c r="G976" s="22"/>
      <c r="H976" s="21"/>
      <c r="I976" s="28"/>
      <c r="J976" s="22"/>
      <c r="K976" s="22"/>
      <c r="L976" s="22"/>
      <c r="M976" s="21"/>
      <c r="N976" s="22"/>
      <c r="O976" s="29" t="str">
        <f aca="false">IF(A976="","",IF(COUNTIF($A$2:$A$2001,A976)&gt;1,"GANDA","OK"))</f>
        <v/>
      </c>
      <c r="P976" s="29" t="str">
        <f aca="false">IF(A976="","",IF(C976="","KOSONG",IF(AND(LEN(C976)=16,ISNUMBER(--C976)),"OK","TIDAK VALID")))</f>
        <v/>
      </c>
    </row>
    <row r="977" customFormat="false" ht="15" hidden="false" customHeight="false" outlineLevel="0" collapsed="false">
      <c r="A977" s="21"/>
      <c r="B977" s="22"/>
      <c r="C977" s="21"/>
      <c r="D977" s="22"/>
      <c r="E977" s="22"/>
      <c r="F977" s="28"/>
      <c r="G977" s="22"/>
      <c r="H977" s="21"/>
      <c r="I977" s="28"/>
      <c r="J977" s="22"/>
      <c r="K977" s="22"/>
      <c r="L977" s="22"/>
      <c r="M977" s="21"/>
      <c r="N977" s="22"/>
      <c r="O977" s="29" t="str">
        <f aca="false">IF(A977="","",IF(COUNTIF($A$2:$A$2001,A977)&gt;1,"GANDA","OK"))</f>
        <v/>
      </c>
      <c r="P977" s="29" t="str">
        <f aca="false">IF(A977="","",IF(C977="","KOSONG",IF(AND(LEN(C977)=16,ISNUMBER(--C977)),"OK","TIDAK VALID")))</f>
        <v/>
      </c>
    </row>
    <row r="978" customFormat="false" ht="15" hidden="false" customHeight="false" outlineLevel="0" collapsed="false">
      <c r="A978" s="21"/>
      <c r="B978" s="22"/>
      <c r="C978" s="21"/>
      <c r="D978" s="22"/>
      <c r="E978" s="22"/>
      <c r="F978" s="28"/>
      <c r="G978" s="22"/>
      <c r="H978" s="21"/>
      <c r="I978" s="28"/>
      <c r="J978" s="22"/>
      <c r="K978" s="22"/>
      <c r="L978" s="22"/>
      <c r="M978" s="21"/>
      <c r="N978" s="22"/>
      <c r="O978" s="29" t="str">
        <f aca="false">IF(A978="","",IF(COUNTIF($A$2:$A$2001,A978)&gt;1,"GANDA","OK"))</f>
        <v/>
      </c>
      <c r="P978" s="29" t="str">
        <f aca="false">IF(A978="","",IF(C978="","KOSONG",IF(AND(LEN(C978)=16,ISNUMBER(--C978)),"OK","TIDAK VALID")))</f>
        <v/>
      </c>
    </row>
    <row r="979" customFormat="false" ht="15" hidden="false" customHeight="false" outlineLevel="0" collapsed="false">
      <c r="A979" s="21"/>
      <c r="B979" s="22"/>
      <c r="C979" s="21"/>
      <c r="D979" s="22"/>
      <c r="E979" s="22"/>
      <c r="F979" s="28"/>
      <c r="G979" s="22"/>
      <c r="H979" s="21"/>
      <c r="I979" s="28"/>
      <c r="J979" s="22"/>
      <c r="K979" s="22"/>
      <c r="L979" s="22"/>
      <c r="M979" s="21"/>
      <c r="N979" s="22"/>
      <c r="O979" s="29" t="str">
        <f aca="false">IF(A979="","",IF(COUNTIF($A$2:$A$2001,A979)&gt;1,"GANDA","OK"))</f>
        <v/>
      </c>
      <c r="P979" s="29" t="str">
        <f aca="false">IF(A979="","",IF(C979="","KOSONG",IF(AND(LEN(C979)=16,ISNUMBER(--C979)),"OK","TIDAK VALID")))</f>
        <v/>
      </c>
    </row>
    <row r="980" customFormat="false" ht="15" hidden="false" customHeight="false" outlineLevel="0" collapsed="false">
      <c r="A980" s="21"/>
      <c r="B980" s="22"/>
      <c r="C980" s="21"/>
      <c r="D980" s="22"/>
      <c r="E980" s="22"/>
      <c r="F980" s="28"/>
      <c r="G980" s="22"/>
      <c r="H980" s="21"/>
      <c r="I980" s="28"/>
      <c r="J980" s="22"/>
      <c r="K980" s="22"/>
      <c r="L980" s="22"/>
      <c r="M980" s="21"/>
      <c r="N980" s="22"/>
      <c r="O980" s="29" t="str">
        <f aca="false">IF(A980="","",IF(COUNTIF($A$2:$A$2001,A980)&gt;1,"GANDA","OK"))</f>
        <v/>
      </c>
      <c r="P980" s="29" t="str">
        <f aca="false">IF(A980="","",IF(C980="","KOSONG",IF(AND(LEN(C980)=16,ISNUMBER(--C980)),"OK","TIDAK VALID")))</f>
        <v/>
      </c>
    </row>
    <row r="981" customFormat="false" ht="15" hidden="false" customHeight="false" outlineLevel="0" collapsed="false">
      <c r="A981" s="21"/>
      <c r="B981" s="22"/>
      <c r="C981" s="21"/>
      <c r="D981" s="22"/>
      <c r="E981" s="22"/>
      <c r="F981" s="28"/>
      <c r="G981" s="22"/>
      <c r="H981" s="21"/>
      <c r="I981" s="28"/>
      <c r="J981" s="22"/>
      <c r="K981" s="22"/>
      <c r="L981" s="22"/>
      <c r="M981" s="21"/>
      <c r="N981" s="22"/>
      <c r="O981" s="29" t="str">
        <f aca="false">IF(A981="","",IF(COUNTIF($A$2:$A$2001,A981)&gt;1,"GANDA","OK"))</f>
        <v/>
      </c>
      <c r="P981" s="29" t="str">
        <f aca="false">IF(A981="","",IF(C981="","KOSONG",IF(AND(LEN(C981)=16,ISNUMBER(--C981)),"OK","TIDAK VALID")))</f>
        <v/>
      </c>
    </row>
    <row r="982" customFormat="false" ht="15" hidden="false" customHeight="false" outlineLevel="0" collapsed="false">
      <c r="A982" s="21"/>
      <c r="B982" s="22"/>
      <c r="C982" s="21"/>
      <c r="D982" s="22"/>
      <c r="E982" s="22"/>
      <c r="F982" s="28"/>
      <c r="G982" s="22"/>
      <c r="H982" s="21"/>
      <c r="I982" s="28"/>
      <c r="J982" s="22"/>
      <c r="K982" s="22"/>
      <c r="L982" s="22"/>
      <c r="M982" s="21"/>
      <c r="N982" s="22"/>
      <c r="O982" s="29" t="str">
        <f aca="false">IF(A982="","",IF(COUNTIF($A$2:$A$2001,A982)&gt;1,"GANDA","OK"))</f>
        <v/>
      </c>
      <c r="P982" s="29" t="str">
        <f aca="false">IF(A982="","",IF(C982="","KOSONG",IF(AND(LEN(C982)=16,ISNUMBER(--C982)),"OK","TIDAK VALID")))</f>
        <v/>
      </c>
    </row>
    <row r="983" customFormat="false" ht="15" hidden="false" customHeight="false" outlineLevel="0" collapsed="false">
      <c r="A983" s="21"/>
      <c r="B983" s="22"/>
      <c r="C983" s="21"/>
      <c r="D983" s="22"/>
      <c r="E983" s="22"/>
      <c r="F983" s="28"/>
      <c r="G983" s="22"/>
      <c r="H983" s="21"/>
      <c r="I983" s="28"/>
      <c r="J983" s="22"/>
      <c r="K983" s="22"/>
      <c r="L983" s="22"/>
      <c r="M983" s="21"/>
      <c r="N983" s="22"/>
      <c r="O983" s="29" t="str">
        <f aca="false">IF(A983="","",IF(COUNTIF($A$2:$A$2001,A983)&gt;1,"GANDA","OK"))</f>
        <v/>
      </c>
      <c r="P983" s="29" t="str">
        <f aca="false">IF(A983="","",IF(C983="","KOSONG",IF(AND(LEN(C983)=16,ISNUMBER(--C983)),"OK","TIDAK VALID")))</f>
        <v/>
      </c>
    </row>
    <row r="984" customFormat="false" ht="15" hidden="false" customHeight="false" outlineLevel="0" collapsed="false">
      <c r="A984" s="21"/>
      <c r="B984" s="22"/>
      <c r="C984" s="21"/>
      <c r="D984" s="22"/>
      <c r="E984" s="22"/>
      <c r="F984" s="28"/>
      <c r="G984" s="22"/>
      <c r="H984" s="21"/>
      <c r="I984" s="28"/>
      <c r="J984" s="22"/>
      <c r="K984" s="22"/>
      <c r="L984" s="22"/>
      <c r="M984" s="21"/>
      <c r="N984" s="22"/>
      <c r="O984" s="29" t="str">
        <f aca="false">IF(A984="","",IF(COUNTIF($A$2:$A$2001,A984)&gt;1,"GANDA","OK"))</f>
        <v/>
      </c>
      <c r="P984" s="29" t="str">
        <f aca="false">IF(A984="","",IF(C984="","KOSONG",IF(AND(LEN(C984)=16,ISNUMBER(--C984)),"OK","TIDAK VALID")))</f>
        <v/>
      </c>
    </row>
    <row r="985" customFormat="false" ht="15" hidden="false" customHeight="false" outlineLevel="0" collapsed="false">
      <c r="A985" s="21"/>
      <c r="B985" s="22"/>
      <c r="C985" s="21"/>
      <c r="D985" s="22"/>
      <c r="E985" s="22"/>
      <c r="F985" s="28"/>
      <c r="G985" s="22"/>
      <c r="H985" s="21"/>
      <c r="I985" s="28"/>
      <c r="J985" s="22"/>
      <c r="K985" s="22"/>
      <c r="L985" s="22"/>
      <c r="M985" s="21"/>
      <c r="N985" s="22"/>
      <c r="O985" s="29" t="str">
        <f aca="false">IF(A985="","",IF(COUNTIF($A$2:$A$2001,A985)&gt;1,"GANDA","OK"))</f>
        <v/>
      </c>
      <c r="P985" s="29" t="str">
        <f aca="false">IF(A985="","",IF(C985="","KOSONG",IF(AND(LEN(C985)=16,ISNUMBER(--C985)),"OK","TIDAK VALID")))</f>
        <v/>
      </c>
    </row>
    <row r="986" customFormat="false" ht="15" hidden="false" customHeight="false" outlineLevel="0" collapsed="false">
      <c r="A986" s="21"/>
      <c r="B986" s="22"/>
      <c r="C986" s="21"/>
      <c r="D986" s="22"/>
      <c r="E986" s="22"/>
      <c r="F986" s="28"/>
      <c r="G986" s="22"/>
      <c r="H986" s="21"/>
      <c r="I986" s="28"/>
      <c r="J986" s="22"/>
      <c r="K986" s="22"/>
      <c r="L986" s="22"/>
      <c r="M986" s="21"/>
      <c r="N986" s="22"/>
      <c r="O986" s="29" t="str">
        <f aca="false">IF(A986="","",IF(COUNTIF($A$2:$A$2001,A986)&gt;1,"GANDA","OK"))</f>
        <v/>
      </c>
      <c r="P986" s="29" t="str">
        <f aca="false">IF(A986="","",IF(C986="","KOSONG",IF(AND(LEN(C986)=16,ISNUMBER(--C986)),"OK","TIDAK VALID")))</f>
        <v/>
      </c>
    </row>
    <row r="987" customFormat="false" ht="15" hidden="false" customHeight="false" outlineLevel="0" collapsed="false">
      <c r="A987" s="21"/>
      <c r="B987" s="22"/>
      <c r="C987" s="21"/>
      <c r="D987" s="22"/>
      <c r="E987" s="22"/>
      <c r="F987" s="28"/>
      <c r="G987" s="22"/>
      <c r="H987" s="21"/>
      <c r="I987" s="28"/>
      <c r="J987" s="22"/>
      <c r="K987" s="22"/>
      <c r="L987" s="22"/>
      <c r="M987" s="21"/>
      <c r="N987" s="22"/>
      <c r="O987" s="29" t="str">
        <f aca="false">IF(A987="","",IF(COUNTIF($A$2:$A$2001,A987)&gt;1,"GANDA","OK"))</f>
        <v/>
      </c>
      <c r="P987" s="29" t="str">
        <f aca="false">IF(A987="","",IF(C987="","KOSONG",IF(AND(LEN(C987)=16,ISNUMBER(--C987)),"OK","TIDAK VALID")))</f>
        <v/>
      </c>
    </row>
    <row r="988" customFormat="false" ht="15" hidden="false" customHeight="false" outlineLevel="0" collapsed="false">
      <c r="A988" s="21"/>
      <c r="B988" s="22"/>
      <c r="C988" s="21"/>
      <c r="D988" s="22"/>
      <c r="E988" s="22"/>
      <c r="F988" s="28"/>
      <c r="G988" s="22"/>
      <c r="H988" s="21"/>
      <c r="I988" s="28"/>
      <c r="J988" s="22"/>
      <c r="K988" s="22"/>
      <c r="L988" s="22"/>
      <c r="M988" s="21"/>
      <c r="N988" s="22"/>
      <c r="O988" s="29" t="str">
        <f aca="false">IF(A988="","",IF(COUNTIF($A$2:$A$2001,A988)&gt;1,"GANDA","OK"))</f>
        <v/>
      </c>
      <c r="P988" s="29" t="str">
        <f aca="false">IF(A988="","",IF(C988="","KOSONG",IF(AND(LEN(C988)=16,ISNUMBER(--C988)),"OK","TIDAK VALID")))</f>
        <v/>
      </c>
    </row>
    <row r="989" customFormat="false" ht="15" hidden="false" customHeight="false" outlineLevel="0" collapsed="false">
      <c r="A989" s="21"/>
      <c r="B989" s="22"/>
      <c r="C989" s="21"/>
      <c r="D989" s="22"/>
      <c r="E989" s="22"/>
      <c r="F989" s="28"/>
      <c r="G989" s="22"/>
      <c r="H989" s="21"/>
      <c r="I989" s="28"/>
      <c r="J989" s="22"/>
      <c r="K989" s="22"/>
      <c r="L989" s="22"/>
      <c r="M989" s="21"/>
      <c r="N989" s="22"/>
      <c r="O989" s="29" t="str">
        <f aca="false">IF(A989="","",IF(COUNTIF($A$2:$A$2001,A989)&gt;1,"GANDA","OK"))</f>
        <v/>
      </c>
      <c r="P989" s="29" t="str">
        <f aca="false">IF(A989="","",IF(C989="","KOSONG",IF(AND(LEN(C989)=16,ISNUMBER(--C989)),"OK","TIDAK VALID")))</f>
        <v/>
      </c>
    </row>
    <row r="990" customFormat="false" ht="15" hidden="false" customHeight="false" outlineLevel="0" collapsed="false">
      <c r="A990" s="21"/>
      <c r="B990" s="22"/>
      <c r="C990" s="21"/>
      <c r="D990" s="22"/>
      <c r="E990" s="22"/>
      <c r="F990" s="28"/>
      <c r="G990" s="22"/>
      <c r="H990" s="21"/>
      <c r="I990" s="28"/>
      <c r="J990" s="22"/>
      <c r="K990" s="22"/>
      <c r="L990" s="22"/>
      <c r="M990" s="21"/>
      <c r="N990" s="22"/>
      <c r="O990" s="29" t="str">
        <f aca="false">IF(A990="","",IF(COUNTIF($A$2:$A$2001,A990)&gt;1,"GANDA","OK"))</f>
        <v/>
      </c>
      <c r="P990" s="29" t="str">
        <f aca="false">IF(A990="","",IF(C990="","KOSONG",IF(AND(LEN(C990)=16,ISNUMBER(--C990)),"OK","TIDAK VALID")))</f>
        <v/>
      </c>
    </row>
    <row r="991" customFormat="false" ht="15" hidden="false" customHeight="false" outlineLevel="0" collapsed="false">
      <c r="A991" s="21"/>
      <c r="B991" s="22"/>
      <c r="C991" s="21"/>
      <c r="D991" s="22"/>
      <c r="E991" s="22"/>
      <c r="F991" s="28"/>
      <c r="G991" s="22"/>
      <c r="H991" s="21"/>
      <c r="I991" s="28"/>
      <c r="J991" s="22"/>
      <c r="K991" s="22"/>
      <c r="L991" s="22"/>
      <c r="M991" s="21"/>
      <c r="N991" s="22"/>
      <c r="O991" s="29" t="str">
        <f aca="false">IF(A991="","",IF(COUNTIF($A$2:$A$2001,A991)&gt;1,"GANDA","OK"))</f>
        <v/>
      </c>
      <c r="P991" s="29" t="str">
        <f aca="false">IF(A991="","",IF(C991="","KOSONG",IF(AND(LEN(C991)=16,ISNUMBER(--C991)),"OK","TIDAK VALID")))</f>
        <v/>
      </c>
    </row>
    <row r="992" customFormat="false" ht="15" hidden="false" customHeight="false" outlineLevel="0" collapsed="false">
      <c r="A992" s="21"/>
      <c r="B992" s="22"/>
      <c r="C992" s="21"/>
      <c r="D992" s="22"/>
      <c r="E992" s="22"/>
      <c r="F992" s="28"/>
      <c r="G992" s="22"/>
      <c r="H992" s="21"/>
      <c r="I992" s="28"/>
      <c r="J992" s="22"/>
      <c r="K992" s="22"/>
      <c r="L992" s="22"/>
      <c r="M992" s="21"/>
      <c r="N992" s="22"/>
      <c r="O992" s="29" t="str">
        <f aca="false">IF(A992="","",IF(COUNTIF($A$2:$A$2001,A992)&gt;1,"GANDA","OK"))</f>
        <v/>
      </c>
      <c r="P992" s="29" t="str">
        <f aca="false">IF(A992="","",IF(C992="","KOSONG",IF(AND(LEN(C992)=16,ISNUMBER(--C992)),"OK","TIDAK VALID")))</f>
        <v/>
      </c>
    </row>
    <row r="993" customFormat="false" ht="15" hidden="false" customHeight="false" outlineLevel="0" collapsed="false">
      <c r="A993" s="21"/>
      <c r="B993" s="22"/>
      <c r="C993" s="21"/>
      <c r="D993" s="22"/>
      <c r="E993" s="22"/>
      <c r="F993" s="28"/>
      <c r="G993" s="22"/>
      <c r="H993" s="21"/>
      <c r="I993" s="28"/>
      <c r="J993" s="22"/>
      <c r="K993" s="22"/>
      <c r="L993" s="22"/>
      <c r="M993" s="21"/>
      <c r="N993" s="22"/>
      <c r="O993" s="29" t="str">
        <f aca="false">IF(A993="","",IF(COUNTIF($A$2:$A$2001,A993)&gt;1,"GANDA","OK"))</f>
        <v/>
      </c>
      <c r="P993" s="29" t="str">
        <f aca="false">IF(A993="","",IF(C993="","KOSONG",IF(AND(LEN(C993)=16,ISNUMBER(--C993)),"OK","TIDAK VALID")))</f>
        <v/>
      </c>
    </row>
    <row r="994" customFormat="false" ht="15" hidden="false" customHeight="false" outlineLevel="0" collapsed="false">
      <c r="A994" s="21"/>
      <c r="B994" s="22"/>
      <c r="C994" s="21"/>
      <c r="D994" s="22"/>
      <c r="E994" s="22"/>
      <c r="F994" s="28"/>
      <c r="G994" s="22"/>
      <c r="H994" s="21"/>
      <c r="I994" s="28"/>
      <c r="J994" s="22"/>
      <c r="K994" s="22"/>
      <c r="L994" s="22"/>
      <c r="M994" s="21"/>
      <c r="N994" s="22"/>
      <c r="O994" s="29" t="str">
        <f aca="false">IF(A994="","",IF(COUNTIF($A$2:$A$2001,A994)&gt;1,"GANDA","OK"))</f>
        <v/>
      </c>
      <c r="P994" s="29" t="str">
        <f aca="false">IF(A994="","",IF(C994="","KOSONG",IF(AND(LEN(C994)=16,ISNUMBER(--C994)),"OK","TIDAK VALID")))</f>
        <v/>
      </c>
    </row>
    <row r="995" customFormat="false" ht="15" hidden="false" customHeight="false" outlineLevel="0" collapsed="false">
      <c r="A995" s="21"/>
      <c r="B995" s="22"/>
      <c r="C995" s="21"/>
      <c r="D995" s="22"/>
      <c r="E995" s="22"/>
      <c r="F995" s="28"/>
      <c r="G995" s="22"/>
      <c r="H995" s="21"/>
      <c r="I995" s="28"/>
      <c r="J995" s="22"/>
      <c r="K995" s="22"/>
      <c r="L995" s="22"/>
      <c r="M995" s="21"/>
      <c r="N995" s="22"/>
      <c r="O995" s="29" t="str">
        <f aca="false">IF(A995="","",IF(COUNTIF($A$2:$A$2001,A995)&gt;1,"GANDA","OK"))</f>
        <v/>
      </c>
      <c r="P995" s="29" t="str">
        <f aca="false">IF(A995="","",IF(C995="","KOSONG",IF(AND(LEN(C995)=16,ISNUMBER(--C995)),"OK","TIDAK VALID")))</f>
        <v/>
      </c>
    </row>
    <row r="996" customFormat="false" ht="15" hidden="false" customHeight="false" outlineLevel="0" collapsed="false">
      <c r="A996" s="21"/>
      <c r="B996" s="22"/>
      <c r="C996" s="21"/>
      <c r="D996" s="22"/>
      <c r="E996" s="22"/>
      <c r="F996" s="28"/>
      <c r="G996" s="22"/>
      <c r="H996" s="21"/>
      <c r="I996" s="28"/>
      <c r="J996" s="22"/>
      <c r="K996" s="22"/>
      <c r="L996" s="22"/>
      <c r="M996" s="21"/>
      <c r="N996" s="22"/>
      <c r="O996" s="29" t="str">
        <f aca="false">IF(A996="","",IF(COUNTIF($A$2:$A$2001,A996)&gt;1,"GANDA","OK"))</f>
        <v/>
      </c>
      <c r="P996" s="29" t="str">
        <f aca="false">IF(A996="","",IF(C996="","KOSONG",IF(AND(LEN(C996)=16,ISNUMBER(--C996)),"OK","TIDAK VALID")))</f>
        <v/>
      </c>
    </row>
    <row r="997" customFormat="false" ht="15" hidden="false" customHeight="false" outlineLevel="0" collapsed="false">
      <c r="A997" s="21"/>
      <c r="B997" s="22"/>
      <c r="C997" s="21"/>
      <c r="D997" s="22"/>
      <c r="E997" s="22"/>
      <c r="F997" s="28"/>
      <c r="G997" s="22"/>
      <c r="H997" s="21"/>
      <c r="I997" s="28"/>
      <c r="J997" s="22"/>
      <c r="K997" s="22"/>
      <c r="L997" s="22"/>
      <c r="M997" s="21"/>
      <c r="N997" s="22"/>
      <c r="O997" s="29" t="str">
        <f aca="false">IF(A997="","",IF(COUNTIF($A$2:$A$2001,A997)&gt;1,"GANDA","OK"))</f>
        <v/>
      </c>
      <c r="P997" s="29" t="str">
        <f aca="false">IF(A997="","",IF(C997="","KOSONG",IF(AND(LEN(C997)=16,ISNUMBER(--C997)),"OK","TIDAK VALID")))</f>
        <v/>
      </c>
    </row>
    <row r="998" customFormat="false" ht="15" hidden="false" customHeight="false" outlineLevel="0" collapsed="false">
      <c r="A998" s="21"/>
      <c r="B998" s="22"/>
      <c r="C998" s="21"/>
      <c r="D998" s="22"/>
      <c r="E998" s="22"/>
      <c r="F998" s="28"/>
      <c r="G998" s="22"/>
      <c r="H998" s="21"/>
      <c r="I998" s="28"/>
      <c r="J998" s="22"/>
      <c r="K998" s="22"/>
      <c r="L998" s="22"/>
      <c r="M998" s="21"/>
      <c r="N998" s="22"/>
      <c r="O998" s="29" t="str">
        <f aca="false">IF(A998="","",IF(COUNTIF($A$2:$A$2001,A998)&gt;1,"GANDA","OK"))</f>
        <v/>
      </c>
      <c r="P998" s="29" t="str">
        <f aca="false">IF(A998="","",IF(C998="","KOSONG",IF(AND(LEN(C998)=16,ISNUMBER(--C998)),"OK","TIDAK VALID")))</f>
        <v/>
      </c>
    </row>
    <row r="999" customFormat="false" ht="15" hidden="false" customHeight="false" outlineLevel="0" collapsed="false">
      <c r="A999" s="21"/>
      <c r="B999" s="22"/>
      <c r="C999" s="21"/>
      <c r="D999" s="22"/>
      <c r="E999" s="22"/>
      <c r="F999" s="28"/>
      <c r="G999" s="22"/>
      <c r="H999" s="21"/>
      <c r="I999" s="28"/>
      <c r="J999" s="22"/>
      <c r="K999" s="22"/>
      <c r="L999" s="22"/>
      <c r="M999" s="21"/>
      <c r="N999" s="22"/>
      <c r="O999" s="29" t="str">
        <f aca="false">IF(A999="","",IF(COUNTIF($A$2:$A$2001,A999)&gt;1,"GANDA","OK"))</f>
        <v/>
      </c>
      <c r="P999" s="29" t="str">
        <f aca="false">IF(A999="","",IF(C999="","KOSONG",IF(AND(LEN(C999)=16,ISNUMBER(--C999)),"OK","TIDAK VALID")))</f>
        <v/>
      </c>
    </row>
    <row r="1000" customFormat="false" ht="15" hidden="false" customHeight="false" outlineLevel="0" collapsed="false">
      <c r="A1000" s="21"/>
      <c r="B1000" s="22"/>
      <c r="C1000" s="21"/>
      <c r="D1000" s="22"/>
      <c r="E1000" s="22"/>
      <c r="F1000" s="28"/>
      <c r="G1000" s="22"/>
      <c r="H1000" s="21"/>
      <c r="I1000" s="28"/>
      <c r="J1000" s="22"/>
      <c r="K1000" s="22"/>
      <c r="L1000" s="22"/>
      <c r="M1000" s="21"/>
      <c r="N1000" s="22"/>
      <c r="O1000" s="29" t="str">
        <f aca="false">IF(A1000="","",IF(COUNTIF($A$2:$A$2001,A1000)&gt;1,"GANDA","OK"))</f>
        <v/>
      </c>
      <c r="P1000" s="29" t="str">
        <f aca="false">IF(A1000="","",IF(C1000="","KOSONG",IF(AND(LEN(C1000)=16,ISNUMBER(--C1000)),"OK","TIDAK VALID")))</f>
        <v/>
      </c>
    </row>
    <row r="1001" customFormat="false" ht="15" hidden="false" customHeight="false" outlineLevel="0" collapsed="false">
      <c r="A1001" s="21"/>
      <c r="B1001" s="22"/>
      <c r="C1001" s="21"/>
      <c r="D1001" s="22"/>
      <c r="E1001" s="22"/>
      <c r="F1001" s="28"/>
      <c r="G1001" s="22"/>
      <c r="H1001" s="21"/>
      <c r="I1001" s="28"/>
      <c r="J1001" s="22"/>
      <c r="K1001" s="22"/>
      <c r="L1001" s="22"/>
      <c r="M1001" s="21"/>
      <c r="N1001" s="22"/>
      <c r="O1001" s="29" t="str">
        <f aca="false">IF(A1001="","",IF(COUNTIF($A$2:$A$2001,A1001)&gt;1,"GANDA","OK"))</f>
        <v/>
      </c>
      <c r="P1001" s="29" t="str">
        <f aca="false">IF(A1001="","",IF(C1001="","KOSONG",IF(AND(LEN(C1001)=16,ISNUMBER(--C1001)),"OK","TIDAK VALID")))</f>
        <v/>
      </c>
    </row>
    <row r="1002" customFormat="false" ht="15" hidden="false" customHeight="false" outlineLevel="0" collapsed="false">
      <c r="A1002" s="21"/>
      <c r="B1002" s="22"/>
      <c r="C1002" s="21"/>
      <c r="D1002" s="22"/>
      <c r="E1002" s="22"/>
      <c r="F1002" s="28"/>
      <c r="G1002" s="22"/>
      <c r="H1002" s="21"/>
      <c r="I1002" s="28"/>
      <c r="J1002" s="22"/>
      <c r="K1002" s="22"/>
      <c r="L1002" s="22"/>
      <c r="M1002" s="21"/>
      <c r="N1002" s="22"/>
      <c r="O1002" s="29" t="str">
        <f aca="false">IF(A1002="","",IF(COUNTIF($A$2:$A$2001,A1002)&gt;1,"GANDA","OK"))</f>
        <v/>
      </c>
      <c r="P1002" s="29" t="str">
        <f aca="false">IF(A1002="","",IF(C1002="","KOSONG",IF(AND(LEN(C1002)=16,ISNUMBER(--C1002)),"OK","TIDAK VALID")))</f>
        <v/>
      </c>
    </row>
    <row r="1003" customFormat="false" ht="15" hidden="false" customHeight="false" outlineLevel="0" collapsed="false">
      <c r="A1003" s="21"/>
      <c r="B1003" s="22"/>
      <c r="C1003" s="21"/>
      <c r="D1003" s="22"/>
      <c r="E1003" s="22"/>
      <c r="F1003" s="28"/>
      <c r="G1003" s="22"/>
      <c r="H1003" s="21"/>
      <c r="I1003" s="28"/>
      <c r="J1003" s="22"/>
      <c r="K1003" s="22"/>
      <c r="L1003" s="22"/>
      <c r="M1003" s="21"/>
      <c r="N1003" s="22"/>
      <c r="O1003" s="29" t="str">
        <f aca="false">IF(A1003="","",IF(COUNTIF($A$2:$A$2001,A1003)&gt;1,"GANDA","OK"))</f>
        <v/>
      </c>
      <c r="P1003" s="29" t="str">
        <f aca="false">IF(A1003="","",IF(C1003="","KOSONG",IF(AND(LEN(C1003)=16,ISNUMBER(--C1003)),"OK","TIDAK VALID")))</f>
        <v/>
      </c>
    </row>
    <row r="1004" customFormat="false" ht="15" hidden="false" customHeight="false" outlineLevel="0" collapsed="false">
      <c r="A1004" s="21"/>
      <c r="B1004" s="22"/>
      <c r="C1004" s="21"/>
      <c r="D1004" s="22"/>
      <c r="E1004" s="22"/>
      <c r="F1004" s="28"/>
      <c r="G1004" s="22"/>
      <c r="H1004" s="21"/>
      <c r="I1004" s="28"/>
      <c r="J1004" s="22"/>
      <c r="K1004" s="22"/>
      <c r="L1004" s="22"/>
      <c r="M1004" s="21"/>
      <c r="N1004" s="22"/>
      <c r="O1004" s="29" t="str">
        <f aca="false">IF(A1004="","",IF(COUNTIF($A$2:$A$2001,A1004)&gt;1,"GANDA","OK"))</f>
        <v/>
      </c>
      <c r="P1004" s="29" t="str">
        <f aca="false">IF(A1004="","",IF(C1004="","KOSONG",IF(AND(LEN(C1004)=16,ISNUMBER(--C1004)),"OK","TIDAK VALID")))</f>
        <v/>
      </c>
    </row>
    <row r="1005" customFormat="false" ht="15" hidden="false" customHeight="false" outlineLevel="0" collapsed="false">
      <c r="A1005" s="21"/>
      <c r="B1005" s="22"/>
      <c r="C1005" s="21"/>
      <c r="D1005" s="22"/>
      <c r="E1005" s="22"/>
      <c r="F1005" s="28"/>
      <c r="G1005" s="22"/>
      <c r="H1005" s="21"/>
      <c r="I1005" s="28"/>
      <c r="J1005" s="22"/>
      <c r="K1005" s="22"/>
      <c r="L1005" s="22"/>
      <c r="M1005" s="21"/>
      <c r="N1005" s="22"/>
      <c r="O1005" s="29" t="str">
        <f aca="false">IF(A1005="","",IF(COUNTIF($A$2:$A$2001,A1005)&gt;1,"GANDA","OK"))</f>
        <v/>
      </c>
      <c r="P1005" s="29" t="str">
        <f aca="false">IF(A1005="","",IF(C1005="","KOSONG",IF(AND(LEN(C1005)=16,ISNUMBER(--C1005)),"OK","TIDAK VALID")))</f>
        <v/>
      </c>
    </row>
    <row r="1006" customFormat="false" ht="15" hidden="false" customHeight="false" outlineLevel="0" collapsed="false">
      <c r="A1006" s="21"/>
      <c r="B1006" s="22"/>
      <c r="C1006" s="21"/>
      <c r="D1006" s="22"/>
      <c r="E1006" s="22"/>
      <c r="F1006" s="28"/>
      <c r="G1006" s="22"/>
      <c r="H1006" s="21"/>
      <c r="I1006" s="28"/>
      <c r="J1006" s="22"/>
      <c r="K1006" s="22"/>
      <c r="L1006" s="22"/>
      <c r="M1006" s="21"/>
      <c r="N1006" s="22"/>
      <c r="O1006" s="29" t="str">
        <f aca="false">IF(A1006="","",IF(COUNTIF($A$2:$A$2001,A1006)&gt;1,"GANDA","OK"))</f>
        <v/>
      </c>
      <c r="P1006" s="29" t="str">
        <f aca="false">IF(A1006="","",IF(C1006="","KOSONG",IF(AND(LEN(C1006)=16,ISNUMBER(--C1006)),"OK","TIDAK VALID")))</f>
        <v/>
      </c>
    </row>
    <row r="1007" customFormat="false" ht="15" hidden="false" customHeight="false" outlineLevel="0" collapsed="false">
      <c r="A1007" s="21"/>
      <c r="B1007" s="22"/>
      <c r="C1007" s="21"/>
      <c r="D1007" s="22"/>
      <c r="E1007" s="22"/>
      <c r="F1007" s="28"/>
      <c r="G1007" s="22"/>
      <c r="H1007" s="21"/>
      <c r="I1007" s="28"/>
      <c r="J1007" s="22"/>
      <c r="K1007" s="22"/>
      <c r="L1007" s="22"/>
      <c r="M1007" s="21"/>
      <c r="N1007" s="22"/>
      <c r="O1007" s="29" t="str">
        <f aca="false">IF(A1007="","",IF(COUNTIF($A$2:$A$2001,A1007)&gt;1,"GANDA","OK"))</f>
        <v/>
      </c>
      <c r="P1007" s="29" t="str">
        <f aca="false">IF(A1007="","",IF(C1007="","KOSONG",IF(AND(LEN(C1007)=16,ISNUMBER(--C1007)),"OK","TIDAK VALID")))</f>
        <v/>
      </c>
    </row>
    <row r="1008" customFormat="false" ht="15" hidden="false" customHeight="false" outlineLevel="0" collapsed="false">
      <c r="A1008" s="21"/>
      <c r="B1008" s="22"/>
      <c r="C1008" s="21"/>
      <c r="D1008" s="22"/>
      <c r="E1008" s="22"/>
      <c r="F1008" s="28"/>
      <c r="G1008" s="22"/>
      <c r="H1008" s="21"/>
      <c r="I1008" s="28"/>
      <c r="J1008" s="22"/>
      <c r="K1008" s="22"/>
      <c r="L1008" s="22"/>
      <c r="M1008" s="21"/>
      <c r="N1008" s="22"/>
      <c r="O1008" s="29" t="str">
        <f aca="false">IF(A1008="","",IF(COUNTIF($A$2:$A$2001,A1008)&gt;1,"GANDA","OK"))</f>
        <v/>
      </c>
      <c r="P1008" s="29" t="str">
        <f aca="false">IF(A1008="","",IF(C1008="","KOSONG",IF(AND(LEN(C1008)=16,ISNUMBER(--C1008)),"OK","TIDAK VALID")))</f>
        <v/>
      </c>
    </row>
    <row r="1009" customFormat="false" ht="15" hidden="false" customHeight="false" outlineLevel="0" collapsed="false">
      <c r="A1009" s="21"/>
      <c r="B1009" s="22"/>
      <c r="C1009" s="21"/>
      <c r="D1009" s="22"/>
      <c r="E1009" s="22"/>
      <c r="F1009" s="28"/>
      <c r="G1009" s="22"/>
      <c r="H1009" s="21"/>
      <c r="I1009" s="28"/>
      <c r="J1009" s="22"/>
      <c r="K1009" s="22"/>
      <c r="L1009" s="22"/>
      <c r="M1009" s="21"/>
      <c r="N1009" s="22"/>
      <c r="O1009" s="29" t="str">
        <f aca="false">IF(A1009="","",IF(COUNTIF($A$2:$A$2001,A1009)&gt;1,"GANDA","OK"))</f>
        <v/>
      </c>
      <c r="P1009" s="29" t="str">
        <f aca="false">IF(A1009="","",IF(C1009="","KOSONG",IF(AND(LEN(C1009)=16,ISNUMBER(--C1009)),"OK","TIDAK VALID")))</f>
        <v/>
      </c>
    </row>
    <row r="1010" customFormat="false" ht="15" hidden="false" customHeight="false" outlineLevel="0" collapsed="false">
      <c r="A1010" s="21"/>
      <c r="B1010" s="22"/>
      <c r="C1010" s="21"/>
      <c r="D1010" s="22"/>
      <c r="E1010" s="22"/>
      <c r="F1010" s="28"/>
      <c r="G1010" s="22"/>
      <c r="H1010" s="21"/>
      <c r="I1010" s="28"/>
      <c r="J1010" s="22"/>
      <c r="K1010" s="22"/>
      <c r="L1010" s="22"/>
      <c r="M1010" s="21"/>
      <c r="N1010" s="22"/>
      <c r="O1010" s="29" t="str">
        <f aca="false">IF(A1010="","",IF(COUNTIF($A$2:$A$2001,A1010)&gt;1,"GANDA","OK"))</f>
        <v/>
      </c>
      <c r="P1010" s="29" t="str">
        <f aca="false">IF(A1010="","",IF(C1010="","KOSONG",IF(AND(LEN(C1010)=16,ISNUMBER(--C1010)),"OK","TIDAK VALID")))</f>
        <v/>
      </c>
    </row>
    <row r="1011" customFormat="false" ht="15" hidden="false" customHeight="false" outlineLevel="0" collapsed="false">
      <c r="A1011" s="21"/>
      <c r="B1011" s="22"/>
      <c r="C1011" s="21"/>
      <c r="D1011" s="22"/>
      <c r="E1011" s="22"/>
      <c r="F1011" s="28"/>
      <c r="G1011" s="22"/>
      <c r="H1011" s="21"/>
      <c r="I1011" s="28"/>
      <c r="J1011" s="22"/>
      <c r="K1011" s="22"/>
      <c r="L1011" s="22"/>
      <c r="M1011" s="21"/>
      <c r="N1011" s="22"/>
      <c r="O1011" s="29" t="str">
        <f aca="false">IF(A1011="","",IF(COUNTIF($A$2:$A$2001,A1011)&gt;1,"GANDA","OK"))</f>
        <v/>
      </c>
      <c r="P1011" s="29" t="str">
        <f aca="false">IF(A1011="","",IF(C1011="","KOSONG",IF(AND(LEN(C1011)=16,ISNUMBER(--C1011)),"OK","TIDAK VALID")))</f>
        <v/>
      </c>
    </row>
    <row r="1012" customFormat="false" ht="15" hidden="false" customHeight="false" outlineLevel="0" collapsed="false">
      <c r="A1012" s="21"/>
      <c r="B1012" s="22"/>
      <c r="C1012" s="21"/>
      <c r="D1012" s="22"/>
      <c r="E1012" s="22"/>
      <c r="F1012" s="28"/>
      <c r="G1012" s="22"/>
      <c r="H1012" s="21"/>
      <c r="I1012" s="28"/>
      <c r="J1012" s="22"/>
      <c r="K1012" s="22"/>
      <c r="L1012" s="22"/>
      <c r="M1012" s="21"/>
      <c r="N1012" s="22"/>
      <c r="O1012" s="29" t="str">
        <f aca="false">IF(A1012="","",IF(COUNTIF($A$2:$A$2001,A1012)&gt;1,"GANDA","OK"))</f>
        <v/>
      </c>
      <c r="P1012" s="29" t="str">
        <f aca="false">IF(A1012="","",IF(C1012="","KOSONG",IF(AND(LEN(C1012)=16,ISNUMBER(--C1012)),"OK","TIDAK VALID")))</f>
        <v/>
      </c>
    </row>
    <row r="1013" customFormat="false" ht="15" hidden="false" customHeight="false" outlineLevel="0" collapsed="false">
      <c r="A1013" s="21"/>
      <c r="B1013" s="22"/>
      <c r="C1013" s="21"/>
      <c r="D1013" s="22"/>
      <c r="E1013" s="22"/>
      <c r="F1013" s="28"/>
      <c r="G1013" s="22"/>
      <c r="H1013" s="21"/>
      <c r="I1013" s="28"/>
      <c r="J1013" s="22"/>
      <c r="K1013" s="22"/>
      <c r="L1013" s="22"/>
      <c r="M1013" s="21"/>
      <c r="N1013" s="22"/>
      <c r="O1013" s="29" t="str">
        <f aca="false">IF(A1013="","",IF(COUNTIF($A$2:$A$2001,A1013)&gt;1,"GANDA","OK"))</f>
        <v/>
      </c>
      <c r="P1013" s="29" t="str">
        <f aca="false">IF(A1013="","",IF(C1013="","KOSONG",IF(AND(LEN(C1013)=16,ISNUMBER(--C1013)),"OK","TIDAK VALID")))</f>
        <v/>
      </c>
    </row>
    <row r="1014" customFormat="false" ht="15" hidden="false" customHeight="false" outlineLevel="0" collapsed="false">
      <c r="A1014" s="21"/>
      <c r="B1014" s="22"/>
      <c r="C1014" s="21"/>
      <c r="D1014" s="22"/>
      <c r="E1014" s="22"/>
      <c r="F1014" s="28"/>
      <c r="G1014" s="22"/>
      <c r="H1014" s="21"/>
      <c r="I1014" s="28"/>
      <c r="J1014" s="22"/>
      <c r="K1014" s="22"/>
      <c r="L1014" s="22"/>
      <c r="M1014" s="21"/>
      <c r="N1014" s="22"/>
      <c r="O1014" s="29" t="str">
        <f aca="false">IF(A1014="","",IF(COUNTIF($A$2:$A$2001,A1014)&gt;1,"GANDA","OK"))</f>
        <v/>
      </c>
      <c r="P1014" s="29" t="str">
        <f aca="false">IF(A1014="","",IF(C1014="","KOSONG",IF(AND(LEN(C1014)=16,ISNUMBER(--C1014)),"OK","TIDAK VALID")))</f>
        <v/>
      </c>
    </row>
    <row r="1015" customFormat="false" ht="15" hidden="false" customHeight="false" outlineLevel="0" collapsed="false">
      <c r="A1015" s="21"/>
      <c r="B1015" s="22"/>
      <c r="C1015" s="21"/>
      <c r="D1015" s="22"/>
      <c r="E1015" s="22"/>
      <c r="F1015" s="28"/>
      <c r="G1015" s="22"/>
      <c r="H1015" s="21"/>
      <c r="I1015" s="28"/>
      <c r="J1015" s="22"/>
      <c r="K1015" s="22"/>
      <c r="L1015" s="22"/>
      <c r="M1015" s="21"/>
      <c r="N1015" s="22"/>
      <c r="O1015" s="29" t="str">
        <f aca="false">IF(A1015="","",IF(COUNTIF($A$2:$A$2001,A1015)&gt;1,"GANDA","OK"))</f>
        <v/>
      </c>
      <c r="P1015" s="29" t="str">
        <f aca="false">IF(A1015="","",IF(C1015="","KOSONG",IF(AND(LEN(C1015)=16,ISNUMBER(--C1015)),"OK","TIDAK VALID")))</f>
        <v/>
      </c>
    </row>
    <row r="1016" customFormat="false" ht="15" hidden="false" customHeight="false" outlineLevel="0" collapsed="false">
      <c r="A1016" s="21"/>
      <c r="B1016" s="22"/>
      <c r="C1016" s="21"/>
      <c r="D1016" s="22"/>
      <c r="E1016" s="22"/>
      <c r="F1016" s="28"/>
      <c r="G1016" s="22"/>
      <c r="H1016" s="21"/>
      <c r="I1016" s="28"/>
      <c r="J1016" s="22"/>
      <c r="K1016" s="22"/>
      <c r="L1016" s="22"/>
      <c r="M1016" s="21"/>
      <c r="N1016" s="22"/>
      <c r="O1016" s="29" t="str">
        <f aca="false">IF(A1016="","",IF(COUNTIF($A$2:$A$2001,A1016)&gt;1,"GANDA","OK"))</f>
        <v/>
      </c>
      <c r="P1016" s="29" t="str">
        <f aca="false">IF(A1016="","",IF(C1016="","KOSONG",IF(AND(LEN(C1016)=16,ISNUMBER(--C1016)),"OK","TIDAK VALID")))</f>
        <v/>
      </c>
    </row>
    <row r="1017" customFormat="false" ht="15" hidden="false" customHeight="false" outlineLevel="0" collapsed="false">
      <c r="A1017" s="21"/>
      <c r="B1017" s="22"/>
      <c r="C1017" s="21"/>
      <c r="D1017" s="22"/>
      <c r="E1017" s="22"/>
      <c r="F1017" s="28"/>
      <c r="G1017" s="22"/>
      <c r="H1017" s="21"/>
      <c r="I1017" s="28"/>
      <c r="J1017" s="22"/>
      <c r="K1017" s="22"/>
      <c r="L1017" s="22"/>
      <c r="M1017" s="21"/>
      <c r="N1017" s="22"/>
      <c r="O1017" s="29" t="str">
        <f aca="false">IF(A1017="","",IF(COUNTIF($A$2:$A$2001,A1017)&gt;1,"GANDA","OK"))</f>
        <v/>
      </c>
      <c r="P1017" s="29" t="str">
        <f aca="false">IF(A1017="","",IF(C1017="","KOSONG",IF(AND(LEN(C1017)=16,ISNUMBER(--C1017)),"OK","TIDAK VALID")))</f>
        <v/>
      </c>
    </row>
    <row r="1018" customFormat="false" ht="15" hidden="false" customHeight="false" outlineLevel="0" collapsed="false">
      <c r="A1018" s="21"/>
      <c r="B1018" s="22"/>
      <c r="C1018" s="21"/>
      <c r="D1018" s="22"/>
      <c r="E1018" s="22"/>
      <c r="F1018" s="28"/>
      <c r="G1018" s="22"/>
      <c r="H1018" s="21"/>
      <c r="I1018" s="28"/>
      <c r="J1018" s="22"/>
      <c r="K1018" s="22"/>
      <c r="L1018" s="22"/>
      <c r="M1018" s="21"/>
      <c r="N1018" s="22"/>
      <c r="O1018" s="29" t="str">
        <f aca="false">IF(A1018="","",IF(COUNTIF($A$2:$A$2001,A1018)&gt;1,"GANDA","OK"))</f>
        <v/>
      </c>
      <c r="P1018" s="29" t="str">
        <f aca="false">IF(A1018="","",IF(C1018="","KOSONG",IF(AND(LEN(C1018)=16,ISNUMBER(--C1018)),"OK","TIDAK VALID")))</f>
        <v/>
      </c>
    </row>
    <row r="1019" customFormat="false" ht="15" hidden="false" customHeight="false" outlineLevel="0" collapsed="false">
      <c r="A1019" s="21"/>
      <c r="B1019" s="22"/>
      <c r="C1019" s="21"/>
      <c r="D1019" s="22"/>
      <c r="E1019" s="22"/>
      <c r="F1019" s="28"/>
      <c r="G1019" s="22"/>
      <c r="H1019" s="21"/>
      <c r="I1019" s="28"/>
      <c r="J1019" s="22"/>
      <c r="K1019" s="22"/>
      <c r="L1019" s="22"/>
      <c r="M1019" s="21"/>
      <c r="N1019" s="22"/>
      <c r="O1019" s="29" t="str">
        <f aca="false">IF(A1019="","",IF(COUNTIF($A$2:$A$2001,A1019)&gt;1,"GANDA","OK"))</f>
        <v/>
      </c>
      <c r="P1019" s="29" t="str">
        <f aca="false">IF(A1019="","",IF(C1019="","KOSONG",IF(AND(LEN(C1019)=16,ISNUMBER(--C1019)),"OK","TIDAK VALID")))</f>
        <v/>
      </c>
    </row>
    <row r="1020" customFormat="false" ht="15" hidden="false" customHeight="false" outlineLevel="0" collapsed="false">
      <c r="A1020" s="21"/>
      <c r="B1020" s="22"/>
      <c r="C1020" s="21"/>
      <c r="D1020" s="22"/>
      <c r="E1020" s="22"/>
      <c r="F1020" s="28"/>
      <c r="G1020" s="22"/>
      <c r="H1020" s="21"/>
      <c r="I1020" s="28"/>
      <c r="J1020" s="22"/>
      <c r="K1020" s="22"/>
      <c r="L1020" s="22"/>
      <c r="M1020" s="21"/>
      <c r="N1020" s="22"/>
      <c r="O1020" s="29" t="str">
        <f aca="false">IF(A1020="","",IF(COUNTIF($A$2:$A$2001,A1020)&gt;1,"GANDA","OK"))</f>
        <v/>
      </c>
      <c r="P1020" s="29" t="str">
        <f aca="false">IF(A1020="","",IF(C1020="","KOSONG",IF(AND(LEN(C1020)=16,ISNUMBER(--C1020)),"OK","TIDAK VALID")))</f>
        <v/>
      </c>
    </row>
    <row r="1021" customFormat="false" ht="15" hidden="false" customHeight="false" outlineLevel="0" collapsed="false">
      <c r="A1021" s="21"/>
      <c r="B1021" s="22"/>
      <c r="C1021" s="21"/>
      <c r="D1021" s="22"/>
      <c r="E1021" s="22"/>
      <c r="F1021" s="28"/>
      <c r="G1021" s="22"/>
      <c r="H1021" s="21"/>
      <c r="I1021" s="28"/>
      <c r="J1021" s="22"/>
      <c r="K1021" s="22"/>
      <c r="L1021" s="22"/>
      <c r="M1021" s="21"/>
      <c r="N1021" s="22"/>
      <c r="O1021" s="29" t="str">
        <f aca="false">IF(A1021="","",IF(COUNTIF($A$2:$A$2001,A1021)&gt;1,"GANDA","OK"))</f>
        <v/>
      </c>
      <c r="P1021" s="29" t="str">
        <f aca="false">IF(A1021="","",IF(C1021="","KOSONG",IF(AND(LEN(C1021)=16,ISNUMBER(--C1021)),"OK","TIDAK VALID")))</f>
        <v/>
      </c>
    </row>
    <row r="1022" customFormat="false" ht="15" hidden="false" customHeight="false" outlineLevel="0" collapsed="false">
      <c r="A1022" s="21"/>
      <c r="B1022" s="22"/>
      <c r="C1022" s="21"/>
      <c r="D1022" s="22"/>
      <c r="E1022" s="22"/>
      <c r="F1022" s="28"/>
      <c r="G1022" s="22"/>
      <c r="H1022" s="21"/>
      <c r="I1022" s="28"/>
      <c r="J1022" s="22"/>
      <c r="K1022" s="22"/>
      <c r="L1022" s="22"/>
      <c r="M1022" s="21"/>
      <c r="N1022" s="22"/>
      <c r="O1022" s="29" t="str">
        <f aca="false">IF(A1022="","",IF(COUNTIF($A$2:$A$2001,A1022)&gt;1,"GANDA","OK"))</f>
        <v/>
      </c>
      <c r="P1022" s="29" t="str">
        <f aca="false">IF(A1022="","",IF(C1022="","KOSONG",IF(AND(LEN(C1022)=16,ISNUMBER(--C1022)),"OK","TIDAK VALID")))</f>
        <v/>
      </c>
    </row>
    <row r="1023" customFormat="false" ht="15" hidden="false" customHeight="false" outlineLevel="0" collapsed="false">
      <c r="A1023" s="21"/>
      <c r="B1023" s="22"/>
      <c r="C1023" s="21"/>
      <c r="D1023" s="22"/>
      <c r="E1023" s="22"/>
      <c r="F1023" s="28"/>
      <c r="G1023" s="22"/>
      <c r="H1023" s="21"/>
      <c r="I1023" s="28"/>
      <c r="J1023" s="22"/>
      <c r="K1023" s="22"/>
      <c r="L1023" s="22"/>
      <c r="M1023" s="21"/>
      <c r="N1023" s="22"/>
      <c r="O1023" s="29" t="str">
        <f aca="false">IF(A1023="","",IF(COUNTIF($A$2:$A$2001,A1023)&gt;1,"GANDA","OK"))</f>
        <v/>
      </c>
      <c r="P1023" s="29" t="str">
        <f aca="false">IF(A1023="","",IF(C1023="","KOSONG",IF(AND(LEN(C1023)=16,ISNUMBER(--C1023)),"OK","TIDAK VALID")))</f>
        <v/>
      </c>
    </row>
    <row r="1024" customFormat="false" ht="15" hidden="false" customHeight="false" outlineLevel="0" collapsed="false">
      <c r="A1024" s="21"/>
      <c r="B1024" s="22"/>
      <c r="C1024" s="21"/>
      <c r="D1024" s="22"/>
      <c r="E1024" s="22"/>
      <c r="F1024" s="28"/>
      <c r="G1024" s="22"/>
      <c r="H1024" s="21"/>
      <c r="I1024" s="28"/>
      <c r="J1024" s="22"/>
      <c r="K1024" s="22"/>
      <c r="L1024" s="22"/>
      <c r="M1024" s="21"/>
      <c r="N1024" s="22"/>
      <c r="O1024" s="29" t="str">
        <f aca="false">IF(A1024="","",IF(COUNTIF($A$2:$A$2001,A1024)&gt;1,"GANDA","OK"))</f>
        <v/>
      </c>
      <c r="P1024" s="29" t="str">
        <f aca="false">IF(A1024="","",IF(C1024="","KOSONG",IF(AND(LEN(C1024)=16,ISNUMBER(--C1024)),"OK","TIDAK VALID")))</f>
        <v/>
      </c>
    </row>
    <row r="1025" customFormat="false" ht="15" hidden="false" customHeight="false" outlineLevel="0" collapsed="false">
      <c r="A1025" s="21"/>
      <c r="B1025" s="22"/>
      <c r="C1025" s="21"/>
      <c r="D1025" s="22"/>
      <c r="E1025" s="22"/>
      <c r="F1025" s="28"/>
      <c r="G1025" s="22"/>
      <c r="H1025" s="21"/>
      <c r="I1025" s="28"/>
      <c r="J1025" s="22"/>
      <c r="K1025" s="22"/>
      <c r="L1025" s="22"/>
      <c r="M1025" s="21"/>
      <c r="N1025" s="22"/>
      <c r="O1025" s="29" t="str">
        <f aca="false">IF(A1025="","",IF(COUNTIF($A$2:$A$2001,A1025)&gt;1,"GANDA","OK"))</f>
        <v/>
      </c>
      <c r="P1025" s="29" t="str">
        <f aca="false">IF(A1025="","",IF(C1025="","KOSONG",IF(AND(LEN(C1025)=16,ISNUMBER(--C1025)),"OK","TIDAK VALID")))</f>
        <v/>
      </c>
    </row>
    <row r="1026" customFormat="false" ht="15" hidden="false" customHeight="false" outlineLevel="0" collapsed="false">
      <c r="A1026" s="21"/>
      <c r="B1026" s="22"/>
      <c r="C1026" s="21"/>
      <c r="D1026" s="22"/>
      <c r="E1026" s="22"/>
      <c r="F1026" s="28"/>
      <c r="G1026" s="22"/>
      <c r="H1026" s="21"/>
      <c r="I1026" s="28"/>
      <c r="J1026" s="22"/>
      <c r="K1026" s="22"/>
      <c r="L1026" s="22"/>
      <c r="M1026" s="21"/>
      <c r="N1026" s="22"/>
      <c r="O1026" s="29" t="str">
        <f aca="false">IF(A1026="","",IF(COUNTIF($A$2:$A$2001,A1026)&gt;1,"GANDA","OK"))</f>
        <v/>
      </c>
      <c r="P1026" s="29" t="str">
        <f aca="false">IF(A1026="","",IF(C1026="","KOSONG",IF(AND(LEN(C1026)=16,ISNUMBER(--C1026)),"OK","TIDAK VALID")))</f>
        <v/>
      </c>
    </row>
    <row r="1027" customFormat="false" ht="15" hidden="false" customHeight="false" outlineLevel="0" collapsed="false">
      <c r="A1027" s="21"/>
      <c r="B1027" s="22"/>
      <c r="C1027" s="21"/>
      <c r="D1027" s="22"/>
      <c r="E1027" s="22"/>
      <c r="F1027" s="28"/>
      <c r="G1027" s="22"/>
      <c r="H1027" s="21"/>
      <c r="I1027" s="28"/>
      <c r="J1027" s="22"/>
      <c r="K1027" s="22"/>
      <c r="L1027" s="22"/>
      <c r="M1027" s="21"/>
      <c r="N1027" s="22"/>
      <c r="O1027" s="29" t="str">
        <f aca="false">IF(A1027="","",IF(COUNTIF($A$2:$A$2001,A1027)&gt;1,"GANDA","OK"))</f>
        <v/>
      </c>
      <c r="P1027" s="29" t="str">
        <f aca="false">IF(A1027="","",IF(C1027="","KOSONG",IF(AND(LEN(C1027)=16,ISNUMBER(--C1027)),"OK","TIDAK VALID")))</f>
        <v/>
      </c>
    </row>
    <row r="1028" customFormat="false" ht="15" hidden="false" customHeight="false" outlineLevel="0" collapsed="false">
      <c r="A1028" s="21"/>
      <c r="B1028" s="22"/>
      <c r="C1028" s="21"/>
      <c r="D1028" s="22"/>
      <c r="E1028" s="22"/>
      <c r="F1028" s="28"/>
      <c r="G1028" s="22"/>
      <c r="H1028" s="21"/>
      <c r="I1028" s="28"/>
      <c r="J1028" s="22"/>
      <c r="K1028" s="22"/>
      <c r="L1028" s="22"/>
      <c r="M1028" s="21"/>
      <c r="N1028" s="22"/>
      <c r="O1028" s="29" t="str">
        <f aca="false">IF(A1028="","",IF(COUNTIF($A$2:$A$2001,A1028)&gt;1,"GANDA","OK"))</f>
        <v/>
      </c>
      <c r="P1028" s="29" t="str">
        <f aca="false">IF(A1028="","",IF(C1028="","KOSONG",IF(AND(LEN(C1028)=16,ISNUMBER(--C1028)),"OK","TIDAK VALID")))</f>
        <v/>
      </c>
    </row>
    <row r="1029" customFormat="false" ht="15" hidden="false" customHeight="false" outlineLevel="0" collapsed="false">
      <c r="A1029" s="21"/>
      <c r="B1029" s="22"/>
      <c r="C1029" s="21"/>
      <c r="D1029" s="22"/>
      <c r="E1029" s="22"/>
      <c r="F1029" s="28"/>
      <c r="G1029" s="22"/>
      <c r="H1029" s="21"/>
      <c r="I1029" s="28"/>
      <c r="J1029" s="22"/>
      <c r="K1029" s="22"/>
      <c r="L1029" s="22"/>
      <c r="M1029" s="21"/>
      <c r="N1029" s="22"/>
      <c r="O1029" s="29" t="str">
        <f aca="false">IF(A1029="","",IF(COUNTIF($A$2:$A$2001,A1029)&gt;1,"GANDA","OK"))</f>
        <v/>
      </c>
      <c r="P1029" s="29" t="str">
        <f aca="false">IF(A1029="","",IF(C1029="","KOSONG",IF(AND(LEN(C1029)=16,ISNUMBER(--C1029)),"OK","TIDAK VALID")))</f>
        <v/>
      </c>
    </row>
    <row r="1030" customFormat="false" ht="15" hidden="false" customHeight="false" outlineLevel="0" collapsed="false">
      <c r="A1030" s="21"/>
      <c r="B1030" s="22"/>
      <c r="C1030" s="21"/>
      <c r="D1030" s="22"/>
      <c r="E1030" s="22"/>
      <c r="F1030" s="28"/>
      <c r="G1030" s="22"/>
      <c r="H1030" s="21"/>
      <c r="I1030" s="28"/>
      <c r="J1030" s="22"/>
      <c r="K1030" s="22"/>
      <c r="L1030" s="22"/>
      <c r="M1030" s="21"/>
      <c r="N1030" s="22"/>
      <c r="O1030" s="29" t="str">
        <f aca="false">IF(A1030="","",IF(COUNTIF($A$2:$A$2001,A1030)&gt;1,"GANDA","OK"))</f>
        <v/>
      </c>
      <c r="P1030" s="29" t="str">
        <f aca="false">IF(A1030="","",IF(C1030="","KOSONG",IF(AND(LEN(C1030)=16,ISNUMBER(--C1030)),"OK","TIDAK VALID")))</f>
        <v/>
      </c>
    </row>
    <row r="1031" customFormat="false" ht="15" hidden="false" customHeight="false" outlineLevel="0" collapsed="false">
      <c r="A1031" s="21"/>
      <c r="B1031" s="22"/>
      <c r="C1031" s="21"/>
      <c r="D1031" s="22"/>
      <c r="E1031" s="22"/>
      <c r="F1031" s="28"/>
      <c r="G1031" s="22"/>
      <c r="H1031" s="21"/>
      <c r="I1031" s="28"/>
      <c r="J1031" s="22"/>
      <c r="K1031" s="22"/>
      <c r="L1031" s="22"/>
      <c r="M1031" s="21"/>
      <c r="N1031" s="22"/>
      <c r="O1031" s="29" t="str">
        <f aca="false">IF(A1031="","",IF(COUNTIF($A$2:$A$2001,A1031)&gt;1,"GANDA","OK"))</f>
        <v/>
      </c>
      <c r="P1031" s="29" t="str">
        <f aca="false">IF(A1031="","",IF(C1031="","KOSONG",IF(AND(LEN(C1031)=16,ISNUMBER(--C1031)),"OK","TIDAK VALID")))</f>
        <v/>
      </c>
    </row>
    <row r="1032" customFormat="false" ht="15" hidden="false" customHeight="false" outlineLevel="0" collapsed="false">
      <c r="A1032" s="21"/>
      <c r="B1032" s="22"/>
      <c r="C1032" s="21"/>
      <c r="D1032" s="22"/>
      <c r="E1032" s="22"/>
      <c r="F1032" s="28"/>
      <c r="G1032" s="22"/>
      <c r="H1032" s="21"/>
      <c r="I1032" s="28"/>
      <c r="J1032" s="22"/>
      <c r="K1032" s="22"/>
      <c r="L1032" s="22"/>
      <c r="M1032" s="21"/>
      <c r="N1032" s="22"/>
      <c r="O1032" s="29" t="str">
        <f aca="false">IF(A1032="","",IF(COUNTIF($A$2:$A$2001,A1032)&gt;1,"GANDA","OK"))</f>
        <v/>
      </c>
      <c r="P1032" s="29" t="str">
        <f aca="false">IF(A1032="","",IF(C1032="","KOSONG",IF(AND(LEN(C1032)=16,ISNUMBER(--C1032)),"OK","TIDAK VALID")))</f>
        <v/>
      </c>
    </row>
    <row r="1033" customFormat="false" ht="15" hidden="false" customHeight="false" outlineLevel="0" collapsed="false">
      <c r="A1033" s="21"/>
      <c r="B1033" s="22"/>
      <c r="C1033" s="21"/>
      <c r="D1033" s="22"/>
      <c r="E1033" s="22"/>
      <c r="F1033" s="28"/>
      <c r="G1033" s="22"/>
      <c r="H1033" s="21"/>
      <c r="I1033" s="28"/>
      <c r="J1033" s="22"/>
      <c r="K1033" s="22"/>
      <c r="L1033" s="22"/>
      <c r="M1033" s="21"/>
      <c r="N1033" s="22"/>
      <c r="O1033" s="29" t="str">
        <f aca="false">IF(A1033="","",IF(COUNTIF($A$2:$A$2001,A1033)&gt;1,"GANDA","OK"))</f>
        <v/>
      </c>
      <c r="P1033" s="29" t="str">
        <f aca="false">IF(A1033="","",IF(C1033="","KOSONG",IF(AND(LEN(C1033)=16,ISNUMBER(--C1033)),"OK","TIDAK VALID")))</f>
        <v/>
      </c>
    </row>
    <row r="1034" customFormat="false" ht="15" hidden="false" customHeight="false" outlineLevel="0" collapsed="false">
      <c r="A1034" s="21"/>
      <c r="B1034" s="22"/>
      <c r="C1034" s="21"/>
      <c r="D1034" s="22"/>
      <c r="E1034" s="22"/>
      <c r="F1034" s="28"/>
      <c r="G1034" s="22"/>
      <c r="H1034" s="21"/>
      <c r="I1034" s="28"/>
      <c r="J1034" s="22"/>
      <c r="K1034" s="22"/>
      <c r="L1034" s="22"/>
      <c r="M1034" s="21"/>
      <c r="N1034" s="22"/>
      <c r="O1034" s="29" t="str">
        <f aca="false">IF(A1034="","",IF(COUNTIF($A$2:$A$2001,A1034)&gt;1,"GANDA","OK"))</f>
        <v/>
      </c>
      <c r="P1034" s="29" t="str">
        <f aca="false">IF(A1034="","",IF(C1034="","KOSONG",IF(AND(LEN(C1034)=16,ISNUMBER(--C1034)),"OK","TIDAK VALID")))</f>
        <v/>
      </c>
    </row>
    <row r="1035" customFormat="false" ht="15" hidden="false" customHeight="false" outlineLevel="0" collapsed="false">
      <c r="A1035" s="21"/>
      <c r="B1035" s="22"/>
      <c r="C1035" s="21"/>
      <c r="D1035" s="22"/>
      <c r="E1035" s="22"/>
      <c r="F1035" s="28"/>
      <c r="G1035" s="22"/>
      <c r="H1035" s="21"/>
      <c r="I1035" s="28"/>
      <c r="J1035" s="22"/>
      <c r="K1035" s="22"/>
      <c r="L1035" s="22"/>
      <c r="M1035" s="21"/>
      <c r="N1035" s="22"/>
      <c r="O1035" s="29" t="str">
        <f aca="false">IF(A1035="","",IF(COUNTIF($A$2:$A$2001,A1035)&gt;1,"GANDA","OK"))</f>
        <v/>
      </c>
      <c r="P1035" s="29" t="str">
        <f aca="false">IF(A1035="","",IF(C1035="","KOSONG",IF(AND(LEN(C1035)=16,ISNUMBER(--C1035)),"OK","TIDAK VALID")))</f>
        <v/>
      </c>
    </row>
    <row r="1036" customFormat="false" ht="15" hidden="false" customHeight="false" outlineLevel="0" collapsed="false">
      <c r="A1036" s="21"/>
      <c r="B1036" s="22"/>
      <c r="C1036" s="21"/>
      <c r="D1036" s="22"/>
      <c r="E1036" s="22"/>
      <c r="F1036" s="28"/>
      <c r="G1036" s="22"/>
      <c r="H1036" s="21"/>
      <c r="I1036" s="28"/>
      <c r="J1036" s="22"/>
      <c r="K1036" s="22"/>
      <c r="L1036" s="22"/>
      <c r="M1036" s="21"/>
      <c r="N1036" s="22"/>
      <c r="O1036" s="29" t="str">
        <f aca="false">IF(A1036="","",IF(COUNTIF($A$2:$A$2001,A1036)&gt;1,"GANDA","OK"))</f>
        <v/>
      </c>
      <c r="P1036" s="29" t="str">
        <f aca="false">IF(A1036="","",IF(C1036="","KOSONG",IF(AND(LEN(C1036)=16,ISNUMBER(--C1036)),"OK","TIDAK VALID")))</f>
        <v/>
      </c>
    </row>
    <row r="1037" customFormat="false" ht="15" hidden="false" customHeight="false" outlineLevel="0" collapsed="false">
      <c r="A1037" s="21"/>
      <c r="B1037" s="22"/>
      <c r="C1037" s="21"/>
      <c r="D1037" s="22"/>
      <c r="E1037" s="22"/>
      <c r="F1037" s="28"/>
      <c r="G1037" s="22"/>
      <c r="H1037" s="21"/>
      <c r="I1037" s="28"/>
      <c r="J1037" s="22"/>
      <c r="K1037" s="22"/>
      <c r="L1037" s="22"/>
      <c r="M1037" s="21"/>
      <c r="N1037" s="22"/>
      <c r="O1037" s="29" t="str">
        <f aca="false">IF(A1037="","",IF(COUNTIF($A$2:$A$2001,A1037)&gt;1,"GANDA","OK"))</f>
        <v/>
      </c>
      <c r="P1037" s="29" t="str">
        <f aca="false">IF(A1037="","",IF(C1037="","KOSONG",IF(AND(LEN(C1037)=16,ISNUMBER(--C1037)),"OK","TIDAK VALID")))</f>
        <v/>
      </c>
    </row>
    <row r="1038" customFormat="false" ht="15" hidden="false" customHeight="false" outlineLevel="0" collapsed="false">
      <c r="A1038" s="21"/>
      <c r="B1038" s="22"/>
      <c r="C1038" s="21"/>
      <c r="D1038" s="22"/>
      <c r="E1038" s="22"/>
      <c r="F1038" s="28"/>
      <c r="G1038" s="22"/>
      <c r="H1038" s="21"/>
      <c r="I1038" s="28"/>
      <c r="J1038" s="22"/>
      <c r="K1038" s="22"/>
      <c r="L1038" s="22"/>
      <c r="M1038" s="21"/>
      <c r="N1038" s="22"/>
      <c r="O1038" s="29" t="str">
        <f aca="false">IF(A1038="","",IF(COUNTIF($A$2:$A$2001,A1038)&gt;1,"GANDA","OK"))</f>
        <v/>
      </c>
      <c r="P1038" s="29" t="str">
        <f aca="false">IF(A1038="","",IF(C1038="","KOSONG",IF(AND(LEN(C1038)=16,ISNUMBER(--C1038)),"OK","TIDAK VALID")))</f>
        <v/>
      </c>
    </row>
    <row r="1039" customFormat="false" ht="15" hidden="false" customHeight="false" outlineLevel="0" collapsed="false">
      <c r="A1039" s="21"/>
      <c r="B1039" s="22"/>
      <c r="C1039" s="21"/>
      <c r="D1039" s="22"/>
      <c r="E1039" s="22"/>
      <c r="F1039" s="28"/>
      <c r="G1039" s="22"/>
      <c r="H1039" s="21"/>
      <c r="I1039" s="28"/>
      <c r="J1039" s="22"/>
      <c r="K1039" s="22"/>
      <c r="L1039" s="22"/>
      <c r="M1039" s="21"/>
      <c r="N1039" s="22"/>
      <c r="O1039" s="29" t="str">
        <f aca="false">IF(A1039="","",IF(COUNTIF($A$2:$A$2001,A1039)&gt;1,"GANDA","OK"))</f>
        <v/>
      </c>
      <c r="P1039" s="29" t="str">
        <f aca="false">IF(A1039="","",IF(C1039="","KOSONG",IF(AND(LEN(C1039)=16,ISNUMBER(--C1039)),"OK","TIDAK VALID")))</f>
        <v/>
      </c>
    </row>
    <row r="1040" customFormat="false" ht="15" hidden="false" customHeight="false" outlineLevel="0" collapsed="false">
      <c r="A1040" s="21"/>
      <c r="B1040" s="22"/>
      <c r="C1040" s="21"/>
      <c r="D1040" s="22"/>
      <c r="E1040" s="22"/>
      <c r="F1040" s="28"/>
      <c r="G1040" s="22"/>
      <c r="H1040" s="21"/>
      <c r="I1040" s="28"/>
      <c r="J1040" s="22"/>
      <c r="K1040" s="22"/>
      <c r="L1040" s="22"/>
      <c r="M1040" s="21"/>
      <c r="N1040" s="22"/>
      <c r="O1040" s="29" t="str">
        <f aca="false">IF(A1040="","",IF(COUNTIF($A$2:$A$2001,A1040)&gt;1,"GANDA","OK"))</f>
        <v/>
      </c>
      <c r="P1040" s="29" t="str">
        <f aca="false">IF(A1040="","",IF(C1040="","KOSONG",IF(AND(LEN(C1040)=16,ISNUMBER(--C1040)),"OK","TIDAK VALID")))</f>
        <v/>
      </c>
    </row>
    <row r="1041" customFormat="false" ht="15" hidden="false" customHeight="false" outlineLevel="0" collapsed="false">
      <c r="A1041" s="21"/>
      <c r="B1041" s="22"/>
      <c r="C1041" s="21"/>
      <c r="D1041" s="22"/>
      <c r="E1041" s="22"/>
      <c r="F1041" s="28"/>
      <c r="G1041" s="22"/>
      <c r="H1041" s="21"/>
      <c r="I1041" s="28"/>
      <c r="J1041" s="22"/>
      <c r="K1041" s="22"/>
      <c r="L1041" s="22"/>
      <c r="M1041" s="21"/>
      <c r="N1041" s="22"/>
      <c r="O1041" s="29" t="str">
        <f aca="false">IF(A1041="","",IF(COUNTIF($A$2:$A$2001,A1041)&gt;1,"GANDA","OK"))</f>
        <v/>
      </c>
      <c r="P1041" s="29" t="str">
        <f aca="false">IF(A1041="","",IF(C1041="","KOSONG",IF(AND(LEN(C1041)=16,ISNUMBER(--C1041)),"OK","TIDAK VALID")))</f>
        <v/>
      </c>
    </row>
    <row r="1042" customFormat="false" ht="15" hidden="false" customHeight="false" outlineLevel="0" collapsed="false">
      <c r="A1042" s="21"/>
      <c r="B1042" s="22"/>
      <c r="C1042" s="21"/>
      <c r="D1042" s="22"/>
      <c r="E1042" s="22"/>
      <c r="F1042" s="28"/>
      <c r="G1042" s="22"/>
      <c r="H1042" s="21"/>
      <c r="I1042" s="28"/>
      <c r="J1042" s="22"/>
      <c r="K1042" s="22"/>
      <c r="L1042" s="22"/>
      <c r="M1042" s="21"/>
      <c r="N1042" s="22"/>
      <c r="O1042" s="29" t="str">
        <f aca="false">IF(A1042="","",IF(COUNTIF($A$2:$A$2001,A1042)&gt;1,"GANDA","OK"))</f>
        <v/>
      </c>
      <c r="P1042" s="29" t="str">
        <f aca="false">IF(A1042="","",IF(C1042="","KOSONG",IF(AND(LEN(C1042)=16,ISNUMBER(--C1042)),"OK","TIDAK VALID")))</f>
        <v/>
      </c>
    </row>
    <row r="1043" customFormat="false" ht="15" hidden="false" customHeight="false" outlineLevel="0" collapsed="false">
      <c r="A1043" s="21"/>
      <c r="B1043" s="22"/>
      <c r="C1043" s="21"/>
      <c r="D1043" s="22"/>
      <c r="E1043" s="22"/>
      <c r="F1043" s="28"/>
      <c r="G1043" s="22"/>
      <c r="H1043" s="21"/>
      <c r="I1043" s="28"/>
      <c r="J1043" s="22"/>
      <c r="K1043" s="22"/>
      <c r="L1043" s="22"/>
      <c r="M1043" s="21"/>
      <c r="N1043" s="22"/>
      <c r="O1043" s="29" t="str">
        <f aca="false">IF(A1043="","",IF(COUNTIF($A$2:$A$2001,A1043)&gt;1,"GANDA","OK"))</f>
        <v/>
      </c>
      <c r="P1043" s="29" t="str">
        <f aca="false">IF(A1043="","",IF(C1043="","KOSONG",IF(AND(LEN(C1043)=16,ISNUMBER(--C1043)),"OK","TIDAK VALID")))</f>
        <v/>
      </c>
    </row>
    <row r="1044" customFormat="false" ht="15" hidden="false" customHeight="false" outlineLevel="0" collapsed="false">
      <c r="A1044" s="21"/>
      <c r="B1044" s="22"/>
      <c r="C1044" s="21"/>
      <c r="D1044" s="22"/>
      <c r="E1044" s="22"/>
      <c r="F1044" s="28"/>
      <c r="G1044" s="22"/>
      <c r="H1044" s="21"/>
      <c r="I1044" s="28"/>
      <c r="J1044" s="22"/>
      <c r="K1044" s="22"/>
      <c r="L1044" s="22"/>
      <c r="M1044" s="21"/>
      <c r="N1044" s="22"/>
      <c r="O1044" s="29" t="str">
        <f aca="false">IF(A1044="","",IF(COUNTIF($A$2:$A$2001,A1044)&gt;1,"GANDA","OK"))</f>
        <v/>
      </c>
      <c r="P1044" s="29" t="str">
        <f aca="false">IF(A1044="","",IF(C1044="","KOSONG",IF(AND(LEN(C1044)=16,ISNUMBER(--C1044)),"OK","TIDAK VALID")))</f>
        <v/>
      </c>
    </row>
    <row r="1045" customFormat="false" ht="15" hidden="false" customHeight="false" outlineLevel="0" collapsed="false">
      <c r="A1045" s="21"/>
      <c r="B1045" s="22"/>
      <c r="C1045" s="21"/>
      <c r="D1045" s="22"/>
      <c r="E1045" s="22"/>
      <c r="F1045" s="28"/>
      <c r="G1045" s="22"/>
      <c r="H1045" s="21"/>
      <c r="I1045" s="28"/>
      <c r="J1045" s="22"/>
      <c r="K1045" s="22"/>
      <c r="L1045" s="22"/>
      <c r="M1045" s="21"/>
      <c r="N1045" s="22"/>
      <c r="O1045" s="29" t="str">
        <f aca="false">IF(A1045="","",IF(COUNTIF($A$2:$A$2001,A1045)&gt;1,"GANDA","OK"))</f>
        <v/>
      </c>
      <c r="P1045" s="29" t="str">
        <f aca="false">IF(A1045="","",IF(C1045="","KOSONG",IF(AND(LEN(C1045)=16,ISNUMBER(--C1045)),"OK","TIDAK VALID")))</f>
        <v/>
      </c>
    </row>
    <row r="1046" customFormat="false" ht="15" hidden="false" customHeight="false" outlineLevel="0" collapsed="false">
      <c r="A1046" s="21"/>
      <c r="B1046" s="22"/>
      <c r="C1046" s="21"/>
      <c r="D1046" s="22"/>
      <c r="E1046" s="22"/>
      <c r="F1046" s="28"/>
      <c r="G1046" s="22"/>
      <c r="H1046" s="21"/>
      <c r="I1046" s="28"/>
      <c r="J1046" s="22"/>
      <c r="K1046" s="22"/>
      <c r="L1046" s="22"/>
      <c r="M1046" s="21"/>
      <c r="N1046" s="22"/>
      <c r="O1046" s="29" t="str">
        <f aca="false">IF(A1046="","",IF(COUNTIF($A$2:$A$2001,A1046)&gt;1,"GANDA","OK"))</f>
        <v/>
      </c>
      <c r="P1046" s="29" t="str">
        <f aca="false">IF(A1046="","",IF(C1046="","KOSONG",IF(AND(LEN(C1046)=16,ISNUMBER(--C1046)),"OK","TIDAK VALID")))</f>
        <v/>
      </c>
    </row>
    <row r="1047" customFormat="false" ht="15" hidden="false" customHeight="false" outlineLevel="0" collapsed="false">
      <c r="A1047" s="21"/>
      <c r="B1047" s="22"/>
      <c r="C1047" s="21"/>
      <c r="D1047" s="22"/>
      <c r="E1047" s="22"/>
      <c r="F1047" s="28"/>
      <c r="G1047" s="22"/>
      <c r="H1047" s="21"/>
      <c r="I1047" s="28"/>
      <c r="J1047" s="22"/>
      <c r="K1047" s="22"/>
      <c r="L1047" s="22"/>
      <c r="M1047" s="21"/>
      <c r="N1047" s="22"/>
      <c r="O1047" s="29" t="str">
        <f aca="false">IF(A1047="","",IF(COUNTIF($A$2:$A$2001,A1047)&gt;1,"GANDA","OK"))</f>
        <v/>
      </c>
      <c r="P1047" s="29" t="str">
        <f aca="false">IF(A1047="","",IF(C1047="","KOSONG",IF(AND(LEN(C1047)=16,ISNUMBER(--C1047)),"OK","TIDAK VALID")))</f>
        <v/>
      </c>
    </row>
    <row r="1048" customFormat="false" ht="15" hidden="false" customHeight="false" outlineLevel="0" collapsed="false">
      <c r="A1048" s="21"/>
      <c r="B1048" s="22"/>
      <c r="C1048" s="21"/>
      <c r="D1048" s="22"/>
      <c r="E1048" s="22"/>
      <c r="F1048" s="28"/>
      <c r="G1048" s="22"/>
      <c r="H1048" s="21"/>
      <c r="I1048" s="28"/>
      <c r="J1048" s="22"/>
      <c r="K1048" s="22"/>
      <c r="L1048" s="22"/>
      <c r="M1048" s="21"/>
      <c r="N1048" s="22"/>
      <c r="O1048" s="29" t="str">
        <f aca="false">IF(A1048="","",IF(COUNTIF($A$2:$A$2001,A1048)&gt;1,"GANDA","OK"))</f>
        <v/>
      </c>
      <c r="P1048" s="29" t="str">
        <f aca="false">IF(A1048="","",IF(C1048="","KOSONG",IF(AND(LEN(C1048)=16,ISNUMBER(--C1048)),"OK","TIDAK VALID")))</f>
        <v/>
      </c>
    </row>
    <row r="1049" customFormat="false" ht="15" hidden="false" customHeight="false" outlineLevel="0" collapsed="false">
      <c r="A1049" s="21"/>
      <c r="B1049" s="22"/>
      <c r="C1049" s="21"/>
      <c r="D1049" s="22"/>
      <c r="E1049" s="22"/>
      <c r="F1049" s="28"/>
      <c r="G1049" s="22"/>
      <c r="H1049" s="21"/>
      <c r="I1049" s="28"/>
      <c r="J1049" s="22"/>
      <c r="K1049" s="22"/>
      <c r="L1049" s="22"/>
      <c r="M1049" s="21"/>
      <c r="N1049" s="22"/>
      <c r="O1049" s="29" t="str">
        <f aca="false">IF(A1049="","",IF(COUNTIF($A$2:$A$2001,A1049)&gt;1,"GANDA","OK"))</f>
        <v/>
      </c>
      <c r="P1049" s="29" t="str">
        <f aca="false">IF(A1049="","",IF(C1049="","KOSONG",IF(AND(LEN(C1049)=16,ISNUMBER(--C1049)),"OK","TIDAK VALID")))</f>
        <v/>
      </c>
    </row>
    <row r="1050" customFormat="false" ht="15" hidden="false" customHeight="false" outlineLevel="0" collapsed="false">
      <c r="A1050" s="21"/>
      <c r="B1050" s="22"/>
      <c r="C1050" s="21"/>
      <c r="D1050" s="22"/>
      <c r="E1050" s="22"/>
      <c r="F1050" s="28"/>
      <c r="G1050" s="22"/>
      <c r="H1050" s="21"/>
      <c r="I1050" s="28"/>
      <c r="J1050" s="22"/>
      <c r="K1050" s="22"/>
      <c r="L1050" s="22"/>
      <c r="M1050" s="21"/>
      <c r="N1050" s="22"/>
      <c r="O1050" s="29" t="str">
        <f aca="false">IF(A1050="","",IF(COUNTIF($A$2:$A$2001,A1050)&gt;1,"GANDA","OK"))</f>
        <v/>
      </c>
      <c r="P1050" s="29" t="str">
        <f aca="false">IF(A1050="","",IF(C1050="","KOSONG",IF(AND(LEN(C1050)=16,ISNUMBER(--C1050)),"OK","TIDAK VALID")))</f>
        <v/>
      </c>
    </row>
    <row r="1051" customFormat="false" ht="15" hidden="false" customHeight="false" outlineLevel="0" collapsed="false">
      <c r="A1051" s="21"/>
      <c r="B1051" s="22"/>
      <c r="C1051" s="21"/>
      <c r="D1051" s="22"/>
      <c r="E1051" s="22"/>
      <c r="F1051" s="28"/>
      <c r="G1051" s="22"/>
      <c r="H1051" s="21"/>
      <c r="I1051" s="28"/>
      <c r="J1051" s="22"/>
      <c r="K1051" s="22"/>
      <c r="L1051" s="22"/>
      <c r="M1051" s="21"/>
      <c r="N1051" s="22"/>
      <c r="O1051" s="29" t="str">
        <f aca="false">IF(A1051="","",IF(COUNTIF($A$2:$A$2001,A1051)&gt;1,"GANDA","OK"))</f>
        <v/>
      </c>
      <c r="P1051" s="29" t="str">
        <f aca="false">IF(A1051="","",IF(C1051="","KOSONG",IF(AND(LEN(C1051)=16,ISNUMBER(--C1051)),"OK","TIDAK VALID")))</f>
        <v/>
      </c>
    </row>
    <row r="1052" customFormat="false" ht="15" hidden="false" customHeight="false" outlineLevel="0" collapsed="false">
      <c r="A1052" s="21"/>
      <c r="B1052" s="22"/>
      <c r="C1052" s="21"/>
      <c r="D1052" s="22"/>
      <c r="E1052" s="22"/>
      <c r="F1052" s="28"/>
      <c r="G1052" s="22"/>
      <c r="H1052" s="21"/>
      <c r="I1052" s="28"/>
      <c r="J1052" s="22"/>
      <c r="K1052" s="22"/>
      <c r="L1052" s="22"/>
      <c r="M1052" s="21"/>
      <c r="N1052" s="22"/>
      <c r="O1052" s="29" t="str">
        <f aca="false">IF(A1052="","",IF(COUNTIF($A$2:$A$2001,A1052)&gt;1,"GANDA","OK"))</f>
        <v/>
      </c>
      <c r="P1052" s="29" t="str">
        <f aca="false">IF(A1052="","",IF(C1052="","KOSONG",IF(AND(LEN(C1052)=16,ISNUMBER(--C1052)),"OK","TIDAK VALID")))</f>
        <v/>
      </c>
    </row>
    <row r="1053" customFormat="false" ht="15" hidden="false" customHeight="false" outlineLevel="0" collapsed="false">
      <c r="A1053" s="21"/>
      <c r="B1053" s="22"/>
      <c r="C1053" s="21"/>
      <c r="D1053" s="22"/>
      <c r="E1053" s="22"/>
      <c r="F1053" s="28"/>
      <c r="G1053" s="22"/>
      <c r="H1053" s="21"/>
      <c r="I1053" s="28"/>
      <c r="J1053" s="22"/>
      <c r="K1053" s="22"/>
      <c r="L1053" s="22"/>
      <c r="M1053" s="21"/>
      <c r="N1053" s="22"/>
      <c r="O1053" s="29" t="str">
        <f aca="false">IF(A1053="","",IF(COUNTIF($A$2:$A$2001,A1053)&gt;1,"GANDA","OK"))</f>
        <v/>
      </c>
      <c r="P1053" s="29" t="str">
        <f aca="false">IF(A1053="","",IF(C1053="","KOSONG",IF(AND(LEN(C1053)=16,ISNUMBER(--C1053)),"OK","TIDAK VALID")))</f>
        <v/>
      </c>
    </row>
    <row r="1054" customFormat="false" ht="15" hidden="false" customHeight="false" outlineLevel="0" collapsed="false">
      <c r="A1054" s="21"/>
      <c r="B1054" s="22"/>
      <c r="C1054" s="21"/>
      <c r="D1054" s="22"/>
      <c r="E1054" s="22"/>
      <c r="F1054" s="28"/>
      <c r="G1054" s="22"/>
      <c r="H1054" s="21"/>
      <c r="I1054" s="28"/>
      <c r="J1054" s="22"/>
      <c r="K1054" s="22"/>
      <c r="L1054" s="22"/>
      <c r="M1054" s="21"/>
      <c r="N1054" s="22"/>
      <c r="O1054" s="29" t="str">
        <f aca="false">IF(A1054="","",IF(COUNTIF($A$2:$A$2001,A1054)&gt;1,"GANDA","OK"))</f>
        <v/>
      </c>
      <c r="P1054" s="29" t="str">
        <f aca="false">IF(A1054="","",IF(C1054="","KOSONG",IF(AND(LEN(C1054)=16,ISNUMBER(--C1054)),"OK","TIDAK VALID")))</f>
        <v/>
      </c>
    </row>
    <row r="1055" customFormat="false" ht="15" hidden="false" customHeight="false" outlineLevel="0" collapsed="false">
      <c r="A1055" s="21"/>
      <c r="B1055" s="22"/>
      <c r="C1055" s="21"/>
      <c r="D1055" s="22"/>
      <c r="E1055" s="22"/>
      <c r="F1055" s="28"/>
      <c r="G1055" s="22"/>
      <c r="H1055" s="21"/>
      <c r="I1055" s="28"/>
      <c r="J1055" s="22"/>
      <c r="K1055" s="22"/>
      <c r="L1055" s="22"/>
      <c r="M1055" s="21"/>
      <c r="N1055" s="22"/>
      <c r="O1055" s="29" t="str">
        <f aca="false">IF(A1055="","",IF(COUNTIF($A$2:$A$2001,A1055)&gt;1,"GANDA","OK"))</f>
        <v/>
      </c>
      <c r="P1055" s="29" t="str">
        <f aca="false">IF(A1055="","",IF(C1055="","KOSONG",IF(AND(LEN(C1055)=16,ISNUMBER(--C1055)),"OK","TIDAK VALID")))</f>
        <v/>
      </c>
    </row>
    <row r="1056" customFormat="false" ht="15" hidden="false" customHeight="false" outlineLevel="0" collapsed="false">
      <c r="A1056" s="21"/>
      <c r="B1056" s="22"/>
      <c r="C1056" s="21"/>
      <c r="D1056" s="22"/>
      <c r="E1056" s="22"/>
      <c r="F1056" s="28"/>
      <c r="G1056" s="22"/>
      <c r="H1056" s="21"/>
      <c r="I1056" s="28"/>
      <c r="J1056" s="22"/>
      <c r="K1056" s="22"/>
      <c r="L1056" s="22"/>
      <c r="M1056" s="21"/>
      <c r="N1056" s="22"/>
      <c r="O1056" s="29" t="str">
        <f aca="false">IF(A1056="","",IF(COUNTIF($A$2:$A$2001,A1056)&gt;1,"GANDA","OK"))</f>
        <v/>
      </c>
      <c r="P1056" s="29" t="str">
        <f aca="false">IF(A1056="","",IF(C1056="","KOSONG",IF(AND(LEN(C1056)=16,ISNUMBER(--C1056)),"OK","TIDAK VALID")))</f>
        <v/>
      </c>
    </row>
    <row r="1057" customFormat="false" ht="15" hidden="false" customHeight="false" outlineLevel="0" collapsed="false">
      <c r="A1057" s="21"/>
      <c r="B1057" s="22"/>
      <c r="C1057" s="21"/>
      <c r="D1057" s="22"/>
      <c r="E1057" s="22"/>
      <c r="F1057" s="28"/>
      <c r="G1057" s="22"/>
      <c r="H1057" s="21"/>
      <c r="I1057" s="28"/>
      <c r="J1057" s="22"/>
      <c r="K1057" s="22"/>
      <c r="L1057" s="22"/>
      <c r="M1057" s="21"/>
      <c r="N1057" s="22"/>
      <c r="O1057" s="29" t="str">
        <f aca="false">IF(A1057="","",IF(COUNTIF($A$2:$A$2001,A1057)&gt;1,"GANDA","OK"))</f>
        <v/>
      </c>
      <c r="P1057" s="29" t="str">
        <f aca="false">IF(A1057="","",IF(C1057="","KOSONG",IF(AND(LEN(C1057)=16,ISNUMBER(--C1057)),"OK","TIDAK VALID")))</f>
        <v/>
      </c>
    </row>
    <row r="1058" customFormat="false" ht="15" hidden="false" customHeight="false" outlineLevel="0" collapsed="false">
      <c r="A1058" s="21"/>
      <c r="B1058" s="22"/>
      <c r="C1058" s="21"/>
      <c r="D1058" s="22"/>
      <c r="E1058" s="22"/>
      <c r="F1058" s="28"/>
      <c r="G1058" s="22"/>
      <c r="H1058" s="21"/>
      <c r="I1058" s="28"/>
      <c r="J1058" s="22"/>
      <c r="K1058" s="22"/>
      <c r="L1058" s="22"/>
      <c r="M1058" s="21"/>
      <c r="N1058" s="22"/>
      <c r="O1058" s="29" t="str">
        <f aca="false">IF(A1058="","",IF(COUNTIF($A$2:$A$2001,A1058)&gt;1,"GANDA","OK"))</f>
        <v/>
      </c>
      <c r="P1058" s="29" t="str">
        <f aca="false">IF(A1058="","",IF(C1058="","KOSONG",IF(AND(LEN(C1058)=16,ISNUMBER(--C1058)),"OK","TIDAK VALID")))</f>
        <v/>
      </c>
    </row>
    <row r="1059" customFormat="false" ht="15" hidden="false" customHeight="false" outlineLevel="0" collapsed="false">
      <c r="A1059" s="21"/>
      <c r="B1059" s="22"/>
      <c r="C1059" s="21"/>
      <c r="D1059" s="22"/>
      <c r="E1059" s="22"/>
      <c r="F1059" s="28"/>
      <c r="G1059" s="22"/>
      <c r="H1059" s="21"/>
      <c r="I1059" s="28"/>
      <c r="J1059" s="22"/>
      <c r="K1059" s="22"/>
      <c r="L1059" s="22"/>
      <c r="M1059" s="21"/>
      <c r="N1059" s="22"/>
      <c r="O1059" s="29" t="str">
        <f aca="false">IF(A1059="","",IF(COUNTIF($A$2:$A$2001,A1059)&gt;1,"GANDA","OK"))</f>
        <v/>
      </c>
      <c r="P1059" s="29" t="str">
        <f aca="false">IF(A1059="","",IF(C1059="","KOSONG",IF(AND(LEN(C1059)=16,ISNUMBER(--C1059)),"OK","TIDAK VALID")))</f>
        <v/>
      </c>
    </row>
    <row r="1060" customFormat="false" ht="15" hidden="false" customHeight="false" outlineLevel="0" collapsed="false">
      <c r="A1060" s="21"/>
      <c r="B1060" s="22"/>
      <c r="C1060" s="21"/>
      <c r="D1060" s="22"/>
      <c r="E1060" s="22"/>
      <c r="F1060" s="28"/>
      <c r="G1060" s="22"/>
      <c r="H1060" s="21"/>
      <c r="I1060" s="28"/>
      <c r="J1060" s="22"/>
      <c r="K1060" s="22"/>
      <c r="L1060" s="22"/>
      <c r="M1060" s="21"/>
      <c r="N1060" s="22"/>
      <c r="O1060" s="29" t="str">
        <f aca="false">IF(A1060="","",IF(COUNTIF($A$2:$A$2001,A1060)&gt;1,"GANDA","OK"))</f>
        <v/>
      </c>
      <c r="P1060" s="29" t="str">
        <f aca="false">IF(A1060="","",IF(C1060="","KOSONG",IF(AND(LEN(C1060)=16,ISNUMBER(--C1060)),"OK","TIDAK VALID")))</f>
        <v/>
      </c>
    </row>
    <row r="1061" customFormat="false" ht="15" hidden="false" customHeight="false" outlineLevel="0" collapsed="false">
      <c r="A1061" s="21"/>
      <c r="B1061" s="22"/>
      <c r="C1061" s="21"/>
      <c r="D1061" s="22"/>
      <c r="E1061" s="22"/>
      <c r="F1061" s="28"/>
      <c r="G1061" s="22"/>
      <c r="H1061" s="21"/>
      <c r="I1061" s="28"/>
      <c r="J1061" s="22"/>
      <c r="K1061" s="22"/>
      <c r="L1061" s="22"/>
      <c r="M1061" s="21"/>
      <c r="N1061" s="22"/>
      <c r="O1061" s="29" t="str">
        <f aca="false">IF(A1061="","",IF(COUNTIF($A$2:$A$2001,A1061)&gt;1,"GANDA","OK"))</f>
        <v/>
      </c>
      <c r="P1061" s="29" t="str">
        <f aca="false">IF(A1061="","",IF(C1061="","KOSONG",IF(AND(LEN(C1061)=16,ISNUMBER(--C1061)),"OK","TIDAK VALID")))</f>
        <v/>
      </c>
    </row>
    <row r="1062" customFormat="false" ht="15" hidden="false" customHeight="false" outlineLevel="0" collapsed="false">
      <c r="A1062" s="21"/>
      <c r="B1062" s="22"/>
      <c r="C1062" s="21"/>
      <c r="D1062" s="22"/>
      <c r="E1062" s="22"/>
      <c r="F1062" s="28"/>
      <c r="G1062" s="22"/>
      <c r="H1062" s="21"/>
      <c r="I1062" s="28"/>
      <c r="J1062" s="22"/>
      <c r="K1062" s="22"/>
      <c r="L1062" s="22"/>
      <c r="M1062" s="21"/>
      <c r="N1062" s="22"/>
      <c r="O1062" s="29" t="str">
        <f aca="false">IF(A1062="","",IF(COUNTIF($A$2:$A$2001,A1062)&gt;1,"GANDA","OK"))</f>
        <v/>
      </c>
      <c r="P1062" s="29" t="str">
        <f aca="false">IF(A1062="","",IF(C1062="","KOSONG",IF(AND(LEN(C1062)=16,ISNUMBER(--C1062)),"OK","TIDAK VALID")))</f>
        <v/>
      </c>
    </row>
    <row r="1063" customFormat="false" ht="15" hidden="false" customHeight="false" outlineLevel="0" collapsed="false">
      <c r="A1063" s="21"/>
      <c r="B1063" s="22"/>
      <c r="C1063" s="21"/>
      <c r="D1063" s="22"/>
      <c r="E1063" s="22"/>
      <c r="F1063" s="28"/>
      <c r="G1063" s="22"/>
      <c r="H1063" s="21"/>
      <c r="I1063" s="28"/>
      <c r="J1063" s="22"/>
      <c r="K1063" s="22"/>
      <c r="L1063" s="22"/>
      <c r="M1063" s="21"/>
      <c r="N1063" s="22"/>
      <c r="O1063" s="29" t="str">
        <f aca="false">IF(A1063="","",IF(COUNTIF($A$2:$A$2001,A1063)&gt;1,"GANDA","OK"))</f>
        <v/>
      </c>
      <c r="P1063" s="29" t="str">
        <f aca="false">IF(A1063="","",IF(C1063="","KOSONG",IF(AND(LEN(C1063)=16,ISNUMBER(--C1063)),"OK","TIDAK VALID")))</f>
        <v/>
      </c>
    </row>
    <row r="1064" customFormat="false" ht="15" hidden="false" customHeight="false" outlineLevel="0" collapsed="false">
      <c r="A1064" s="21"/>
      <c r="B1064" s="22"/>
      <c r="C1064" s="21"/>
      <c r="D1064" s="22"/>
      <c r="E1064" s="22"/>
      <c r="F1064" s="28"/>
      <c r="G1064" s="22"/>
      <c r="H1064" s="21"/>
      <c r="I1064" s="28"/>
      <c r="J1064" s="22"/>
      <c r="K1064" s="22"/>
      <c r="L1064" s="22"/>
      <c r="M1064" s="21"/>
      <c r="N1064" s="22"/>
      <c r="O1064" s="29" t="str">
        <f aca="false">IF(A1064="","",IF(COUNTIF($A$2:$A$2001,A1064)&gt;1,"GANDA","OK"))</f>
        <v/>
      </c>
      <c r="P1064" s="29" t="str">
        <f aca="false">IF(A1064="","",IF(C1064="","KOSONG",IF(AND(LEN(C1064)=16,ISNUMBER(--C1064)),"OK","TIDAK VALID")))</f>
        <v/>
      </c>
    </row>
    <row r="1065" customFormat="false" ht="15" hidden="false" customHeight="false" outlineLevel="0" collapsed="false">
      <c r="A1065" s="21"/>
      <c r="B1065" s="22"/>
      <c r="C1065" s="21"/>
      <c r="D1065" s="22"/>
      <c r="E1065" s="22"/>
      <c r="F1065" s="28"/>
      <c r="G1065" s="22"/>
      <c r="H1065" s="21"/>
      <c r="I1065" s="28"/>
      <c r="J1065" s="22"/>
      <c r="K1065" s="22"/>
      <c r="L1065" s="22"/>
      <c r="M1065" s="21"/>
      <c r="N1065" s="22"/>
      <c r="O1065" s="29" t="str">
        <f aca="false">IF(A1065="","",IF(COUNTIF($A$2:$A$2001,A1065)&gt;1,"GANDA","OK"))</f>
        <v/>
      </c>
      <c r="P1065" s="29" t="str">
        <f aca="false">IF(A1065="","",IF(C1065="","KOSONG",IF(AND(LEN(C1065)=16,ISNUMBER(--C1065)),"OK","TIDAK VALID")))</f>
        <v/>
      </c>
    </row>
    <row r="1066" customFormat="false" ht="15" hidden="false" customHeight="false" outlineLevel="0" collapsed="false">
      <c r="A1066" s="21"/>
      <c r="B1066" s="22"/>
      <c r="C1066" s="21"/>
      <c r="D1066" s="22"/>
      <c r="E1066" s="22"/>
      <c r="F1066" s="28"/>
      <c r="G1066" s="22"/>
      <c r="H1066" s="21"/>
      <c r="I1066" s="28"/>
      <c r="J1066" s="22"/>
      <c r="K1066" s="22"/>
      <c r="L1066" s="22"/>
      <c r="M1066" s="21"/>
      <c r="N1066" s="22"/>
      <c r="O1066" s="29" t="str">
        <f aca="false">IF(A1066="","",IF(COUNTIF($A$2:$A$2001,A1066)&gt;1,"GANDA","OK"))</f>
        <v/>
      </c>
      <c r="P1066" s="29" t="str">
        <f aca="false">IF(A1066="","",IF(C1066="","KOSONG",IF(AND(LEN(C1066)=16,ISNUMBER(--C1066)),"OK","TIDAK VALID")))</f>
        <v/>
      </c>
    </row>
    <row r="1067" customFormat="false" ht="15" hidden="false" customHeight="false" outlineLevel="0" collapsed="false">
      <c r="A1067" s="21"/>
      <c r="B1067" s="22"/>
      <c r="C1067" s="21"/>
      <c r="D1067" s="22"/>
      <c r="E1067" s="22"/>
      <c r="F1067" s="28"/>
      <c r="G1067" s="22"/>
      <c r="H1067" s="21"/>
      <c r="I1067" s="28"/>
      <c r="J1067" s="22"/>
      <c r="K1067" s="22"/>
      <c r="L1067" s="22"/>
      <c r="M1067" s="21"/>
      <c r="N1067" s="22"/>
      <c r="O1067" s="29" t="str">
        <f aca="false">IF(A1067="","",IF(COUNTIF($A$2:$A$2001,A1067)&gt;1,"GANDA","OK"))</f>
        <v/>
      </c>
      <c r="P1067" s="29" t="str">
        <f aca="false">IF(A1067="","",IF(C1067="","KOSONG",IF(AND(LEN(C1067)=16,ISNUMBER(--C1067)),"OK","TIDAK VALID")))</f>
        <v/>
      </c>
    </row>
    <row r="1068" customFormat="false" ht="15" hidden="false" customHeight="false" outlineLevel="0" collapsed="false">
      <c r="A1068" s="21"/>
      <c r="B1068" s="22"/>
      <c r="C1068" s="21"/>
      <c r="D1068" s="22"/>
      <c r="E1068" s="22"/>
      <c r="F1068" s="28"/>
      <c r="G1068" s="22"/>
      <c r="H1068" s="21"/>
      <c r="I1068" s="28"/>
      <c r="J1068" s="22"/>
      <c r="K1068" s="22"/>
      <c r="L1068" s="22"/>
      <c r="M1068" s="21"/>
      <c r="N1068" s="22"/>
      <c r="O1068" s="29" t="str">
        <f aca="false">IF(A1068="","",IF(COUNTIF($A$2:$A$2001,A1068)&gt;1,"GANDA","OK"))</f>
        <v/>
      </c>
      <c r="P1068" s="29" t="str">
        <f aca="false">IF(A1068="","",IF(C1068="","KOSONG",IF(AND(LEN(C1068)=16,ISNUMBER(--C1068)),"OK","TIDAK VALID")))</f>
        <v/>
      </c>
    </row>
    <row r="1069" customFormat="false" ht="15" hidden="false" customHeight="false" outlineLevel="0" collapsed="false">
      <c r="A1069" s="21"/>
      <c r="B1069" s="22"/>
      <c r="C1069" s="21"/>
      <c r="D1069" s="22"/>
      <c r="E1069" s="22"/>
      <c r="F1069" s="28"/>
      <c r="G1069" s="22"/>
      <c r="H1069" s="21"/>
      <c r="I1069" s="28"/>
      <c r="J1069" s="22"/>
      <c r="K1069" s="22"/>
      <c r="L1069" s="22"/>
      <c r="M1069" s="21"/>
      <c r="N1069" s="22"/>
      <c r="O1069" s="29" t="str">
        <f aca="false">IF(A1069="","",IF(COUNTIF($A$2:$A$2001,A1069)&gt;1,"GANDA","OK"))</f>
        <v/>
      </c>
      <c r="P1069" s="29" t="str">
        <f aca="false">IF(A1069="","",IF(C1069="","KOSONG",IF(AND(LEN(C1069)=16,ISNUMBER(--C1069)),"OK","TIDAK VALID")))</f>
        <v/>
      </c>
    </row>
    <row r="1070" customFormat="false" ht="15" hidden="false" customHeight="false" outlineLevel="0" collapsed="false">
      <c r="A1070" s="21"/>
      <c r="B1070" s="22"/>
      <c r="C1070" s="21"/>
      <c r="D1070" s="22"/>
      <c r="E1070" s="22"/>
      <c r="F1070" s="28"/>
      <c r="G1070" s="22"/>
      <c r="H1070" s="21"/>
      <c r="I1070" s="28"/>
      <c r="J1070" s="22"/>
      <c r="K1070" s="22"/>
      <c r="L1070" s="22"/>
      <c r="M1070" s="21"/>
      <c r="N1070" s="22"/>
      <c r="O1070" s="29" t="str">
        <f aca="false">IF(A1070="","",IF(COUNTIF($A$2:$A$2001,A1070)&gt;1,"GANDA","OK"))</f>
        <v/>
      </c>
      <c r="P1070" s="29" t="str">
        <f aca="false">IF(A1070="","",IF(C1070="","KOSONG",IF(AND(LEN(C1070)=16,ISNUMBER(--C1070)),"OK","TIDAK VALID")))</f>
        <v/>
      </c>
    </row>
    <row r="1071" customFormat="false" ht="15" hidden="false" customHeight="false" outlineLevel="0" collapsed="false">
      <c r="A1071" s="21"/>
      <c r="B1071" s="22"/>
      <c r="C1071" s="21"/>
      <c r="D1071" s="22"/>
      <c r="E1071" s="22"/>
      <c r="F1071" s="28"/>
      <c r="G1071" s="22"/>
      <c r="H1071" s="21"/>
      <c r="I1071" s="28"/>
      <c r="J1071" s="22"/>
      <c r="K1071" s="22"/>
      <c r="L1071" s="22"/>
      <c r="M1071" s="21"/>
      <c r="N1071" s="22"/>
      <c r="O1071" s="29" t="str">
        <f aca="false">IF(A1071="","",IF(COUNTIF($A$2:$A$2001,A1071)&gt;1,"GANDA","OK"))</f>
        <v/>
      </c>
      <c r="P1071" s="29" t="str">
        <f aca="false">IF(A1071="","",IF(C1071="","KOSONG",IF(AND(LEN(C1071)=16,ISNUMBER(--C1071)),"OK","TIDAK VALID")))</f>
        <v/>
      </c>
    </row>
    <row r="1072" customFormat="false" ht="15" hidden="false" customHeight="false" outlineLevel="0" collapsed="false">
      <c r="A1072" s="21"/>
      <c r="B1072" s="22"/>
      <c r="C1072" s="21"/>
      <c r="D1072" s="22"/>
      <c r="E1072" s="22"/>
      <c r="F1072" s="28"/>
      <c r="G1072" s="22"/>
      <c r="H1072" s="21"/>
      <c r="I1072" s="28"/>
      <c r="J1072" s="22"/>
      <c r="K1072" s="22"/>
      <c r="L1072" s="22"/>
      <c r="M1072" s="21"/>
      <c r="N1072" s="22"/>
      <c r="O1072" s="29" t="str">
        <f aca="false">IF(A1072="","",IF(COUNTIF($A$2:$A$2001,A1072)&gt;1,"GANDA","OK"))</f>
        <v/>
      </c>
      <c r="P1072" s="29" t="str">
        <f aca="false">IF(A1072="","",IF(C1072="","KOSONG",IF(AND(LEN(C1072)=16,ISNUMBER(--C1072)),"OK","TIDAK VALID")))</f>
        <v/>
      </c>
    </row>
    <row r="1073" customFormat="false" ht="15" hidden="false" customHeight="false" outlineLevel="0" collapsed="false">
      <c r="A1073" s="21"/>
      <c r="B1073" s="22"/>
      <c r="C1073" s="21"/>
      <c r="D1073" s="22"/>
      <c r="E1073" s="22"/>
      <c r="F1073" s="28"/>
      <c r="G1073" s="22"/>
      <c r="H1073" s="21"/>
      <c r="I1073" s="28"/>
      <c r="J1073" s="22"/>
      <c r="K1073" s="22"/>
      <c r="L1073" s="22"/>
      <c r="M1073" s="21"/>
      <c r="N1073" s="22"/>
      <c r="O1073" s="29" t="str">
        <f aca="false">IF(A1073="","",IF(COUNTIF($A$2:$A$2001,A1073)&gt;1,"GANDA","OK"))</f>
        <v/>
      </c>
      <c r="P1073" s="29" t="str">
        <f aca="false">IF(A1073="","",IF(C1073="","KOSONG",IF(AND(LEN(C1073)=16,ISNUMBER(--C1073)),"OK","TIDAK VALID")))</f>
        <v/>
      </c>
    </row>
    <row r="1074" customFormat="false" ht="15" hidden="false" customHeight="false" outlineLevel="0" collapsed="false">
      <c r="A1074" s="21"/>
      <c r="B1074" s="22"/>
      <c r="C1074" s="21"/>
      <c r="D1074" s="22"/>
      <c r="E1074" s="22"/>
      <c r="F1074" s="28"/>
      <c r="G1074" s="22"/>
      <c r="H1074" s="21"/>
      <c r="I1074" s="28"/>
      <c r="J1074" s="22"/>
      <c r="K1074" s="22"/>
      <c r="L1074" s="22"/>
      <c r="M1074" s="21"/>
      <c r="N1074" s="22"/>
      <c r="O1074" s="29" t="str">
        <f aca="false">IF(A1074="","",IF(COUNTIF($A$2:$A$2001,A1074)&gt;1,"GANDA","OK"))</f>
        <v/>
      </c>
      <c r="P1074" s="29" t="str">
        <f aca="false">IF(A1074="","",IF(C1074="","KOSONG",IF(AND(LEN(C1074)=16,ISNUMBER(--C1074)),"OK","TIDAK VALID")))</f>
        <v/>
      </c>
    </row>
    <row r="1075" customFormat="false" ht="15" hidden="false" customHeight="false" outlineLevel="0" collapsed="false">
      <c r="A1075" s="21"/>
      <c r="B1075" s="22"/>
      <c r="C1075" s="21"/>
      <c r="D1075" s="22"/>
      <c r="E1075" s="22"/>
      <c r="F1075" s="28"/>
      <c r="G1075" s="22"/>
      <c r="H1075" s="21"/>
      <c r="I1075" s="28"/>
      <c r="J1075" s="22"/>
      <c r="K1075" s="22"/>
      <c r="L1075" s="22"/>
      <c r="M1075" s="21"/>
      <c r="N1075" s="22"/>
      <c r="O1075" s="29" t="str">
        <f aca="false">IF(A1075="","",IF(COUNTIF($A$2:$A$2001,A1075)&gt;1,"GANDA","OK"))</f>
        <v/>
      </c>
      <c r="P1075" s="29" t="str">
        <f aca="false">IF(A1075="","",IF(C1075="","KOSONG",IF(AND(LEN(C1075)=16,ISNUMBER(--C1075)),"OK","TIDAK VALID")))</f>
        <v/>
      </c>
    </row>
    <row r="1076" customFormat="false" ht="15" hidden="false" customHeight="false" outlineLevel="0" collapsed="false">
      <c r="A1076" s="21"/>
      <c r="B1076" s="22"/>
      <c r="C1076" s="21"/>
      <c r="D1076" s="22"/>
      <c r="E1076" s="22"/>
      <c r="F1076" s="28"/>
      <c r="G1076" s="22"/>
      <c r="H1076" s="21"/>
      <c r="I1076" s="28"/>
      <c r="J1076" s="22"/>
      <c r="K1076" s="22"/>
      <c r="L1076" s="22"/>
      <c r="M1076" s="21"/>
      <c r="N1076" s="22"/>
      <c r="O1076" s="29" t="str">
        <f aca="false">IF(A1076="","",IF(COUNTIF($A$2:$A$2001,A1076)&gt;1,"GANDA","OK"))</f>
        <v/>
      </c>
      <c r="P1076" s="29" t="str">
        <f aca="false">IF(A1076="","",IF(C1076="","KOSONG",IF(AND(LEN(C1076)=16,ISNUMBER(--C1076)),"OK","TIDAK VALID")))</f>
        <v/>
      </c>
    </row>
    <row r="1077" customFormat="false" ht="15" hidden="false" customHeight="false" outlineLevel="0" collapsed="false">
      <c r="A1077" s="21"/>
      <c r="B1077" s="22"/>
      <c r="C1077" s="21"/>
      <c r="D1077" s="22"/>
      <c r="E1077" s="22"/>
      <c r="F1077" s="28"/>
      <c r="G1077" s="22"/>
      <c r="H1077" s="21"/>
      <c r="I1077" s="28"/>
      <c r="J1077" s="22"/>
      <c r="K1077" s="22"/>
      <c r="L1077" s="22"/>
      <c r="M1077" s="21"/>
      <c r="N1077" s="22"/>
      <c r="O1077" s="29" t="str">
        <f aca="false">IF(A1077="","",IF(COUNTIF($A$2:$A$2001,A1077)&gt;1,"GANDA","OK"))</f>
        <v/>
      </c>
      <c r="P1077" s="29" t="str">
        <f aca="false">IF(A1077="","",IF(C1077="","KOSONG",IF(AND(LEN(C1077)=16,ISNUMBER(--C1077)),"OK","TIDAK VALID")))</f>
        <v/>
      </c>
    </row>
    <row r="1078" customFormat="false" ht="15" hidden="false" customHeight="false" outlineLevel="0" collapsed="false">
      <c r="A1078" s="21"/>
      <c r="B1078" s="22"/>
      <c r="C1078" s="21"/>
      <c r="D1078" s="22"/>
      <c r="E1078" s="22"/>
      <c r="F1078" s="28"/>
      <c r="G1078" s="22"/>
      <c r="H1078" s="21"/>
      <c r="I1078" s="28"/>
      <c r="J1078" s="22"/>
      <c r="K1078" s="22"/>
      <c r="L1078" s="22"/>
      <c r="M1078" s="21"/>
      <c r="N1078" s="22"/>
      <c r="O1078" s="29" t="str">
        <f aca="false">IF(A1078="","",IF(COUNTIF($A$2:$A$2001,A1078)&gt;1,"GANDA","OK"))</f>
        <v/>
      </c>
      <c r="P1078" s="29" t="str">
        <f aca="false">IF(A1078="","",IF(C1078="","KOSONG",IF(AND(LEN(C1078)=16,ISNUMBER(--C1078)),"OK","TIDAK VALID")))</f>
        <v/>
      </c>
    </row>
    <row r="1079" customFormat="false" ht="15" hidden="false" customHeight="false" outlineLevel="0" collapsed="false">
      <c r="A1079" s="21"/>
      <c r="B1079" s="22"/>
      <c r="C1079" s="21"/>
      <c r="D1079" s="22"/>
      <c r="E1079" s="22"/>
      <c r="F1079" s="28"/>
      <c r="G1079" s="22"/>
      <c r="H1079" s="21"/>
      <c r="I1079" s="28"/>
      <c r="J1079" s="22"/>
      <c r="K1079" s="22"/>
      <c r="L1079" s="22"/>
      <c r="M1079" s="21"/>
      <c r="N1079" s="22"/>
      <c r="O1079" s="29" t="str">
        <f aca="false">IF(A1079="","",IF(COUNTIF($A$2:$A$2001,A1079)&gt;1,"GANDA","OK"))</f>
        <v/>
      </c>
      <c r="P1079" s="29" t="str">
        <f aca="false">IF(A1079="","",IF(C1079="","KOSONG",IF(AND(LEN(C1079)=16,ISNUMBER(--C1079)),"OK","TIDAK VALID")))</f>
        <v/>
      </c>
    </row>
    <row r="1080" customFormat="false" ht="15" hidden="false" customHeight="false" outlineLevel="0" collapsed="false">
      <c r="A1080" s="21"/>
      <c r="B1080" s="22"/>
      <c r="C1080" s="21"/>
      <c r="D1080" s="22"/>
      <c r="E1080" s="22"/>
      <c r="F1080" s="28"/>
      <c r="G1080" s="22"/>
      <c r="H1080" s="21"/>
      <c r="I1080" s="28"/>
      <c r="J1080" s="22"/>
      <c r="K1080" s="22"/>
      <c r="L1080" s="22"/>
      <c r="M1080" s="21"/>
      <c r="N1080" s="22"/>
      <c r="O1080" s="29" t="str">
        <f aca="false">IF(A1080="","",IF(COUNTIF($A$2:$A$2001,A1080)&gt;1,"GANDA","OK"))</f>
        <v/>
      </c>
      <c r="P1080" s="29" t="str">
        <f aca="false">IF(A1080="","",IF(C1080="","KOSONG",IF(AND(LEN(C1080)=16,ISNUMBER(--C1080)),"OK","TIDAK VALID")))</f>
        <v/>
      </c>
    </row>
    <row r="1081" customFormat="false" ht="15" hidden="false" customHeight="false" outlineLevel="0" collapsed="false">
      <c r="A1081" s="21"/>
      <c r="B1081" s="22"/>
      <c r="C1081" s="21"/>
      <c r="D1081" s="22"/>
      <c r="E1081" s="22"/>
      <c r="F1081" s="28"/>
      <c r="G1081" s="22"/>
      <c r="H1081" s="21"/>
      <c r="I1081" s="28"/>
      <c r="J1081" s="22"/>
      <c r="K1081" s="22"/>
      <c r="L1081" s="22"/>
      <c r="M1081" s="21"/>
      <c r="N1081" s="22"/>
      <c r="O1081" s="29" t="str">
        <f aca="false">IF(A1081="","",IF(COUNTIF($A$2:$A$2001,A1081)&gt;1,"GANDA","OK"))</f>
        <v/>
      </c>
      <c r="P1081" s="29" t="str">
        <f aca="false">IF(A1081="","",IF(C1081="","KOSONG",IF(AND(LEN(C1081)=16,ISNUMBER(--C1081)),"OK","TIDAK VALID")))</f>
        <v/>
      </c>
    </row>
    <row r="1082" customFormat="false" ht="15" hidden="false" customHeight="false" outlineLevel="0" collapsed="false">
      <c r="A1082" s="21"/>
      <c r="B1082" s="22"/>
      <c r="C1082" s="21"/>
      <c r="D1082" s="22"/>
      <c r="E1082" s="22"/>
      <c r="F1082" s="28"/>
      <c r="G1082" s="22"/>
      <c r="H1082" s="21"/>
      <c r="I1082" s="28"/>
      <c r="J1082" s="22"/>
      <c r="K1082" s="22"/>
      <c r="L1082" s="22"/>
      <c r="M1082" s="21"/>
      <c r="N1082" s="22"/>
      <c r="O1082" s="29" t="str">
        <f aca="false">IF(A1082="","",IF(COUNTIF($A$2:$A$2001,A1082)&gt;1,"GANDA","OK"))</f>
        <v/>
      </c>
      <c r="P1082" s="29" t="str">
        <f aca="false">IF(A1082="","",IF(C1082="","KOSONG",IF(AND(LEN(C1082)=16,ISNUMBER(--C1082)),"OK","TIDAK VALID")))</f>
        <v/>
      </c>
    </row>
    <row r="1083" customFormat="false" ht="15" hidden="false" customHeight="false" outlineLevel="0" collapsed="false">
      <c r="A1083" s="21"/>
      <c r="B1083" s="22"/>
      <c r="C1083" s="21"/>
      <c r="D1083" s="22"/>
      <c r="E1083" s="22"/>
      <c r="F1083" s="28"/>
      <c r="G1083" s="22"/>
      <c r="H1083" s="21"/>
      <c r="I1083" s="28"/>
      <c r="J1083" s="22"/>
      <c r="K1083" s="22"/>
      <c r="L1083" s="22"/>
      <c r="M1083" s="21"/>
      <c r="N1083" s="22"/>
      <c r="O1083" s="29" t="str">
        <f aca="false">IF(A1083="","",IF(COUNTIF($A$2:$A$2001,A1083)&gt;1,"GANDA","OK"))</f>
        <v/>
      </c>
      <c r="P1083" s="29" t="str">
        <f aca="false">IF(A1083="","",IF(C1083="","KOSONG",IF(AND(LEN(C1083)=16,ISNUMBER(--C1083)),"OK","TIDAK VALID")))</f>
        <v/>
      </c>
    </row>
    <row r="1084" customFormat="false" ht="15" hidden="false" customHeight="false" outlineLevel="0" collapsed="false">
      <c r="A1084" s="21"/>
      <c r="B1084" s="22"/>
      <c r="C1084" s="21"/>
      <c r="D1084" s="22"/>
      <c r="E1084" s="22"/>
      <c r="F1084" s="28"/>
      <c r="G1084" s="22"/>
      <c r="H1084" s="21"/>
      <c r="I1084" s="28"/>
      <c r="J1084" s="22"/>
      <c r="K1084" s="22"/>
      <c r="L1084" s="22"/>
      <c r="M1084" s="21"/>
      <c r="N1084" s="22"/>
      <c r="O1084" s="29" t="str">
        <f aca="false">IF(A1084="","",IF(COUNTIF($A$2:$A$2001,A1084)&gt;1,"GANDA","OK"))</f>
        <v/>
      </c>
      <c r="P1084" s="29" t="str">
        <f aca="false">IF(A1084="","",IF(C1084="","KOSONG",IF(AND(LEN(C1084)=16,ISNUMBER(--C1084)),"OK","TIDAK VALID")))</f>
        <v/>
      </c>
    </row>
    <row r="1085" customFormat="false" ht="15" hidden="false" customHeight="false" outlineLevel="0" collapsed="false">
      <c r="A1085" s="21"/>
      <c r="B1085" s="22"/>
      <c r="C1085" s="21"/>
      <c r="D1085" s="22"/>
      <c r="E1085" s="22"/>
      <c r="F1085" s="28"/>
      <c r="G1085" s="22"/>
      <c r="H1085" s="21"/>
      <c r="I1085" s="28"/>
      <c r="J1085" s="22"/>
      <c r="K1085" s="22"/>
      <c r="L1085" s="22"/>
      <c r="M1085" s="21"/>
      <c r="N1085" s="22"/>
      <c r="O1085" s="29" t="str">
        <f aca="false">IF(A1085="","",IF(COUNTIF($A$2:$A$2001,A1085)&gt;1,"GANDA","OK"))</f>
        <v/>
      </c>
      <c r="P1085" s="29" t="str">
        <f aca="false">IF(A1085="","",IF(C1085="","KOSONG",IF(AND(LEN(C1085)=16,ISNUMBER(--C1085)),"OK","TIDAK VALID")))</f>
        <v/>
      </c>
    </row>
    <row r="1086" customFormat="false" ht="15" hidden="false" customHeight="false" outlineLevel="0" collapsed="false">
      <c r="A1086" s="21"/>
      <c r="B1086" s="22"/>
      <c r="C1086" s="21"/>
      <c r="D1086" s="22"/>
      <c r="E1086" s="22"/>
      <c r="F1086" s="28"/>
      <c r="G1086" s="22"/>
      <c r="H1086" s="21"/>
      <c r="I1086" s="28"/>
      <c r="J1086" s="22"/>
      <c r="K1086" s="22"/>
      <c r="L1086" s="22"/>
      <c r="M1086" s="21"/>
      <c r="N1086" s="22"/>
      <c r="O1086" s="29" t="str">
        <f aca="false">IF(A1086="","",IF(COUNTIF($A$2:$A$2001,A1086)&gt;1,"GANDA","OK"))</f>
        <v/>
      </c>
      <c r="P1086" s="29" t="str">
        <f aca="false">IF(A1086="","",IF(C1086="","KOSONG",IF(AND(LEN(C1086)=16,ISNUMBER(--C1086)),"OK","TIDAK VALID")))</f>
        <v/>
      </c>
    </row>
    <row r="1087" customFormat="false" ht="15" hidden="false" customHeight="false" outlineLevel="0" collapsed="false">
      <c r="A1087" s="21"/>
      <c r="B1087" s="22"/>
      <c r="C1087" s="21"/>
      <c r="D1087" s="22"/>
      <c r="E1087" s="22"/>
      <c r="F1087" s="28"/>
      <c r="G1087" s="22"/>
      <c r="H1087" s="21"/>
      <c r="I1087" s="28"/>
      <c r="J1087" s="22"/>
      <c r="K1087" s="22"/>
      <c r="L1087" s="22"/>
      <c r="M1087" s="21"/>
      <c r="N1087" s="22"/>
      <c r="O1087" s="29" t="str">
        <f aca="false">IF(A1087="","",IF(COUNTIF($A$2:$A$2001,A1087)&gt;1,"GANDA","OK"))</f>
        <v/>
      </c>
      <c r="P1087" s="29" t="str">
        <f aca="false">IF(A1087="","",IF(C1087="","KOSONG",IF(AND(LEN(C1087)=16,ISNUMBER(--C1087)),"OK","TIDAK VALID")))</f>
        <v/>
      </c>
    </row>
    <row r="1088" customFormat="false" ht="15" hidden="false" customHeight="false" outlineLevel="0" collapsed="false">
      <c r="A1088" s="21"/>
      <c r="B1088" s="22"/>
      <c r="C1088" s="21"/>
      <c r="D1088" s="22"/>
      <c r="E1088" s="22"/>
      <c r="F1088" s="28"/>
      <c r="G1088" s="22"/>
      <c r="H1088" s="21"/>
      <c r="I1088" s="28"/>
      <c r="J1088" s="22"/>
      <c r="K1088" s="22"/>
      <c r="L1088" s="22"/>
      <c r="M1088" s="21"/>
      <c r="N1088" s="22"/>
      <c r="O1088" s="29" t="str">
        <f aca="false">IF(A1088="","",IF(COUNTIF($A$2:$A$2001,A1088)&gt;1,"GANDA","OK"))</f>
        <v/>
      </c>
      <c r="P1088" s="29" t="str">
        <f aca="false">IF(A1088="","",IF(C1088="","KOSONG",IF(AND(LEN(C1088)=16,ISNUMBER(--C1088)),"OK","TIDAK VALID")))</f>
        <v/>
      </c>
    </row>
    <row r="1089" customFormat="false" ht="15" hidden="false" customHeight="false" outlineLevel="0" collapsed="false">
      <c r="A1089" s="21"/>
      <c r="B1089" s="22"/>
      <c r="C1089" s="21"/>
      <c r="D1089" s="22"/>
      <c r="E1089" s="22"/>
      <c r="F1089" s="28"/>
      <c r="G1089" s="22"/>
      <c r="H1089" s="21"/>
      <c r="I1089" s="28"/>
      <c r="J1089" s="22"/>
      <c r="K1089" s="22"/>
      <c r="L1089" s="22"/>
      <c r="M1089" s="21"/>
      <c r="N1089" s="22"/>
      <c r="O1089" s="29" t="str">
        <f aca="false">IF(A1089="","",IF(COUNTIF($A$2:$A$2001,A1089)&gt;1,"GANDA","OK"))</f>
        <v/>
      </c>
      <c r="P1089" s="29" t="str">
        <f aca="false">IF(A1089="","",IF(C1089="","KOSONG",IF(AND(LEN(C1089)=16,ISNUMBER(--C1089)),"OK","TIDAK VALID")))</f>
        <v/>
      </c>
    </row>
    <row r="1090" customFormat="false" ht="15" hidden="false" customHeight="false" outlineLevel="0" collapsed="false">
      <c r="A1090" s="21"/>
      <c r="B1090" s="22"/>
      <c r="C1090" s="21"/>
      <c r="D1090" s="22"/>
      <c r="E1090" s="22"/>
      <c r="F1090" s="28"/>
      <c r="G1090" s="22"/>
      <c r="H1090" s="21"/>
      <c r="I1090" s="28"/>
      <c r="J1090" s="22"/>
      <c r="K1090" s="22"/>
      <c r="L1090" s="22"/>
      <c r="M1090" s="21"/>
      <c r="N1090" s="22"/>
      <c r="O1090" s="29" t="str">
        <f aca="false">IF(A1090="","",IF(COUNTIF($A$2:$A$2001,A1090)&gt;1,"GANDA","OK"))</f>
        <v/>
      </c>
      <c r="P1090" s="29" t="str">
        <f aca="false">IF(A1090="","",IF(C1090="","KOSONG",IF(AND(LEN(C1090)=16,ISNUMBER(--C1090)),"OK","TIDAK VALID")))</f>
        <v/>
      </c>
    </row>
    <row r="1091" customFormat="false" ht="15" hidden="false" customHeight="false" outlineLevel="0" collapsed="false">
      <c r="A1091" s="21"/>
      <c r="B1091" s="22"/>
      <c r="C1091" s="21"/>
      <c r="D1091" s="22"/>
      <c r="E1091" s="22"/>
      <c r="F1091" s="28"/>
      <c r="G1091" s="22"/>
      <c r="H1091" s="21"/>
      <c r="I1091" s="28"/>
      <c r="J1091" s="22"/>
      <c r="K1091" s="22"/>
      <c r="L1091" s="22"/>
      <c r="M1091" s="21"/>
      <c r="N1091" s="22"/>
      <c r="O1091" s="29" t="str">
        <f aca="false">IF(A1091="","",IF(COUNTIF($A$2:$A$2001,A1091)&gt;1,"GANDA","OK"))</f>
        <v/>
      </c>
      <c r="P1091" s="29" t="str">
        <f aca="false">IF(A1091="","",IF(C1091="","KOSONG",IF(AND(LEN(C1091)=16,ISNUMBER(--C1091)),"OK","TIDAK VALID")))</f>
        <v/>
      </c>
    </row>
    <row r="1092" customFormat="false" ht="15" hidden="false" customHeight="false" outlineLevel="0" collapsed="false">
      <c r="A1092" s="21"/>
      <c r="B1092" s="22"/>
      <c r="C1092" s="21"/>
      <c r="D1092" s="22"/>
      <c r="E1092" s="22"/>
      <c r="F1092" s="28"/>
      <c r="G1092" s="22"/>
      <c r="H1092" s="21"/>
      <c r="I1092" s="28"/>
      <c r="J1092" s="22"/>
      <c r="K1092" s="22"/>
      <c r="L1092" s="22"/>
      <c r="M1092" s="21"/>
      <c r="N1092" s="22"/>
      <c r="O1092" s="29" t="str">
        <f aca="false">IF(A1092="","",IF(COUNTIF($A$2:$A$2001,A1092)&gt;1,"GANDA","OK"))</f>
        <v/>
      </c>
      <c r="P1092" s="29" t="str">
        <f aca="false">IF(A1092="","",IF(C1092="","KOSONG",IF(AND(LEN(C1092)=16,ISNUMBER(--C1092)),"OK","TIDAK VALID")))</f>
        <v/>
      </c>
    </row>
    <row r="1093" customFormat="false" ht="15" hidden="false" customHeight="false" outlineLevel="0" collapsed="false">
      <c r="A1093" s="21"/>
      <c r="B1093" s="22"/>
      <c r="C1093" s="21"/>
      <c r="D1093" s="22"/>
      <c r="E1093" s="22"/>
      <c r="F1093" s="28"/>
      <c r="G1093" s="22"/>
      <c r="H1093" s="21"/>
      <c r="I1093" s="28"/>
      <c r="J1093" s="22"/>
      <c r="K1093" s="22"/>
      <c r="L1093" s="22"/>
      <c r="M1093" s="21"/>
      <c r="N1093" s="22"/>
      <c r="O1093" s="29" t="str">
        <f aca="false">IF(A1093="","",IF(COUNTIF($A$2:$A$2001,A1093)&gt;1,"GANDA","OK"))</f>
        <v/>
      </c>
      <c r="P1093" s="29" t="str">
        <f aca="false">IF(A1093="","",IF(C1093="","KOSONG",IF(AND(LEN(C1093)=16,ISNUMBER(--C1093)),"OK","TIDAK VALID")))</f>
        <v/>
      </c>
    </row>
    <row r="1094" customFormat="false" ht="15" hidden="false" customHeight="false" outlineLevel="0" collapsed="false">
      <c r="A1094" s="21"/>
      <c r="B1094" s="22"/>
      <c r="C1094" s="21"/>
      <c r="D1094" s="22"/>
      <c r="E1094" s="22"/>
      <c r="F1094" s="28"/>
      <c r="G1094" s="22"/>
      <c r="H1094" s="21"/>
      <c r="I1094" s="28"/>
      <c r="J1094" s="22"/>
      <c r="K1094" s="22"/>
      <c r="L1094" s="22"/>
      <c r="M1094" s="21"/>
      <c r="N1094" s="22"/>
      <c r="O1094" s="29" t="str">
        <f aca="false">IF(A1094="","",IF(COUNTIF($A$2:$A$2001,A1094)&gt;1,"GANDA","OK"))</f>
        <v/>
      </c>
      <c r="P1094" s="29" t="str">
        <f aca="false">IF(A1094="","",IF(C1094="","KOSONG",IF(AND(LEN(C1094)=16,ISNUMBER(--C1094)),"OK","TIDAK VALID")))</f>
        <v/>
      </c>
    </row>
    <row r="1095" customFormat="false" ht="15" hidden="false" customHeight="false" outlineLevel="0" collapsed="false">
      <c r="A1095" s="21"/>
      <c r="B1095" s="22"/>
      <c r="C1095" s="21"/>
      <c r="D1095" s="22"/>
      <c r="E1095" s="22"/>
      <c r="F1095" s="28"/>
      <c r="G1095" s="22"/>
      <c r="H1095" s="21"/>
      <c r="I1095" s="28"/>
      <c r="J1095" s="22"/>
      <c r="K1095" s="22"/>
      <c r="L1095" s="22"/>
      <c r="M1095" s="21"/>
      <c r="N1095" s="22"/>
      <c r="O1095" s="29" t="str">
        <f aca="false">IF(A1095="","",IF(COUNTIF($A$2:$A$2001,A1095)&gt;1,"GANDA","OK"))</f>
        <v/>
      </c>
      <c r="P1095" s="29" t="str">
        <f aca="false">IF(A1095="","",IF(C1095="","KOSONG",IF(AND(LEN(C1095)=16,ISNUMBER(--C1095)),"OK","TIDAK VALID")))</f>
        <v/>
      </c>
    </row>
    <row r="1096" customFormat="false" ht="15" hidden="false" customHeight="false" outlineLevel="0" collapsed="false">
      <c r="A1096" s="21"/>
      <c r="B1096" s="22"/>
      <c r="C1096" s="21"/>
      <c r="D1096" s="22"/>
      <c r="E1096" s="22"/>
      <c r="F1096" s="28"/>
      <c r="G1096" s="22"/>
      <c r="H1096" s="21"/>
      <c r="I1096" s="28"/>
      <c r="J1096" s="22"/>
      <c r="K1096" s="22"/>
      <c r="L1096" s="22"/>
      <c r="M1096" s="21"/>
      <c r="N1096" s="22"/>
      <c r="O1096" s="29" t="str">
        <f aca="false">IF(A1096="","",IF(COUNTIF($A$2:$A$2001,A1096)&gt;1,"GANDA","OK"))</f>
        <v/>
      </c>
      <c r="P1096" s="29" t="str">
        <f aca="false">IF(A1096="","",IF(C1096="","KOSONG",IF(AND(LEN(C1096)=16,ISNUMBER(--C1096)),"OK","TIDAK VALID")))</f>
        <v/>
      </c>
    </row>
    <row r="1097" customFormat="false" ht="15" hidden="false" customHeight="false" outlineLevel="0" collapsed="false">
      <c r="A1097" s="21"/>
      <c r="B1097" s="22"/>
      <c r="C1097" s="21"/>
      <c r="D1097" s="22"/>
      <c r="E1097" s="22"/>
      <c r="F1097" s="28"/>
      <c r="G1097" s="22"/>
      <c r="H1097" s="21"/>
      <c r="I1097" s="28"/>
      <c r="J1097" s="22"/>
      <c r="K1097" s="22"/>
      <c r="L1097" s="22"/>
      <c r="M1097" s="21"/>
      <c r="N1097" s="22"/>
      <c r="O1097" s="29" t="str">
        <f aca="false">IF(A1097="","",IF(COUNTIF($A$2:$A$2001,A1097)&gt;1,"GANDA","OK"))</f>
        <v/>
      </c>
      <c r="P1097" s="29" t="str">
        <f aca="false">IF(A1097="","",IF(C1097="","KOSONG",IF(AND(LEN(C1097)=16,ISNUMBER(--C1097)),"OK","TIDAK VALID")))</f>
        <v/>
      </c>
    </row>
    <row r="1098" customFormat="false" ht="15" hidden="false" customHeight="false" outlineLevel="0" collapsed="false">
      <c r="A1098" s="21"/>
      <c r="B1098" s="22"/>
      <c r="C1098" s="21"/>
      <c r="D1098" s="22"/>
      <c r="E1098" s="22"/>
      <c r="F1098" s="28"/>
      <c r="G1098" s="22"/>
      <c r="H1098" s="21"/>
      <c r="I1098" s="28"/>
      <c r="J1098" s="22"/>
      <c r="K1098" s="22"/>
      <c r="L1098" s="22"/>
      <c r="M1098" s="21"/>
      <c r="N1098" s="22"/>
      <c r="O1098" s="29" t="str">
        <f aca="false">IF(A1098="","",IF(COUNTIF($A$2:$A$2001,A1098)&gt;1,"GANDA","OK"))</f>
        <v/>
      </c>
      <c r="P1098" s="29" t="str">
        <f aca="false">IF(A1098="","",IF(C1098="","KOSONG",IF(AND(LEN(C1098)=16,ISNUMBER(--C1098)),"OK","TIDAK VALID")))</f>
        <v/>
      </c>
    </row>
    <row r="1099" customFormat="false" ht="15" hidden="false" customHeight="false" outlineLevel="0" collapsed="false">
      <c r="A1099" s="21"/>
      <c r="B1099" s="22"/>
      <c r="C1099" s="21"/>
      <c r="D1099" s="22"/>
      <c r="E1099" s="22"/>
      <c r="F1099" s="28"/>
      <c r="G1099" s="22"/>
      <c r="H1099" s="21"/>
      <c r="I1099" s="28"/>
      <c r="J1099" s="22"/>
      <c r="K1099" s="22"/>
      <c r="L1099" s="22"/>
      <c r="M1099" s="21"/>
      <c r="N1099" s="22"/>
      <c r="O1099" s="29" t="str">
        <f aca="false">IF(A1099="","",IF(COUNTIF($A$2:$A$2001,A1099)&gt;1,"GANDA","OK"))</f>
        <v/>
      </c>
      <c r="P1099" s="29" t="str">
        <f aca="false">IF(A1099="","",IF(C1099="","KOSONG",IF(AND(LEN(C1099)=16,ISNUMBER(--C1099)),"OK","TIDAK VALID")))</f>
        <v/>
      </c>
    </row>
    <row r="1100" customFormat="false" ht="15" hidden="false" customHeight="false" outlineLevel="0" collapsed="false">
      <c r="A1100" s="21"/>
      <c r="B1100" s="22"/>
      <c r="C1100" s="21"/>
      <c r="D1100" s="22"/>
      <c r="E1100" s="22"/>
      <c r="F1100" s="28"/>
      <c r="G1100" s="22"/>
      <c r="H1100" s="21"/>
      <c r="I1100" s="28"/>
      <c r="J1100" s="22"/>
      <c r="K1100" s="22"/>
      <c r="L1100" s="22"/>
      <c r="M1100" s="21"/>
      <c r="N1100" s="22"/>
      <c r="O1100" s="29" t="str">
        <f aca="false">IF(A1100="","",IF(COUNTIF($A$2:$A$2001,A1100)&gt;1,"GANDA","OK"))</f>
        <v/>
      </c>
      <c r="P1100" s="29" t="str">
        <f aca="false">IF(A1100="","",IF(C1100="","KOSONG",IF(AND(LEN(C1100)=16,ISNUMBER(--C1100)),"OK","TIDAK VALID")))</f>
        <v/>
      </c>
    </row>
    <row r="1101" customFormat="false" ht="15" hidden="false" customHeight="false" outlineLevel="0" collapsed="false">
      <c r="A1101" s="21"/>
      <c r="B1101" s="22"/>
      <c r="C1101" s="21"/>
      <c r="D1101" s="22"/>
      <c r="E1101" s="22"/>
      <c r="F1101" s="28"/>
      <c r="G1101" s="22"/>
      <c r="H1101" s="21"/>
      <c r="I1101" s="28"/>
      <c r="J1101" s="22"/>
      <c r="K1101" s="22"/>
      <c r="L1101" s="22"/>
      <c r="M1101" s="21"/>
      <c r="N1101" s="22"/>
      <c r="O1101" s="29" t="str">
        <f aca="false">IF(A1101="","",IF(COUNTIF($A$2:$A$2001,A1101)&gt;1,"GANDA","OK"))</f>
        <v/>
      </c>
      <c r="P1101" s="29" t="str">
        <f aca="false">IF(A1101="","",IF(C1101="","KOSONG",IF(AND(LEN(C1101)=16,ISNUMBER(--C1101)),"OK","TIDAK VALID")))</f>
        <v/>
      </c>
    </row>
    <row r="1102" customFormat="false" ht="15" hidden="false" customHeight="false" outlineLevel="0" collapsed="false">
      <c r="A1102" s="21"/>
      <c r="B1102" s="22"/>
      <c r="C1102" s="21"/>
      <c r="D1102" s="22"/>
      <c r="E1102" s="22"/>
      <c r="F1102" s="28"/>
      <c r="G1102" s="22"/>
      <c r="H1102" s="21"/>
      <c r="I1102" s="28"/>
      <c r="J1102" s="22"/>
      <c r="K1102" s="22"/>
      <c r="L1102" s="22"/>
      <c r="M1102" s="21"/>
      <c r="N1102" s="22"/>
      <c r="O1102" s="29" t="str">
        <f aca="false">IF(A1102="","",IF(COUNTIF($A$2:$A$2001,A1102)&gt;1,"GANDA","OK"))</f>
        <v/>
      </c>
      <c r="P1102" s="29" t="str">
        <f aca="false">IF(A1102="","",IF(C1102="","KOSONG",IF(AND(LEN(C1102)=16,ISNUMBER(--C1102)),"OK","TIDAK VALID")))</f>
        <v/>
      </c>
    </row>
    <row r="1103" customFormat="false" ht="15" hidden="false" customHeight="false" outlineLevel="0" collapsed="false">
      <c r="A1103" s="21"/>
      <c r="B1103" s="22"/>
      <c r="C1103" s="21"/>
      <c r="D1103" s="22"/>
      <c r="E1103" s="22"/>
      <c r="F1103" s="28"/>
      <c r="G1103" s="22"/>
      <c r="H1103" s="21"/>
      <c r="I1103" s="28"/>
      <c r="J1103" s="22"/>
      <c r="K1103" s="22"/>
      <c r="L1103" s="22"/>
      <c r="M1103" s="21"/>
      <c r="N1103" s="22"/>
      <c r="O1103" s="29" t="str">
        <f aca="false">IF(A1103="","",IF(COUNTIF($A$2:$A$2001,A1103)&gt;1,"GANDA","OK"))</f>
        <v/>
      </c>
      <c r="P1103" s="29" t="str">
        <f aca="false">IF(A1103="","",IF(C1103="","KOSONG",IF(AND(LEN(C1103)=16,ISNUMBER(--C1103)),"OK","TIDAK VALID")))</f>
        <v/>
      </c>
    </row>
    <row r="1104" customFormat="false" ht="15" hidden="false" customHeight="false" outlineLevel="0" collapsed="false">
      <c r="A1104" s="21"/>
      <c r="B1104" s="22"/>
      <c r="C1104" s="21"/>
      <c r="D1104" s="22"/>
      <c r="E1104" s="22"/>
      <c r="F1104" s="28"/>
      <c r="G1104" s="22"/>
      <c r="H1104" s="21"/>
      <c r="I1104" s="28"/>
      <c r="J1104" s="22"/>
      <c r="K1104" s="22"/>
      <c r="L1104" s="22"/>
      <c r="M1104" s="21"/>
      <c r="N1104" s="22"/>
      <c r="O1104" s="29" t="str">
        <f aca="false">IF(A1104="","",IF(COUNTIF($A$2:$A$2001,A1104)&gt;1,"GANDA","OK"))</f>
        <v/>
      </c>
      <c r="P1104" s="29" t="str">
        <f aca="false">IF(A1104="","",IF(C1104="","KOSONG",IF(AND(LEN(C1104)=16,ISNUMBER(--C1104)),"OK","TIDAK VALID")))</f>
        <v/>
      </c>
    </row>
    <row r="1105" customFormat="false" ht="15" hidden="false" customHeight="false" outlineLevel="0" collapsed="false">
      <c r="A1105" s="21"/>
      <c r="B1105" s="22"/>
      <c r="C1105" s="21"/>
      <c r="D1105" s="22"/>
      <c r="E1105" s="22"/>
      <c r="F1105" s="28"/>
      <c r="G1105" s="22"/>
      <c r="H1105" s="21"/>
      <c r="I1105" s="28"/>
      <c r="J1105" s="22"/>
      <c r="K1105" s="22"/>
      <c r="L1105" s="22"/>
      <c r="M1105" s="21"/>
      <c r="N1105" s="22"/>
      <c r="O1105" s="29" t="str">
        <f aca="false">IF(A1105="","",IF(COUNTIF($A$2:$A$2001,A1105)&gt;1,"GANDA","OK"))</f>
        <v/>
      </c>
      <c r="P1105" s="29" t="str">
        <f aca="false">IF(A1105="","",IF(C1105="","KOSONG",IF(AND(LEN(C1105)=16,ISNUMBER(--C1105)),"OK","TIDAK VALID")))</f>
        <v/>
      </c>
    </row>
    <row r="1106" customFormat="false" ht="15" hidden="false" customHeight="false" outlineLevel="0" collapsed="false">
      <c r="A1106" s="21"/>
      <c r="B1106" s="22"/>
      <c r="C1106" s="21"/>
      <c r="D1106" s="22"/>
      <c r="E1106" s="22"/>
      <c r="F1106" s="28"/>
      <c r="G1106" s="22"/>
      <c r="H1106" s="21"/>
      <c r="I1106" s="28"/>
      <c r="J1106" s="22"/>
      <c r="K1106" s="22"/>
      <c r="L1106" s="22"/>
      <c r="M1106" s="21"/>
      <c r="N1106" s="22"/>
      <c r="O1106" s="29" t="str">
        <f aca="false">IF(A1106="","",IF(COUNTIF($A$2:$A$2001,A1106)&gt;1,"GANDA","OK"))</f>
        <v/>
      </c>
      <c r="P1106" s="29" t="str">
        <f aca="false">IF(A1106="","",IF(C1106="","KOSONG",IF(AND(LEN(C1106)=16,ISNUMBER(--C1106)),"OK","TIDAK VALID")))</f>
        <v/>
      </c>
    </row>
    <row r="1107" customFormat="false" ht="15" hidden="false" customHeight="false" outlineLevel="0" collapsed="false">
      <c r="A1107" s="21"/>
      <c r="B1107" s="22"/>
      <c r="C1107" s="21"/>
      <c r="D1107" s="22"/>
      <c r="E1107" s="22"/>
      <c r="F1107" s="28"/>
      <c r="G1107" s="22"/>
      <c r="H1107" s="21"/>
      <c r="I1107" s="28"/>
      <c r="J1107" s="22"/>
      <c r="K1107" s="22"/>
      <c r="L1107" s="22"/>
      <c r="M1107" s="21"/>
      <c r="N1107" s="22"/>
      <c r="O1107" s="29" t="str">
        <f aca="false">IF(A1107="","",IF(COUNTIF($A$2:$A$2001,A1107)&gt;1,"GANDA","OK"))</f>
        <v/>
      </c>
      <c r="P1107" s="29" t="str">
        <f aca="false">IF(A1107="","",IF(C1107="","KOSONG",IF(AND(LEN(C1107)=16,ISNUMBER(--C1107)),"OK","TIDAK VALID")))</f>
        <v/>
      </c>
    </row>
    <row r="1108" customFormat="false" ht="15" hidden="false" customHeight="false" outlineLevel="0" collapsed="false">
      <c r="A1108" s="21"/>
      <c r="B1108" s="22"/>
      <c r="C1108" s="21"/>
      <c r="D1108" s="22"/>
      <c r="E1108" s="22"/>
      <c r="F1108" s="28"/>
      <c r="G1108" s="22"/>
      <c r="H1108" s="21"/>
      <c r="I1108" s="28"/>
      <c r="J1108" s="22"/>
      <c r="K1108" s="22"/>
      <c r="L1108" s="22"/>
      <c r="M1108" s="21"/>
      <c r="N1108" s="22"/>
      <c r="O1108" s="29" t="str">
        <f aca="false">IF(A1108="","",IF(COUNTIF($A$2:$A$2001,A1108)&gt;1,"GANDA","OK"))</f>
        <v/>
      </c>
      <c r="P1108" s="29" t="str">
        <f aca="false">IF(A1108="","",IF(C1108="","KOSONG",IF(AND(LEN(C1108)=16,ISNUMBER(--C1108)),"OK","TIDAK VALID")))</f>
        <v/>
      </c>
    </row>
    <row r="1109" customFormat="false" ht="15" hidden="false" customHeight="false" outlineLevel="0" collapsed="false">
      <c r="A1109" s="21"/>
      <c r="B1109" s="22"/>
      <c r="C1109" s="21"/>
      <c r="D1109" s="22"/>
      <c r="E1109" s="22"/>
      <c r="F1109" s="28"/>
      <c r="G1109" s="22"/>
      <c r="H1109" s="21"/>
      <c r="I1109" s="28"/>
      <c r="J1109" s="22"/>
      <c r="K1109" s="22"/>
      <c r="L1109" s="22"/>
      <c r="M1109" s="21"/>
      <c r="N1109" s="22"/>
      <c r="O1109" s="29" t="str">
        <f aca="false">IF(A1109="","",IF(COUNTIF($A$2:$A$2001,A1109)&gt;1,"GANDA","OK"))</f>
        <v/>
      </c>
      <c r="P1109" s="29" t="str">
        <f aca="false">IF(A1109="","",IF(C1109="","KOSONG",IF(AND(LEN(C1109)=16,ISNUMBER(--C1109)),"OK","TIDAK VALID")))</f>
        <v/>
      </c>
    </row>
    <row r="1110" customFormat="false" ht="15" hidden="false" customHeight="false" outlineLevel="0" collapsed="false">
      <c r="A1110" s="21"/>
      <c r="B1110" s="22"/>
      <c r="C1110" s="21"/>
      <c r="D1110" s="22"/>
      <c r="E1110" s="22"/>
      <c r="F1110" s="28"/>
      <c r="G1110" s="22"/>
      <c r="H1110" s="21"/>
      <c r="I1110" s="28"/>
      <c r="J1110" s="22"/>
      <c r="K1110" s="22"/>
      <c r="L1110" s="22"/>
      <c r="M1110" s="21"/>
      <c r="N1110" s="22"/>
      <c r="O1110" s="29" t="str">
        <f aca="false">IF(A1110="","",IF(COUNTIF($A$2:$A$2001,A1110)&gt;1,"GANDA","OK"))</f>
        <v/>
      </c>
      <c r="P1110" s="29" t="str">
        <f aca="false">IF(A1110="","",IF(C1110="","KOSONG",IF(AND(LEN(C1110)=16,ISNUMBER(--C1110)),"OK","TIDAK VALID")))</f>
        <v/>
      </c>
    </row>
    <row r="1111" customFormat="false" ht="15" hidden="false" customHeight="false" outlineLevel="0" collapsed="false">
      <c r="A1111" s="21"/>
      <c r="B1111" s="22"/>
      <c r="C1111" s="21"/>
      <c r="D1111" s="22"/>
      <c r="E1111" s="22"/>
      <c r="F1111" s="28"/>
      <c r="G1111" s="22"/>
      <c r="H1111" s="21"/>
      <c r="I1111" s="28"/>
      <c r="J1111" s="22"/>
      <c r="K1111" s="22"/>
      <c r="L1111" s="22"/>
      <c r="M1111" s="21"/>
      <c r="N1111" s="22"/>
      <c r="O1111" s="29" t="str">
        <f aca="false">IF(A1111="","",IF(COUNTIF($A$2:$A$2001,A1111)&gt;1,"GANDA","OK"))</f>
        <v/>
      </c>
      <c r="P1111" s="29" t="str">
        <f aca="false">IF(A1111="","",IF(C1111="","KOSONG",IF(AND(LEN(C1111)=16,ISNUMBER(--C1111)),"OK","TIDAK VALID")))</f>
        <v/>
      </c>
    </row>
    <row r="1112" customFormat="false" ht="15" hidden="false" customHeight="false" outlineLevel="0" collapsed="false">
      <c r="A1112" s="21"/>
      <c r="B1112" s="22"/>
      <c r="C1112" s="21"/>
      <c r="D1112" s="22"/>
      <c r="E1112" s="22"/>
      <c r="F1112" s="28"/>
      <c r="G1112" s="22"/>
      <c r="H1112" s="21"/>
      <c r="I1112" s="28"/>
      <c r="J1112" s="22"/>
      <c r="K1112" s="22"/>
      <c r="L1112" s="22"/>
      <c r="M1112" s="21"/>
      <c r="N1112" s="22"/>
      <c r="O1112" s="29" t="str">
        <f aca="false">IF(A1112="","",IF(COUNTIF($A$2:$A$2001,A1112)&gt;1,"GANDA","OK"))</f>
        <v/>
      </c>
      <c r="P1112" s="29" t="str">
        <f aca="false">IF(A1112="","",IF(C1112="","KOSONG",IF(AND(LEN(C1112)=16,ISNUMBER(--C1112)),"OK","TIDAK VALID")))</f>
        <v/>
      </c>
    </row>
    <row r="1113" customFormat="false" ht="15" hidden="false" customHeight="false" outlineLevel="0" collapsed="false">
      <c r="A1113" s="21"/>
      <c r="B1113" s="22"/>
      <c r="C1113" s="21"/>
      <c r="D1113" s="22"/>
      <c r="E1113" s="22"/>
      <c r="F1113" s="28"/>
      <c r="G1113" s="22"/>
      <c r="H1113" s="21"/>
      <c r="I1113" s="28"/>
      <c r="J1113" s="22"/>
      <c r="K1113" s="22"/>
      <c r="L1113" s="22"/>
      <c r="M1113" s="21"/>
      <c r="N1113" s="22"/>
      <c r="O1113" s="29" t="str">
        <f aca="false">IF(A1113="","",IF(COUNTIF($A$2:$A$2001,A1113)&gt;1,"GANDA","OK"))</f>
        <v/>
      </c>
      <c r="P1113" s="29" t="str">
        <f aca="false">IF(A1113="","",IF(C1113="","KOSONG",IF(AND(LEN(C1113)=16,ISNUMBER(--C1113)),"OK","TIDAK VALID")))</f>
        <v/>
      </c>
    </row>
    <row r="1114" customFormat="false" ht="15" hidden="false" customHeight="false" outlineLevel="0" collapsed="false">
      <c r="A1114" s="21"/>
      <c r="B1114" s="22"/>
      <c r="C1114" s="21"/>
      <c r="D1114" s="22"/>
      <c r="E1114" s="22"/>
      <c r="F1114" s="28"/>
      <c r="G1114" s="22"/>
      <c r="H1114" s="21"/>
      <c r="I1114" s="28"/>
      <c r="J1114" s="22"/>
      <c r="K1114" s="22"/>
      <c r="L1114" s="22"/>
      <c r="M1114" s="21"/>
      <c r="N1114" s="22"/>
      <c r="O1114" s="29" t="str">
        <f aca="false">IF(A1114="","",IF(COUNTIF($A$2:$A$2001,A1114)&gt;1,"GANDA","OK"))</f>
        <v/>
      </c>
      <c r="P1114" s="29" t="str">
        <f aca="false">IF(A1114="","",IF(C1114="","KOSONG",IF(AND(LEN(C1114)=16,ISNUMBER(--C1114)),"OK","TIDAK VALID")))</f>
        <v/>
      </c>
    </row>
    <row r="1115" customFormat="false" ht="15" hidden="false" customHeight="false" outlineLevel="0" collapsed="false">
      <c r="A1115" s="21"/>
      <c r="B1115" s="22"/>
      <c r="C1115" s="21"/>
      <c r="D1115" s="22"/>
      <c r="E1115" s="22"/>
      <c r="F1115" s="28"/>
      <c r="G1115" s="22"/>
      <c r="H1115" s="21"/>
      <c r="I1115" s="28"/>
      <c r="J1115" s="22"/>
      <c r="K1115" s="22"/>
      <c r="L1115" s="22"/>
      <c r="M1115" s="21"/>
      <c r="N1115" s="22"/>
      <c r="O1115" s="29" t="str">
        <f aca="false">IF(A1115="","",IF(COUNTIF($A$2:$A$2001,A1115)&gt;1,"GANDA","OK"))</f>
        <v/>
      </c>
      <c r="P1115" s="29" t="str">
        <f aca="false">IF(A1115="","",IF(C1115="","KOSONG",IF(AND(LEN(C1115)=16,ISNUMBER(--C1115)),"OK","TIDAK VALID")))</f>
        <v/>
      </c>
    </row>
    <row r="1116" customFormat="false" ht="15" hidden="false" customHeight="false" outlineLevel="0" collapsed="false">
      <c r="A1116" s="21"/>
      <c r="B1116" s="22"/>
      <c r="C1116" s="21"/>
      <c r="D1116" s="22"/>
      <c r="E1116" s="22"/>
      <c r="F1116" s="28"/>
      <c r="G1116" s="22"/>
      <c r="H1116" s="21"/>
      <c r="I1116" s="28"/>
      <c r="J1116" s="22"/>
      <c r="K1116" s="22"/>
      <c r="L1116" s="22"/>
      <c r="M1116" s="21"/>
      <c r="N1116" s="22"/>
      <c r="O1116" s="29" t="str">
        <f aca="false">IF(A1116="","",IF(COUNTIF($A$2:$A$2001,A1116)&gt;1,"GANDA","OK"))</f>
        <v/>
      </c>
      <c r="P1116" s="29" t="str">
        <f aca="false">IF(A1116="","",IF(C1116="","KOSONG",IF(AND(LEN(C1116)=16,ISNUMBER(--C1116)),"OK","TIDAK VALID")))</f>
        <v/>
      </c>
    </row>
    <row r="1117" customFormat="false" ht="15" hidden="false" customHeight="false" outlineLevel="0" collapsed="false">
      <c r="A1117" s="21"/>
      <c r="B1117" s="22"/>
      <c r="C1117" s="21"/>
      <c r="D1117" s="22"/>
      <c r="E1117" s="22"/>
      <c r="F1117" s="28"/>
      <c r="G1117" s="22"/>
      <c r="H1117" s="21"/>
      <c r="I1117" s="28"/>
      <c r="J1117" s="22"/>
      <c r="K1117" s="22"/>
      <c r="L1117" s="22"/>
      <c r="M1117" s="21"/>
      <c r="N1117" s="22"/>
      <c r="O1117" s="29" t="str">
        <f aca="false">IF(A1117="","",IF(COUNTIF($A$2:$A$2001,A1117)&gt;1,"GANDA","OK"))</f>
        <v/>
      </c>
      <c r="P1117" s="29" t="str">
        <f aca="false">IF(A1117="","",IF(C1117="","KOSONG",IF(AND(LEN(C1117)=16,ISNUMBER(--C1117)),"OK","TIDAK VALID")))</f>
        <v/>
      </c>
    </row>
    <row r="1118" customFormat="false" ht="15" hidden="false" customHeight="false" outlineLevel="0" collapsed="false">
      <c r="A1118" s="21"/>
      <c r="B1118" s="22"/>
      <c r="C1118" s="21"/>
      <c r="D1118" s="22"/>
      <c r="E1118" s="22"/>
      <c r="F1118" s="28"/>
      <c r="G1118" s="22"/>
      <c r="H1118" s="21"/>
      <c r="I1118" s="28"/>
      <c r="J1118" s="22"/>
      <c r="K1118" s="22"/>
      <c r="L1118" s="22"/>
      <c r="M1118" s="21"/>
      <c r="N1118" s="22"/>
      <c r="O1118" s="29" t="str">
        <f aca="false">IF(A1118="","",IF(COUNTIF($A$2:$A$2001,A1118)&gt;1,"GANDA","OK"))</f>
        <v/>
      </c>
      <c r="P1118" s="29" t="str">
        <f aca="false">IF(A1118="","",IF(C1118="","KOSONG",IF(AND(LEN(C1118)=16,ISNUMBER(--C1118)),"OK","TIDAK VALID")))</f>
        <v/>
      </c>
    </row>
    <row r="1119" customFormat="false" ht="15" hidden="false" customHeight="false" outlineLevel="0" collapsed="false">
      <c r="A1119" s="21"/>
      <c r="B1119" s="22"/>
      <c r="C1119" s="21"/>
      <c r="D1119" s="22"/>
      <c r="E1119" s="22"/>
      <c r="F1119" s="28"/>
      <c r="G1119" s="22"/>
      <c r="H1119" s="21"/>
      <c r="I1119" s="28"/>
      <c r="J1119" s="22"/>
      <c r="K1119" s="22"/>
      <c r="L1119" s="22"/>
      <c r="M1119" s="21"/>
      <c r="N1119" s="22"/>
      <c r="O1119" s="29" t="str">
        <f aca="false">IF(A1119="","",IF(COUNTIF($A$2:$A$2001,A1119)&gt;1,"GANDA","OK"))</f>
        <v/>
      </c>
      <c r="P1119" s="29" t="str">
        <f aca="false">IF(A1119="","",IF(C1119="","KOSONG",IF(AND(LEN(C1119)=16,ISNUMBER(--C1119)),"OK","TIDAK VALID")))</f>
        <v/>
      </c>
    </row>
    <row r="1120" customFormat="false" ht="15" hidden="false" customHeight="false" outlineLevel="0" collapsed="false">
      <c r="A1120" s="21"/>
      <c r="B1120" s="22"/>
      <c r="C1120" s="21"/>
      <c r="D1120" s="22"/>
      <c r="E1120" s="22"/>
      <c r="F1120" s="28"/>
      <c r="G1120" s="22"/>
      <c r="H1120" s="21"/>
      <c r="I1120" s="28"/>
      <c r="J1120" s="22"/>
      <c r="K1120" s="22"/>
      <c r="L1120" s="22"/>
      <c r="M1120" s="21"/>
      <c r="N1120" s="22"/>
      <c r="O1120" s="29" t="str">
        <f aca="false">IF(A1120="","",IF(COUNTIF($A$2:$A$2001,A1120)&gt;1,"GANDA","OK"))</f>
        <v/>
      </c>
      <c r="P1120" s="29" t="str">
        <f aca="false">IF(A1120="","",IF(C1120="","KOSONG",IF(AND(LEN(C1120)=16,ISNUMBER(--C1120)),"OK","TIDAK VALID")))</f>
        <v/>
      </c>
    </row>
    <row r="1121" customFormat="false" ht="15" hidden="false" customHeight="false" outlineLevel="0" collapsed="false">
      <c r="A1121" s="21"/>
      <c r="B1121" s="22"/>
      <c r="C1121" s="21"/>
      <c r="D1121" s="22"/>
      <c r="E1121" s="22"/>
      <c r="F1121" s="28"/>
      <c r="G1121" s="22"/>
      <c r="H1121" s="21"/>
      <c r="I1121" s="28"/>
      <c r="J1121" s="22"/>
      <c r="K1121" s="22"/>
      <c r="L1121" s="22"/>
      <c r="M1121" s="21"/>
      <c r="N1121" s="22"/>
      <c r="O1121" s="29" t="str">
        <f aca="false">IF(A1121="","",IF(COUNTIF($A$2:$A$2001,A1121)&gt;1,"GANDA","OK"))</f>
        <v/>
      </c>
      <c r="P1121" s="29" t="str">
        <f aca="false">IF(A1121="","",IF(C1121="","KOSONG",IF(AND(LEN(C1121)=16,ISNUMBER(--C1121)),"OK","TIDAK VALID")))</f>
        <v/>
      </c>
    </row>
    <row r="1122" customFormat="false" ht="15" hidden="false" customHeight="false" outlineLevel="0" collapsed="false">
      <c r="A1122" s="21"/>
      <c r="B1122" s="22"/>
      <c r="C1122" s="21"/>
      <c r="D1122" s="22"/>
      <c r="E1122" s="22"/>
      <c r="F1122" s="28"/>
      <c r="G1122" s="22"/>
      <c r="H1122" s="21"/>
      <c r="I1122" s="28"/>
      <c r="J1122" s="22"/>
      <c r="K1122" s="22"/>
      <c r="L1122" s="22"/>
      <c r="M1122" s="21"/>
      <c r="N1122" s="22"/>
      <c r="O1122" s="29" t="str">
        <f aca="false">IF(A1122="","",IF(COUNTIF($A$2:$A$2001,A1122)&gt;1,"GANDA","OK"))</f>
        <v/>
      </c>
      <c r="P1122" s="29" t="str">
        <f aca="false">IF(A1122="","",IF(C1122="","KOSONG",IF(AND(LEN(C1122)=16,ISNUMBER(--C1122)),"OK","TIDAK VALID")))</f>
        <v/>
      </c>
    </row>
    <row r="1123" customFormat="false" ht="15" hidden="false" customHeight="false" outlineLevel="0" collapsed="false">
      <c r="A1123" s="21"/>
      <c r="B1123" s="22"/>
      <c r="C1123" s="21"/>
      <c r="D1123" s="22"/>
      <c r="E1123" s="22"/>
      <c r="F1123" s="28"/>
      <c r="G1123" s="22"/>
      <c r="H1123" s="21"/>
      <c r="I1123" s="28"/>
      <c r="J1123" s="22"/>
      <c r="K1123" s="22"/>
      <c r="L1123" s="22"/>
      <c r="M1123" s="21"/>
      <c r="N1123" s="22"/>
      <c r="O1123" s="29" t="str">
        <f aca="false">IF(A1123="","",IF(COUNTIF($A$2:$A$2001,A1123)&gt;1,"GANDA","OK"))</f>
        <v/>
      </c>
      <c r="P1123" s="29" t="str">
        <f aca="false">IF(A1123="","",IF(C1123="","KOSONG",IF(AND(LEN(C1123)=16,ISNUMBER(--C1123)),"OK","TIDAK VALID")))</f>
        <v/>
      </c>
    </row>
    <row r="1124" customFormat="false" ht="15" hidden="false" customHeight="false" outlineLevel="0" collapsed="false">
      <c r="A1124" s="21"/>
      <c r="B1124" s="22"/>
      <c r="C1124" s="21"/>
      <c r="D1124" s="22"/>
      <c r="E1124" s="22"/>
      <c r="F1124" s="28"/>
      <c r="G1124" s="22"/>
      <c r="H1124" s="21"/>
      <c r="I1124" s="28"/>
      <c r="J1124" s="22"/>
      <c r="K1124" s="22"/>
      <c r="L1124" s="22"/>
      <c r="M1124" s="21"/>
      <c r="N1124" s="22"/>
      <c r="O1124" s="29" t="str">
        <f aca="false">IF(A1124="","",IF(COUNTIF($A$2:$A$2001,A1124)&gt;1,"GANDA","OK"))</f>
        <v/>
      </c>
      <c r="P1124" s="29" t="str">
        <f aca="false">IF(A1124="","",IF(C1124="","KOSONG",IF(AND(LEN(C1124)=16,ISNUMBER(--C1124)),"OK","TIDAK VALID")))</f>
        <v/>
      </c>
    </row>
    <row r="1125" customFormat="false" ht="15" hidden="false" customHeight="false" outlineLevel="0" collapsed="false">
      <c r="A1125" s="21"/>
      <c r="B1125" s="22"/>
      <c r="C1125" s="21"/>
      <c r="D1125" s="22"/>
      <c r="E1125" s="22"/>
      <c r="F1125" s="28"/>
      <c r="G1125" s="22"/>
      <c r="H1125" s="21"/>
      <c r="I1125" s="28"/>
      <c r="J1125" s="22"/>
      <c r="K1125" s="22"/>
      <c r="L1125" s="22"/>
      <c r="M1125" s="21"/>
      <c r="N1125" s="22"/>
      <c r="O1125" s="29" t="str">
        <f aca="false">IF(A1125="","",IF(COUNTIF($A$2:$A$2001,A1125)&gt;1,"GANDA","OK"))</f>
        <v/>
      </c>
      <c r="P1125" s="29" t="str">
        <f aca="false">IF(A1125="","",IF(C1125="","KOSONG",IF(AND(LEN(C1125)=16,ISNUMBER(--C1125)),"OK","TIDAK VALID")))</f>
        <v/>
      </c>
    </row>
    <row r="1126" customFormat="false" ht="15" hidden="false" customHeight="false" outlineLevel="0" collapsed="false">
      <c r="A1126" s="21"/>
      <c r="B1126" s="22"/>
      <c r="C1126" s="21"/>
      <c r="D1126" s="22"/>
      <c r="E1126" s="22"/>
      <c r="F1126" s="28"/>
      <c r="G1126" s="22"/>
      <c r="H1126" s="21"/>
      <c r="I1126" s="28"/>
      <c r="J1126" s="22"/>
      <c r="K1126" s="22"/>
      <c r="L1126" s="22"/>
      <c r="M1126" s="21"/>
      <c r="N1126" s="22"/>
      <c r="O1126" s="29" t="str">
        <f aca="false">IF(A1126="","",IF(COUNTIF($A$2:$A$2001,A1126)&gt;1,"GANDA","OK"))</f>
        <v/>
      </c>
      <c r="P1126" s="29" t="str">
        <f aca="false">IF(A1126="","",IF(C1126="","KOSONG",IF(AND(LEN(C1126)=16,ISNUMBER(--C1126)),"OK","TIDAK VALID")))</f>
        <v/>
      </c>
    </row>
    <row r="1127" customFormat="false" ht="15" hidden="false" customHeight="false" outlineLevel="0" collapsed="false">
      <c r="A1127" s="21"/>
      <c r="B1127" s="22"/>
      <c r="C1127" s="21"/>
      <c r="D1127" s="22"/>
      <c r="E1127" s="22"/>
      <c r="F1127" s="28"/>
      <c r="G1127" s="22"/>
      <c r="H1127" s="21"/>
      <c r="I1127" s="28"/>
      <c r="J1127" s="22"/>
      <c r="K1127" s="22"/>
      <c r="L1127" s="22"/>
      <c r="M1127" s="21"/>
      <c r="N1127" s="22"/>
      <c r="O1127" s="29" t="str">
        <f aca="false">IF(A1127="","",IF(COUNTIF($A$2:$A$2001,A1127)&gt;1,"GANDA","OK"))</f>
        <v/>
      </c>
      <c r="P1127" s="29" t="str">
        <f aca="false">IF(A1127="","",IF(C1127="","KOSONG",IF(AND(LEN(C1127)=16,ISNUMBER(--C1127)),"OK","TIDAK VALID")))</f>
        <v/>
      </c>
    </row>
    <row r="1128" customFormat="false" ht="15" hidden="false" customHeight="false" outlineLevel="0" collapsed="false">
      <c r="A1128" s="21"/>
      <c r="B1128" s="22"/>
      <c r="C1128" s="21"/>
      <c r="D1128" s="22"/>
      <c r="E1128" s="22"/>
      <c r="F1128" s="28"/>
      <c r="G1128" s="22"/>
      <c r="H1128" s="21"/>
      <c r="I1128" s="28"/>
      <c r="J1128" s="22"/>
      <c r="K1128" s="22"/>
      <c r="L1128" s="22"/>
      <c r="M1128" s="21"/>
      <c r="N1128" s="22"/>
      <c r="O1128" s="29" t="str">
        <f aca="false">IF(A1128="","",IF(COUNTIF($A$2:$A$2001,A1128)&gt;1,"GANDA","OK"))</f>
        <v/>
      </c>
      <c r="P1128" s="29" t="str">
        <f aca="false">IF(A1128="","",IF(C1128="","KOSONG",IF(AND(LEN(C1128)=16,ISNUMBER(--C1128)),"OK","TIDAK VALID")))</f>
        <v/>
      </c>
    </row>
    <row r="1129" customFormat="false" ht="15" hidden="false" customHeight="false" outlineLevel="0" collapsed="false">
      <c r="A1129" s="21"/>
      <c r="B1129" s="22"/>
      <c r="C1129" s="21"/>
      <c r="D1129" s="22"/>
      <c r="E1129" s="22"/>
      <c r="F1129" s="28"/>
      <c r="G1129" s="22"/>
      <c r="H1129" s="21"/>
      <c r="I1129" s="28"/>
      <c r="J1129" s="22"/>
      <c r="K1129" s="22"/>
      <c r="L1129" s="22"/>
      <c r="M1129" s="21"/>
      <c r="N1129" s="22"/>
      <c r="O1129" s="29" t="str">
        <f aca="false">IF(A1129="","",IF(COUNTIF($A$2:$A$2001,A1129)&gt;1,"GANDA","OK"))</f>
        <v/>
      </c>
      <c r="P1129" s="29" t="str">
        <f aca="false">IF(A1129="","",IF(C1129="","KOSONG",IF(AND(LEN(C1129)=16,ISNUMBER(--C1129)),"OK","TIDAK VALID")))</f>
        <v/>
      </c>
    </row>
    <row r="1130" customFormat="false" ht="15" hidden="false" customHeight="false" outlineLevel="0" collapsed="false">
      <c r="A1130" s="21"/>
      <c r="B1130" s="22"/>
      <c r="C1130" s="21"/>
      <c r="D1130" s="22"/>
      <c r="E1130" s="22"/>
      <c r="F1130" s="28"/>
      <c r="G1130" s="22"/>
      <c r="H1130" s="21"/>
      <c r="I1130" s="28"/>
      <c r="J1130" s="22"/>
      <c r="K1130" s="22"/>
      <c r="L1130" s="22"/>
      <c r="M1130" s="21"/>
      <c r="N1130" s="22"/>
      <c r="O1130" s="29" t="str">
        <f aca="false">IF(A1130="","",IF(COUNTIF($A$2:$A$2001,A1130)&gt;1,"GANDA","OK"))</f>
        <v/>
      </c>
      <c r="P1130" s="29" t="str">
        <f aca="false">IF(A1130="","",IF(C1130="","KOSONG",IF(AND(LEN(C1130)=16,ISNUMBER(--C1130)),"OK","TIDAK VALID")))</f>
        <v/>
      </c>
    </row>
    <row r="1131" customFormat="false" ht="15" hidden="false" customHeight="false" outlineLevel="0" collapsed="false">
      <c r="A1131" s="21"/>
      <c r="B1131" s="22"/>
      <c r="C1131" s="21"/>
      <c r="D1131" s="22"/>
      <c r="E1131" s="22"/>
      <c r="F1131" s="28"/>
      <c r="G1131" s="22"/>
      <c r="H1131" s="21"/>
      <c r="I1131" s="28"/>
      <c r="J1131" s="22"/>
      <c r="K1131" s="22"/>
      <c r="L1131" s="22"/>
      <c r="M1131" s="21"/>
      <c r="N1131" s="22"/>
      <c r="O1131" s="29" t="str">
        <f aca="false">IF(A1131="","",IF(COUNTIF($A$2:$A$2001,A1131)&gt;1,"GANDA","OK"))</f>
        <v/>
      </c>
      <c r="P1131" s="29" t="str">
        <f aca="false">IF(A1131="","",IF(C1131="","KOSONG",IF(AND(LEN(C1131)=16,ISNUMBER(--C1131)),"OK","TIDAK VALID")))</f>
        <v/>
      </c>
    </row>
    <row r="1132" customFormat="false" ht="15" hidden="false" customHeight="false" outlineLevel="0" collapsed="false">
      <c r="A1132" s="21"/>
      <c r="B1132" s="22"/>
      <c r="C1132" s="21"/>
      <c r="D1132" s="22"/>
      <c r="E1132" s="22"/>
      <c r="F1132" s="28"/>
      <c r="G1132" s="22"/>
      <c r="H1132" s="21"/>
      <c r="I1132" s="28"/>
      <c r="J1132" s="22"/>
      <c r="K1132" s="22"/>
      <c r="L1132" s="22"/>
      <c r="M1132" s="21"/>
      <c r="N1132" s="22"/>
      <c r="O1132" s="29" t="str">
        <f aca="false">IF(A1132="","",IF(COUNTIF($A$2:$A$2001,A1132)&gt;1,"GANDA","OK"))</f>
        <v/>
      </c>
      <c r="P1132" s="29" t="str">
        <f aca="false">IF(A1132="","",IF(C1132="","KOSONG",IF(AND(LEN(C1132)=16,ISNUMBER(--C1132)),"OK","TIDAK VALID")))</f>
        <v/>
      </c>
    </row>
    <row r="1133" customFormat="false" ht="15" hidden="false" customHeight="false" outlineLevel="0" collapsed="false">
      <c r="A1133" s="21"/>
      <c r="B1133" s="22"/>
      <c r="C1133" s="21"/>
      <c r="D1133" s="22"/>
      <c r="E1133" s="22"/>
      <c r="F1133" s="28"/>
      <c r="G1133" s="22"/>
      <c r="H1133" s="21"/>
      <c r="I1133" s="28"/>
      <c r="J1133" s="22"/>
      <c r="K1133" s="22"/>
      <c r="L1133" s="22"/>
      <c r="M1133" s="21"/>
      <c r="N1133" s="22"/>
      <c r="O1133" s="29" t="str">
        <f aca="false">IF(A1133="","",IF(COUNTIF($A$2:$A$2001,A1133)&gt;1,"GANDA","OK"))</f>
        <v/>
      </c>
      <c r="P1133" s="29" t="str">
        <f aca="false">IF(A1133="","",IF(C1133="","KOSONG",IF(AND(LEN(C1133)=16,ISNUMBER(--C1133)),"OK","TIDAK VALID")))</f>
        <v/>
      </c>
    </row>
    <row r="1134" customFormat="false" ht="15" hidden="false" customHeight="false" outlineLevel="0" collapsed="false">
      <c r="A1134" s="21"/>
      <c r="B1134" s="22"/>
      <c r="C1134" s="21"/>
      <c r="D1134" s="22"/>
      <c r="E1134" s="22"/>
      <c r="F1134" s="28"/>
      <c r="G1134" s="22"/>
      <c r="H1134" s="21"/>
      <c r="I1134" s="28"/>
      <c r="J1134" s="22"/>
      <c r="K1134" s="22"/>
      <c r="L1134" s="22"/>
      <c r="M1134" s="21"/>
      <c r="N1134" s="22"/>
      <c r="O1134" s="29" t="str">
        <f aca="false">IF(A1134="","",IF(COUNTIF($A$2:$A$2001,A1134)&gt;1,"GANDA","OK"))</f>
        <v/>
      </c>
      <c r="P1134" s="29" t="str">
        <f aca="false">IF(A1134="","",IF(C1134="","KOSONG",IF(AND(LEN(C1134)=16,ISNUMBER(--C1134)),"OK","TIDAK VALID")))</f>
        <v/>
      </c>
    </row>
    <row r="1135" customFormat="false" ht="15" hidden="false" customHeight="false" outlineLevel="0" collapsed="false">
      <c r="A1135" s="21"/>
      <c r="B1135" s="22"/>
      <c r="C1135" s="21"/>
      <c r="D1135" s="22"/>
      <c r="E1135" s="22"/>
      <c r="F1135" s="28"/>
      <c r="G1135" s="22"/>
      <c r="H1135" s="21"/>
      <c r="I1135" s="28"/>
      <c r="J1135" s="22"/>
      <c r="K1135" s="22"/>
      <c r="L1135" s="22"/>
      <c r="M1135" s="21"/>
      <c r="N1135" s="22"/>
      <c r="O1135" s="29" t="str">
        <f aca="false">IF(A1135="","",IF(COUNTIF($A$2:$A$2001,A1135)&gt;1,"GANDA","OK"))</f>
        <v/>
      </c>
      <c r="P1135" s="29" t="str">
        <f aca="false">IF(A1135="","",IF(C1135="","KOSONG",IF(AND(LEN(C1135)=16,ISNUMBER(--C1135)),"OK","TIDAK VALID")))</f>
        <v/>
      </c>
    </row>
    <row r="1136" customFormat="false" ht="15" hidden="false" customHeight="false" outlineLevel="0" collapsed="false">
      <c r="A1136" s="21"/>
      <c r="B1136" s="22"/>
      <c r="C1136" s="21"/>
      <c r="D1136" s="22"/>
      <c r="E1136" s="22"/>
      <c r="F1136" s="28"/>
      <c r="G1136" s="22"/>
      <c r="H1136" s="21"/>
      <c r="I1136" s="28"/>
      <c r="J1136" s="22"/>
      <c r="K1136" s="22"/>
      <c r="L1136" s="22"/>
      <c r="M1136" s="21"/>
      <c r="N1136" s="22"/>
      <c r="O1136" s="29" t="str">
        <f aca="false">IF(A1136="","",IF(COUNTIF($A$2:$A$2001,A1136)&gt;1,"GANDA","OK"))</f>
        <v/>
      </c>
      <c r="P1136" s="29" t="str">
        <f aca="false">IF(A1136="","",IF(C1136="","KOSONG",IF(AND(LEN(C1136)=16,ISNUMBER(--C1136)),"OK","TIDAK VALID")))</f>
        <v/>
      </c>
    </row>
    <row r="1137" customFormat="false" ht="15" hidden="false" customHeight="false" outlineLevel="0" collapsed="false">
      <c r="A1137" s="21"/>
      <c r="B1137" s="22"/>
      <c r="C1137" s="21"/>
      <c r="D1137" s="22"/>
      <c r="E1137" s="22"/>
      <c r="F1137" s="28"/>
      <c r="G1137" s="22"/>
      <c r="H1137" s="21"/>
      <c r="I1137" s="28"/>
      <c r="J1137" s="22"/>
      <c r="K1137" s="22"/>
      <c r="L1137" s="22"/>
      <c r="M1137" s="21"/>
      <c r="N1137" s="22"/>
      <c r="O1137" s="29" t="str">
        <f aca="false">IF(A1137="","",IF(COUNTIF($A$2:$A$2001,A1137)&gt;1,"GANDA","OK"))</f>
        <v/>
      </c>
      <c r="P1137" s="29" t="str">
        <f aca="false">IF(A1137="","",IF(C1137="","KOSONG",IF(AND(LEN(C1137)=16,ISNUMBER(--C1137)),"OK","TIDAK VALID")))</f>
        <v/>
      </c>
    </row>
    <row r="1138" customFormat="false" ht="15" hidden="false" customHeight="false" outlineLevel="0" collapsed="false">
      <c r="A1138" s="21"/>
      <c r="B1138" s="22"/>
      <c r="C1138" s="21"/>
      <c r="D1138" s="22"/>
      <c r="E1138" s="22"/>
      <c r="F1138" s="28"/>
      <c r="G1138" s="22"/>
      <c r="H1138" s="21"/>
      <c r="I1138" s="28"/>
      <c r="J1138" s="22"/>
      <c r="K1138" s="22"/>
      <c r="L1138" s="22"/>
      <c r="M1138" s="21"/>
      <c r="N1138" s="22"/>
      <c r="O1138" s="29" t="str">
        <f aca="false">IF(A1138="","",IF(COUNTIF($A$2:$A$2001,A1138)&gt;1,"GANDA","OK"))</f>
        <v/>
      </c>
      <c r="P1138" s="29" t="str">
        <f aca="false">IF(A1138="","",IF(C1138="","KOSONG",IF(AND(LEN(C1138)=16,ISNUMBER(--C1138)),"OK","TIDAK VALID")))</f>
        <v/>
      </c>
    </row>
    <row r="1139" customFormat="false" ht="15" hidden="false" customHeight="false" outlineLevel="0" collapsed="false">
      <c r="A1139" s="21"/>
      <c r="B1139" s="22"/>
      <c r="C1139" s="21"/>
      <c r="D1139" s="22"/>
      <c r="E1139" s="22"/>
      <c r="F1139" s="28"/>
      <c r="G1139" s="22"/>
      <c r="H1139" s="21"/>
      <c r="I1139" s="28"/>
      <c r="J1139" s="22"/>
      <c r="K1139" s="22"/>
      <c r="L1139" s="22"/>
      <c r="M1139" s="21"/>
      <c r="N1139" s="22"/>
      <c r="O1139" s="29" t="str">
        <f aca="false">IF(A1139="","",IF(COUNTIF($A$2:$A$2001,A1139)&gt;1,"GANDA","OK"))</f>
        <v/>
      </c>
      <c r="P1139" s="29" t="str">
        <f aca="false">IF(A1139="","",IF(C1139="","KOSONG",IF(AND(LEN(C1139)=16,ISNUMBER(--C1139)),"OK","TIDAK VALID")))</f>
        <v/>
      </c>
    </row>
    <row r="1140" customFormat="false" ht="15" hidden="false" customHeight="false" outlineLevel="0" collapsed="false">
      <c r="A1140" s="21"/>
      <c r="B1140" s="22"/>
      <c r="C1140" s="21"/>
      <c r="D1140" s="22"/>
      <c r="E1140" s="22"/>
      <c r="F1140" s="28"/>
      <c r="G1140" s="22"/>
      <c r="H1140" s="21"/>
      <c r="I1140" s="28"/>
      <c r="J1140" s="22"/>
      <c r="K1140" s="22"/>
      <c r="L1140" s="22"/>
      <c r="M1140" s="21"/>
      <c r="N1140" s="22"/>
      <c r="O1140" s="29" t="str">
        <f aca="false">IF(A1140="","",IF(COUNTIF($A$2:$A$2001,A1140)&gt;1,"GANDA","OK"))</f>
        <v/>
      </c>
      <c r="P1140" s="29" t="str">
        <f aca="false">IF(A1140="","",IF(C1140="","KOSONG",IF(AND(LEN(C1140)=16,ISNUMBER(--C1140)),"OK","TIDAK VALID")))</f>
        <v/>
      </c>
    </row>
    <row r="1141" customFormat="false" ht="15" hidden="false" customHeight="false" outlineLevel="0" collapsed="false">
      <c r="A1141" s="21"/>
      <c r="B1141" s="22"/>
      <c r="C1141" s="21"/>
      <c r="D1141" s="22"/>
      <c r="E1141" s="22"/>
      <c r="F1141" s="28"/>
      <c r="G1141" s="22"/>
      <c r="H1141" s="21"/>
      <c r="I1141" s="28"/>
      <c r="J1141" s="22"/>
      <c r="K1141" s="22"/>
      <c r="L1141" s="22"/>
      <c r="M1141" s="21"/>
      <c r="N1141" s="22"/>
      <c r="O1141" s="29" t="str">
        <f aca="false">IF(A1141="","",IF(COUNTIF($A$2:$A$2001,A1141)&gt;1,"GANDA","OK"))</f>
        <v/>
      </c>
      <c r="P1141" s="29" t="str">
        <f aca="false">IF(A1141="","",IF(C1141="","KOSONG",IF(AND(LEN(C1141)=16,ISNUMBER(--C1141)),"OK","TIDAK VALID")))</f>
        <v/>
      </c>
    </row>
    <row r="1142" customFormat="false" ht="15" hidden="false" customHeight="false" outlineLevel="0" collapsed="false">
      <c r="A1142" s="21"/>
      <c r="B1142" s="22"/>
      <c r="C1142" s="21"/>
      <c r="D1142" s="22"/>
      <c r="E1142" s="22"/>
      <c r="F1142" s="28"/>
      <c r="G1142" s="22"/>
      <c r="H1142" s="21"/>
      <c r="I1142" s="28"/>
      <c r="J1142" s="22"/>
      <c r="K1142" s="22"/>
      <c r="L1142" s="22"/>
      <c r="M1142" s="21"/>
      <c r="N1142" s="22"/>
      <c r="O1142" s="29" t="str">
        <f aca="false">IF(A1142="","",IF(COUNTIF($A$2:$A$2001,A1142)&gt;1,"GANDA","OK"))</f>
        <v/>
      </c>
      <c r="P1142" s="29" t="str">
        <f aca="false">IF(A1142="","",IF(C1142="","KOSONG",IF(AND(LEN(C1142)=16,ISNUMBER(--C1142)),"OK","TIDAK VALID")))</f>
        <v/>
      </c>
    </row>
    <row r="1143" customFormat="false" ht="15" hidden="false" customHeight="false" outlineLevel="0" collapsed="false">
      <c r="A1143" s="21"/>
      <c r="B1143" s="22"/>
      <c r="C1143" s="21"/>
      <c r="D1143" s="22"/>
      <c r="E1143" s="22"/>
      <c r="F1143" s="28"/>
      <c r="G1143" s="22"/>
      <c r="H1143" s="21"/>
      <c r="I1143" s="28"/>
      <c r="J1143" s="22"/>
      <c r="K1143" s="22"/>
      <c r="L1143" s="22"/>
      <c r="M1143" s="21"/>
      <c r="N1143" s="22"/>
      <c r="O1143" s="29" t="str">
        <f aca="false">IF(A1143="","",IF(COUNTIF($A$2:$A$2001,A1143)&gt;1,"GANDA","OK"))</f>
        <v/>
      </c>
      <c r="P1143" s="29" t="str">
        <f aca="false">IF(A1143="","",IF(C1143="","KOSONG",IF(AND(LEN(C1143)=16,ISNUMBER(--C1143)),"OK","TIDAK VALID")))</f>
        <v/>
      </c>
    </row>
    <row r="1144" customFormat="false" ht="15" hidden="false" customHeight="false" outlineLevel="0" collapsed="false">
      <c r="A1144" s="21"/>
      <c r="B1144" s="22"/>
      <c r="C1144" s="21"/>
      <c r="D1144" s="22"/>
      <c r="E1144" s="22"/>
      <c r="F1144" s="28"/>
      <c r="G1144" s="22"/>
      <c r="H1144" s="21"/>
      <c r="I1144" s="28"/>
      <c r="J1144" s="22"/>
      <c r="K1144" s="22"/>
      <c r="L1144" s="22"/>
      <c r="M1144" s="21"/>
      <c r="N1144" s="22"/>
      <c r="O1144" s="29" t="str">
        <f aca="false">IF(A1144="","",IF(COUNTIF($A$2:$A$2001,A1144)&gt;1,"GANDA","OK"))</f>
        <v/>
      </c>
      <c r="P1144" s="29" t="str">
        <f aca="false">IF(A1144="","",IF(C1144="","KOSONG",IF(AND(LEN(C1144)=16,ISNUMBER(--C1144)),"OK","TIDAK VALID")))</f>
        <v/>
      </c>
    </row>
    <row r="1145" customFormat="false" ht="15" hidden="false" customHeight="false" outlineLevel="0" collapsed="false">
      <c r="A1145" s="21"/>
      <c r="B1145" s="22"/>
      <c r="C1145" s="21"/>
      <c r="D1145" s="22"/>
      <c r="E1145" s="22"/>
      <c r="F1145" s="28"/>
      <c r="G1145" s="22"/>
      <c r="H1145" s="21"/>
      <c r="I1145" s="28"/>
      <c r="J1145" s="22"/>
      <c r="K1145" s="22"/>
      <c r="L1145" s="22"/>
      <c r="M1145" s="21"/>
      <c r="N1145" s="22"/>
      <c r="O1145" s="29" t="str">
        <f aca="false">IF(A1145="","",IF(COUNTIF($A$2:$A$2001,A1145)&gt;1,"GANDA","OK"))</f>
        <v/>
      </c>
      <c r="P1145" s="29" t="str">
        <f aca="false">IF(A1145="","",IF(C1145="","KOSONG",IF(AND(LEN(C1145)=16,ISNUMBER(--C1145)),"OK","TIDAK VALID")))</f>
        <v/>
      </c>
    </row>
    <row r="1146" customFormat="false" ht="15" hidden="false" customHeight="false" outlineLevel="0" collapsed="false">
      <c r="A1146" s="21"/>
      <c r="B1146" s="22"/>
      <c r="C1146" s="21"/>
      <c r="D1146" s="22"/>
      <c r="E1146" s="22"/>
      <c r="F1146" s="28"/>
      <c r="G1146" s="22"/>
      <c r="H1146" s="21"/>
      <c r="I1146" s="28"/>
      <c r="J1146" s="22"/>
      <c r="K1146" s="22"/>
      <c r="L1146" s="22"/>
      <c r="M1146" s="21"/>
      <c r="N1146" s="22"/>
      <c r="O1146" s="29" t="str">
        <f aca="false">IF(A1146="","",IF(COUNTIF($A$2:$A$2001,A1146)&gt;1,"GANDA","OK"))</f>
        <v/>
      </c>
      <c r="P1146" s="29" t="str">
        <f aca="false">IF(A1146="","",IF(C1146="","KOSONG",IF(AND(LEN(C1146)=16,ISNUMBER(--C1146)),"OK","TIDAK VALID")))</f>
        <v/>
      </c>
    </row>
    <row r="1147" customFormat="false" ht="15" hidden="false" customHeight="false" outlineLevel="0" collapsed="false">
      <c r="A1147" s="21"/>
      <c r="B1147" s="22"/>
      <c r="C1147" s="21"/>
      <c r="D1147" s="22"/>
      <c r="E1147" s="22"/>
      <c r="F1147" s="28"/>
      <c r="G1147" s="22"/>
      <c r="H1147" s="21"/>
      <c r="I1147" s="28"/>
      <c r="J1147" s="22"/>
      <c r="K1147" s="22"/>
      <c r="L1147" s="22"/>
      <c r="M1147" s="21"/>
      <c r="N1147" s="22"/>
      <c r="O1147" s="29" t="str">
        <f aca="false">IF(A1147="","",IF(COUNTIF($A$2:$A$2001,A1147)&gt;1,"GANDA","OK"))</f>
        <v/>
      </c>
      <c r="P1147" s="29" t="str">
        <f aca="false">IF(A1147="","",IF(C1147="","KOSONG",IF(AND(LEN(C1147)=16,ISNUMBER(--C1147)),"OK","TIDAK VALID")))</f>
        <v/>
      </c>
    </row>
    <row r="1148" customFormat="false" ht="15" hidden="false" customHeight="false" outlineLevel="0" collapsed="false">
      <c r="A1148" s="21"/>
      <c r="B1148" s="22"/>
      <c r="C1148" s="21"/>
      <c r="D1148" s="22"/>
      <c r="E1148" s="22"/>
      <c r="F1148" s="28"/>
      <c r="G1148" s="22"/>
      <c r="H1148" s="21"/>
      <c r="I1148" s="28"/>
      <c r="J1148" s="22"/>
      <c r="K1148" s="22"/>
      <c r="L1148" s="22"/>
      <c r="M1148" s="21"/>
      <c r="N1148" s="22"/>
      <c r="O1148" s="29" t="str">
        <f aca="false">IF(A1148="","",IF(COUNTIF($A$2:$A$2001,A1148)&gt;1,"GANDA","OK"))</f>
        <v/>
      </c>
      <c r="P1148" s="29" t="str">
        <f aca="false">IF(A1148="","",IF(C1148="","KOSONG",IF(AND(LEN(C1148)=16,ISNUMBER(--C1148)),"OK","TIDAK VALID")))</f>
        <v/>
      </c>
    </row>
    <row r="1149" customFormat="false" ht="15" hidden="false" customHeight="false" outlineLevel="0" collapsed="false">
      <c r="A1149" s="21"/>
      <c r="B1149" s="22"/>
      <c r="C1149" s="21"/>
      <c r="D1149" s="22"/>
      <c r="E1149" s="22"/>
      <c r="F1149" s="28"/>
      <c r="G1149" s="22"/>
      <c r="H1149" s="21"/>
      <c r="I1149" s="28"/>
      <c r="J1149" s="22"/>
      <c r="K1149" s="22"/>
      <c r="L1149" s="22"/>
      <c r="M1149" s="21"/>
      <c r="N1149" s="22"/>
      <c r="O1149" s="29" t="str">
        <f aca="false">IF(A1149="","",IF(COUNTIF($A$2:$A$2001,A1149)&gt;1,"GANDA","OK"))</f>
        <v/>
      </c>
      <c r="P1149" s="29" t="str">
        <f aca="false">IF(A1149="","",IF(C1149="","KOSONG",IF(AND(LEN(C1149)=16,ISNUMBER(--C1149)),"OK","TIDAK VALID")))</f>
        <v/>
      </c>
    </row>
    <row r="1150" customFormat="false" ht="15" hidden="false" customHeight="false" outlineLevel="0" collapsed="false">
      <c r="A1150" s="21"/>
      <c r="B1150" s="22"/>
      <c r="C1150" s="21"/>
      <c r="D1150" s="22"/>
      <c r="E1150" s="22"/>
      <c r="F1150" s="28"/>
      <c r="G1150" s="22"/>
      <c r="H1150" s="21"/>
      <c r="I1150" s="28"/>
      <c r="J1150" s="22"/>
      <c r="K1150" s="22"/>
      <c r="L1150" s="22"/>
      <c r="M1150" s="21"/>
      <c r="N1150" s="22"/>
      <c r="O1150" s="29" t="str">
        <f aca="false">IF(A1150="","",IF(COUNTIF($A$2:$A$2001,A1150)&gt;1,"GANDA","OK"))</f>
        <v/>
      </c>
      <c r="P1150" s="29" t="str">
        <f aca="false">IF(A1150="","",IF(C1150="","KOSONG",IF(AND(LEN(C1150)=16,ISNUMBER(--C1150)),"OK","TIDAK VALID")))</f>
        <v/>
      </c>
    </row>
    <row r="1151" customFormat="false" ht="15" hidden="false" customHeight="false" outlineLevel="0" collapsed="false">
      <c r="A1151" s="21"/>
      <c r="B1151" s="22"/>
      <c r="C1151" s="21"/>
      <c r="D1151" s="22"/>
      <c r="E1151" s="22"/>
      <c r="F1151" s="28"/>
      <c r="G1151" s="22"/>
      <c r="H1151" s="21"/>
      <c r="I1151" s="28"/>
      <c r="J1151" s="22"/>
      <c r="K1151" s="22"/>
      <c r="L1151" s="22"/>
      <c r="M1151" s="21"/>
      <c r="N1151" s="22"/>
      <c r="O1151" s="29" t="str">
        <f aca="false">IF(A1151="","",IF(COUNTIF($A$2:$A$2001,A1151)&gt;1,"GANDA","OK"))</f>
        <v/>
      </c>
      <c r="P1151" s="29" t="str">
        <f aca="false">IF(A1151="","",IF(C1151="","KOSONG",IF(AND(LEN(C1151)=16,ISNUMBER(--C1151)),"OK","TIDAK VALID")))</f>
        <v/>
      </c>
    </row>
    <row r="1152" customFormat="false" ht="15" hidden="false" customHeight="false" outlineLevel="0" collapsed="false">
      <c r="A1152" s="21"/>
      <c r="B1152" s="22"/>
      <c r="C1152" s="21"/>
      <c r="D1152" s="22"/>
      <c r="E1152" s="22"/>
      <c r="F1152" s="28"/>
      <c r="G1152" s="22"/>
      <c r="H1152" s="21"/>
      <c r="I1152" s="28"/>
      <c r="J1152" s="22"/>
      <c r="K1152" s="22"/>
      <c r="L1152" s="22"/>
      <c r="M1152" s="21"/>
      <c r="N1152" s="22"/>
      <c r="O1152" s="29" t="str">
        <f aca="false">IF(A1152="","",IF(COUNTIF($A$2:$A$2001,A1152)&gt;1,"GANDA","OK"))</f>
        <v/>
      </c>
      <c r="P1152" s="29" t="str">
        <f aca="false">IF(A1152="","",IF(C1152="","KOSONG",IF(AND(LEN(C1152)=16,ISNUMBER(--C1152)),"OK","TIDAK VALID")))</f>
        <v/>
      </c>
    </row>
    <row r="1153" customFormat="false" ht="15" hidden="false" customHeight="false" outlineLevel="0" collapsed="false">
      <c r="A1153" s="21"/>
      <c r="B1153" s="22"/>
      <c r="C1153" s="21"/>
      <c r="D1153" s="22"/>
      <c r="E1153" s="22"/>
      <c r="F1153" s="28"/>
      <c r="G1153" s="22"/>
      <c r="H1153" s="21"/>
      <c r="I1153" s="28"/>
      <c r="J1153" s="22"/>
      <c r="K1153" s="22"/>
      <c r="L1153" s="22"/>
      <c r="M1153" s="21"/>
      <c r="N1153" s="22"/>
      <c r="O1153" s="29" t="str">
        <f aca="false">IF(A1153="","",IF(COUNTIF($A$2:$A$2001,A1153)&gt;1,"GANDA","OK"))</f>
        <v/>
      </c>
      <c r="P1153" s="29" t="str">
        <f aca="false">IF(A1153="","",IF(C1153="","KOSONG",IF(AND(LEN(C1153)=16,ISNUMBER(--C1153)),"OK","TIDAK VALID")))</f>
        <v/>
      </c>
    </row>
    <row r="1154" customFormat="false" ht="15" hidden="false" customHeight="false" outlineLevel="0" collapsed="false">
      <c r="A1154" s="21"/>
      <c r="B1154" s="22"/>
      <c r="C1154" s="21"/>
      <c r="D1154" s="22"/>
      <c r="E1154" s="22"/>
      <c r="F1154" s="28"/>
      <c r="G1154" s="22"/>
      <c r="H1154" s="21"/>
      <c r="I1154" s="28"/>
      <c r="J1154" s="22"/>
      <c r="K1154" s="22"/>
      <c r="L1154" s="22"/>
      <c r="M1154" s="21"/>
      <c r="N1154" s="22"/>
      <c r="O1154" s="29" t="str">
        <f aca="false">IF(A1154="","",IF(COUNTIF($A$2:$A$2001,A1154)&gt;1,"GANDA","OK"))</f>
        <v/>
      </c>
      <c r="P1154" s="29" t="str">
        <f aca="false">IF(A1154="","",IF(C1154="","KOSONG",IF(AND(LEN(C1154)=16,ISNUMBER(--C1154)),"OK","TIDAK VALID")))</f>
        <v/>
      </c>
    </row>
    <row r="1155" customFormat="false" ht="15" hidden="false" customHeight="false" outlineLevel="0" collapsed="false">
      <c r="A1155" s="21"/>
      <c r="B1155" s="22"/>
      <c r="C1155" s="21"/>
      <c r="D1155" s="22"/>
      <c r="E1155" s="22"/>
      <c r="F1155" s="28"/>
      <c r="G1155" s="22"/>
      <c r="H1155" s="21"/>
      <c r="I1155" s="28"/>
      <c r="J1155" s="22"/>
      <c r="K1155" s="22"/>
      <c r="L1155" s="22"/>
      <c r="M1155" s="21"/>
      <c r="N1155" s="22"/>
      <c r="O1155" s="29" t="str">
        <f aca="false">IF(A1155="","",IF(COUNTIF($A$2:$A$2001,A1155)&gt;1,"GANDA","OK"))</f>
        <v/>
      </c>
      <c r="P1155" s="29" t="str">
        <f aca="false">IF(A1155="","",IF(C1155="","KOSONG",IF(AND(LEN(C1155)=16,ISNUMBER(--C1155)),"OK","TIDAK VALID")))</f>
        <v/>
      </c>
    </row>
    <row r="1156" customFormat="false" ht="15" hidden="false" customHeight="false" outlineLevel="0" collapsed="false">
      <c r="A1156" s="21"/>
      <c r="B1156" s="22"/>
      <c r="C1156" s="21"/>
      <c r="D1156" s="22"/>
      <c r="E1156" s="22"/>
      <c r="F1156" s="28"/>
      <c r="G1156" s="22"/>
      <c r="H1156" s="21"/>
      <c r="I1156" s="28"/>
      <c r="J1156" s="22"/>
      <c r="K1156" s="22"/>
      <c r="L1156" s="22"/>
      <c r="M1156" s="21"/>
      <c r="N1156" s="22"/>
      <c r="O1156" s="29" t="str">
        <f aca="false">IF(A1156="","",IF(COUNTIF($A$2:$A$2001,A1156)&gt;1,"GANDA","OK"))</f>
        <v/>
      </c>
      <c r="P1156" s="29" t="str">
        <f aca="false">IF(A1156="","",IF(C1156="","KOSONG",IF(AND(LEN(C1156)=16,ISNUMBER(--C1156)),"OK","TIDAK VALID")))</f>
        <v/>
      </c>
    </row>
    <row r="1157" customFormat="false" ht="15" hidden="false" customHeight="false" outlineLevel="0" collapsed="false">
      <c r="A1157" s="21"/>
      <c r="B1157" s="22"/>
      <c r="C1157" s="21"/>
      <c r="D1157" s="22"/>
      <c r="E1157" s="22"/>
      <c r="F1157" s="28"/>
      <c r="G1157" s="22"/>
      <c r="H1157" s="21"/>
      <c r="I1157" s="28"/>
      <c r="J1157" s="22"/>
      <c r="K1157" s="22"/>
      <c r="L1157" s="22"/>
      <c r="M1157" s="21"/>
      <c r="N1157" s="22"/>
      <c r="O1157" s="29" t="str">
        <f aca="false">IF(A1157="","",IF(COUNTIF($A$2:$A$2001,A1157)&gt;1,"GANDA","OK"))</f>
        <v/>
      </c>
      <c r="P1157" s="29" t="str">
        <f aca="false">IF(A1157="","",IF(C1157="","KOSONG",IF(AND(LEN(C1157)=16,ISNUMBER(--C1157)),"OK","TIDAK VALID")))</f>
        <v/>
      </c>
    </row>
    <row r="1158" customFormat="false" ht="15" hidden="false" customHeight="false" outlineLevel="0" collapsed="false">
      <c r="A1158" s="21"/>
      <c r="B1158" s="22"/>
      <c r="C1158" s="21"/>
      <c r="D1158" s="22"/>
      <c r="E1158" s="22"/>
      <c r="F1158" s="28"/>
      <c r="G1158" s="22"/>
      <c r="H1158" s="21"/>
      <c r="I1158" s="28"/>
      <c r="J1158" s="22"/>
      <c r="K1158" s="22"/>
      <c r="L1158" s="22"/>
      <c r="M1158" s="21"/>
      <c r="N1158" s="22"/>
      <c r="O1158" s="29" t="str">
        <f aca="false">IF(A1158="","",IF(COUNTIF($A$2:$A$2001,A1158)&gt;1,"GANDA","OK"))</f>
        <v/>
      </c>
      <c r="P1158" s="29" t="str">
        <f aca="false">IF(A1158="","",IF(C1158="","KOSONG",IF(AND(LEN(C1158)=16,ISNUMBER(--C1158)),"OK","TIDAK VALID")))</f>
        <v/>
      </c>
    </row>
    <row r="1159" customFormat="false" ht="15" hidden="false" customHeight="false" outlineLevel="0" collapsed="false">
      <c r="A1159" s="21"/>
      <c r="B1159" s="22"/>
      <c r="C1159" s="21"/>
      <c r="D1159" s="22"/>
      <c r="E1159" s="22"/>
      <c r="F1159" s="28"/>
      <c r="G1159" s="22"/>
      <c r="H1159" s="21"/>
      <c r="I1159" s="28"/>
      <c r="J1159" s="22"/>
      <c r="K1159" s="22"/>
      <c r="L1159" s="22"/>
      <c r="M1159" s="21"/>
      <c r="N1159" s="22"/>
      <c r="O1159" s="29" t="str">
        <f aca="false">IF(A1159="","",IF(COUNTIF($A$2:$A$2001,A1159)&gt;1,"GANDA","OK"))</f>
        <v/>
      </c>
      <c r="P1159" s="29" t="str">
        <f aca="false">IF(A1159="","",IF(C1159="","KOSONG",IF(AND(LEN(C1159)=16,ISNUMBER(--C1159)),"OK","TIDAK VALID")))</f>
        <v/>
      </c>
    </row>
    <row r="1160" customFormat="false" ht="15" hidden="false" customHeight="false" outlineLevel="0" collapsed="false">
      <c r="A1160" s="21"/>
      <c r="B1160" s="22"/>
      <c r="C1160" s="21"/>
      <c r="D1160" s="22"/>
      <c r="E1160" s="22"/>
      <c r="F1160" s="28"/>
      <c r="G1160" s="22"/>
      <c r="H1160" s="21"/>
      <c r="I1160" s="28"/>
      <c r="J1160" s="22"/>
      <c r="K1160" s="22"/>
      <c r="L1160" s="22"/>
      <c r="M1160" s="21"/>
      <c r="N1160" s="22"/>
      <c r="O1160" s="29" t="str">
        <f aca="false">IF(A1160="","",IF(COUNTIF($A$2:$A$2001,A1160)&gt;1,"GANDA","OK"))</f>
        <v/>
      </c>
      <c r="P1160" s="29" t="str">
        <f aca="false">IF(A1160="","",IF(C1160="","KOSONG",IF(AND(LEN(C1160)=16,ISNUMBER(--C1160)),"OK","TIDAK VALID")))</f>
        <v/>
      </c>
    </row>
    <row r="1161" customFormat="false" ht="15" hidden="false" customHeight="false" outlineLevel="0" collapsed="false">
      <c r="A1161" s="21"/>
      <c r="B1161" s="22"/>
      <c r="C1161" s="21"/>
      <c r="D1161" s="22"/>
      <c r="E1161" s="22"/>
      <c r="F1161" s="28"/>
      <c r="G1161" s="22"/>
      <c r="H1161" s="21"/>
      <c r="I1161" s="28"/>
      <c r="J1161" s="22"/>
      <c r="K1161" s="22"/>
      <c r="L1161" s="22"/>
      <c r="M1161" s="21"/>
      <c r="N1161" s="22"/>
      <c r="O1161" s="29" t="str">
        <f aca="false">IF(A1161="","",IF(COUNTIF($A$2:$A$2001,A1161)&gt;1,"GANDA","OK"))</f>
        <v/>
      </c>
      <c r="P1161" s="29" t="str">
        <f aca="false">IF(A1161="","",IF(C1161="","KOSONG",IF(AND(LEN(C1161)=16,ISNUMBER(--C1161)),"OK","TIDAK VALID")))</f>
        <v/>
      </c>
    </row>
    <row r="1162" customFormat="false" ht="15" hidden="false" customHeight="false" outlineLevel="0" collapsed="false">
      <c r="A1162" s="21"/>
      <c r="B1162" s="22"/>
      <c r="C1162" s="21"/>
      <c r="D1162" s="22"/>
      <c r="E1162" s="22"/>
      <c r="F1162" s="28"/>
      <c r="G1162" s="22"/>
      <c r="H1162" s="21"/>
      <c r="I1162" s="28"/>
      <c r="J1162" s="22"/>
      <c r="K1162" s="22"/>
      <c r="L1162" s="22"/>
      <c r="M1162" s="21"/>
      <c r="N1162" s="22"/>
      <c r="O1162" s="29" t="str">
        <f aca="false">IF(A1162="","",IF(COUNTIF($A$2:$A$2001,A1162)&gt;1,"GANDA","OK"))</f>
        <v/>
      </c>
      <c r="P1162" s="29" t="str">
        <f aca="false">IF(A1162="","",IF(C1162="","KOSONG",IF(AND(LEN(C1162)=16,ISNUMBER(--C1162)),"OK","TIDAK VALID")))</f>
        <v/>
      </c>
    </row>
    <row r="1163" customFormat="false" ht="15" hidden="false" customHeight="false" outlineLevel="0" collapsed="false">
      <c r="A1163" s="21"/>
      <c r="B1163" s="22"/>
      <c r="C1163" s="21"/>
      <c r="D1163" s="22"/>
      <c r="E1163" s="22"/>
      <c r="F1163" s="28"/>
      <c r="G1163" s="22"/>
      <c r="H1163" s="21"/>
      <c r="I1163" s="28"/>
      <c r="J1163" s="22"/>
      <c r="K1163" s="22"/>
      <c r="L1163" s="22"/>
      <c r="M1163" s="21"/>
      <c r="N1163" s="22"/>
      <c r="O1163" s="29" t="str">
        <f aca="false">IF(A1163="","",IF(COUNTIF($A$2:$A$2001,A1163)&gt;1,"GANDA","OK"))</f>
        <v/>
      </c>
      <c r="P1163" s="29" t="str">
        <f aca="false">IF(A1163="","",IF(C1163="","KOSONG",IF(AND(LEN(C1163)=16,ISNUMBER(--C1163)),"OK","TIDAK VALID")))</f>
        <v/>
      </c>
    </row>
    <row r="1164" customFormat="false" ht="15" hidden="false" customHeight="false" outlineLevel="0" collapsed="false">
      <c r="A1164" s="21"/>
      <c r="B1164" s="22"/>
      <c r="C1164" s="21"/>
      <c r="D1164" s="22"/>
      <c r="E1164" s="22"/>
      <c r="F1164" s="28"/>
      <c r="G1164" s="22"/>
      <c r="H1164" s="21"/>
      <c r="I1164" s="28"/>
      <c r="J1164" s="22"/>
      <c r="K1164" s="22"/>
      <c r="L1164" s="22"/>
      <c r="M1164" s="21"/>
      <c r="N1164" s="22"/>
      <c r="O1164" s="29" t="str">
        <f aca="false">IF(A1164="","",IF(COUNTIF($A$2:$A$2001,A1164)&gt;1,"GANDA","OK"))</f>
        <v/>
      </c>
      <c r="P1164" s="29" t="str">
        <f aca="false">IF(A1164="","",IF(C1164="","KOSONG",IF(AND(LEN(C1164)=16,ISNUMBER(--C1164)),"OK","TIDAK VALID")))</f>
        <v/>
      </c>
    </row>
    <row r="1165" customFormat="false" ht="15" hidden="false" customHeight="false" outlineLevel="0" collapsed="false">
      <c r="A1165" s="21"/>
      <c r="B1165" s="22"/>
      <c r="C1165" s="21"/>
      <c r="D1165" s="22"/>
      <c r="E1165" s="22"/>
      <c r="F1165" s="28"/>
      <c r="G1165" s="22"/>
      <c r="H1165" s="21"/>
      <c r="I1165" s="28"/>
      <c r="J1165" s="22"/>
      <c r="K1165" s="22"/>
      <c r="L1165" s="22"/>
      <c r="M1165" s="21"/>
      <c r="N1165" s="22"/>
      <c r="O1165" s="29" t="str">
        <f aca="false">IF(A1165="","",IF(COUNTIF($A$2:$A$2001,A1165)&gt;1,"GANDA","OK"))</f>
        <v/>
      </c>
      <c r="P1165" s="29" t="str">
        <f aca="false">IF(A1165="","",IF(C1165="","KOSONG",IF(AND(LEN(C1165)=16,ISNUMBER(--C1165)),"OK","TIDAK VALID")))</f>
        <v/>
      </c>
    </row>
    <row r="1166" customFormat="false" ht="15" hidden="false" customHeight="false" outlineLevel="0" collapsed="false">
      <c r="A1166" s="21"/>
      <c r="B1166" s="22"/>
      <c r="C1166" s="21"/>
      <c r="D1166" s="22"/>
      <c r="E1166" s="22"/>
      <c r="F1166" s="28"/>
      <c r="G1166" s="22"/>
      <c r="H1166" s="21"/>
      <c r="I1166" s="28"/>
      <c r="J1166" s="22"/>
      <c r="K1166" s="22"/>
      <c r="L1166" s="22"/>
      <c r="M1166" s="21"/>
      <c r="N1166" s="22"/>
      <c r="O1166" s="29" t="str">
        <f aca="false">IF(A1166="","",IF(COUNTIF($A$2:$A$2001,A1166)&gt;1,"GANDA","OK"))</f>
        <v/>
      </c>
      <c r="P1166" s="29" t="str">
        <f aca="false">IF(A1166="","",IF(C1166="","KOSONG",IF(AND(LEN(C1166)=16,ISNUMBER(--C1166)),"OK","TIDAK VALID")))</f>
        <v/>
      </c>
    </row>
    <row r="1167" customFormat="false" ht="15" hidden="false" customHeight="false" outlineLevel="0" collapsed="false">
      <c r="A1167" s="21"/>
      <c r="B1167" s="22"/>
      <c r="C1167" s="21"/>
      <c r="D1167" s="22"/>
      <c r="E1167" s="22"/>
      <c r="F1167" s="28"/>
      <c r="G1167" s="22"/>
      <c r="H1167" s="21"/>
      <c r="I1167" s="28"/>
      <c r="J1167" s="22"/>
      <c r="K1167" s="22"/>
      <c r="L1167" s="22"/>
      <c r="M1167" s="21"/>
      <c r="N1167" s="22"/>
      <c r="O1167" s="29" t="str">
        <f aca="false">IF(A1167="","",IF(COUNTIF($A$2:$A$2001,A1167)&gt;1,"GANDA","OK"))</f>
        <v/>
      </c>
      <c r="P1167" s="29" t="str">
        <f aca="false">IF(A1167="","",IF(C1167="","KOSONG",IF(AND(LEN(C1167)=16,ISNUMBER(--C1167)),"OK","TIDAK VALID")))</f>
        <v/>
      </c>
    </row>
    <row r="1168" customFormat="false" ht="15" hidden="false" customHeight="false" outlineLevel="0" collapsed="false">
      <c r="A1168" s="21"/>
      <c r="B1168" s="22"/>
      <c r="C1168" s="21"/>
      <c r="D1168" s="22"/>
      <c r="E1168" s="22"/>
      <c r="F1168" s="28"/>
      <c r="G1168" s="22"/>
      <c r="H1168" s="21"/>
      <c r="I1168" s="28"/>
      <c r="J1168" s="22"/>
      <c r="K1168" s="22"/>
      <c r="L1168" s="22"/>
      <c r="M1168" s="21"/>
      <c r="N1168" s="22"/>
      <c r="O1168" s="29" t="str">
        <f aca="false">IF(A1168="","",IF(COUNTIF($A$2:$A$2001,A1168)&gt;1,"GANDA","OK"))</f>
        <v/>
      </c>
      <c r="P1168" s="29" t="str">
        <f aca="false">IF(A1168="","",IF(C1168="","KOSONG",IF(AND(LEN(C1168)=16,ISNUMBER(--C1168)),"OK","TIDAK VALID")))</f>
        <v/>
      </c>
    </row>
    <row r="1169" customFormat="false" ht="15" hidden="false" customHeight="false" outlineLevel="0" collapsed="false">
      <c r="A1169" s="21"/>
      <c r="B1169" s="22"/>
      <c r="C1169" s="21"/>
      <c r="D1169" s="22"/>
      <c r="E1169" s="22"/>
      <c r="F1169" s="28"/>
      <c r="G1169" s="22"/>
      <c r="H1169" s="21"/>
      <c r="I1169" s="28"/>
      <c r="J1169" s="22"/>
      <c r="K1169" s="22"/>
      <c r="L1169" s="22"/>
      <c r="M1169" s="21"/>
      <c r="N1169" s="22"/>
      <c r="O1169" s="29" t="str">
        <f aca="false">IF(A1169="","",IF(COUNTIF($A$2:$A$2001,A1169)&gt;1,"GANDA","OK"))</f>
        <v/>
      </c>
      <c r="P1169" s="29" t="str">
        <f aca="false">IF(A1169="","",IF(C1169="","KOSONG",IF(AND(LEN(C1169)=16,ISNUMBER(--C1169)),"OK","TIDAK VALID")))</f>
        <v/>
      </c>
    </row>
    <row r="1170" customFormat="false" ht="15" hidden="false" customHeight="false" outlineLevel="0" collapsed="false">
      <c r="A1170" s="21"/>
      <c r="B1170" s="22"/>
      <c r="C1170" s="21"/>
      <c r="D1170" s="22"/>
      <c r="E1170" s="22"/>
      <c r="F1170" s="28"/>
      <c r="G1170" s="22"/>
      <c r="H1170" s="21"/>
      <c r="I1170" s="28"/>
      <c r="J1170" s="22"/>
      <c r="K1170" s="22"/>
      <c r="L1170" s="22"/>
      <c r="M1170" s="21"/>
      <c r="N1170" s="22"/>
      <c r="O1170" s="29" t="str">
        <f aca="false">IF(A1170="","",IF(COUNTIF($A$2:$A$2001,A1170)&gt;1,"GANDA","OK"))</f>
        <v/>
      </c>
      <c r="P1170" s="29" t="str">
        <f aca="false">IF(A1170="","",IF(C1170="","KOSONG",IF(AND(LEN(C1170)=16,ISNUMBER(--C1170)),"OK","TIDAK VALID")))</f>
        <v/>
      </c>
    </row>
    <row r="1171" customFormat="false" ht="15" hidden="false" customHeight="false" outlineLevel="0" collapsed="false">
      <c r="A1171" s="21"/>
      <c r="B1171" s="22"/>
      <c r="C1171" s="21"/>
      <c r="D1171" s="22"/>
      <c r="E1171" s="22"/>
      <c r="F1171" s="28"/>
      <c r="G1171" s="22"/>
      <c r="H1171" s="21"/>
      <c r="I1171" s="28"/>
      <c r="J1171" s="22"/>
      <c r="K1171" s="22"/>
      <c r="L1171" s="22"/>
      <c r="M1171" s="21"/>
      <c r="N1171" s="22"/>
      <c r="O1171" s="29" t="str">
        <f aca="false">IF(A1171="","",IF(COUNTIF($A$2:$A$2001,A1171)&gt;1,"GANDA","OK"))</f>
        <v/>
      </c>
      <c r="P1171" s="29" t="str">
        <f aca="false">IF(A1171="","",IF(C1171="","KOSONG",IF(AND(LEN(C1171)=16,ISNUMBER(--C1171)),"OK","TIDAK VALID")))</f>
        <v/>
      </c>
    </row>
    <row r="1172" customFormat="false" ht="15" hidden="false" customHeight="false" outlineLevel="0" collapsed="false">
      <c r="A1172" s="21"/>
      <c r="B1172" s="22"/>
      <c r="C1172" s="21"/>
      <c r="D1172" s="22"/>
      <c r="E1172" s="22"/>
      <c r="F1172" s="28"/>
      <c r="G1172" s="22"/>
      <c r="H1172" s="21"/>
      <c r="I1172" s="28"/>
      <c r="J1172" s="22"/>
      <c r="K1172" s="22"/>
      <c r="L1172" s="22"/>
      <c r="M1172" s="21"/>
      <c r="N1172" s="22"/>
      <c r="O1172" s="29" t="str">
        <f aca="false">IF(A1172="","",IF(COUNTIF($A$2:$A$2001,A1172)&gt;1,"GANDA","OK"))</f>
        <v/>
      </c>
      <c r="P1172" s="29" t="str">
        <f aca="false">IF(A1172="","",IF(C1172="","KOSONG",IF(AND(LEN(C1172)=16,ISNUMBER(--C1172)),"OK","TIDAK VALID")))</f>
        <v/>
      </c>
    </row>
    <row r="1173" customFormat="false" ht="15" hidden="false" customHeight="false" outlineLevel="0" collapsed="false">
      <c r="A1173" s="21"/>
      <c r="B1173" s="22"/>
      <c r="C1173" s="21"/>
      <c r="D1173" s="22"/>
      <c r="E1173" s="22"/>
      <c r="F1173" s="28"/>
      <c r="G1173" s="22"/>
      <c r="H1173" s="21"/>
      <c r="I1173" s="28"/>
      <c r="J1173" s="22"/>
      <c r="K1173" s="22"/>
      <c r="L1173" s="22"/>
      <c r="M1173" s="21"/>
      <c r="N1173" s="22"/>
      <c r="O1173" s="29" t="str">
        <f aca="false">IF(A1173="","",IF(COUNTIF($A$2:$A$2001,A1173)&gt;1,"GANDA","OK"))</f>
        <v/>
      </c>
      <c r="P1173" s="29" t="str">
        <f aca="false">IF(A1173="","",IF(C1173="","KOSONG",IF(AND(LEN(C1173)=16,ISNUMBER(--C1173)),"OK","TIDAK VALID")))</f>
        <v/>
      </c>
    </row>
    <row r="1174" customFormat="false" ht="15" hidden="false" customHeight="false" outlineLevel="0" collapsed="false">
      <c r="A1174" s="21"/>
      <c r="B1174" s="22"/>
      <c r="C1174" s="21"/>
      <c r="D1174" s="22"/>
      <c r="E1174" s="22"/>
      <c r="F1174" s="28"/>
      <c r="G1174" s="22"/>
      <c r="H1174" s="21"/>
      <c r="I1174" s="28"/>
      <c r="J1174" s="22"/>
      <c r="K1174" s="22"/>
      <c r="L1174" s="22"/>
      <c r="M1174" s="21"/>
      <c r="N1174" s="22"/>
      <c r="O1174" s="29" t="str">
        <f aca="false">IF(A1174="","",IF(COUNTIF($A$2:$A$2001,A1174)&gt;1,"GANDA","OK"))</f>
        <v/>
      </c>
      <c r="P1174" s="29" t="str">
        <f aca="false">IF(A1174="","",IF(C1174="","KOSONG",IF(AND(LEN(C1174)=16,ISNUMBER(--C1174)),"OK","TIDAK VALID")))</f>
        <v/>
      </c>
    </row>
    <row r="1175" customFormat="false" ht="15" hidden="false" customHeight="false" outlineLevel="0" collapsed="false">
      <c r="A1175" s="21"/>
      <c r="B1175" s="22"/>
      <c r="C1175" s="21"/>
      <c r="D1175" s="22"/>
      <c r="E1175" s="22"/>
      <c r="F1175" s="28"/>
      <c r="G1175" s="22"/>
      <c r="H1175" s="21"/>
      <c r="I1175" s="28"/>
      <c r="J1175" s="22"/>
      <c r="K1175" s="22"/>
      <c r="L1175" s="22"/>
      <c r="M1175" s="21"/>
      <c r="N1175" s="22"/>
      <c r="O1175" s="29" t="str">
        <f aca="false">IF(A1175="","",IF(COUNTIF($A$2:$A$2001,A1175)&gt;1,"GANDA","OK"))</f>
        <v/>
      </c>
      <c r="P1175" s="29" t="str">
        <f aca="false">IF(A1175="","",IF(C1175="","KOSONG",IF(AND(LEN(C1175)=16,ISNUMBER(--C1175)),"OK","TIDAK VALID")))</f>
        <v/>
      </c>
    </row>
    <row r="1176" customFormat="false" ht="15" hidden="false" customHeight="false" outlineLevel="0" collapsed="false">
      <c r="A1176" s="21"/>
      <c r="B1176" s="22"/>
      <c r="C1176" s="21"/>
      <c r="D1176" s="22"/>
      <c r="E1176" s="22"/>
      <c r="F1176" s="28"/>
      <c r="G1176" s="22"/>
      <c r="H1176" s="21"/>
      <c r="I1176" s="28"/>
      <c r="J1176" s="22"/>
      <c r="K1176" s="22"/>
      <c r="L1176" s="22"/>
      <c r="M1176" s="21"/>
      <c r="N1176" s="22"/>
      <c r="O1176" s="29" t="str">
        <f aca="false">IF(A1176="","",IF(COUNTIF($A$2:$A$2001,A1176)&gt;1,"GANDA","OK"))</f>
        <v/>
      </c>
      <c r="P1176" s="29" t="str">
        <f aca="false">IF(A1176="","",IF(C1176="","KOSONG",IF(AND(LEN(C1176)=16,ISNUMBER(--C1176)),"OK","TIDAK VALID")))</f>
        <v/>
      </c>
    </row>
    <row r="1177" customFormat="false" ht="15" hidden="false" customHeight="false" outlineLevel="0" collapsed="false">
      <c r="A1177" s="21"/>
      <c r="B1177" s="22"/>
      <c r="C1177" s="21"/>
      <c r="D1177" s="22"/>
      <c r="E1177" s="22"/>
      <c r="F1177" s="28"/>
      <c r="G1177" s="22"/>
      <c r="H1177" s="21"/>
      <c r="I1177" s="28"/>
      <c r="J1177" s="22"/>
      <c r="K1177" s="22"/>
      <c r="L1177" s="22"/>
      <c r="M1177" s="21"/>
      <c r="N1177" s="22"/>
      <c r="O1177" s="29" t="str">
        <f aca="false">IF(A1177="","",IF(COUNTIF($A$2:$A$2001,A1177)&gt;1,"GANDA","OK"))</f>
        <v/>
      </c>
      <c r="P1177" s="29" t="str">
        <f aca="false">IF(A1177="","",IF(C1177="","KOSONG",IF(AND(LEN(C1177)=16,ISNUMBER(--C1177)),"OK","TIDAK VALID")))</f>
        <v/>
      </c>
    </row>
    <row r="1178" customFormat="false" ht="15" hidden="false" customHeight="false" outlineLevel="0" collapsed="false">
      <c r="A1178" s="21"/>
      <c r="B1178" s="22"/>
      <c r="C1178" s="21"/>
      <c r="D1178" s="22"/>
      <c r="E1178" s="22"/>
      <c r="F1178" s="28"/>
      <c r="G1178" s="22"/>
      <c r="H1178" s="21"/>
      <c r="I1178" s="28"/>
      <c r="J1178" s="22"/>
      <c r="K1178" s="22"/>
      <c r="L1178" s="22"/>
      <c r="M1178" s="21"/>
      <c r="N1178" s="22"/>
      <c r="O1178" s="29" t="str">
        <f aca="false">IF(A1178="","",IF(COUNTIF($A$2:$A$2001,A1178)&gt;1,"GANDA","OK"))</f>
        <v/>
      </c>
      <c r="P1178" s="29" t="str">
        <f aca="false">IF(A1178="","",IF(C1178="","KOSONG",IF(AND(LEN(C1178)=16,ISNUMBER(--C1178)),"OK","TIDAK VALID")))</f>
        <v/>
      </c>
    </row>
    <row r="1179" customFormat="false" ht="15" hidden="false" customHeight="false" outlineLevel="0" collapsed="false">
      <c r="A1179" s="21"/>
      <c r="B1179" s="22"/>
      <c r="C1179" s="21"/>
      <c r="D1179" s="22"/>
      <c r="E1179" s="22"/>
      <c r="F1179" s="28"/>
      <c r="G1179" s="22"/>
      <c r="H1179" s="21"/>
      <c r="I1179" s="28"/>
      <c r="J1179" s="22"/>
      <c r="K1179" s="22"/>
      <c r="L1179" s="22"/>
      <c r="M1179" s="21"/>
      <c r="N1179" s="22"/>
      <c r="O1179" s="29" t="str">
        <f aca="false">IF(A1179="","",IF(COUNTIF($A$2:$A$2001,A1179)&gt;1,"GANDA","OK"))</f>
        <v/>
      </c>
      <c r="P1179" s="29" t="str">
        <f aca="false">IF(A1179="","",IF(C1179="","KOSONG",IF(AND(LEN(C1179)=16,ISNUMBER(--C1179)),"OK","TIDAK VALID")))</f>
        <v/>
      </c>
    </row>
    <row r="1180" customFormat="false" ht="15" hidden="false" customHeight="false" outlineLevel="0" collapsed="false">
      <c r="A1180" s="21"/>
      <c r="B1180" s="22"/>
      <c r="C1180" s="21"/>
      <c r="D1180" s="22"/>
      <c r="E1180" s="22"/>
      <c r="F1180" s="28"/>
      <c r="G1180" s="22"/>
      <c r="H1180" s="21"/>
      <c r="I1180" s="28"/>
      <c r="J1180" s="22"/>
      <c r="K1180" s="22"/>
      <c r="L1180" s="22"/>
      <c r="M1180" s="21"/>
      <c r="N1180" s="22"/>
      <c r="O1180" s="29" t="str">
        <f aca="false">IF(A1180="","",IF(COUNTIF($A$2:$A$2001,A1180)&gt;1,"GANDA","OK"))</f>
        <v/>
      </c>
      <c r="P1180" s="29" t="str">
        <f aca="false">IF(A1180="","",IF(C1180="","KOSONG",IF(AND(LEN(C1180)=16,ISNUMBER(--C1180)),"OK","TIDAK VALID")))</f>
        <v/>
      </c>
    </row>
    <row r="1181" customFormat="false" ht="15" hidden="false" customHeight="false" outlineLevel="0" collapsed="false">
      <c r="A1181" s="21"/>
      <c r="B1181" s="22"/>
      <c r="C1181" s="21"/>
      <c r="D1181" s="22"/>
      <c r="E1181" s="22"/>
      <c r="F1181" s="28"/>
      <c r="G1181" s="22"/>
      <c r="H1181" s="21"/>
      <c r="I1181" s="28"/>
      <c r="J1181" s="22"/>
      <c r="K1181" s="22"/>
      <c r="L1181" s="22"/>
      <c r="M1181" s="21"/>
      <c r="N1181" s="22"/>
      <c r="O1181" s="29" t="str">
        <f aca="false">IF(A1181="","",IF(COUNTIF($A$2:$A$2001,A1181)&gt;1,"GANDA","OK"))</f>
        <v/>
      </c>
      <c r="P1181" s="29" t="str">
        <f aca="false">IF(A1181="","",IF(C1181="","KOSONG",IF(AND(LEN(C1181)=16,ISNUMBER(--C1181)),"OK","TIDAK VALID")))</f>
        <v/>
      </c>
    </row>
    <row r="1182" customFormat="false" ht="15" hidden="false" customHeight="false" outlineLevel="0" collapsed="false">
      <c r="A1182" s="21"/>
      <c r="B1182" s="22"/>
      <c r="C1182" s="21"/>
      <c r="D1182" s="22"/>
      <c r="E1182" s="22"/>
      <c r="F1182" s="28"/>
      <c r="G1182" s="22"/>
      <c r="H1182" s="21"/>
      <c r="I1182" s="28"/>
      <c r="J1182" s="22"/>
      <c r="K1182" s="22"/>
      <c r="L1182" s="22"/>
      <c r="M1182" s="21"/>
      <c r="N1182" s="22"/>
      <c r="O1182" s="29" t="str">
        <f aca="false">IF(A1182="","",IF(COUNTIF($A$2:$A$2001,A1182)&gt;1,"GANDA","OK"))</f>
        <v/>
      </c>
      <c r="P1182" s="29" t="str">
        <f aca="false">IF(A1182="","",IF(C1182="","KOSONG",IF(AND(LEN(C1182)=16,ISNUMBER(--C1182)),"OK","TIDAK VALID")))</f>
        <v/>
      </c>
    </row>
    <row r="1183" customFormat="false" ht="15" hidden="false" customHeight="false" outlineLevel="0" collapsed="false">
      <c r="A1183" s="21"/>
      <c r="B1183" s="22"/>
      <c r="C1183" s="21"/>
      <c r="D1183" s="22"/>
      <c r="E1183" s="22"/>
      <c r="F1183" s="28"/>
      <c r="G1183" s="22"/>
      <c r="H1183" s="21"/>
      <c r="I1183" s="28"/>
      <c r="J1183" s="22"/>
      <c r="K1183" s="22"/>
      <c r="L1183" s="22"/>
      <c r="M1183" s="21"/>
      <c r="N1183" s="22"/>
      <c r="O1183" s="29" t="str">
        <f aca="false">IF(A1183="","",IF(COUNTIF($A$2:$A$2001,A1183)&gt;1,"GANDA","OK"))</f>
        <v/>
      </c>
      <c r="P1183" s="29" t="str">
        <f aca="false">IF(A1183="","",IF(C1183="","KOSONG",IF(AND(LEN(C1183)=16,ISNUMBER(--C1183)),"OK","TIDAK VALID")))</f>
        <v/>
      </c>
    </row>
    <row r="1184" customFormat="false" ht="15" hidden="false" customHeight="false" outlineLevel="0" collapsed="false">
      <c r="A1184" s="21"/>
      <c r="B1184" s="22"/>
      <c r="C1184" s="21"/>
      <c r="D1184" s="22"/>
      <c r="E1184" s="22"/>
      <c r="F1184" s="28"/>
      <c r="G1184" s="22"/>
      <c r="H1184" s="21"/>
      <c r="I1184" s="28"/>
      <c r="J1184" s="22"/>
      <c r="K1184" s="22"/>
      <c r="L1184" s="22"/>
      <c r="M1184" s="21"/>
      <c r="N1184" s="22"/>
      <c r="O1184" s="29" t="str">
        <f aca="false">IF(A1184="","",IF(COUNTIF($A$2:$A$2001,A1184)&gt;1,"GANDA","OK"))</f>
        <v/>
      </c>
      <c r="P1184" s="29" t="str">
        <f aca="false">IF(A1184="","",IF(C1184="","KOSONG",IF(AND(LEN(C1184)=16,ISNUMBER(--C1184)),"OK","TIDAK VALID")))</f>
        <v/>
      </c>
    </row>
    <row r="1185" customFormat="false" ht="15" hidden="false" customHeight="false" outlineLevel="0" collapsed="false">
      <c r="A1185" s="21"/>
      <c r="B1185" s="22"/>
      <c r="C1185" s="21"/>
      <c r="D1185" s="22"/>
      <c r="E1185" s="22"/>
      <c r="F1185" s="28"/>
      <c r="G1185" s="22"/>
      <c r="H1185" s="21"/>
      <c r="I1185" s="28"/>
      <c r="J1185" s="22"/>
      <c r="K1185" s="22"/>
      <c r="L1185" s="22"/>
      <c r="M1185" s="21"/>
      <c r="N1185" s="22"/>
      <c r="O1185" s="29" t="str">
        <f aca="false">IF(A1185="","",IF(COUNTIF($A$2:$A$2001,A1185)&gt;1,"GANDA","OK"))</f>
        <v/>
      </c>
      <c r="P1185" s="29" t="str">
        <f aca="false">IF(A1185="","",IF(C1185="","KOSONG",IF(AND(LEN(C1185)=16,ISNUMBER(--C1185)),"OK","TIDAK VALID")))</f>
        <v/>
      </c>
    </row>
    <row r="1186" customFormat="false" ht="15" hidden="false" customHeight="false" outlineLevel="0" collapsed="false">
      <c r="A1186" s="21"/>
      <c r="B1186" s="22"/>
      <c r="C1186" s="21"/>
      <c r="D1186" s="22"/>
      <c r="E1186" s="22"/>
      <c r="F1186" s="28"/>
      <c r="G1186" s="22"/>
      <c r="H1186" s="21"/>
      <c r="I1186" s="28"/>
      <c r="J1186" s="22"/>
      <c r="K1186" s="22"/>
      <c r="L1186" s="22"/>
      <c r="M1186" s="21"/>
      <c r="N1186" s="22"/>
      <c r="O1186" s="29" t="str">
        <f aca="false">IF(A1186="","",IF(COUNTIF($A$2:$A$2001,A1186)&gt;1,"GANDA","OK"))</f>
        <v/>
      </c>
      <c r="P1186" s="29" t="str">
        <f aca="false">IF(A1186="","",IF(C1186="","KOSONG",IF(AND(LEN(C1186)=16,ISNUMBER(--C1186)),"OK","TIDAK VALID")))</f>
        <v/>
      </c>
    </row>
    <row r="1187" customFormat="false" ht="15" hidden="false" customHeight="false" outlineLevel="0" collapsed="false">
      <c r="A1187" s="21"/>
      <c r="B1187" s="22"/>
      <c r="C1187" s="21"/>
      <c r="D1187" s="22"/>
      <c r="E1187" s="22"/>
      <c r="F1187" s="28"/>
      <c r="G1187" s="22"/>
      <c r="H1187" s="21"/>
      <c r="I1187" s="28"/>
      <c r="J1187" s="22"/>
      <c r="K1187" s="22"/>
      <c r="L1187" s="22"/>
      <c r="M1187" s="21"/>
      <c r="N1187" s="22"/>
      <c r="O1187" s="29" t="str">
        <f aca="false">IF(A1187="","",IF(COUNTIF($A$2:$A$2001,A1187)&gt;1,"GANDA","OK"))</f>
        <v/>
      </c>
      <c r="P1187" s="29" t="str">
        <f aca="false">IF(A1187="","",IF(C1187="","KOSONG",IF(AND(LEN(C1187)=16,ISNUMBER(--C1187)),"OK","TIDAK VALID")))</f>
        <v/>
      </c>
    </row>
    <row r="1188" customFormat="false" ht="15" hidden="false" customHeight="false" outlineLevel="0" collapsed="false">
      <c r="A1188" s="21"/>
      <c r="B1188" s="22"/>
      <c r="C1188" s="21"/>
      <c r="D1188" s="22"/>
      <c r="E1188" s="22"/>
      <c r="F1188" s="28"/>
      <c r="G1188" s="22"/>
      <c r="H1188" s="21"/>
      <c r="I1188" s="28"/>
      <c r="J1188" s="22"/>
      <c r="K1188" s="22"/>
      <c r="L1188" s="22"/>
      <c r="M1188" s="21"/>
      <c r="N1188" s="22"/>
      <c r="O1188" s="29" t="str">
        <f aca="false">IF(A1188="","",IF(COUNTIF($A$2:$A$2001,A1188)&gt;1,"GANDA","OK"))</f>
        <v/>
      </c>
      <c r="P1188" s="29" t="str">
        <f aca="false">IF(A1188="","",IF(C1188="","KOSONG",IF(AND(LEN(C1188)=16,ISNUMBER(--C1188)),"OK","TIDAK VALID")))</f>
        <v/>
      </c>
    </row>
    <row r="1189" customFormat="false" ht="15" hidden="false" customHeight="false" outlineLevel="0" collapsed="false">
      <c r="A1189" s="21"/>
      <c r="B1189" s="22"/>
      <c r="C1189" s="21"/>
      <c r="D1189" s="22"/>
      <c r="E1189" s="22"/>
      <c r="F1189" s="28"/>
      <c r="G1189" s="22"/>
      <c r="H1189" s="21"/>
      <c r="I1189" s="28"/>
      <c r="J1189" s="22"/>
      <c r="K1189" s="22"/>
      <c r="L1189" s="22"/>
      <c r="M1189" s="21"/>
      <c r="N1189" s="22"/>
      <c r="O1189" s="29" t="str">
        <f aca="false">IF(A1189="","",IF(COUNTIF($A$2:$A$2001,A1189)&gt;1,"GANDA","OK"))</f>
        <v/>
      </c>
      <c r="P1189" s="29" t="str">
        <f aca="false">IF(A1189="","",IF(C1189="","KOSONG",IF(AND(LEN(C1189)=16,ISNUMBER(--C1189)),"OK","TIDAK VALID")))</f>
        <v/>
      </c>
    </row>
    <row r="1190" customFormat="false" ht="15" hidden="false" customHeight="false" outlineLevel="0" collapsed="false">
      <c r="A1190" s="21"/>
      <c r="B1190" s="22"/>
      <c r="C1190" s="21"/>
      <c r="D1190" s="22"/>
      <c r="E1190" s="22"/>
      <c r="F1190" s="28"/>
      <c r="G1190" s="22"/>
      <c r="H1190" s="21"/>
      <c r="I1190" s="28"/>
      <c r="J1190" s="22"/>
      <c r="K1190" s="22"/>
      <c r="L1190" s="22"/>
      <c r="M1190" s="21"/>
      <c r="N1190" s="22"/>
      <c r="O1190" s="29" t="str">
        <f aca="false">IF(A1190="","",IF(COUNTIF($A$2:$A$2001,A1190)&gt;1,"GANDA","OK"))</f>
        <v/>
      </c>
      <c r="P1190" s="29" t="str">
        <f aca="false">IF(A1190="","",IF(C1190="","KOSONG",IF(AND(LEN(C1190)=16,ISNUMBER(--C1190)),"OK","TIDAK VALID")))</f>
        <v/>
      </c>
    </row>
    <row r="1191" customFormat="false" ht="15" hidden="false" customHeight="false" outlineLevel="0" collapsed="false">
      <c r="A1191" s="21"/>
      <c r="B1191" s="22"/>
      <c r="C1191" s="21"/>
      <c r="D1191" s="22"/>
      <c r="E1191" s="22"/>
      <c r="F1191" s="28"/>
      <c r="G1191" s="22"/>
      <c r="H1191" s="21"/>
      <c r="I1191" s="28"/>
      <c r="J1191" s="22"/>
      <c r="K1191" s="22"/>
      <c r="L1191" s="22"/>
      <c r="M1191" s="21"/>
      <c r="N1191" s="22"/>
      <c r="O1191" s="29" t="str">
        <f aca="false">IF(A1191="","",IF(COUNTIF($A$2:$A$2001,A1191)&gt;1,"GANDA","OK"))</f>
        <v/>
      </c>
      <c r="P1191" s="29" t="str">
        <f aca="false">IF(A1191="","",IF(C1191="","KOSONG",IF(AND(LEN(C1191)=16,ISNUMBER(--C1191)),"OK","TIDAK VALID")))</f>
        <v/>
      </c>
    </row>
    <row r="1192" customFormat="false" ht="15" hidden="false" customHeight="false" outlineLevel="0" collapsed="false">
      <c r="A1192" s="21"/>
      <c r="B1192" s="22"/>
      <c r="C1192" s="21"/>
      <c r="D1192" s="22"/>
      <c r="E1192" s="22"/>
      <c r="F1192" s="28"/>
      <c r="G1192" s="22"/>
      <c r="H1192" s="21"/>
      <c r="I1192" s="28"/>
      <c r="J1192" s="22"/>
      <c r="K1192" s="22"/>
      <c r="L1192" s="22"/>
      <c r="M1192" s="21"/>
      <c r="N1192" s="22"/>
      <c r="O1192" s="29" t="str">
        <f aca="false">IF(A1192="","",IF(COUNTIF($A$2:$A$2001,A1192)&gt;1,"GANDA","OK"))</f>
        <v/>
      </c>
      <c r="P1192" s="29" t="str">
        <f aca="false">IF(A1192="","",IF(C1192="","KOSONG",IF(AND(LEN(C1192)=16,ISNUMBER(--C1192)),"OK","TIDAK VALID")))</f>
        <v/>
      </c>
    </row>
    <row r="1193" customFormat="false" ht="15" hidden="false" customHeight="false" outlineLevel="0" collapsed="false">
      <c r="A1193" s="21"/>
      <c r="B1193" s="22"/>
      <c r="C1193" s="21"/>
      <c r="D1193" s="22"/>
      <c r="E1193" s="22"/>
      <c r="F1193" s="28"/>
      <c r="G1193" s="22"/>
      <c r="H1193" s="21"/>
      <c r="I1193" s="28"/>
      <c r="J1193" s="22"/>
      <c r="K1193" s="22"/>
      <c r="L1193" s="22"/>
      <c r="M1193" s="21"/>
      <c r="N1193" s="22"/>
      <c r="O1193" s="29" t="str">
        <f aca="false">IF(A1193="","",IF(COUNTIF($A$2:$A$2001,A1193)&gt;1,"GANDA","OK"))</f>
        <v/>
      </c>
      <c r="P1193" s="29" t="str">
        <f aca="false">IF(A1193="","",IF(C1193="","KOSONG",IF(AND(LEN(C1193)=16,ISNUMBER(--C1193)),"OK","TIDAK VALID")))</f>
        <v/>
      </c>
    </row>
    <row r="1194" customFormat="false" ht="15" hidden="false" customHeight="false" outlineLevel="0" collapsed="false">
      <c r="A1194" s="21"/>
      <c r="B1194" s="22"/>
      <c r="C1194" s="21"/>
      <c r="D1194" s="22"/>
      <c r="E1194" s="22"/>
      <c r="F1194" s="28"/>
      <c r="G1194" s="22"/>
      <c r="H1194" s="21"/>
      <c r="I1194" s="28"/>
      <c r="J1194" s="22"/>
      <c r="K1194" s="22"/>
      <c r="L1194" s="22"/>
      <c r="M1194" s="21"/>
      <c r="N1194" s="22"/>
      <c r="O1194" s="29" t="str">
        <f aca="false">IF(A1194="","",IF(COUNTIF($A$2:$A$2001,A1194)&gt;1,"GANDA","OK"))</f>
        <v/>
      </c>
      <c r="P1194" s="29" t="str">
        <f aca="false">IF(A1194="","",IF(C1194="","KOSONG",IF(AND(LEN(C1194)=16,ISNUMBER(--C1194)),"OK","TIDAK VALID")))</f>
        <v/>
      </c>
    </row>
    <row r="1195" customFormat="false" ht="15" hidden="false" customHeight="false" outlineLevel="0" collapsed="false">
      <c r="A1195" s="21"/>
      <c r="B1195" s="22"/>
      <c r="C1195" s="21"/>
      <c r="D1195" s="22"/>
      <c r="E1195" s="22"/>
      <c r="F1195" s="28"/>
      <c r="G1195" s="22"/>
      <c r="H1195" s="21"/>
      <c r="I1195" s="28"/>
      <c r="J1195" s="22"/>
      <c r="K1195" s="22"/>
      <c r="L1195" s="22"/>
      <c r="M1195" s="21"/>
      <c r="N1195" s="22"/>
      <c r="O1195" s="29" t="str">
        <f aca="false">IF(A1195="","",IF(COUNTIF($A$2:$A$2001,A1195)&gt;1,"GANDA","OK"))</f>
        <v/>
      </c>
      <c r="P1195" s="29" t="str">
        <f aca="false">IF(A1195="","",IF(C1195="","KOSONG",IF(AND(LEN(C1195)=16,ISNUMBER(--C1195)),"OK","TIDAK VALID")))</f>
        <v/>
      </c>
    </row>
    <row r="1196" customFormat="false" ht="15" hidden="false" customHeight="false" outlineLevel="0" collapsed="false">
      <c r="A1196" s="21"/>
      <c r="B1196" s="22"/>
      <c r="C1196" s="21"/>
      <c r="D1196" s="22"/>
      <c r="E1196" s="22"/>
      <c r="F1196" s="28"/>
      <c r="G1196" s="22"/>
      <c r="H1196" s="21"/>
      <c r="I1196" s="28"/>
      <c r="J1196" s="22"/>
      <c r="K1196" s="22"/>
      <c r="L1196" s="22"/>
      <c r="M1196" s="21"/>
      <c r="N1196" s="22"/>
      <c r="O1196" s="29" t="str">
        <f aca="false">IF(A1196="","",IF(COUNTIF($A$2:$A$2001,A1196)&gt;1,"GANDA","OK"))</f>
        <v/>
      </c>
      <c r="P1196" s="29" t="str">
        <f aca="false">IF(A1196="","",IF(C1196="","KOSONG",IF(AND(LEN(C1196)=16,ISNUMBER(--C1196)),"OK","TIDAK VALID")))</f>
        <v/>
      </c>
    </row>
    <row r="1197" customFormat="false" ht="15" hidden="false" customHeight="false" outlineLevel="0" collapsed="false">
      <c r="A1197" s="21"/>
      <c r="B1197" s="22"/>
      <c r="C1197" s="21"/>
      <c r="D1197" s="22"/>
      <c r="E1197" s="22"/>
      <c r="F1197" s="28"/>
      <c r="G1197" s="22"/>
      <c r="H1197" s="21"/>
      <c r="I1197" s="28"/>
      <c r="J1197" s="22"/>
      <c r="K1197" s="22"/>
      <c r="L1197" s="22"/>
      <c r="M1197" s="21"/>
      <c r="N1197" s="22"/>
      <c r="O1197" s="29" t="str">
        <f aca="false">IF(A1197="","",IF(COUNTIF($A$2:$A$2001,A1197)&gt;1,"GANDA","OK"))</f>
        <v/>
      </c>
      <c r="P1197" s="29" t="str">
        <f aca="false">IF(A1197="","",IF(C1197="","KOSONG",IF(AND(LEN(C1197)=16,ISNUMBER(--C1197)),"OK","TIDAK VALID")))</f>
        <v/>
      </c>
    </row>
    <row r="1198" customFormat="false" ht="15" hidden="false" customHeight="false" outlineLevel="0" collapsed="false">
      <c r="A1198" s="21"/>
      <c r="B1198" s="22"/>
      <c r="C1198" s="21"/>
      <c r="D1198" s="22"/>
      <c r="E1198" s="22"/>
      <c r="F1198" s="28"/>
      <c r="G1198" s="22"/>
      <c r="H1198" s="21"/>
      <c r="I1198" s="28"/>
      <c r="J1198" s="22"/>
      <c r="K1198" s="22"/>
      <c r="L1198" s="22"/>
      <c r="M1198" s="21"/>
      <c r="N1198" s="22"/>
      <c r="O1198" s="29" t="str">
        <f aca="false">IF(A1198="","",IF(COUNTIF($A$2:$A$2001,A1198)&gt;1,"GANDA","OK"))</f>
        <v/>
      </c>
      <c r="P1198" s="29" t="str">
        <f aca="false">IF(A1198="","",IF(C1198="","KOSONG",IF(AND(LEN(C1198)=16,ISNUMBER(--C1198)),"OK","TIDAK VALID")))</f>
        <v/>
      </c>
    </row>
    <row r="1199" customFormat="false" ht="15" hidden="false" customHeight="false" outlineLevel="0" collapsed="false">
      <c r="A1199" s="21"/>
      <c r="B1199" s="22"/>
      <c r="C1199" s="21"/>
      <c r="D1199" s="22"/>
      <c r="E1199" s="22"/>
      <c r="F1199" s="28"/>
      <c r="G1199" s="22"/>
      <c r="H1199" s="21"/>
      <c r="I1199" s="28"/>
      <c r="J1199" s="22"/>
      <c r="K1199" s="22"/>
      <c r="L1199" s="22"/>
      <c r="M1199" s="21"/>
      <c r="N1199" s="22"/>
      <c r="O1199" s="29" t="str">
        <f aca="false">IF(A1199="","",IF(COUNTIF($A$2:$A$2001,A1199)&gt;1,"GANDA","OK"))</f>
        <v/>
      </c>
      <c r="P1199" s="29" t="str">
        <f aca="false">IF(A1199="","",IF(C1199="","KOSONG",IF(AND(LEN(C1199)=16,ISNUMBER(--C1199)),"OK","TIDAK VALID")))</f>
        <v/>
      </c>
    </row>
    <row r="1200" customFormat="false" ht="15" hidden="false" customHeight="false" outlineLevel="0" collapsed="false">
      <c r="A1200" s="21"/>
      <c r="B1200" s="22"/>
      <c r="C1200" s="21"/>
      <c r="D1200" s="22"/>
      <c r="E1200" s="22"/>
      <c r="F1200" s="28"/>
      <c r="G1200" s="22"/>
      <c r="H1200" s="21"/>
      <c r="I1200" s="28"/>
      <c r="J1200" s="22"/>
      <c r="K1200" s="22"/>
      <c r="L1200" s="22"/>
      <c r="M1200" s="21"/>
      <c r="N1200" s="22"/>
      <c r="O1200" s="29" t="str">
        <f aca="false">IF(A1200="","",IF(COUNTIF($A$2:$A$2001,A1200)&gt;1,"GANDA","OK"))</f>
        <v/>
      </c>
      <c r="P1200" s="29" t="str">
        <f aca="false">IF(A1200="","",IF(C1200="","KOSONG",IF(AND(LEN(C1200)=16,ISNUMBER(--C1200)),"OK","TIDAK VALID")))</f>
        <v/>
      </c>
    </row>
    <row r="1201" customFormat="false" ht="15" hidden="false" customHeight="false" outlineLevel="0" collapsed="false">
      <c r="A1201" s="21"/>
      <c r="B1201" s="22"/>
      <c r="C1201" s="21"/>
      <c r="D1201" s="22"/>
      <c r="E1201" s="22"/>
      <c r="F1201" s="28"/>
      <c r="G1201" s="22"/>
      <c r="H1201" s="21"/>
      <c r="I1201" s="28"/>
      <c r="J1201" s="22"/>
      <c r="K1201" s="22"/>
      <c r="L1201" s="22"/>
      <c r="M1201" s="21"/>
      <c r="N1201" s="22"/>
      <c r="O1201" s="29" t="str">
        <f aca="false">IF(A1201="","",IF(COUNTIF($A$2:$A$2001,A1201)&gt;1,"GANDA","OK"))</f>
        <v/>
      </c>
      <c r="P1201" s="29" t="str">
        <f aca="false">IF(A1201="","",IF(C1201="","KOSONG",IF(AND(LEN(C1201)=16,ISNUMBER(--C1201)),"OK","TIDAK VALID")))</f>
        <v/>
      </c>
    </row>
    <row r="1202" customFormat="false" ht="15" hidden="false" customHeight="false" outlineLevel="0" collapsed="false">
      <c r="A1202" s="21"/>
      <c r="B1202" s="22"/>
      <c r="C1202" s="21"/>
      <c r="D1202" s="22"/>
      <c r="E1202" s="22"/>
      <c r="F1202" s="28"/>
      <c r="G1202" s="22"/>
      <c r="H1202" s="21"/>
      <c r="I1202" s="28"/>
      <c r="J1202" s="22"/>
      <c r="K1202" s="22"/>
      <c r="L1202" s="22"/>
      <c r="M1202" s="21"/>
      <c r="N1202" s="22"/>
      <c r="O1202" s="29" t="str">
        <f aca="false">IF(A1202="","",IF(COUNTIF($A$2:$A$2001,A1202)&gt;1,"GANDA","OK"))</f>
        <v/>
      </c>
      <c r="P1202" s="29" t="str">
        <f aca="false">IF(A1202="","",IF(C1202="","KOSONG",IF(AND(LEN(C1202)=16,ISNUMBER(--C1202)),"OK","TIDAK VALID")))</f>
        <v/>
      </c>
    </row>
    <row r="1203" customFormat="false" ht="15" hidden="false" customHeight="false" outlineLevel="0" collapsed="false">
      <c r="A1203" s="21"/>
      <c r="B1203" s="22"/>
      <c r="C1203" s="21"/>
      <c r="D1203" s="22"/>
      <c r="E1203" s="22"/>
      <c r="F1203" s="28"/>
      <c r="G1203" s="22"/>
      <c r="H1203" s="21"/>
      <c r="I1203" s="28"/>
      <c r="J1203" s="22"/>
      <c r="K1203" s="22"/>
      <c r="L1203" s="22"/>
      <c r="M1203" s="21"/>
      <c r="N1203" s="22"/>
      <c r="O1203" s="29" t="str">
        <f aca="false">IF(A1203="","",IF(COUNTIF($A$2:$A$2001,A1203)&gt;1,"GANDA","OK"))</f>
        <v/>
      </c>
      <c r="P1203" s="29" t="str">
        <f aca="false">IF(A1203="","",IF(C1203="","KOSONG",IF(AND(LEN(C1203)=16,ISNUMBER(--C1203)),"OK","TIDAK VALID")))</f>
        <v/>
      </c>
    </row>
    <row r="1204" customFormat="false" ht="15" hidden="false" customHeight="false" outlineLevel="0" collapsed="false">
      <c r="A1204" s="21"/>
      <c r="B1204" s="22"/>
      <c r="C1204" s="21"/>
      <c r="D1204" s="22"/>
      <c r="E1204" s="22"/>
      <c r="F1204" s="28"/>
      <c r="G1204" s="22"/>
      <c r="H1204" s="21"/>
      <c r="I1204" s="28"/>
      <c r="J1204" s="22"/>
      <c r="K1204" s="22"/>
      <c r="L1204" s="22"/>
      <c r="M1204" s="21"/>
      <c r="N1204" s="22"/>
      <c r="O1204" s="29" t="str">
        <f aca="false">IF(A1204="","",IF(COUNTIF($A$2:$A$2001,A1204)&gt;1,"GANDA","OK"))</f>
        <v/>
      </c>
      <c r="P1204" s="29" t="str">
        <f aca="false">IF(A1204="","",IF(C1204="","KOSONG",IF(AND(LEN(C1204)=16,ISNUMBER(--C1204)),"OK","TIDAK VALID")))</f>
        <v/>
      </c>
    </row>
    <row r="1205" customFormat="false" ht="15" hidden="false" customHeight="false" outlineLevel="0" collapsed="false">
      <c r="A1205" s="21"/>
      <c r="B1205" s="22"/>
      <c r="C1205" s="21"/>
      <c r="D1205" s="22"/>
      <c r="E1205" s="22"/>
      <c r="F1205" s="28"/>
      <c r="G1205" s="22"/>
      <c r="H1205" s="21"/>
      <c r="I1205" s="28"/>
      <c r="J1205" s="22"/>
      <c r="K1205" s="22"/>
      <c r="L1205" s="22"/>
      <c r="M1205" s="21"/>
      <c r="N1205" s="22"/>
      <c r="O1205" s="29" t="str">
        <f aca="false">IF(A1205="","",IF(COUNTIF($A$2:$A$2001,A1205)&gt;1,"GANDA","OK"))</f>
        <v/>
      </c>
      <c r="P1205" s="29" t="str">
        <f aca="false">IF(A1205="","",IF(C1205="","KOSONG",IF(AND(LEN(C1205)=16,ISNUMBER(--C1205)),"OK","TIDAK VALID")))</f>
        <v/>
      </c>
    </row>
    <row r="1206" customFormat="false" ht="15" hidden="false" customHeight="false" outlineLevel="0" collapsed="false">
      <c r="A1206" s="21"/>
      <c r="B1206" s="22"/>
      <c r="C1206" s="21"/>
      <c r="D1206" s="22"/>
      <c r="E1206" s="22"/>
      <c r="F1206" s="28"/>
      <c r="G1206" s="22"/>
      <c r="H1206" s="21"/>
      <c r="I1206" s="28"/>
      <c r="J1206" s="22"/>
      <c r="K1206" s="22"/>
      <c r="L1206" s="22"/>
      <c r="M1206" s="21"/>
      <c r="N1206" s="22"/>
      <c r="O1206" s="29" t="str">
        <f aca="false">IF(A1206="","",IF(COUNTIF($A$2:$A$2001,A1206)&gt;1,"GANDA","OK"))</f>
        <v/>
      </c>
      <c r="P1206" s="29" t="str">
        <f aca="false">IF(A1206="","",IF(C1206="","KOSONG",IF(AND(LEN(C1206)=16,ISNUMBER(--C1206)),"OK","TIDAK VALID")))</f>
        <v/>
      </c>
    </row>
    <row r="1207" customFormat="false" ht="15" hidden="false" customHeight="false" outlineLevel="0" collapsed="false">
      <c r="A1207" s="21"/>
      <c r="B1207" s="22"/>
      <c r="C1207" s="21"/>
      <c r="D1207" s="22"/>
      <c r="E1207" s="22"/>
      <c r="F1207" s="28"/>
      <c r="G1207" s="22"/>
      <c r="H1207" s="21"/>
      <c r="I1207" s="28"/>
      <c r="J1207" s="22"/>
      <c r="K1207" s="22"/>
      <c r="L1207" s="22"/>
      <c r="M1207" s="21"/>
      <c r="N1207" s="22"/>
      <c r="O1207" s="29" t="str">
        <f aca="false">IF(A1207="","",IF(COUNTIF($A$2:$A$2001,A1207)&gt;1,"GANDA","OK"))</f>
        <v/>
      </c>
      <c r="P1207" s="29" t="str">
        <f aca="false">IF(A1207="","",IF(C1207="","KOSONG",IF(AND(LEN(C1207)=16,ISNUMBER(--C1207)),"OK","TIDAK VALID")))</f>
        <v/>
      </c>
    </row>
    <row r="1208" customFormat="false" ht="15" hidden="false" customHeight="false" outlineLevel="0" collapsed="false">
      <c r="A1208" s="21"/>
      <c r="B1208" s="22"/>
      <c r="C1208" s="21"/>
      <c r="D1208" s="22"/>
      <c r="E1208" s="22"/>
      <c r="F1208" s="28"/>
      <c r="G1208" s="22"/>
      <c r="H1208" s="21"/>
      <c r="I1208" s="28"/>
      <c r="J1208" s="22"/>
      <c r="K1208" s="22"/>
      <c r="L1208" s="22"/>
      <c r="M1208" s="21"/>
      <c r="N1208" s="22"/>
      <c r="O1208" s="29" t="str">
        <f aca="false">IF(A1208="","",IF(COUNTIF($A$2:$A$2001,A1208)&gt;1,"GANDA","OK"))</f>
        <v/>
      </c>
      <c r="P1208" s="29" t="str">
        <f aca="false">IF(A1208="","",IF(C1208="","KOSONG",IF(AND(LEN(C1208)=16,ISNUMBER(--C1208)),"OK","TIDAK VALID")))</f>
        <v/>
      </c>
    </row>
    <row r="1209" customFormat="false" ht="15" hidden="false" customHeight="false" outlineLevel="0" collapsed="false">
      <c r="A1209" s="21"/>
      <c r="B1209" s="22"/>
      <c r="C1209" s="21"/>
      <c r="D1209" s="22"/>
      <c r="E1209" s="22"/>
      <c r="F1209" s="28"/>
      <c r="G1209" s="22"/>
      <c r="H1209" s="21"/>
      <c r="I1209" s="28"/>
      <c r="J1209" s="22"/>
      <c r="K1209" s="22"/>
      <c r="L1209" s="22"/>
      <c r="M1209" s="21"/>
      <c r="N1209" s="22"/>
      <c r="O1209" s="29" t="str">
        <f aca="false">IF(A1209="","",IF(COUNTIF($A$2:$A$2001,A1209)&gt;1,"GANDA","OK"))</f>
        <v/>
      </c>
      <c r="P1209" s="29" t="str">
        <f aca="false">IF(A1209="","",IF(C1209="","KOSONG",IF(AND(LEN(C1209)=16,ISNUMBER(--C1209)),"OK","TIDAK VALID")))</f>
        <v/>
      </c>
    </row>
    <row r="1210" customFormat="false" ht="15" hidden="false" customHeight="false" outlineLevel="0" collapsed="false">
      <c r="A1210" s="21"/>
      <c r="B1210" s="22"/>
      <c r="C1210" s="21"/>
      <c r="D1210" s="22"/>
      <c r="E1210" s="22"/>
      <c r="F1210" s="28"/>
      <c r="G1210" s="22"/>
      <c r="H1210" s="21"/>
      <c r="I1210" s="28"/>
      <c r="J1210" s="22"/>
      <c r="K1210" s="22"/>
      <c r="L1210" s="22"/>
      <c r="M1210" s="21"/>
      <c r="N1210" s="22"/>
      <c r="O1210" s="29" t="str">
        <f aca="false">IF(A1210="","",IF(COUNTIF($A$2:$A$2001,A1210)&gt;1,"GANDA","OK"))</f>
        <v/>
      </c>
      <c r="P1210" s="29" t="str">
        <f aca="false">IF(A1210="","",IF(C1210="","KOSONG",IF(AND(LEN(C1210)=16,ISNUMBER(--C1210)),"OK","TIDAK VALID")))</f>
        <v/>
      </c>
    </row>
    <row r="1211" customFormat="false" ht="15" hidden="false" customHeight="false" outlineLevel="0" collapsed="false">
      <c r="A1211" s="21"/>
      <c r="B1211" s="22"/>
      <c r="C1211" s="21"/>
      <c r="D1211" s="22"/>
      <c r="E1211" s="22"/>
      <c r="F1211" s="28"/>
      <c r="G1211" s="22"/>
      <c r="H1211" s="21"/>
      <c r="I1211" s="28"/>
      <c r="J1211" s="22"/>
      <c r="K1211" s="22"/>
      <c r="L1211" s="22"/>
      <c r="M1211" s="21"/>
      <c r="N1211" s="22"/>
      <c r="O1211" s="29" t="str">
        <f aca="false">IF(A1211="","",IF(COUNTIF($A$2:$A$2001,A1211)&gt;1,"GANDA","OK"))</f>
        <v/>
      </c>
      <c r="P1211" s="29" t="str">
        <f aca="false">IF(A1211="","",IF(C1211="","KOSONG",IF(AND(LEN(C1211)=16,ISNUMBER(--C1211)),"OK","TIDAK VALID")))</f>
        <v/>
      </c>
    </row>
    <row r="1212" customFormat="false" ht="15" hidden="false" customHeight="false" outlineLevel="0" collapsed="false">
      <c r="A1212" s="21"/>
      <c r="B1212" s="22"/>
      <c r="C1212" s="21"/>
      <c r="D1212" s="22"/>
      <c r="E1212" s="22"/>
      <c r="F1212" s="28"/>
      <c r="G1212" s="22"/>
      <c r="H1212" s="21"/>
      <c r="I1212" s="28"/>
      <c r="J1212" s="22"/>
      <c r="K1212" s="22"/>
      <c r="L1212" s="22"/>
      <c r="M1212" s="21"/>
      <c r="N1212" s="22"/>
      <c r="O1212" s="29" t="str">
        <f aca="false">IF(A1212="","",IF(COUNTIF($A$2:$A$2001,A1212)&gt;1,"GANDA","OK"))</f>
        <v/>
      </c>
      <c r="P1212" s="29" t="str">
        <f aca="false">IF(A1212="","",IF(C1212="","KOSONG",IF(AND(LEN(C1212)=16,ISNUMBER(--C1212)),"OK","TIDAK VALID")))</f>
        <v/>
      </c>
    </row>
    <row r="1213" customFormat="false" ht="15" hidden="false" customHeight="false" outlineLevel="0" collapsed="false">
      <c r="A1213" s="21"/>
      <c r="B1213" s="22"/>
      <c r="C1213" s="21"/>
      <c r="D1213" s="22"/>
      <c r="E1213" s="22"/>
      <c r="F1213" s="28"/>
      <c r="G1213" s="22"/>
      <c r="H1213" s="21"/>
      <c r="I1213" s="28"/>
      <c r="J1213" s="22"/>
      <c r="K1213" s="22"/>
      <c r="L1213" s="22"/>
      <c r="M1213" s="21"/>
      <c r="N1213" s="22"/>
      <c r="O1213" s="29" t="str">
        <f aca="false">IF(A1213="","",IF(COUNTIF($A$2:$A$2001,A1213)&gt;1,"GANDA","OK"))</f>
        <v/>
      </c>
      <c r="P1213" s="29" t="str">
        <f aca="false">IF(A1213="","",IF(C1213="","KOSONG",IF(AND(LEN(C1213)=16,ISNUMBER(--C1213)),"OK","TIDAK VALID")))</f>
        <v/>
      </c>
    </row>
    <row r="1214" customFormat="false" ht="15" hidden="false" customHeight="false" outlineLevel="0" collapsed="false">
      <c r="A1214" s="21"/>
      <c r="B1214" s="22"/>
      <c r="C1214" s="21"/>
      <c r="D1214" s="22"/>
      <c r="E1214" s="22"/>
      <c r="F1214" s="28"/>
      <c r="G1214" s="22"/>
      <c r="H1214" s="21"/>
      <c r="I1214" s="28"/>
      <c r="J1214" s="22"/>
      <c r="K1214" s="22"/>
      <c r="L1214" s="22"/>
      <c r="M1214" s="21"/>
      <c r="N1214" s="22"/>
      <c r="O1214" s="29" t="str">
        <f aca="false">IF(A1214="","",IF(COUNTIF($A$2:$A$2001,A1214)&gt;1,"GANDA","OK"))</f>
        <v/>
      </c>
      <c r="P1214" s="29" t="str">
        <f aca="false">IF(A1214="","",IF(C1214="","KOSONG",IF(AND(LEN(C1214)=16,ISNUMBER(--C1214)),"OK","TIDAK VALID")))</f>
        <v/>
      </c>
    </row>
    <row r="1215" customFormat="false" ht="15" hidden="false" customHeight="false" outlineLevel="0" collapsed="false">
      <c r="A1215" s="21"/>
      <c r="B1215" s="22"/>
      <c r="C1215" s="21"/>
      <c r="D1215" s="22"/>
      <c r="E1215" s="22"/>
      <c r="F1215" s="28"/>
      <c r="G1215" s="22"/>
      <c r="H1215" s="21"/>
      <c r="I1215" s="28"/>
      <c r="J1215" s="22"/>
      <c r="K1215" s="22"/>
      <c r="L1215" s="22"/>
      <c r="M1215" s="21"/>
      <c r="N1215" s="22"/>
      <c r="O1215" s="29" t="str">
        <f aca="false">IF(A1215="","",IF(COUNTIF($A$2:$A$2001,A1215)&gt;1,"GANDA","OK"))</f>
        <v/>
      </c>
      <c r="P1215" s="29" t="str">
        <f aca="false">IF(A1215="","",IF(C1215="","KOSONG",IF(AND(LEN(C1215)=16,ISNUMBER(--C1215)),"OK","TIDAK VALID")))</f>
        <v/>
      </c>
    </row>
    <row r="1216" customFormat="false" ht="15" hidden="false" customHeight="false" outlineLevel="0" collapsed="false">
      <c r="A1216" s="21"/>
      <c r="B1216" s="22"/>
      <c r="C1216" s="21"/>
      <c r="D1216" s="22"/>
      <c r="E1216" s="22"/>
      <c r="F1216" s="28"/>
      <c r="G1216" s="22"/>
      <c r="H1216" s="21"/>
      <c r="I1216" s="28"/>
      <c r="J1216" s="22"/>
      <c r="K1216" s="22"/>
      <c r="L1216" s="22"/>
      <c r="M1216" s="21"/>
      <c r="N1216" s="22"/>
      <c r="O1216" s="29" t="str">
        <f aca="false">IF(A1216="","",IF(COUNTIF($A$2:$A$2001,A1216)&gt;1,"GANDA","OK"))</f>
        <v/>
      </c>
      <c r="P1216" s="29" t="str">
        <f aca="false">IF(A1216="","",IF(C1216="","KOSONG",IF(AND(LEN(C1216)=16,ISNUMBER(--C1216)),"OK","TIDAK VALID")))</f>
        <v/>
      </c>
    </row>
    <row r="1217" customFormat="false" ht="15" hidden="false" customHeight="false" outlineLevel="0" collapsed="false">
      <c r="A1217" s="21"/>
      <c r="B1217" s="22"/>
      <c r="C1217" s="21"/>
      <c r="D1217" s="22"/>
      <c r="E1217" s="22"/>
      <c r="F1217" s="28"/>
      <c r="G1217" s="22"/>
      <c r="H1217" s="21"/>
      <c r="I1217" s="28"/>
      <c r="J1217" s="22"/>
      <c r="K1217" s="22"/>
      <c r="L1217" s="22"/>
      <c r="M1217" s="21"/>
      <c r="N1217" s="22"/>
      <c r="O1217" s="29" t="str">
        <f aca="false">IF(A1217="","",IF(COUNTIF($A$2:$A$2001,A1217)&gt;1,"GANDA","OK"))</f>
        <v/>
      </c>
      <c r="P1217" s="29" t="str">
        <f aca="false">IF(A1217="","",IF(C1217="","KOSONG",IF(AND(LEN(C1217)=16,ISNUMBER(--C1217)),"OK","TIDAK VALID")))</f>
        <v/>
      </c>
    </row>
    <row r="1218" customFormat="false" ht="15" hidden="false" customHeight="false" outlineLevel="0" collapsed="false">
      <c r="A1218" s="21"/>
      <c r="B1218" s="22"/>
      <c r="C1218" s="21"/>
      <c r="D1218" s="22"/>
      <c r="E1218" s="22"/>
      <c r="F1218" s="28"/>
      <c r="G1218" s="22"/>
      <c r="H1218" s="21"/>
      <c r="I1218" s="28"/>
      <c r="J1218" s="22"/>
      <c r="K1218" s="22"/>
      <c r="L1218" s="22"/>
      <c r="M1218" s="21"/>
      <c r="N1218" s="22"/>
      <c r="O1218" s="29" t="str">
        <f aca="false">IF(A1218="","",IF(COUNTIF($A$2:$A$2001,A1218)&gt;1,"GANDA","OK"))</f>
        <v/>
      </c>
      <c r="P1218" s="29" t="str">
        <f aca="false">IF(A1218="","",IF(C1218="","KOSONG",IF(AND(LEN(C1218)=16,ISNUMBER(--C1218)),"OK","TIDAK VALID")))</f>
        <v/>
      </c>
    </row>
    <row r="1219" customFormat="false" ht="15" hidden="false" customHeight="false" outlineLevel="0" collapsed="false">
      <c r="A1219" s="21"/>
      <c r="B1219" s="22"/>
      <c r="C1219" s="21"/>
      <c r="D1219" s="22"/>
      <c r="E1219" s="22"/>
      <c r="F1219" s="28"/>
      <c r="G1219" s="22"/>
      <c r="H1219" s="21"/>
      <c r="I1219" s="28"/>
      <c r="J1219" s="22"/>
      <c r="K1219" s="22"/>
      <c r="L1219" s="22"/>
      <c r="M1219" s="21"/>
      <c r="N1219" s="22"/>
      <c r="O1219" s="29" t="str">
        <f aca="false">IF(A1219="","",IF(COUNTIF($A$2:$A$2001,A1219)&gt;1,"GANDA","OK"))</f>
        <v/>
      </c>
      <c r="P1219" s="29" t="str">
        <f aca="false">IF(A1219="","",IF(C1219="","KOSONG",IF(AND(LEN(C1219)=16,ISNUMBER(--C1219)),"OK","TIDAK VALID")))</f>
        <v/>
      </c>
    </row>
    <row r="1220" customFormat="false" ht="15" hidden="false" customHeight="false" outlineLevel="0" collapsed="false">
      <c r="A1220" s="21"/>
      <c r="B1220" s="22"/>
      <c r="C1220" s="21"/>
      <c r="D1220" s="22"/>
      <c r="E1220" s="22"/>
      <c r="F1220" s="28"/>
      <c r="G1220" s="22"/>
      <c r="H1220" s="21"/>
      <c r="I1220" s="28"/>
      <c r="J1220" s="22"/>
      <c r="K1220" s="22"/>
      <c r="L1220" s="22"/>
      <c r="M1220" s="21"/>
      <c r="N1220" s="22"/>
      <c r="O1220" s="29" t="str">
        <f aca="false">IF(A1220="","",IF(COUNTIF($A$2:$A$2001,A1220)&gt;1,"GANDA","OK"))</f>
        <v/>
      </c>
      <c r="P1220" s="29" t="str">
        <f aca="false">IF(A1220="","",IF(C1220="","KOSONG",IF(AND(LEN(C1220)=16,ISNUMBER(--C1220)),"OK","TIDAK VALID")))</f>
        <v/>
      </c>
    </row>
    <row r="1221" customFormat="false" ht="15" hidden="false" customHeight="false" outlineLevel="0" collapsed="false">
      <c r="A1221" s="21"/>
      <c r="B1221" s="22"/>
      <c r="C1221" s="21"/>
      <c r="D1221" s="22"/>
      <c r="E1221" s="22"/>
      <c r="F1221" s="28"/>
      <c r="G1221" s="22"/>
      <c r="H1221" s="21"/>
      <c r="I1221" s="28"/>
      <c r="J1221" s="22"/>
      <c r="K1221" s="22"/>
      <c r="L1221" s="22"/>
      <c r="M1221" s="21"/>
      <c r="N1221" s="22"/>
      <c r="O1221" s="29" t="str">
        <f aca="false">IF(A1221="","",IF(COUNTIF($A$2:$A$2001,A1221)&gt;1,"GANDA","OK"))</f>
        <v/>
      </c>
      <c r="P1221" s="29" t="str">
        <f aca="false">IF(A1221="","",IF(C1221="","KOSONG",IF(AND(LEN(C1221)=16,ISNUMBER(--C1221)),"OK","TIDAK VALID")))</f>
        <v/>
      </c>
    </row>
    <row r="1222" customFormat="false" ht="15" hidden="false" customHeight="false" outlineLevel="0" collapsed="false">
      <c r="A1222" s="21"/>
      <c r="B1222" s="22"/>
      <c r="C1222" s="21"/>
      <c r="D1222" s="22"/>
      <c r="E1222" s="22"/>
      <c r="F1222" s="28"/>
      <c r="G1222" s="22"/>
      <c r="H1222" s="21"/>
      <c r="I1222" s="28"/>
      <c r="J1222" s="22"/>
      <c r="K1222" s="22"/>
      <c r="L1222" s="22"/>
      <c r="M1222" s="21"/>
      <c r="N1222" s="22"/>
      <c r="O1222" s="29" t="str">
        <f aca="false">IF(A1222="","",IF(COUNTIF($A$2:$A$2001,A1222)&gt;1,"GANDA","OK"))</f>
        <v/>
      </c>
      <c r="P1222" s="29" t="str">
        <f aca="false">IF(A1222="","",IF(C1222="","KOSONG",IF(AND(LEN(C1222)=16,ISNUMBER(--C1222)),"OK","TIDAK VALID")))</f>
        <v/>
      </c>
    </row>
    <row r="1223" customFormat="false" ht="15" hidden="false" customHeight="false" outlineLevel="0" collapsed="false">
      <c r="A1223" s="21"/>
      <c r="B1223" s="22"/>
      <c r="C1223" s="21"/>
      <c r="D1223" s="22"/>
      <c r="E1223" s="22"/>
      <c r="F1223" s="28"/>
      <c r="G1223" s="22"/>
      <c r="H1223" s="21"/>
      <c r="I1223" s="28"/>
      <c r="J1223" s="22"/>
      <c r="K1223" s="22"/>
      <c r="L1223" s="22"/>
      <c r="M1223" s="21"/>
      <c r="N1223" s="22"/>
      <c r="O1223" s="29" t="str">
        <f aca="false">IF(A1223="","",IF(COUNTIF($A$2:$A$2001,A1223)&gt;1,"GANDA","OK"))</f>
        <v/>
      </c>
      <c r="P1223" s="29" t="str">
        <f aca="false">IF(A1223="","",IF(C1223="","KOSONG",IF(AND(LEN(C1223)=16,ISNUMBER(--C1223)),"OK","TIDAK VALID")))</f>
        <v/>
      </c>
    </row>
    <row r="1224" customFormat="false" ht="15" hidden="false" customHeight="false" outlineLevel="0" collapsed="false">
      <c r="A1224" s="21"/>
      <c r="B1224" s="22"/>
      <c r="C1224" s="21"/>
      <c r="D1224" s="22"/>
      <c r="E1224" s="22"/>
      <c r="F1224" s="28"/>
      <c r="G1224" s="22"/>
      <c r="H1224" s="21"/>
      <c r="I1224" s="28"/>
      <c r="J1224" s="22"/>
      <c r="K1224" s="22"/>
      <c r="L1224" s="22"/>
      <c r="M1224" s="21"/>
      <c r="N1224" s="22"/>
      <c r="O1224" s="29" t="str">
        <f aca="false">IF(A1224="","",IF(COUNTIF($A$2:$A$2001,A1224)&gt;1,"GANDA","OK"))</f>
        <v/>
      </c>
      <c r="P1224" s="29" t="str">
        <f aca="false">IF(A1224="","",IF(C1224="","KOSONG",IF(AND(LEN(C1224)=16,ISNUMBER(--C1224)),"OK","TIDAK VALID")))</f>
        <v/>
      </c>
    </row>
    <row r="1225" customFormat="false" ht="15" hidden="false" customHeight="false" outlineLevel="0" collapsed="false">
      <c r="A1225" s="21"/>
      <c r="B1225" s="22"/>
      <c r="C1225" s="21"/>
      <c r="D1225" s="22"/>
      <c r="E1225" s="22"/>
      <c r="F1225" s="28"/>
      <c r="G1225" s="22"/>
      <c r="H1225" s="21"/>
      <c r="I1225" s="28"/>
      <c r="J1225" s="22"/>
      <c r="K1225" s="22"/>
      <c r="L1225" s="22"/>
      <c r="M1225" s="21"/>
      <c r="N1225" s="22"/>
      <c r="O1225" s="29" t="str">
        <f aca="false">IF(A1225="","",IF(COUNTIF($A$2:$A$2001,A1225)&gt;1,"GANDA","OK"))</f>
        <v/>
      </c>
      <c r="P1225" s="29" t="str">
        <f aca="false">IF(A1225="","",IF(C1225="","KOSONG",IF(AND(LEN(C1225)=16,ISNUMBER(--C1225)),"OK","TIDAK VALID")))</f>
        <v/>
      </c>
    </row>
    <row r="1226" customFormat="false" ht="15" hidden="false" customHeight="false" outlineLevel="0" collapsed="false">
      <c r="A1226" s="21"/>
      <c r="B1226" s="22"/>
      <c r="C1226" s="21"/>
      <c r="D1226" s="22"/>
      <c r="E1226" s="22"/>
      <c r="F1226" s="28"/>
      <c r="G1226" s="22"/>
      <c r="H1226" s="21"/>
      <c r="I1226" s="28"/>
      <c r="J1226" s="22"/>
      <c r="K1226" s="22"/>
      <c r="L1226" s="22"/>
      <c r="M1226" s="21"/>
      <c r="N1226" s="22"/>
      <c r="O1226" s="29" t="str">
        <f aca="false">IF(A1226="","",IF(COUNTIF($A$2:$A$2001,A1226)&gt;1,"GANDA","OK"))</f>
        <v/>
      </c>
      <c r="P1226" s="29" t="str">
        <f aca="false">IF(A1226="","",IF(C1226="","KOSONG",IF(AND(LEN(C1226)=16,ISNUMBER(--C1226)),"OK","TIDAK VALID")))</f>
        <v/>
      </c>
    </row>
    <row r="1227" customFormat="false" ht="15" hidden="false" customHeight="false" outlineLevel="0" collapsed="false">
      <c r="A1227" s="21"/>
      <c r="B1227" s="22"/>
      <c r="C1227" s="21"/>
      <c r="D1227" s="22"/>
      <c r="E1227" s="22"/>
      <c r="F1227" s="28"/>
      <c r="G1227" s="22"/>
      <c r="H1227" s="21"/>
      <c r="I1227" s="28"/>
      <c r="J1227" s="22"/>
      <c r="K1227" s="22"/>
      <c r="L1227" s="22"/>
      <c r="M1227" s="21"/>
      <c r="N1227" s="22"/>
      <c r="O1227" s="29" t="str">
        <f aca="false">IF(A1227="","",IF(COUNTIF($A$2:$A$2001,A1227)&gt;1,"GANDA","OK"))</f>
        <v/>
      </c>
      <c r="P1227" s="29" t="str">
        <f aca="false">IF(A1227="","",IF(C1227="","KOSONG",IF(AND(LEN(C1227)=16,ISNUMBER(--C1227)),"OK","TIDAK VALID")))</f>
        <v/>
      </c>
    </row>
    <row r="1228" customFormat="false" ht="15" hidden="false" customHeight="false" outlineLevel="0" collapsed="false">
      <c r="A1228" s="21"/>
      <c r="B1228" s="22"/>
      <c r="C1228" s="21"/>
      <c r="D1228" s="22"/>
      <c r="E1228" s="22"/>
      <c r="F1228" s="28"/>
      <c r="G1228" s="22"/>
      <c r="H1228" s="21"/>
      <c r="I1228" s="28"/>
      <c r="J1228" s="22"/>
      <c r="K1228" s="22"/>
      <c r="L1228" s="22"/>
      <c r="M1228" s="21"/>
      <c r="N1228" s="22"/>
      <c r="O1228" s="29" t="str">
        <f aca="false">IF(A1228="","",IF(COUNTIF($A$2:$A$2001,A1228)&gt;1,"GANDA","OK"))</f>
        <v/>
      </c>
      <c r="P1228" s="29" t="str">
        <f aca="false">IF(A1228="","",IF(C1228="","KOSONG",IF(AND(LEN(C1228)=16,ISNUMBER(--C1228)),"OK","TIDAK VALID")))</f>
        <v/>
      </c>
    </row>
    <row r="1229" customFormat="false" ht="15" hidden="false" customHeight="false" outlineLevel="0" collapsed="false">
      <c r="A1229" s="21"/>
      <c r="B1229" s="22"/>
      <c r="C1229" s="21"/>
      <c r="D1229" s="22"/>
      <c r="E1229" s="22"/>
      <c r="F1229" s="28"/>
      <c r="G1229" s="22"/>
      <c r="H1229" s="21"/>
      <c r="I1229" s="28"/>
      <c r="J1229" s="22"/>
      <c r="K1229" s="22"/>
      <c r="L1229" s="22"/>
      <c r="M1229" s="21"/>
      <c r="N1229" s="22"/>
      <c r="O1229" s="29" t="str">
        <f aca="false">IF(A1229="","",IF(COUNTIF($A$2:$A$2001,A1229)&gt;1,"GANDA","OK"))</f>
        <v/>
      </c>
      <c r="P1229" s="29" t="str">
        <f aca="false">IF(A1229="","",IF(C1229="","KOSONG",IF(AND(LEN(C1229)=16,ISNUMBER(--C1229)),"OK","TIDAK VALID")))</f>
        <v/>
      </c>
    </row>
    <row r="1230" customFormat="false" ht="15" hidden="false" customHeight="false" outlineLevel="0" collapsed="false">
      <c r="A1230" s="21"/>
      <c r="B1230" s="22"/>
      <c r="C1230" s="21"/>
      <c r="D1230" s="22"/>
      <c r="E1230" s="22"/>
      <c r="F1230" s="28"/>
      <c r="G1230" s="22"/>
      <c r="H1230" s="21"/>
      <c r="I1230" s="28"/>
      <c r="J1230" s="22"/>
      <c r="K1230" s="22"/>
      <c r="L1230" s="22"/>
      <c r="M1230" s="21"/>
      <c r="N1230" s="22"/>
      <c r="O1230" s="29" t="str">
        <f aca="false">IF(A1230="","",IF(COUNTIF($A$2:$A$2001,A1230)&gt;1,"GANDA","OK"))</f>
        <v/>
      </c>
      <c r="P1230" s="29" t="str">
        <f aca="false">IF(A1230="","",IF(C1230="","KOSONG",IF(AND(LEN(C1230)=16,ISNUMBER(--C1230)),"OK","TIDAK VALID")))</f>
        <v/>
      </c>
    </row>
    <row r="1231" customFormat="false" ht="15" hidden="false" customHeight="false" outlineLevel="0" collapsed="false">
      <c r="A1231" s="21"/>
      <c r="B1231" s="22"/>
      <c r="C1231" s="21"/>
      <c r="D1231" s="22"/>
      <c r="E1231" s="22"/>
      <c r="F1231" s="28"/>
      <c r="G1231" s="22"/>
      <c r="H1231" s="21"/>
      <c r="I1231" s="28"/>
      <c r="J1231" s="22"/>
      <c r="K1231" s="22"/>
      <c r="L1231" s="22"/>
      <c r="M1231" s="21"/>
      <c r="N1231" s="22"/>
      <c r="O1231" s="29" t="str">
        <f aca="false">IF(A1231="","",IF(COUNTIF($A$2:$A$2001,A1231)&gt;1,"GANDA","OK"))</f>
        <v/>
      </c>
      <c r="P1231" s="29" t="str">
        <f aca="false">IF(A1231="","",IF(C1231="","KOSONG",IF(AND(LEN(C1231)=16,ISNUMBER(--C1231)),"OK","TIDAK VALID")))</f>
        <v/>
      </c>
    </row>
    <row r="1232" customFormat="false" ht="15" hidden="false" customHeight="false" outlineLevel="0" collapsed="false">
      <c r="A1232" s="21"/>
      <c r="B1232" s="22"/>
      <c r="C1232" s="21"/>
      <c r="D1232" s="22"/>
      <c r="E1232" s="22"/>
      <c r="F1232" s="28"/>
      <c r="G1232" s="22"/>
      <c r="H1232" s="21"/>
      <c r="I1232" s="28"/>
      <c r="J1232" s="22"/>
      <c r="K1232" s="22"/>
      <c r="L1232" s="22"/>
      <c r="M1232" s="21"/>
      <c r="N1232" s="22"/>
      <c r="O1232" s="29" t="str">
        <f aca="false">IF(A1232="","",IF(COUNTIF($A$2:$A$2001,A1232)&gt;1,"GANDA","OK"))</f>
        <v/>
      </c>
      <c r="P1232" s="29" t="str">
        <f aca="false">IF(A1232="","",IF(C1232="","KOSONG",IF(AND(LEN(C1232)=16,ISNUMBER(--C1232)),"OK","TIDAK VALID")))</f>
        <v/>
      </c>
    </row>
    <row r="1233" customFormat="false" ht="15" hidden="false" customHeight="false" outlineLevel="0" collapsed="false">
      <c r="A1233" s="21"/>
      <c r="B1233" s="22"/>
      <c r="C1233" s="21"/>
      <c r="D1233" s="22"/>
      <c r="E1233" s="22"/>
      <c r="F1233" s="28"/>
      <c r="G1233" s="22"/>
      <c r="H1233" s="21"/>
      <c r="I1233" s="28"/>
      <c r="J1233" s="22"/>
      <c r="K1233" s="22"/>
      <c r="L1233" s="22"/>
      <c r="M1233" s="21"/>
      <c r="N1233" s="22"/>
      <c r="O1233" s="29" t="str">
        <f aca="false">IF(A1233="","",IF(COUNTIF($A$2:$A$2001,A1233)&gt;1,"GANDA","OK"))</f>
        <v/>
      </c>
      <c r="P1233" s="29" t="str">
        <f aca="false">IF(A1233="","",IF(C1233="","KOSONG",IF(AND(LEN(C1233)=16,ISNUMBER(--C1233)),"OK","TIDAK VALID")))</f>
        <v/>
      </c>
    </row>
    <row r="1234" customFormat="false" ht="15" hidden="false" customHeight="false" outlineLevel="0" collapsed="false">
      <c r="A1234" s="21"/>
      <c r="B1234" s="22"/>
      <c r="C1234" s="21"/>
      <c r="D1234" s="22"/>
      <c r="E1234" s="22"/>
      <c r="F1234" s="28"/>
      <c r="G1234" s="22"/>
      <c r="H1234" s="21"/>
      <c r="I1234" s="28"/>
      <c r="J1234" s="22"/>
      <c r="K1234" s="22"/>
      <c r="L1234" s="22"/>
      <c r="M1234" s="21"/>
      <c r="N1234" s="22"/>
      <c r="O1234" s="29" t="str">
        <f aca="false">IF(A1234="","",IF(COUNTIF($A$2:$A$2001,A1234)&gt;1,"GANDA","OK"))</f>
        <v/>
      </c>
      <c r="P1234" s="29" t="str">
        <f aca="false">IF(A1234="","",IF(C1234="","KOSONG",IF(AND(LEN(C1234)=16,ISNUMBER(--C1234)),"OK","TIDAK VALID")))</f>
        <v/>
      </c>
    </row>
    <row r="1235" customFormat="false" ht="15" hidden="false" customHeight="false" outlineLevel="0" collapsed="false">
      <c r="A1235" s="21"/>
      <c r="B1235" s="22"/>
      <c r="C1235" s="21"/>
      <c r="D1235" s="22"/>
      <c r="E1235" s="22"/>
      <c r="F1235" s="28"/>
      <c r="G1235" s="22"/>
      <c r="H1235" s="21"/>
      <c r="I1235" s="28"/>
      <c r="J1235" s="22"/>
      <c r="K1235" s="22"/>
      <c r="L1235" s="22"/>
      <c r="M1235" s="21"/>
      <c r="N1235" s="22"/>
      <c r="O1235" s="29" t="str">
        <f aca="false">IF(A1235="","",IF(COUNTIF($A$2:$A$2001,A1235)&gt;1,"GANDA","OK"))</f>
        <v/>
      </c>
      <c r="P1235" s="29" t="str">
        <f aca="false">IF(A1235="","",IF(C1235="","KOSONG",IF(AND(LEN(C1235)=16,ISNUMBER(--C1235)),"OK","TIDAK VALID")))</f>
        <v/>
      </c>
    </row>
    <row r="1236" customFormat="false" ht="15" hidden="false" customHeight="false" outlineLevel="0" collapsed="false">
      <c r="A1236" s="21"/>
      <c r="B1236" s="22"/>
      <c r="C1236" s="21"/>
      <c r="D1236" s="22"/>
      <c r="E1236" s="22"/>
      <c r="F1236" s="28"/>
      <c r="G1236" s="22"/>
      <c r="H1236" s="21"/>
      <c r="I1236" s="28"/>
      <c r="J1236" s="22"/>
      <c r="K1236" s="22"/>
      <c r="L1236" s="22"/>
      <c r="M1236" s="21"/>
      <c r="N1236" s="22"/>
      <c r="O1236" s="29" t="str">
        <f aca="false">IF(A1236="","",IF(COUNTIF($A$2:$A$2001,A1236)&gt;1,"GANDA","OK"))</f>
        <v/>
      </c>
      <c r="P1236" s="29" t="str">
        <f aca="false">IF(A1236="","",IF(C1236="","KOSONG",IF(AND(LEN(C1236)=16,ISNUMBER(--C1236)),"OK","TIDAK VALID")))</f>
        <v/>
      </c>
    </row>
    <row r="1237" customFormat="false" ht="15" hidden="false" customHeight="false" outlineLevel="0" collapsed="false">
      <c r="A1237" s="21"/>
      <c r="B1237" s="22"/>
      <c r="C1237" s="21"/>
      <c r="D1237" s="22"/>
      <c r="E1237" s="22"/>
      <c r="F1237" s="28"/>
      <c r="G1237" s="22"/>
      <c r="H1237" s="21"/>
      <c r="I1237" s="28"/>
      <c r="J1237" s="22"/>
      <c r="K1237" s="22"/>
      <c r="L1237" s="22"/>
      <c r="M1237" s="21"/>
      <c r="N1237" s="22"/>
      <c r="O1237" s="29" t="str">
        <f aca="false">IF(A1237="","",IF(COUNTIF($A$2:$A$2001,A1237)&gt;1,"GANDA","OK"))</f>
        <v/>
      </c>
      <c r="P1237" s="29" t="str">
        <f aca="false">IF(A1237="","",IF(C1237="","KOSONG",IF(AND(LEN(C1237)=16,ISNUMBER(--C1237)),"OK","TIDAK VALID")))</f>
        <v/>
      </c>
    </row>
    <row r="1238" customFormat="false" ht="15" hidden="false" customHeight="false" outlineLevel="0" collapsed="false">
      <c r="A1238" s="21"/>
      <c r="B1238" s="22"/>
      <c r="C1238" s="21"/>
      <c r="D1238" s="22"/>
      <c r="E1238" s="22"/>
      <c r="F1238" s="28"/>
      <c r="G1238" s="22"/>
      <c r="H1238" s="21"/>
      <c r="I1238" s="28"/>
      <c r="J1238" s="22"/>
      <c r="K1238" s="22"/>
      <c r="L1238" s="22"/>
      <c r="M1238" s="21"/>
      <c r="N1238" s="22"/>
      <c r="O1238" s="29" t="str">
        <f aca="false">IF(A1238="","",IF(COUNTIF($A$2:$A$2001,A1238)&gt;1,"GANDA","OK"))</f>
        <v/>
      </c>
      <c r="P1238" s="29" t="str">
        <f aca="false">IF(A1238="","",IF(C1238="","KOSONG",IF(AND(LEN(C1238)=16,ISNUMBER(--C1238)),"OK","TIDAK VALID")))</f>
        <v/>
      </c>
    </row>
    <row r="1239" customFormat="false" ht="15" hidden="false" customHeight="false" outlineLevel="0" collapsed="false">
      <c r="A1239" s="21"/>
      <c r="B1239" s="22"/>
      <c r="C1239" s="21"/>
      <c r="D1239" s="22"/>
      <c r="E1239" s="22"/>
      <c r="F1239" s="28"/>
      <c r="G1239" s="22"/>
      <c r="H1239" s="21"/>
      <c r="I1239" s="28"/>
      <c r="J1239" s="22"/>
      <c r="K1239" s="22"/>
      <c r="L1239" s="22"/>
      <c r="M1239" s="21"/>
      <c r="N1239" s="22"/>
      <c r="O1239" s="29" t="str">
        <f aca="false">IF(A1239="","",IF(COUNTIF($A$2:$A$2001,A1239)&gt;1,"GANDA","OK"))</f>
        <v/>
      </c>
      <c r="P1239" s="29" t="str">
        <f aca="false">IF(A1239="","",IF(C1239="","KOSONG",IF(AND(LEN(C1239)=16,ISNUMBER(--C1239)),"OK","TIDAK VALID")))</f>
        <v/>
      </c>
    </row>
    <row r="1240" customFormat="false" ht="15" hidden="false" customHeight="false" outlineLevel="0" collapsed="false">
      <c r="A1240" s="21"/>
      <c r="B1240" s="22"/>
      <c r="C1240" s="21"/>
      <c r="D1240" s="22"/>
      <c r="E1240" s="22"/>
      <c r="F1240" s="28"/>
      <c r="G1240" s="22"/>
      <c r="H1240" s="21"/>
      <c r="I1240" s="28"/>
      <c r="J1240" s="22"/>
      <c r="K1240" s="22"/>
      <c r="L1240" s="22"/>
      <c r="M1240" s="21"/>
      <c r="N1240" s="22"/>
      <c r="O1240" s="29" t="str">
        <f aca="false">IF(A1240="","",IF(COUNTIF($A$2:$A$2001,A1240)&gt;1,"GANDA","OK"))</f>
        <v/>
      </c>
      <c r="P1240" s="29" t="str">
        <f aca="false">IF(A1240="","",IF(C1240="","KOSONG",IF(AND(LEN(C1240)=16,ISNUMBER(--C1240)),"OK","TIDAK VALID")))</f>
        <v/>
      </c>
    </row>
    <row r="1241" customFormat="false" ht="15" hidden="false" customHeight="false" outlineLevel="0" collapsed="false">
      <c r="A1241" s="21"/>
      <c r="B1241" s="22"/>
      <c r="C1241" s="21"/>
      <c r="D1241" s="22"/>
      <c r="E1241" s="22"/>
      <c r="F1241" s="28"/>
      <c r="G1241" s="22"/>
      <c r="H1241" s="21"/>
      <c r="I1241" s="28"/>
      <c r="J1241" s="22"/>
      <c r="K1241" s="22"/>
      <c r="L1241" s="22"/>
      <c r="M1241" s="21"/>
      <c r="N1241" s="22"/>
      <c r="O1241" s="29" t="str">
        <f aca="false">IF(A1241="","",IF(COUNTIF($A$2:$A$2001,A1241)&gt;1,"GANDA","OK"))</f>
        <v/>
      </c>
      <c r="P1241" s="29" t="str">
        <f aca="false">IF(A1241="","",IF(C1241="","KOSONG",IF(AND(LEN(C1241)=16,ISNUMBER(--C1241)),"OK","TIDAK VALID")))</f>
        <v/>
      </c>
    </row>
    <row r="1242" customFormat="false" ht="15" hidden="false" customHeight="false" outlineLevel="0" collapsed="false">
      <c r="A1242" s="21"/>
      <c r="B1242" s="22"/>
      <c r="C1242" s="21"/>
      <c r="D1242" s="22"/>
      <c r="E1242" s="22"/>
      <c r="F1242" s="28"/>
      <c r="G1242" s="22"/>
      <c r="H1242" s="21"/>
      <c r="I1242" s="28"/>
      <c r="J1242" s="22"/>
      <c r="K1242" s="22"/>
      <c r="L1242" s="22"/>
      <c r="M1242" s="21"/>
      <c r="N1242" s="22"/>
      <c r="O1242" s="29" t="str">
        <f aca="false">IF(A1242="","",IF(COUNTIF($A$2:$A$2001,A1242)&gt;1,"GANDA","OK"))</f>
        <v/>
      </c>
      <c r="P1242" s="29" t="str">
        <f aca="false">IF(A1242="","",IF(C1242="","KOSONG",IF(AND(LEN(C1242)=16,ISNUMBER(--C1242)),"OK","TIDAK VALID")))</f>
        <v/>
      </c>
    </row>
    <row r="1243" customFormat="false" ht="15" hidden="false" customHeight="false" outlineLevel="0" collapsed="false">
      <c r="A1243" s="21"/>
      <c r="B1243" s="22"/>
      <c r="C1243" s="21"/>
      <c r="D1243" s="22"/>
      <c r="E1243" s="22"/>
      <c r="F1243" s="28"/>
      <c r="G1243" s="22"/>
      <c r="H1243" s="21"/>
      <c r="I1243" s="28"/>
      <c r="J1243" s="22"/>
      <c r="K1243" s="22"/>
      <c r="L1243" s="22"/>
      <c r="M1243" s="21"/>
      <c r="N1243" s="22"/>
      <c r="O1243" s="29" t="str">
        <f aca="false">IF(A1243="","",IF(COUNTIF($A$2:$A$2001,A1243)&gt;1,"GANDA","OK"))</f>
        <v/>
      </c>
      <c r="P1243" s="29" t="str">
        <f aca="false">IF(A1243="","",IF(C1243="","KOSONG",IF(AND(LEN(C1243)=16,ISNUMBER(--C1243)),"OK","TIDAK VALID")))</f>
        <v/>
      </c>
    </row>
    <row r="1244" customFormat="false" ht="15" hidden="false" customHeight="false" outlineLevel="0" collapsed="false">
      <c r="A1244" s="21"/>
      <c r="B1244" s="22"/>
      <c r="C1244" s="21"/>
      <c r="D1244" s="22"/>
      <c r="E1244" s="22"/>
      <c r="F1244" s="28"/>
      <c r="G1244" s="22"/>
      <c r="H1244" s="21"/>
      <c r="I1244" s="28"/>
      <c r="J1244" s="22"/>
      <c r="K1244" s="22"/>
      <c r="L1244" s="22"/>
      <c r="M1244" s="21"/>
      <c r="N1244" s="22"/>
      <c r="O1244" s="29" t="str">
        <f aca="false">IF(A1244="","",IF(COUNTIF($A$2:$A$2001,A1244)&gt;1,"GANDA","OK"))</f>
        <v/>
      </c>
      <c r="P1244" s="29" t="str">
        <f aca="false">IF(A1244="","",IF(C1244="","KOSONG",IF(AND(LEN(C1244)=16,ISNUMBER(--C1244)),"OK","TIDAK VALID")))</f>
        <v/>
      </c>
    </row>
    <row r="1245" customFormat="false" ht="15" hidden="false" customHeight="false" outlineLevel="0" collapsed="false">
      <c r="A1245" s="21"/>
      <c r="B1245" s="22"/>
      <c r="C1245" s="21"/>
      <c r="D1245" s="22"/>
      <c r="E1245" s="22"/>
      <c r="F1245" s="28"/>
      <c r="G1245" s="22"/>
      <c r="H1245" s="21"/>
      <c r="I1245" s="28"/>
      <c r="J1245" s="22"/>
      <c r="K1245" s="22"/>
      <c r="L1245" s="22"/>
      <c r="M1245" s="21"/>
      <c r="N1245" s="22"/>
      <c r="O1245" s="29" t="str">
        <f aca="false">IF(A1245="","",IF(COUNTIF($A$2:$A$2001,A1245)&gt;1,"GANDA","OK"))</f>
        <v/>
      </c>
      <c r="P1245" s="29" t="str">
        <f aca="false">IF(A1245="","",IF(C1245="","KOSONG",IF(AND(LEN(C1245)=16,ISNUMBER(--C1245)),"OK","TIDAK VALID")))</f>
        <v/>
      </c>
    </row>
    <row r="1246" customFormat="false" ht="15" hidden="false" customHeight="false" outlineLevel="0" collapsed="false">
      <c r="A1246" s="21"/>
      <c r="B1246" s="22"/>
      <c r="C1246" s="21"/>
      <c r="D1246" s="22"/>
      <c r="E1246" s="22"/>
      <c r="F1246" s="28"/>
      <c r="G1246" s="22"/>
      <c r="H1246" s="21"/>
      <c r="I1246" s="28"/>
      <c r="J1246" s="22"/>
      <c r="K1246" s="22"/>
      <c r="L1246" s="22"/>
      <c r="M1246" s="21"/>
      <c r="N1246" s="22"/>
      <c r="O1246" s="29" t="str">
        <f aca="false">IF(A1246="","",IF(COUNTIF($A$2:$A$2001,A1246)&gt;1,"GANDA","OK"))</f>
        <v/>
      </c>
      <c r="P1246" s="29" t="str">
        <f aca="false">IF(A1246="","",IF(C1246="","KOSONG",IF(AND(LEN(C1246)=16,ISNUMBER(--C1246)),"OK","TIDAK VALID")))</f>
        <v/>
      </c>
    </row>
    <row r="1247" customFormat="false" ht="15" hidden="false" customHeight="false" outlineLevel="0" collapsed="false">
      <c r="A1247" s="21"/>
      <c r="B1247" s="22"/>
      <c r="C1247" s="21"/>
      <c r="D1247" s="22"/>
      <c r="E1247" s="22"/>
      <c r="F1247" s="28"/>
      <c r="G1247" s="22"/>
      <c r="H1247" s="21"/>
      <c r="I1247" s="28"/>
      <c r="J1247" s="22"/>
      <c r="K1247" s="22"/>
      <c r="L1247" s="22"/>
      <c r="M1247" s="21"/>
      <c r="N1247" s="22"/>
      <c r="O1247" s="29" t="str">
        <f aca="false">IF(A1247="","",IF(COUNTIF($A$2:$A$2001,A1247)&gt;1,"GANDA","OK"))</f>
        <v/>
      </c>
      <c r="P1247" s="29" t="str">
        <f aca="false">IF(A1247="","",IF(C1247="","KOSONG",IF(AND(LEN(C1247)=16,ISNUMBER(--C1247)),"OK","TIDAK VALID")))</f>
        <v/>
      </c>
    </row>
    <row r="1248" customFormat="false" ht="15" hidden="false" customHeight="false" outlineLevel="0" collapsed="false">
      <c r="A1248" s="21"/>
      <c r="B1248" s="22"/>
      <c r="C1248" s="21"/>
      <c r="D1248" s="22"/>
      <c r="E1248" s="22"/>
      <c r="F1248" s="28"/>
      <c r="G1248" s="22"/>
      <c r="H1248" s="21"/>
      <c r="I1248" s="28"/>
      <c r="J1248" s="22"/>
      <c r="K1248" s="22"/>
      <c r="L1248" s="22"/>
      <c r="M1248" s="21"/>
      <c r="N1248" s="22"/>
      <c r="O1248" s="29" t="str">
        <f aca="false">IF(A1248="","",IF(COUNTIF($A$2:$A$2001,A1248)&gt;1,"GANDA","OK"))</f>
        <v/>
      </c>
      <c r="P1248" s="29" t="str">
        <f aca="false">IF(A1248="","",IF(C1248="","KOSONG",IF(AND(LEN(C1248)=16,ISNUMBER(--C1248)),"OK","TIDAK VALID")))</f>
        <v/>
      </c>
    </row>
    <row r="1249" customFormat="false" ht="15" hidden="false" customHeight="false" outlineLevel="0" collapsed="false">
      <c r="A1249" s="21"/>
      <c r="B1249" s="22"/>
      <c r="C1249" s="21"/>
      <c r="D1249" s="22"/>
      <c r="E1249" s="22"/>
      <c r="F1249" s="28"/>
      <c r="G1249" s="22"/>
      <c r="H1249" s="21"/>
      <c r="I1249" s="28"/>
      <c r="J1249" s="22"/>
      <c r="K1249" s="22"/>
      <c r="L1249" s="22"/>
      <c r="M1249" s="21"/>
      <c r="N1249" s="22"/>
      <c r="O1249" s="29" t="str">
        <f aca="false">IF(A1249="","",IF(COUNTIF($A$2:$A$2001,A1249)&gt;1,"GANDA","OK"))</f>
        <v/>
      </c>
      <c r="P1249" s="29" t="str">
        <f aca="false">IF(A1249="","",IF(C1249="","KOSONG",IF(AND(LEN(C1249)=16,ISNUMBER(--C1249)),"OK","TIDAK VALID")))</f>
        <v/>
      </c>
    </row>
    <row r="1250" customFormat="false" ht="15" hidden="false" customHeight="false" outlineLevel="0" collapsed="false">
      <c r="A1250" s="21"/>
      <c r="B1250" s="22"/>
      <c r="C1250" s="21"/>
      <c r="D1250" s="22"/>
      <c r="E1250" s="22"/>
      <c r="F1250" s="28"/>
      <c r="G1250" s="22"/>
      <c r="H1250" s="21"/>
      <c r="I1250" s="28"/>
      <c r="J1250" s="22"/>
      <c r="K1250" s="22"/>
      <c r="L1250" s="22"/>
      <c r="M1250" s="21"/>
      <c r="N1250" s="22"/>
      <c r="O1250" s="29" t="str">
        <f aca="false">IF(A1250="","",IF(COUNTIF($A$2:$A$2001,A1250)&gt;1,"GANDA","OK"))</f>
        <v/>
      </c>
      <c r="P1250" s="29" t="str">
        <f aca="false">IF(A1250="","",IF(C1250="","KOSONG",IF(AND(LEN(C1250)=16,ISNUMBER(--C1250)),"OK","TIDAK VALID")))</f>
        <v/>
      </c>
    </row>
    <row r="1251" customFormat="false" ht="15" hidden="false" customHeight="false" outlineLevel="0" collapsed="false">
      <c r="A1251" s="21"/>
      <c r="B1251" s="22"/>
      <c r="C1251" s="21"/>
      <c r="D1251" s="22"/>
      <c r="E1251" s="22"/>
      <c r="F1251" s="28"/>
      <c r="G1251" s="22"/>
      <c r="H1251" s="21"/>
      <c r="I1251" s="28"/>
      <c r="J1251" s="22"/>
      <c r="K1251" s="22"/>
      <c r="L1251" s="22"/>
      <c r="M1251" s="21"/>
      <c r="N1251" s="22"/>
      <c r="O1251" s="29" t="str">
        <f aca="false">IF(A1251="","",IF(COUNTIF($A$2:$A$2001,A1251)&gt;1,"GANDA","OK"))</f>
        <v/>
      </c>
      <c r="P1251" s="29" t="str">
        <f aca="false">IF(A1251="","",IF(C1251="","KOSONG",IF(AND(LEN(C1251)=16,ISNUMBER(--C1251)),"OK","TIDAK VALID")))</f>
        <v/>
      </c>
    </row>
    <row r="1252" customFormat="false" ht="15" hidden="false" customHeight="false" outlineLevel="0" collapsed="false">
      <c r="A1252" s="21"/>
      <c r="B1252" s="22"/>
      <c r="C1252" s="21"/>
      <c r="D1252" s="22"/>
      <c r="E1252" s="22"/>
      <c r="F1252" s="28"/>
      <c r="G1252" s="22"/>
      <c r="H1252" s="21"/>
      <c r="I1252" s="28"/>
      <c r="J1252" s="22"/>
      <c r="K1252" s="22"/>
      <c r="L1252" s="22"/>
      <c r="M1252" s="21"/>
      <c r="N1252" s="22"/>
      <c r="O1252" s="29" t="str">
        <f aca="false">IF(A1252="","",IF(COUNTIF($A$2:$A$2001,A1252)&gt;1,"GANDA","OK"))</f>
        <v/>
      </c>
      <c r="P1252" s="29" t="str">
        <f aca="false">IF(A1252="","",IF(C1252="","KOSONG",IF(AND(LEN(C1252)=16,ISNUMBER(--C1252)),"OK","TIDAK VALID")))</f>
        <v/>
      </c>
    </row>
    <row r="1253" customFormat="false" ht="15" hidden="false" customHeight="false" outlineLevel="0" collapsed="false">
      <c r="A1253" s="21"/>
      <c r="B1253" s="22"/>
      <c r="C1253" s="21"/>
      <c r="D1253" s="22"/>
      <c r="E1253" s="22"/>
      <c r="F1253" s="28"/>
      <c r="G1253" s="22"/>
      <c r="H1253" s="21"/>
      <c r="I1253" s="28"/>
      <c r="J1253" s="22"/>
      <c r="K1253" s="22"/>
      <c r="L1253" s="22"/>
      <c r="M1253" s="21"/>
      <c r="N1253" s="22"/>
      <c r="O1253" s="29" t="str">
        <f aca="false">IF(A1253="","",IF(COUNTIF($A$2:$A$2001,A1253)&gt;1,"GANDA","OK"))</f>
        <v/>
      </c>
      <c r="P1253" s="29" t="str">
        <f aca="false">IF(A1253="","",IF(C1253="","KOSONG",IF(AND(LEN(C1253)=16,ISNUMBER(--C1253)),"OK","TIDAK VALID")))</f>
        <v/>
      </c>
    </row>
    <row r="1254" customFormat="false" ht="15" hidden="false" customHeight="false" outlineLevel="0" collapsed="false">
      <c r="A1254" s="21"/>
      <c r="B1254" s="22"/>
      <c r="C1254" s="21"/>
      <c r="D1254" s="22"/>
      <c r="E1254" s="22"/>
      <c r="F1254" s="28"/>
      <c r="G1254" s="22"/>
      <c r="H1254" s="21"/>
      <c r="I1254" s="28"/>
      <c r="J1254" s="22"/>
      <c r="K1254" s="22"/>
      <c r="L1254" s="22"/>
      <c r="M1254" s="21"/>
      <c r="N1254" s="22"/>
      <c r="O1254" s="29" t="str">
        <f aca="false">IF(A1254="","",IF(COUNTIF($A$2:$A$2001,A1254)&gt;1,"GANDA","OK"))</f>
        <v/>
      </c>
      <c r="P1254" s="29" t="str">
        <f aca="false">IF(A1254="","",IF(C1254="","KOSONG",IF(AND(LEN(C1254)=16,ISNUMBER(--C1254)),"OK","TIDAK VALID")))</f>
        <v/>
      </c>
    </row>
    <row r="1255" customFormat="false" ht="15" hidden="false" customHeight="false" outlineLevel="0" collapsed="false">
      <c r="A1255" s="21"/>
      <c r="B1255" s="22"/>
      <c r="C1255" s="21"/>
      <c r="D1255" s="22"/>
      <c r="E1255" s="22"/>
      <c r="F1255" s="28"/>
      <c r="G1255" s="22"/>
      <c r="H1255" s="21"/>
      <c r="I1255" s="28"/>
      <c r="J1255" s="22"/>
      <c r="K1255" s="22"/>
      <c r="L1255" s="22"/>
      <c r="M1255" s="21"/>
      <c r="N1255" s="22"/>
      <c r="O1255" s="29" t="str">
        <f aca="false">IF(A1255="","",IF(COUNTIF($A$2:$A$2001,A1255)&gt;1,"GANDA","OK"))</f>
        <v/>
      </c>
      <c r="P1255" s="29" t="str">
        <f aca="false">IF(A1255="","",IF(C1255="","KOSONG",IF(AND(LEN(C1255)=16,ISNUMBER(--C1255)),"OK","TIDAK VALID")))</f>
        <v/>
      </c>
    </row>
    <row r="1256" customFormat="false" ht="15" hidden="false" customHeight="false" outlineLevel="0" collapsed="false">
      <c r="A1256" s="21"/>
      <c r="B1256" s="22"/>
      <c r="C1256" s="21"/>
      <c r="D1256" s="22"/>
      <c r="E1256" s="22"/>
      <c r="F1256" s="28"/>
      <c r="G1256" s="22"/>
      <c r="H1256" s="21"/>
      <c r="I1256" s="28"/>
      <c r="J1256" s="22"/>
      <c r="K1256" s="22"/>
      <c r="L1256" s="22"/>
      <c r="M1256" s="21"/>
      <c r="N1256" s="22"/>
      <c r="O1256" s="29" t="str">
        <f aca="false">IF(A1256="","",IF(COUNTIF($A$2:$A$2001,A1256)&gt;1,"GANDA","OK"))</f>
        <v/>
      </c>
      <c r="P1256" s="29" t="str">
        <f aca="false">IF(A1256="","",IF(C1256="","KOSONG",IF(AND(LEN(C1256)=16,ISNUMBER(--C1256)),"OK","TIDAK VALID")))</f>
        <v/>
      </c>
    </row>
    <row r="1257" customFormat="false" ht="15" hidden="false" customHeight="false" outlineLevel="0" collapsed="false">
      <c r="A1257" s="21"/>
      <c r="B1257" s="22"/>
      <c r="C1257" s="21"/>
      <c r="D1257" s="22"/>
      <c r="E1257" s="22"/>
      <c r="F1257" s="28"/>
      <c r="G1257" s="22"/>
      <c r="H1257" s="21"/>
      <c r="I1257" s="28"/>
      <c r="J1257" s="22"/>
      <c r="K1257" s="22"/>
      <c r="L1257" s="22"/>
      <c r="M1257" s="21"/>
      <c r="N1257" s="22"/>
      <c r="O1257" s="29" t="str">
        <f aca="false">IF(A1257="","",IF(COUNTIF($A$2:$A$2001,A1257)&gt;1,"GANDA","OK"))</f>
        <v/>
      </c>
      <c r="P1257" s="29" t="str">
        <f aca="false">IF(A1257="","",IF(C1257="","KOSONG",IF(AND(LEN(C1257)=16,ISNUMBER(--C1257)),"OK","TIDAK VALID")))</f>
        <v/>
      </c>
    </row>
    <row r="1258" customFormat="false" ht="15" hidden="false" customHeight="false" outlineLevel="0" collapsed="false">
      <c r="A1258" s="21"/>
      <c r="B1258" s="22"/>
      <c r="C1258" s="21"/>
      <c r="D1258" s="22"/>
      <c r="E1258" s="22"/>
      <c r="F1258" s="28"/>
      <c r="G1258" s="22"/>
      <c r="H1258" s="21"/>
      <c r="I1258" s="28"/>
      <c r="J1258" s="22"/>
      <c r="K1258" s="22"/>
      <c r="L1258" s="22"/>
      <c r="M1258" s="21"/>
      <c r="N1258" s="22"/>
      <c r="O1258" s="29" t="str">
        <f aca="false">IF(A1258="","",IF(COUNTIF($A$2:$A$2001,A1258)&gt;1,"GANDA","OK"))</f>
        <v/>
      </c>
      <c r="P1258" s="29" t="str">
        <f aca="false">IF(A1258="","",IF(C1258="","KOSONG",IF(AND(LEN(C1258)=16,ISNUMBER(--C1258)),"OK","TIDAK VALID")))</f>
        <v/>
      </c>
    </row>
    <row r="1259" customFormat="false" ht="15" hidden="false" customHeight="false" outlineLevel="0" collapsed="false">
      <c r="A1259" s="21"/>
      <c r="B1259" s="22"/>
      <c r="C1259" s="21"/>
      <c r="D1259" s="22"/>
      <c r="E1259" s="22"/>
      <c r="F1259" s="28"/>
      <c r="G1259" s="22"/>
      <c r="H1259" s="21"/>
      <c r="I1259" s="28"/>
      <c r="J1259" s="22"/>
      <c r="K1259" s="22"/>
      <c r="L1259" s="22"/>
      <c r="M1259" s="21"/>
      <c r="N1259" s="22"/>
      <c r="O1259" s="29" t="str">
        <f aca="false">IF(A1259="","",IF(COUNTIF($A$2:$A$2001,A1259)&gt;1,"GANDA","OK"))</f>
        <v/>
      </c>
      <c r="P1259" s="29" t="str">
        <f aca="false">IF(A1259="","",IF(C1259="","KOSONG",IF(AND(LEN(C1259)=16,ISNUMBER(--C1259)),"OK","TIDAK VALID")))</f>
        <v/>
      </c>
    </row>
    <row r="1260" customFormat="false" ht="15" hidden="false" customHeight="false" outlineLevel="0" collapsed="false">
      <c r="A1260" s="21"/>
      <c r="B1260" s="22"/>
      <c r="C1260" s="21"/>
      <c r="D1260" s="22"/>
      <c r="E1260" s="22"/>
      <c r="F1260" s="28"/>
      <c r="G1260" s="22"/>
      <c r="H1260" s="21"/>
      <c r="I1260" s="28"/>
      <c r="J1260" s="22"/>
      <c r="K1260" s="22"/>
      <c r="L1260" s="22"/>
      <c r="M1260" s="21"/>
      <c r="N1260" s="22"/>
      <c r="O1260" s="29" t="str">
        <f aca="false">IF(A1260="","",IF(COUNTIF($A$2:$A$2001,A1260)&gt;1,"GANDA","OK"))</f>
        <v/>
      </c>
      <c r="P1260" s="29" t="str">
        <f aca="false">IF(A1260="","",IF(C1260="","KOSONG",IF(AND(LEN(C1260)=16,ISNUMBER(--C1260)),"OK","TIDAK VALID")))</f>
        <v/>
      </c>
    </row>
    <row r="1261" customFormat="false" ht="15" hidden="false" customHeight="false" outlineLevel="0" collapsed="false">
      <c r="A1261" s="21"/>
      <c r="B1261" s="22"/>
      <c r="C1261" s="21"/>
      <c r="D1261" s="22"/>
      <c r="E1261" s="22"/>
      <c r="F1261" s="28"/>
      <c r="G1261" s="22"/>
      <c r="H1261" s="21"/>
      <c r="I1261" s="28"/>
      <c r="J1261" s="22"/>
      <c r="K1261" s="22"/>
      <c r="L1261" s="22"/>
      <c r="M1261" s="21"/>
      <c r="N1261" s="22"/>
      <c r="O1261" s="29" t="str">
        <f aca="false">IF(A1261="","",IF(COUNTIF($A$2:$A$2001,A1261)&gt;1,"GANDA","OK"))</f>
        <v/>
      </c>
      <c r="P1261" s="29" t="str">
        <f aca="false">IF(A1261="","",IF(C1261="","KOSONG",IF(AND(LEN(C1261)=16,ISNUMBER(--C1261)),"OK","TIDAK VALID")))</f>
        <v/>
      </c>
    </row>
    <row r="1262" customFormat="false" ht="15" hidden="false" customHeight="false" outlineLevel="0" collapsed="false">
      <c r="A1262" s="21"/>
      <c r="B1262" s="22"/>
      <c r="C1262" s="21"/>
      <c r="D1262" s="22"/>
      <c r="E1262" s="22"/>
      <c r="F1262" s="28"/>
      <c r="G1262" s="22"/>
      <c r="H1262" s="21"/>
      <c r="I1262" s="28"/>
      <c r="J1262" s="22"/>
      <c r="K1262" s="22"/>
      <c r="L1262" s="22"/>
      <c r="M1262" s="21"/>
      <c r="N1262" s="22"/>
      <c r="O1262" s="29" t="str">
        <f aca="false">IF(A1262="","",IF(COUNTIF($A$2:$A$2001,A1262)&gt;1,"GANDA","OK"))</f>
        <v/>
      </c>
      <c r="P1262" s="29" t="str">
        <f aca="false">IF(A1262="","",IF(C1262="","KOSONG",IF(AND(LEN(C1262)=16,ISNUMBER(--C1262)),"OK","TIDAK VALID")))</f>
        <v/>
      </c>
    </row>
    <row r="1263" customFormat="false" ht="15" hidden="false" customHeight="false" outlineLevel="0" collapsed="false">
      <c r="A1263" s="21"/>
      <c r="B1263" s="22"/>
      <c r="C1263" s="21"/>
      <c r="D1263" s="22"/>
      <c r="E1263" s="22"/>
      <c r="F1263" s="28"/>
      <c r="G1263" s="22"/>
      <c r="H1263" s="21"/>
      <c r="I1263" s="28"/>
      <c r="J1263" s="22"/>
      <c r="K1263" s="22"/>
      <c r="L1263" s="22"/>
      <c r="M1263" s="21"/>
      <c r="N1263" s="22"/>
      <c r="O1263" s="29" t="str">
        <f aca="false">IF(A1263="","",IF(COUNTIF($A$2:$A$2001,A1263)&gt;1,"GANDA","OK"))</f>
        <v/>
      </c>
      <c r="P1263" s="29" t="str">
        <f aca="false">IF(A1263="","",IF(C1263="","KOSONG",IF(AND(LEN(C1263)=16,ISNUMBER(--C1263)),"OK","TIDAK VALID")))</f>
        <v/>
      </c>
    </row>
    <row r="1264" customFormat="false" ht="15" hidden="false" customHeight="false" outlineLevel="0" collapsed="false">
      <c r="A1264" s="21"/>
      <c r="B1264" s="22"/>
      <c r="C1264" s="21"/>
      <c r="D1264" s="22"/>
      <c r="E1264" s="22"/>
      <c r="F1264" s="28"/>
      <c r="G1264" s="22"/>
      <c r="H1264" s="21"/>
      <c r="I1264" s="28"/>
      <c r="J1264" s="22"/>
      <c r="K1264" s="22"/>
      <c r="L1264" s="22"/>
      <c r="M1264" s="21"/>
      <c r="N1264" s="22"/>
      <c r="O1264" s="29" t="str">
        <f aca="false">IF(A1264="","",IF(COUNTIF($A$2:$A$2001,A1264)&gt;1,"GANDA","OK"))</f>
        <v/>
      </c>
      <c r="P1264" s="29" t="str">
        <f aca="false">IF(A1264="","",IF(C1264="","KOSONG",IF(AND(LEN(C1264)=16,ISNUMBER(--C1264)),"OK","TIDAK VALID")))</f>
        <v/>
      </c>
    </row>
    <row r="1265" customFormat="false" ht="15" hidden="false" customHeight="false" outlineLevel="0" collapsed="false">
      <c r="A1265" s="21"/>
      <c r="B1265" s="22"/>
      <c r="C1265" s="21"/>
      <c r="D1265" s="22"/>
      <c r="E1265" s="22"/>
      <c r="F1265" s="28"/>
      <c r="G1265" s="22"/>
      <c r="H1265" s="21"/>
      <c r="I1265" s="28"/>
      <c r="J1265" s="22"/>
      <c r="K1265" s="22"/>
      <c r="L1265" s="22"/>
      <c r="M1265" s="21"/>
      <c r="N1265" s="22"/>
      <c r="O1265" s="29" t="str">
        <f aca="false">IF(A1265="","",IF(COUNTIF($A$2:$A$2001,A1265)&gt;1,"GANDA","OK"))</f>
        <v/>
      </c>
      <c r="P1265" s="29" t="str">
        <f aca="false">IF(A1265="","",IF(C1265="","KOSONG",IF(AND(LEN(C1265)=16,ISNUMBER(--C1265)),"OK","TIDAK VALID")))</f>
        <v/>
      </c>
    </row>
    <row r="1266" customFormat="false" ht="15" hidden="false" customHeight="false" outlineLevel="0" collapsed="false">
      <c r="A1266" s="21"/>
      <c r="B1266" s="22"/>
      <c r="C1266" s="21"/>
      <c r="D1266" s="22"/>
      <c r="E1266" s="22"/>
      <c r="F1266" s="28"/>
      <c r="G1266" s="22"/>
      <c r="H1266" s="21"/>
      <c r="I1266" s="28"/>
      <c r="J1266" s="22"/>
      <c r="K1266" s="22"/>
      <c r="L1266" s="22"/>
      <c r="M1266" s="21"/>
      <c r="N1266" s="22"/>
      <c r="O1266" s="29" t="str">
        <f aca="false">IF(A1266="","",IF(COUNTIF($A$2:$A$2001,A1266)&gt;1,"GANDA","OK"))</f>
        <v/>
      </c>
      <c r="P1266" s="29" t="str">
        <f aca="false">IF(A1266="","",IF(C1266="","KOSONG",IF(AND(LEN(C1266)=16,ISNUMBER(--C1266)),"OK","TIDAK VALID")))</f>
        <v/>
      </c>
    </row>
    <row r="1267" customFormat="false" ht="15" hidden="false" customHeight="false" outlineLevel="0" collapsed="false">
      <c r="A1267" s="21"/>
      <c r="B1267" s="22"/>
      <c r="C1267" s="21"/>
      <c r="D1267" s="22"/>
      <c r="E1267" s="22"/>
      <c r="F1267" s="28"/>
      <c r="G1267" s="22"/>
      <c r="H1267" s="21"/>
      <c r="I1267" s="28"/>
      <c r="J1267" s="22"/>
      <c r="K1267" s="22"/>
      <c r="L1267" s="22"/>
      <c r="M1267" s="21"/>
      <c r="N1267" s="22"/>
      <c r="O1267" s="29" t="str">
        <f aca="false">IF(A1267="","",IF(COUNTIF($A$2:$A$2001,A1267)&gt;1,"GANDA","OK"))</f>
        <v/>
      </c>
      <c r="P1267" s="29" t="str">
        <f aca="false">IF(A1267="","",IF(C1267="","KOSONG",IF(AND(LEN(C1267)=16,ISNUMBER(--C1267)),"OK","TIDAK VALID")))</f>
        <v/>
      </c>
    </row>
    <row r="1268" customFormat="false" ht="15" hidden="false" customHeight="false" outlineLevel="0" collapsed="false">
      <c r="A1268" s="21"/>
      <c r="B1268" s="22"/>
      <c r="C1268" s="21"/>
      <c r="D1268" s="22"/>
      <c r="E1268" s="22"/>
      <c r="F1268" s="28"/>
      <c r="G1268" s="22"/>
      <c r="H1268" s="21"/>
      <c r="I1268" s="28"/>
      <c r="J1268" s="22"/>
      <c r="K1268" s="22"/>
      <c r="L1268" s="22"/>
      <c r="M1268" s="21"/>
      <c r="N1268" s="22"/>
      <c r="O1268" s="29" t="str">
        <f aca="false">IF(A1268="","",IF(COUNTIF($A$2:$A$2001,A1268)&gt;1,"GANDA","OK"))</f>
        <v/>
      </c>
      <c r="P1268" s="29" t="str">
        <f aca="false">IF(A1268="","",IF(C1268="","KOSONG",IF(AND(LEN(C1268)=16,ISNUMBER(--C1268)),"OK","TIDAK VALID")))</f>
        <v/>
      </c>
    </row>
    <row r="1269" customFormat="false" ht="15" hidden="false" customHeight="false" outlineLevel="0" collapsed="false">
      <c r="A1269" s="21"/>
      <c r="B1269" s="22"/>
      <c r="C1269" s="21"/>
      <c r="D1269" s="22"/>
      <c r="E1269" s="22"/>
      <c r="F1269" s="28"/>
      <c r="G1269" s="22"/>
      <c r="H1269" s="21"/>
      <c r="I1269" s="28"/>
      <c r="J1269" s="22"/>
      <c r="K1269" s="22"/>
      <c r="L1269" s="22"/>
      <c r="M1269" s="21"/>
      <c r="N1269" s="22"/>
      <c r="O1269" s="29" t="str">
        <f aca="false">IF(A1269="","",IF(COUNTIF($A$2:$A$2001,A1269)&gt;1,"GANDA","OK"))</f>
        <v/>
      </c>
      <c r="P1269" s="29" t="str">
        <f aca="false">IF(A1269="","",IF(C1269="","KOSONG",IF(AND(LEN(C1269)=16,ISNUMBER(--C1269)),"OK","TIDAK VALID")))</f>
        <v/>
      </c>
    </row>
    <row r="1270" customFormat="false" ht="15" hidden="false" customHeight="false" outlineLevel="0" collapsed="false">
      <c r="A1270" s="21"/>
      <c r="B1270" s="22"/>
      <c r="C1270" s="21"/>
      <c r="D1270" s="22"/>
      <c r="E1270" s="22"/>
      <c r="F1270" s="28"/>
      <c r="G1270" s="22"/>
      <c r="H1270" s="21"/>
      <c r="I1270" s="28"/>
      <c r="J1270" s="22"/>
      <c r="K1270" s="22"/>
      <c r="L1270" s="22"/>
      <c r="M1270" s="21"/>
      <c r="N1270" s="22"/>
      <c r="O1270" s="29" t="str">
        <f aca="false">IF(A1270="","",IF(COUNTIF($A$2:$A$2001,A1270)&gt;1,"GANDA","OK"))</f>
        <v/>
      </c>
      <c r="P1270" s="29" t="str">
        <f aca="false">IF(A1270="","",IF(C1270="","KOSONG",IF(AND(LEN(C1270)=16,ISNUMBER(--C1270)),"OK","TIDAK VALID")))</f>
        <v/>
      </c>
    </row>
    <row r="1271" customFormat="false" ht="15" hidden="false" customHeight="false" outlineLevel="0" collapsed="false">
      <c r="A1271" s="21"/>
      <c r="B1271" s="22"/>
      <c r="C1271" s="21"/>
      <c r="D1271" s="22"/>
      <c r="E1271" s="22"/>
      <c r="F1271" s="28"/>
      <c r="G1271" s="22"/>
      <c r="H1271" s="21"/>
      <c r="I1271" s="28"/>
      <c r="J1271" s="22"/>
      <c r="K1271" s="22"/>
      <c r="L1271" s="22"/>
      <c r="M1271" s="21"/>
      <c r="N1271" s="22"/>
      <c r="O1271" s="29" t="str">
        <f aca="false">IF(A1271="","",IF(COUNTIF($A$2:$A$2001,A1271)&gt;1,"GANDA","OK"))</f>
        <v/>
      </c>
      <c r="P1271" s="29" t="str">
        <f aca="false">IF(A1271="","",IF(C1271="","KOSONG",IF(AND(LEN(C1271)=16,ISNUMBER(--C1271)),"OK","TIDAK VALID")))</f>
        <v/>
      </c>
    </row>
    <row r="1272" customFormat="false" ht="15" hidden="false" customHeight="false" outlineLevel="0" collapsed="false">
      <c r="A1272" s="21"/>
      <c r="B1272" s="22"/>
      <c r="C1272" s="21"/>
      <c r="D1272" s="22"/>
      <c r="E1272" s="22"/>
      <c r="F1272" s="28"/>
      <c r="G1272" s="22"/>
      <c r="H1272" s="21"/>
      <c r="I1272" s="28"/>
      <c r="J1272" s="22"/>
      <c r="K1272" s="22"/>
      <c r="L1272" s="22"/>
      <c r="M1272" s="21"/>
      <c r="N1272" s="22"/>
      <c r="O1272" s="29" t="str">
        <f aca="false">IF(A1272="","",IF(COUNTIF($A$2:$A$2001,A1272)&gt;1,"GANDA","OK"))</f>
        <v/>
      </c>
      <c r="P1272" s="29" t="str">
        <f aca="false">IF(A1272="","",IF(C1272="","KOSONG",IF(AND(LEN(C1272)=16,ISNUMBER(--C1272)),"OK","TIDAK VALID")))</f>
        <v/>
      </c>
    </row>
    <row r="1273" customFormat="false" ht="15" hidden="false" customHeight="false" outlineLevel="0" collapsed="false">
      <c r="A1273" s="21"/>
      <c r="B1273" s="22"/>
      <c r="C1273" s="21"/>
      <c r="D1273" s="22"/>
      <c r="E1273" s="22"/>
      <c r="F1273" s="28"/>
      <c r="G1273" s="22"/>
      <c r="H1273" s="21"/>
      <c r="I1273" s="28"/>
      <c r="J1273" s="22"/>
      <c r="K1273" s="22"/>
      <c r="L1273" s="22"/>
      <c r="M1273" s="21"/>
      <c r="N1273" s="22"/>
      <c r="O1273" s="29" t="str">
        <f aca="false">IF(A1273="","",IF(COUNTIF($A$2:$A$2001,A1273)&gt;1,"GANDA","OK"))</f>
        <v/>
      </c>
      <c r="P1273" s="29" t="str">
        <f aca="false">IF(A1273="","",IF(C1273="","KOSONG",IF(AND(LEN(C1273)=16,ISNUMBER(--C1273)),"OK","TIDAK VALID")))</f>
        <v/>
      </c>
    </row>
    <row r="1274" customFormat="false" ht="15" hidden="false" customHeight="false" outlineLevel="0" collapsed="false">
      <c r="A1274" s="21"/>
      <c r="B1274" s="22"/>
      <c r="C1274" s="21"/>
      <c r="D1274" s="22"/>
      <c r="E1274" s="22"/>
      <c r="F1274" s="28"/>
      <c r="G1274" s="22"/>
      <c r="H1274" s="21"/>
      <c r="I1274" s="28"/>
      <c r="J1274" s="22"/>
      <c r="K1274" s="22"/>
      <c r="L1274" s="22"/>
      <c r="M1274" s="21"/>
      <c r="N1274" s="22"/>
      <c r="O1274" s="29" t="str">
        <f aca="false">IF(A1274="","",IF(COUNTIF($A$2:$A$2001,A1274)&gt;1,"GANDA","OK"))</f>
        <v/>
      </c>
      <c r="P1274" s="29" t="str">
        <f aca="false">IF(A1274="","",IF(C1274="","KOSONG",IF(AND(LEN(C1274)=16,ISNUMBER(--C1274)),"OK","TIDAK VALID")))</f>
        <v/>
      </c>
    </row>
    <row r="1275" customFormat="false" ht="15" hidden="false" customHeight="false" outlineLevel="0" collapsed="false">
      <c r="A1275" s="21"/>
      <c r="B1275" s="22"/>
      <c r="C1275" s="21"/>
      <c r="D1275" s="22"/>
      <c r="E1275" s="22"/>
      <c r="F1275" s="28"/>
      <c r="G1275" s="22"/>
      <c r="H1275" s="21"/>
      <c r="I1275" s="28"/>
      <c r="J1275" s="22"/>
      <c r="K1275" s="22"/>
      <c r="L1275" s="22"/>
      <c r="M1275" s="21"/>
      <c r="N1275" s="22"/>
      <c r="O1275" s="29" t="str">
        <f aca="false">IF(A1275="","",IF(COUNTIF($A$2:$A$2001,A1275)&gt;1,"GANDA","OK"))</f>
        <v/>
      </c>
      <c r="P1275" s="29" t="str">
        <f aca="false">IF(A1275="","",IF(C1275="","KOSONG",IF(AND(LEN(C1275)=16,ISNUMBER(--C1275)),"OK","TIDAK VALID")))</f>
        <v/>
      </c>
    </row>
    <row r="1276" customFormat="false" ht="15" hidden="false" customHeight="false" outlineLevel="0" collapsed="false">
      <c r="A1276" s="21"/>
      <c r="B1276" s="22"/>
      <c r="C1276" s="21"/>
      <c r="D1276" s="22"/>
      <c r="E1276" s="22"/>
      <c r="F1276" s="28"/>
      <c r="G1276" s="22"/>
      <c r="H1276" s="21"/>
      <c r="I1276" s="28"/>
      <c r="J1276" s="22"/>
      <c r="K1276" s="22"/>
      <c r="L1276" s="22"/>
      <c r="M1276" s="21"/>
      <c r="N1276" s="22"/>
      <c r="O1276" s="29" t="str">
        <f aca="false">IF(A1276="","",IF(COUNTIF($A$2:$A$2001,A1276)&gt;1,"GANDA","OK"))</f>
        <v/>
      </c>
      <c r="P1276" s="29" t="str">
        <f aca="false">IF(A1276="","",IF(C1276="","KOSONG",IF(AND(LEN(C1276)=16,ISNUMBER(--C1276)),"OK","TIDAK VALID")))</f>
        <v/>
      </c>
    </row>
    <row r="1277" customFormat="false" ht="15" hidden="false" customHeight="false" outlineLevel="0" collapsed="false">
      <c r="A1277" s="21"/>
      <c r="B1277" s="22"/>
      <c r="C1277" s="21"/>
      <c r="D1277" s="22"/>
      <c r="E1277" s="22"/>
      <c r="F1277" s="28"/>
      <c r="G1277" s="22"/>
      <c r="H1277" s="21"/>
      <c r="I1277" s="28"/>
      <c r="J1277" s="22"/>
      <c r="K1277" s="22"/>
      <c r="L1277" s="22"/>
      <c r="M1277" s="21"/>
      <c r="N1277" s="22"/>
      <c r="O1277" s="29" t="str">
        <f aca="false">IF(A1277="","",IF(COUNTIF($A$2:$A$2001,A1277)&gt;1,"GANDA","OK"))</f>
        <v/>
      </c>
      <c r="P1277" s="29" t="str">
        <f aca="false">IF(A1277="","",IF(C1277="","KOSONG",IF(AND(LEN(C1277)=16,ISNUMBER(--C1277)),"OK","TIDAK VALID")))</f>
        <v/>
      </c>
    </row>
    <row r="1278" customFormat="false" ht="15" hidden="false" customHeight="false" outlineLevel="0" collapsed="false">
      <c r="A1278" s="21"/>
      <c r="B1278" s="22"/>
      <c r="C1278" s="21"/>
      <c r="D1278" s="22"/>
      <c r="E1278" s="22"/>
      <c r="F1278" s="28"/>
      <c r="G1278" s="22"/>
      <c r="H1278" s="21"/>
      <c r="I1278" s="28"/>
      <c r="J1278" s="22"/>
      <c r="K1278" s="22"/>
      <c r="L1278" s="22"/>
      <c r="M1278" s="21"/>
      <c r="N1278" s="22"/>
      <c r="O1278" s="29" t="str">
        <f aca="false">IF(A1278="","",IF(COUNTIF($A$2:$A$2001,A1278)&gt;1,"GANDA","OK"))</f>
        <v/>
      </c>
      <c r="P1278" s="29" t="str">
        <f aca="false">IF(A1278="","",IF(C1278="","KOSONG",IF(AND(LEN(C1278)=16,ISNUMBER(--C1278)),"OK","TIDAK VALID")))</f>
        <v/>
      </c>
    </row>
    <row r="1279" customFormat="false" ht="15" hidden="false" customHeight="false" outlineLevel="0" collapsed="false">
      <c r="A1279" s="21"/>
      <c r="B1279" s="22"/>
      <c r="C1279" s="21"/>
      <c r="D1279" s="22"/>
      <c r="E1279" s="22"/>
      <c r="F1279" s="28"/>
      <c r="G1279" s="22"/>
      <c r="H1279" s="21"/>
      <c r="I1279" s="28"/>
      <c r="J1279" s="22"/>
      <c r="K1279" s="22"/>
      <c r="L1279" s="22"/>
      <c r="M1279" s="21"/>
      <c r="N1279" s="22"/>
      <c r="O1279" s="29" t="str">
        <f aca="false">IF(A1279="","",IF(COUNTIF($A$2:$A$2001,A1279)&gt;1,"GANDA","OK"))</f>
        <v/>
      </c>
      <c r="P1279" s="29" t="str">
        <f aca="false">IF(A1279="","",IF(C1279="","KOSONG",IF(AND(LEN(C1279)=16,ISNUMBER(--C1279)),"OK","TIDAK VALID")))</f>
        <v/>
      </c>
    </row>
    <row r="1280" customFormat="false" ht="15" hidden="false" customHeight="false" outlineLevel="0" collapsed="false">
      <c r="A1280" s="21"/>
      <c r="B1280" s="22"/>
      <c r="C1280" s="21"/>
      <c r="D1280" s="22"/>
      <c r="E1280" s="22"/>
      <c r="F1280" s="28"/>
      <c r="G1280" s="22"/>
      <c r="H1280" s="21"/>
      <c r="I1280" s="28"/>
      <c r="J1280" s="22"/>
      <c r="K1280" s="22"/>
      <c r="L1280" s="22"/>
      <c r="M1280" s="21"/>
      <c r="N1280" s="22"/>
      <c r="O1280" s="29" t="str">
        <f aca="false">IF(A1280="","",IF(COUNTIF($A$2:$A$2001,A1280)&gt;1,"GANDA","OK"))</f>
        <v/>
      </c>
      <c r="P1280" s="29" t="str">
        <f aca="false">IF(A1280="","",IF(C1280="","KOSONG",IF(AND(LEN(C1280)=16,ISNUMBER(--C1280)),"OK","TIDAK VALID")))</f>
        <v/>
      </c>
    </row>
    <row r="1281" customFormat="false" ht="15" hidden="false" customHeight="false" outlineLevel="0" collapsed="false">
      <c r="A1281" s="21"/>
      <c r="B1281" s="22"/>
      <c r="C1281" s="21"/>
      <c r="D1281" s="22"/>
      <c r="E1281" s="22"/>
      <c r="F1281" s="28"/>
      <c r="G1281" s="22"/>
      <c r="H1281" s="21"/>
      <c r="I1281" s="28"/>
      <c r="J1281" s="22"/>
      <c r="K1281" s="22"/>
      <c r="L1281" s="22"/>
      <c r="M1281" s="21"/>
      <c r="N1281" s="22"/>
      <c r="O1281" s="29" t="str">
        <f aca="false">IF(A1281="","",IF(COUNTIF($A$2:$A$2001,A1281)&gt;1,"GANDA","OK"))</f>
        <v/>
      </c>
      <c r="P1281" s="29" t="str">
        <f aca="false">IF(A1281="","",IF(C1281="","KOSONG",IF(AND(LEN(C1281)=16,ISNUMBER(--C1281)),"OK","TIDAK VALID")))</f>
        <v/>
      </c>
    </row>
    <row r="1282" customFormat="false" ht="15" hidden="false" customHeight="false" outlineLevel="0" collapsed="false">
      <c r="A1282" s="21"/>
      <c r="B1282" s="22"/>
      <c r="C1282" s="21"/>
      <c r="D1282" s="22"/>
      <c r="E1282" s="22"/>
      <c r="F1282" s="28"/>
      <c r="G1282" s="22"/>
      <c r="H1282" s="21"/>
      <c r="I1282" s="28"/>
      <c r="J1282" s="22"/>
      <c r="K1282" s="22"/>
      <c r="L1282" s="22"/>
      <c r="M1282" s="21"/>
      <c r="N1282" s="22"/>
      <c r="O1282" s="29" t="str">
        <f aca="false">IF(A1282="","",IF(COUNTIF($A$2:$A$2001,A1282)&gt;1,"GANDA","OK"))</f>
        <v/>
      </c>
      <c r="P1282" s="29" t="str">
        <f aca="false">IF(A1282="","",IF(C1282="","KOSONG",IF(AND(LEN(C1282)=16,ISNUMBER(--C1282)),"OK","TIDAK VALID")))</f>
        <v/>
      </c>
    </row>
    <row r="1283" customFormat="false" ht="15" hidden="false" customHeight="false" outlineLevel="0" collapsed="false">
      <c r="A1283" s="21"/>
      <c r="B1283" s="22"/>
      <c r="C1283" s="21"/>
      <c r="D1283" s="22"/>
      <c r="E1283" s="22"/>
      <c r="F1283" s="28"/>
      <c r="G1283" s="22"/>
      <c r="H1283" s="21"/>
      <c r="I1283" s="28"/>
      <c r="J1283" s="22"/>
      <c r="K1283" s="22"/>
      <c r="L1283" s="22"/>
      <c r="M1283" s="21"/>
      <c r="N1283" s="22"/>
      <c r="O1283" s="29" t="str">
        <f aca="false">IF(A1283="","",IF(COUNTIF($A$2:$A$2001,A1283)&gt;1,"GANDA","OK"))</f>
        <v/>
      </c>
      <c r="P1283" s="29" t="str">
        <f aca="false">IF(A1283="","",IF(C1283="","KOSONG",IF(AND(LEN(C1283)=16,ISNUMBER(--C1283)),"OK","TIDAK VALID")))</f>
        <v/>
      </c>
    </row>
    <row r="1284" customFormat="false" ht="15" hidden="false" customHeight="false" outlineLevel="0" collapsed="false">
      <c r="A1284" s="21"/>
      <c r="B1284" s="22"/>
      <c r="C1284" s="21"/>
      <c r="D1284" s="22"/>
      <c r="E1284" s="22"/>
      <c r="F1284" s="28"/>
      <c r="G1284" s="22"/>
      <c r="H1284" s="21"/>
      <c r="I1284" s="28"/>
      <c r="J1284" s="22"/>
      <c r="K1284" s="22"/>
      <c r="L1284" s="22"/>
      <c r="M1284" s="21"/>
      <c r="N1284" s="22"/>
      <c r="O1284" s="29" t="str">
        <f aca="false">IF(A1284="","",IF(COUNTIF($A$2:$A$2001,A1284)&gt;1,"GANDA","OK"))</f>
        <v/>
      </c>
      <c r="P1284" s="29" t="str">
        <f aca="false">IF(A1284="","",IF(C1284="","KOSONG",IF(AND(LEN(C1284)=16,ISNUMBER(--C1284)),"OK","TIDAK VALID")))</f>
        <v/>
      </c>
    </row>
    <row r="1285" customFormat="false" ht="15" hidden="false" customHeight="false" outlineLevel="0" collapsed="false">
      <c r="A1285" s="21"/>
      <c r="B1285" s="22"/>
      <c r="C1285" s="21"/>
      <c r="D1285" s="22"/>
      <c r="E1285" s="22"/>
      <c r="F1285" s="28"/>
      <c r="G1285" s="22"/>
      <c r="H1285" s="21"/>
      <c r="I1285" s="28"/>
      <c r="J1285" s="22"/>
      <c r="K1285" s="22"/>
      <c r="L1285" s="22"/>
      <c r="M1285" s="21"/>
      <c r="N1285" s="22"/>
      <c r="O1285" s="29" t="str">
        <f aca="false">IF(A1285="","",IF(COUNTIF($A$2:$A$2001,A1285)&gt;1,"GANDA","OK"))</f>
        <v/>
      </c>
      <c r="P1285" s="29" t="str">
        <f aca="false">IF(A1285="","",IF(C1285="","KOSONG",IF(AND(LEN(C1285)=16,ISNUMBER(--C1285)),"OK","TIDAK VALID")))</f>
        <v/>
      </c>
    </row>
    <row r="1286" customFormat="false" ht="15" hidden="false" customHeight="false" outlineLevel="0" collapsed="false">
      <c r="A1286" s="21"/>
      <c r="B1286" s="22"/>
      <c r="C1286" s="21"/>
      <c r="D1286" s="22"/>
      <c r="E1286" s="22"/>
      <c r="F1286" s="28"/>
      <c r="G1286" s="22"/>
      <c r="H1286" s="21"/>
      <c r="I1286" s="28"/>
      <c r="J1286" s="22"/>
      <c r="K1286" s="22"/>
      <c r="L1286" s="22"/>
      <c r="M1286" s="21"/>
      <c r="N1286" s="22"/>
      <c r="O1286" s="29" t="str">
        <f aca="false">IF(A1286="","",IF(COUNTIF($A$2:$A$2001,A1286)&gt;1,"GANDA","OK"))</f>
        <v/>
      </c>
      <c r="P1286" s="29" t="str">
        <f aca="false">IF(A1286="","",IF(C1286="","KOSONG",IF(AND(LEN(C1286)=16,ISNUMBER(--C1286)),"OK","TIDAK VALID")))</f>
        <v/>
      </c>
    </row>
    <row r="1287" customFormat="false" ht="15" hidden="false" customHeight="false" outlineLevel="0" collapsed="false">
      <c r="A1287" s="21"/>
      <c r="B1287" s="22"/>
      <c r="C1287" s="21"/>
      <c r="D1287" s="22"/>
      <c r="E1287" s="22"/>
      <c r="F1287" s="28"/>
      <c r="G1287" s="22"/>
      <c r="H1287" s="21"/>
      <c r="I1287" s="28"/>
      <c r="J1287" s="22"/>
      <c r="K1287" s="22"/>
      <c r="L1287" s="22"/>
      <c r="M1287" s="21"/>
      <c r="N1287" s="22"/>
      <c r="O1287" s="29" t="str">
        <f aca="false">IF(A1287="","",IF(COUNTIF($A$2:$A$2001,A1287)&gt;1,"GANDA","OK"))</f>
        <v/>
      </c>
      <c r="P1287" s="29" t="str">
        <f aca="false">IF(A1287="","",IF(C1287="","KOSONG",IF(AND(LEN(C1287)=16,ISNUMBER(--C1287)),"OK","TIDAK VALID")))</f>
        <v/>
      </c>
    </row>
    <row r="1288" customFormat="false" ht="15" hidden="false" customHeight="false" outlineLevel="0" collapsed="false">
      <c r="A1288" s="21"/>
      <c r="B1288" s="22"/>
      <c r="C1288" s="21"/>
      <c r="D1288" s="22"/>
      <c r="E1288" s="22"/>
      <c r="F1288" s="28"/>
      <c r="G1288" s="22"/>
      <c r="H1288" s="21"/>
      <c r="I1288" s="28"/>
      <c r="J1288" s="22"/>
      <c r="K1288" s="22"/>
      <c r="L1288" s="22"/>
      <c r="M1288" s="21"/>
      <c r="N1288" s="22"/>
      <c r="O1288" s="29" t="str">
        <f aca="false">IF(A1288="","",IF(COUNTIF($A$2:$A$2001,A1288)&gt;1,"GANDA","OK"))</f>
        <v/>
      </c>
      <c r="P1288" s="29" t="str">
        <f aca="false">IF(A1288="","",IF(C1288="","KOSONG",IF(AND(LEN(C1288)=16,ISNUMBER(--C1288)),"OK","TIDAK VALID")))</f>
        <v/>
      </c>
    </row>
    <row r="1289" customFormat="false" ht="15" hidden="false" customHeight="false" outlineLevel="0" collapsed="false">
      <c r="A1289" s="21"/>
      <c r="B1289" s="22"/>
      <c r="C1289" s="21"/>
      <c r="D1289" s="22"/>
      <c r="E1289" s="22"/>
      <c r="F1289" s="28"/>
      <c r="G1289" s="22"/>
      <c r="H1289" s="21"/>
      <c r="I1289" s="28"/>
      <c r="J1289" s="22"/>
      <c r="K1289" s="22"/>
      <c r="L1289" s="22"/>
      <c r="M1289" s="21"/>
      <c r="N1289" s="22"/>
      <c r="O1289" s="29" t="str">
        <f aca="false">IF(A1289="","",IF(COUNTIF($A$2:$A$2001,A1289)&gt;1,"GANDA","OK"))</f>
        <v/>
      </c>
      <c r="P1289" s="29" t="str">
        <f aca="false">IF(A1289="","",IF(C1289="","KOSONG",IF(AND(LEN(C1289)=16,ISNUMBER(--C1289)),"OK","TIDAK VALID")))</f>
        <v/>
      </c>
    </row>
    <row r="1290" customFormat="false" ht="15" hidden="false" customHeight="false" outlineLevel="0" collapsed="false">
      <c r="A1290" s="21"/>
      <c r="B1290" s="22"/>
      <c r="C1290" s="21"/>
      <c r="D1290" s="22"/>
      <c r="E1290" s="22"/>
      <c r="F1290" s="28"/>
      <c r="G1290" s="22"/>
      <c r="H1290" s="21"/>
      <c r="I1290" s="28"/>
      <c r="J1290" s="22"/>
      <c r="K1290" s="22"/>
      <c r="L1290" s="22"/>
      <c r="M1290" s="21"/>
      <c r="N1290" s="22"/>
      <c r="O1290" s="29" t="str">
        <f aca="false">IF(A1290="","",IF(COUNTIF($A$2:$A$2001,A1290)&gt;1,"GANDA","OK"))</f>
        <v/>
      </c>
      <c r="P1290" s="29" t="str">
        <f aca="false">IF(A1290="","",IF(C1290="","KOSONG",IF(AND(LEN(C1290)=16,ISNUMBER(--C1290)),"OK","TIDAK VALID")))</f>
        <v/>
      </c>
    </row>
    <row r="1291" customFormat="false" ht="15" hidden="false" customHeight="false" outlineLevel="0" collapsed="false">
      <c r="A1291" s="21"/>
      <c r="B1291" s="22"/>
      <c r="C1291" s="21"/>
      <c r="D1291" s="22"/>
      <c r="E1291" s="22"/>
      <c r="F1291" s="28"/>
      <c r="G1291" s="22"/>
      <c r="H1291" s="21"/>
      <c r="I1291" s="28"/>
      <c r="J1291" s="22"/>
      <c r="K1291" s="22"/>
      <c r="L1291" s="22"/>
      <c r="M1291" s="21"/>
      <c r="N1291" s="22"/>
      <c r="O1291" s="29" t="str">
        <f aca="false">IF(A1291="","",IF(COUNTIF($A$2:$A$2001,A1291)&gt;1,"GANDA","OK"))</f>
        <v/>
      </c>
      <c r="P1291" s="29" t="str">
        <f aca="false">IF(A1291="","",IF(C1291="","KOSONG",IF(AND(LEN(C1291)=16,ISNUMBER(--C1291)),"OK","TIDAK VALID")))</f>
        <v/>
      </c>
    </row>
    <row r="1292" customFormat="false" ht="15" hidden="false" customHeight="false" outlineLevel="0" collapsed="false">
      <c r="A1292" s="21"/>
      <c r="B1292" s="22"/>
      <c r="C1292" s="21"/>
      <c r="D1292" s="22"/>
      <c r="E1292" s="22"/>
      <c r="F1292" s="28"/>
      <c r="G1292" s="22"/>
      <c r="H1292" s="21"/>
      <c r="I1292" s="28"/>
      <c r="J1292" s="22"/>
      <c r="K1292" s="22"/>
      <c r="L1292" s="22"/>
      <c r="M1292" s="21"/>
      <c r="N1292" s="22"/>
      <c r="O1292" s="29" t="str">
        <f aca="false">IF(A1292="","",IF(COUNTIF($A$2:$A$2001,A1292)&gt;1,"GANDA","OK"))</f>
        <v/>
      </c>
      <c r="P1292" s="29" t="str">
        <f aca="false">IF(A1292="","",IF(C1292="","KOSONG",IF(AND(LEN(C1292)=16,ISNUMBER(--C1292)),"OK","TIDAK VALID")))</f>
        <v/>
      </c>
    </row>
    <row r="1293" customFormat="false" ht="15" hidden="false" customHeight="false" outlineLevel="0" collapsed="false">
      <c r="A1293" s="21"/>
      <c r="B1293" s="22"/>
      <c r="C1293" s="21"/>
      <c r="D1293" s="22"/>
      <c r="E1293" s="22"/>
      <c r="F1293" s="28"/>
      <c r="G1293" s="22"/>
      <c r="H1293" s="21"/>
      <c r="I1293" s="28"/>
      <c r="J1293" s="22"/>
      <c r="K1293" s="22"/>
      <c r="L1293" s="22"/>
      <c r="M1293" s="21"/>
      <c r="N1293" s="22"/>
      <c r="O1293" s="29" t="str">
        <f aca="false">IF(A1293="","",IF(COUNTIF($A$2:$A$2001,A1293)&gt;1,"GANDA","OK"))</f>
        <v/>
      </c>
      <c r="P1293" s="29" t="str">
        <f aca="false">IF(A1293="","",IF(C1293="","KOSONG",IF(AND(LEN(C1293)=16,ISNUMBER(--C1293)),"OK","TIDAK VALID")))</f>
        <v/>
      </c>
    </row>
    <row r="1294" customFormat="false" ht="15" hidden="false" customHeight="false" outlineLevel="0" collapsed="false">
      <c r="A1294" s="21"/>
      <c r="B1294" s="22"/>
      <c r="C1294" s="21"/>
      <c r="D1294" s="22"/>
      <c r="E1294" s="22"/>
      <c r="F1294" s="28"/>
      <c r="G1294" s="22"/>
      <c r="H1294" s="21"/>
      <c r="I1294" s="28"/>
      <c r="J1294" s="22"/>
      <c r="K1294" s="22"/>
      <c r="L1294" s="22"/>
      <c r="M1294" s="21"/>
      <c r="N1294" s="22"/>
      <c r="O1294" s="29" t="str">
        <f aca="false">IF(A1294="","",IF(COUNTIF($A$2:$A$2001,A1294)&gt;1,"GANDA","OK"))</f>
        <v/>
      </c>
      <c r="P1294" s="29" t="str">
        <f aca="false">IF(A1294="","",IF(C1294="","KOSONG",IF(AND(LEN(C1294)=16,ISNUMBER(--C1294)),"OK","TIDAK VALID")))</f>
        <v/>
      </c>
    </row>
    <row r="1295" customFormat="false" ht="15" hidden="false" customHeight="false" outlineLevel="0" collapsed="false">
      <c r="A1295" s="21"/>
      <c r="B1295" s="22"/>
      <c r="C1295" s="21"/>
      <c r="D1295" s="22"/>
      <c r="E1295" s="22"/>
      <c r="F1295" s="28"/>
      <c r="G1295" s="22"/>
      <c r="H1295" s="21"/>
      <c r="I1295" s="28"/>
      <c r="J1295" s="22"/>
      <c r="K1295" s="22"/>
      <c r="L1295" s="22"/>
      <c r="M1295" s="21"/>
      <c r="N1295" s="22"/>
      <c r="O1295" s="29" t="str">
        <f aca="false">IF(A1295="","",IF(COUNTIF($A$2:$A$2001,A1295)&gt;1,"GANDA","OK"))</f>
        <v/>
      </c>
      <c r="P1295" s="29" t="str">
        <f aca="false">IF(A1295="","",IF(C1295="","KOSONG",IF(AND(LEN(C1295)=16,ISNUMBER(--C1295)),"OK","TIDAK VALID")))</f>
        <v/>
      </c>
    </row>
    <row r="1296" customFormat="false" ht="15" hidden="false" customHeight="false" outlineLevel="0" collapsed="false">
      <c r="A1296" s="21"/>
      <c r="B1296" s="22"/>
      <c r="C1296" s="21"/>
      <c r="D1296" s="22"/>
      <c r="E1296" s="22"/>
      <c r="F1296" s="28"/>
      <c r="G1296" s="22"/>
      <c r="H1296" s="21"/>
      <c r="I1296" s="28"/>
      <c r="J1296" s="22"/>
      <c r="K1296" s="22"/>
      <c r="L1296" s="22"/>
      <c r="M1296" s="21"/>
      <c r="N1296" s="22"/>
      <c r="O1296" s="29" t="str">
        <f aca="false">IF(A1296="","",IF(COUNTIF($A$2:$A$2001,A1296)&gt;1,"GANDA","OK"))</f>
        <v/>
      </c>
      <c r="P1296" s="29" t="str">
        <f aca="false">IF(A1296="","",IF(C1296="","KOSONG",IF(AND(LEN(C1296)=16,ISNUMBER(--C1296)),"OK","TIDAK VALID")))</f>
        <v/>
      </c>
    </row>
    <row r="1297" customFormat="false" ht="15" hidden="false" customHeight="false" outlineLevel="0" collapsed="false">
      <c r="A1297" s="21"/>
      <c r="B1297" s="22"/>
      <c r="C1297" s="21"/>
      <c r="D1297" s="22"/>
      <c r="E1297" s="22"/>
      <c r="F1297" s="28"/>
      <c r="G1297" s="22"/>
      <c r="H1297" s="21"/>
      <c r="I1297" s="28"/>
      <c r="J1297" s="22"/>
      <c r="K1297" s="22"/>
      <c r="L1297" s="22"/>
      <c r="M1297" s="21"/>
      <c r="N1297" s="22"/>
      <c r="O1297" s="29" t="str">
        <f aca="false">IF(A1297="","",IF(COUNTIF($A$2:$A$2001,A1297)&gt;1,"GANDA","OK"))</f>
        <v/>
      </c>
      <c r="P1297" s="29" t="str">
        <f aca="false">IF(A1297="","",IF(C1297="","KOSONG",IF(AND(LEN(C1297)=16,ISNUMBER(--C1297)),"OK","TIDAK VALID")))</f>
        <v/>
      </c>
    </row>
    <row r="1298" customFormat="false" ht="15" hidden="false" customHeight="false" outlineLevel="0" collapsed="false">
      <c r="A1298" s="21"/>
      <c r="B1298" s="22"/>
      <c r="C1298" s="21"/>
      <c r="D1298" s="22"/>
      <c r="E1298" s="22"/>
      <c r="F1298" s="28"/>
      <c r="G1298" s="22"/>
      <c r="H1298" s="21"/>
      <c r="I1298" s="28"/>
      <c r="J1298" s="22"/>
      <c r="K1298" s="22"/>
      <c r="L1298" s="22"/>
      <c r="M1298" s="21"/>
      <c r="N1298" s="22"/>
      <c r="O1298" s="29" t="str">
        <f aca="false">IF(A1298="","",IF(COUNTIF($A$2:$A$2001,A1298)&gt;1,"GANDA","OK"))</f>
        <v/>
      </c>
      <c r="P1298" s="29" t="str">
        <f aca="false">IF(A1298="","",IF(C1298="","KOSONG",IF(AND(LEN(C1298)=16,ISNUMBER(--C1298)),"OK","TIDAK VALID")))</f>
        <v/>
      </c>
    </row>
    <row r="1299" customFormat="false" ht="15" hidden="false" customHeight="false" outlineLevel="0" collapsed="false">
      <c r="A1299" s="21"/>
      <c r="B1299" s="22"/>
      <c r="C1299" s="21"/>
      <c r="D1299" s="22"/>
      <c r="E1299" s="22"/>
      <c r="F1299" s="28"/>
      <c r="G1299" s="22"/>
      <c r="H1299" s="21"/>
      <c r="I1299" s="28"/>
      <c r="J1299" s="22"/>
      <c r="K1299" s="22"/>
      <c r="L1299" s="22"/>
      <c r="M1299" s="21"/>
      <c r="N1299" s="22"/>
      <c r="O1299" s="29" t="str">
        <f aca="false">IF(A1299="","",IF(COUNTIF($A$2:$A$2001,A1299)&gt;1,"GANDA","OK"))</f>
        <v/>
      </c>
      <c r="P1299" s="29" t="str">
        <f aca="false">IF(A1299="","",IF(C1299="","KOSONG",IF(AND(LEN(C1299)=16,ISNUMBER(--C1299)),"OK","TIDAK VALID")))</f>
        <v/>
      </c>
    </row>
    <row r="1300" customFormat="false" ht="15" hidden="false" customHeight="false" outlineLevel="0" collapsed="false">
      <c r="A1300" s="21"/>
      <c r="B1300" s="22"/>
      <c r="C1300" s="21"/>
      <c r="D1300" s="22"/>
      <c r="E1300" s="22"/>
      <c r="F1300" s="28"/>
      <c r="G1300" s="22"/>
      <c r="H1300" s="21"/>
      <c r="I1300" s="28"/>
      <c r="J1300" s="22"/>
      <c r="K1300" s="22"/>
      <c r="L1300" s="22"/>
      <c r="M1300" s="21"/>
      <c r="N1300" s="22"/>
      <c r="O1300" s="29" t="str">
        <f aca="false">IF(A1300="","",IF(COUNTIF($A$2:$A$2001,A1300)&gt;1,"GANDA","OK"))</f>
        <v/>
      </c>
      <c r="P1300" s="29" t="str">
        <f aca="false">IF(A1300="","",IF(C1300="","KOSONG",IF(AND(LEN(C1300)=16,ISNUMBER(--C1300)),"OK","TIDAK VALID")))</f>
        <v/>
      </c>
    </row>
    <row r="1301" customFormat="false" ht="15" hidden="false" customHeight="false" outlineLevel="0" collapsed="false">
      <c r="A1301" s="21"/>
      <c r="B1301" s="22"/>
      <c r="C1301" s="21"/>
      <c r="D1301" s="22"/>
      <c r="E1301" s="22"/>
      <c r="F1301" s="28"/>
      <c r="G1301" s="22"/>
      <c r="H1301" s="21"/>
      <c r="I1301" s="28"/>
      <c r="J1301" s="22"/>
      <c r="K1301" s="22"/>
      <c r="L1301" s="22"/>
      <c r="M1301" s="21"/>
      <c r="N1301" s="22"/>
      <c r="O1301" s="29" t="str">
        <f aca="false">IF(A1301="","",IF(COUNTIF($A$2:$A$2001,A1301)&gt;1,"GANDA","OK"))</f>
        <v/>
      </c>
      <c r="P1301" s="29" t="str">
        <f aca="false">IF(A1301="","",IF(C1301="","KOSONG",IF(AND(LEN(C1301)=16,ISNUMBER(--C1301)),"OK","TIDAK VALID")))</f>
        <v/>
      </c>
    </row>
    <row r="1302" customFormat="false" ht="15" hidden="false" customHeight="false" outlineLevel="0" collapsed="false">
      <c r="A1302" s="21"/>
      <c r="B1302" s="22"/>
      <c r="C1302" s="21"/>
      <c r="D1302" s="22"/>
      <c r="E1302" s="22"/>
      <c r="F1302" s="28"/>
      <c r="G1302" s="22"/>
      <c r="H1302" s="21"/>
      <c r="I1302" s="28"/>
      <c r="J1302" s="22"/>
      <c r="K1302" s="22"/>
      <c r="L1302" s="22"/>
      <c r="M1302" s="21"/>
      <c r="N1302" s="22"/>
      <c r="O1302" s="29" t="str">
        <f aca="false">IF(A1302="","",IF(COUNTIF($A$2:$A$2001,A1302)&gt;1,"GANDA","OK"))</f>
        <v/>
      </c>
      <c r="P1302" s="29" t="str">
        <f aca="false">IF(A1302="","",IF(C1302="","KOSONG",IF(AND(LEN(C1302)=16,ISNUMBER(--C1302)),"OK","TIDAK VALID")))</f>
        <v/>
      </c>
    </row>
    <row r="1303" customFormat="false" ht="15" hidden="false" customHeight="false" outlineLevel="0" collapsed="false">
      <c r="A1303" s="21"/>
      <c r="B1303" s="22"/>
      <c r="C1303" s="21"/>
      <c r="D1303" s="22"/>
      <c r="E1303" s="22"/>
      <c r="F1303" s="28"/>
      <c r="G1303" s="22"/>
      <c r="H1303" s="21"/>
      <c r="I1303" s="28"/>
      <c r="J1303" s="22"/>
      <c r="K1303" s="22"/>
      <c r="L1303" s="22"/>
      <c r="M1303" s="21"/>
      <c r="N1303" s="22"/>
      <c r="O1303" s="29" t="str">
        <f aca="false">IF(A1303="","",IF(COUNTIF($A$2:$A$2001,A1303)&gt;1,"GANDA","OK"))</f>
        <v/>
      </c>
      <c r="P1303" s="29" t="str">
        <f aca="false">IF(A1303="","",IF(C1303="","KOSONG",IF(AND(LEN(C1303)=16,ISNUMBER(--C1303)),"OK","TIDAK VALID")))</f>
        <v/>
      </c>
    </row>
    <row r="1304" customFormat="false" ht="15" hidden="false" customHeight="false" outlineLevel="0" collapsed="false">
      <c r="A1304" s="21"/>
      <c r="B1304" s="22"/>
      <c r="C1304" s="21"/>
      <c r="D1304" s="22"/>
      <c r="E1304" s="22"/>
      <c r="F1304" s="28"/>
      <c r="G1304" s="22"/>
      <c r="H1304" s="21"/>
      <c r="I1304" s="28"/>
      <c r="J1304" s="22"/>
      <c r="K1304" s="22"/>
      <c r="L1304" s="22"/>
      <c r="M1304" s="21"/>
      <c r="N1304" s="22"/>
      <c r="O1304" s="29" t="str">
        <f aca="false">IF(A1304="","",IF(COUNTIF($A$2:$A$2001,A1304)&gt;1,"GANDA","OK"))</f>
        <v/>
      </c>
      <c r="P1304" s="29" t="str">
        <f aca="false">IF(A1304="","",IF(C1304="","KOSONG",IF(AND(LEN(C1304)=16,ISNUMBER(--C1304)),"OK","TIDAK VALID")))</f>
        <v/>
      </c>
    </row>
    <row r="1305" customFormat="false" ht="15" hidden="false" customHeight="false" outlineLevel="0" collapsed="false">
      <c r="A1305" s="21"/>
      <c r="B1305" s="22"/>
      <c r="C1305" s="21"/>
      <c r="D1305" s="22"/>
      <c r="E1305" s="22"/>
      <c r="F1305" s="28"/>
      <c r="G1305" s="22"/>
      <c r="H1305" s="21"/>
      <c r="I1305" s="28"/>
      <c r="J1305" s="22"/>
      <c r="K1305" s="22"/>
      <c r="L1305" s="22"/>
      <c r="M1305" s="21"/>
      <c r="N1305" s="22"/>
      <c r="O1305" s="29" t="str">
        <f aca="false">IF(A1305="","",IF(COUNTIF($A$2:$A$2001,A1305)&gt;1,"GANDA","OK"))</f>
        <v/>
      </c>
      <c r="P1305" s="29" t="str">
        <f aca="false">IF(A1305="","",IF(C1305="","KOSONG",IF(AND(LEN(C1305)=16,ISNUMBER(--C1305)),"OK","TIDAK VALID")))</f>
        <v/>
      </c>
    </row>
    <row r="1306" customFormat="false" ht="15" hidden="false" customHeight="false" outlineLevel="0" collapsed="false">
      <c r="A1306" s="21"/>
      <c r="B1306" s="22"/>
      <c r="C1306" s="21"/>
      <c r="D1306" s="22"/>
      <c r="E1306" s="22"/>
      <c r="F1306" s="28"/>
      <c r="G1306" s="22"/>
      <c r="H1306" s="21"/>
      <c r="I1306" s="28"/>
      <c r="J1306" s="22"/>
      <c r="K1306" s="22"/>
      <c r="L1306" s="22"/>
      <c r="M1306" s="21"/>
      <c r="N1306" s="22"/>
      <c r="O1306" s="29" t="str">
        <f aca="false">IF(A1306="","",IF(COUNTIF($A$2:$A$2001,A1306)&gt;1,"GANDA","OK"))</f>
        <v/>
      </c>
      <c r="P1306" s="29" t="str">
        <f aca="false">IF(A1306="","",IF(C1306="","KOSONG",IF(AND(LEN(C1306)=16,ISNUMBER(--C1306)),"OK","TIDAK VALID")))</f>
        <v/>
      </c>
    </row>
    <row r="1307" customFormat="false" ht="15" hidden="false" customHeight="false" outlineLevel="0" collapsed="false">
      <c r="A1307" s="21"/>
      <c r="B1307" s="22"/>
      <c r="C1307" s="21"/>
      <c r="D1307" s="22"/>
      <c r="E1307" s="22"/>
      <c r="F1307" s="28"/>
      <c r="G1307" s="22"/>
      <c r="H1307" s="21"/>
      <c r="I1307" s="28"/>
      <c r="J1307" s="22"/>
      <c r="K1307" s="22"/>
      <c r="L1307" s="22"/>
      <c r="M1307" s="21"/>
      <c r="N1307" s="22"/>
      <c r="O1307" s="29" t="str">
        <f aca="false">IF(A1307="","",IF(COUNTIF($A$2:$A$2001,A1307)&gt;1,"GANDA","OK"))</f>
        <v/>
      </c>
      <c r="P1307" s="29" t="str">
        <f aca="false">IF(A1307="","",IF(C1307="","KOSONG",IF(AND(LEN(C1307)=16,ISNUMBER(--C1307)),"OK","TIDAK VALID")))</f>
        <v/>
      </c>
    </row>
    <row r="1308" customFormat="false" ht="15" hidden="false" customHeight="false" outlineLevel="0" collapsed="false">
      <c r="A1308" s="21"/>
      <c r="B1308" s="22"/>
      <c r="C1308" s="21"/>
      <c r="D1308" s="22"/>
      <c r="E1308" s="22"/>
      <c r="F1308" s="28"/>
      <c r="G1308" s="22"/>
      <c r="H1308" s="21"/>
      <c r="I1308" s="28"/>
      <c r="J1308" s="22"/>
      <c r="K1308" s="22"/>
      <c r="L1308" s="22"/>
      <c r="M1308" s="21"/>
      <c r="N1308" s="22"/>
      <c r="O1308" s="29" t="str">
        <f aca="false">IF(A1308="","",IF(COUNTIF($A$2:$A$2001,A1308)&gt;1,"GANDA","OK"))</f>
        <v/>
      </c>
      <c r="P1308" s="29" t="str">
        <f aca="false">IF(A1308="","",IF(C1308="","KOSONG",IF(AND(LEN(C1308)=16,ISNUMBER(--C1308)),"OK","TIDAK VALID")))</f>
        <v/>
      </c>
    </row>
    <row r="1309" customFormat="false" ht="15" hidden="false" customHeight="false" outlineLevel="0" collapsed="false">
      <c r="A1309" s="21"/>
      <c r="B1309" s="22"/>
      <c r="C1309" s="21"/>
      <c r="D1309" s="22"/>
      <c r="E1309" s="22"/>
      <c r="F1309" s="28"/>
      <c r="G1309" s="22"/>
      <c r="H1309" s="21"/>
      <c r="I1309" s="28"/>
      <c r="J1309" s="22"/>
      <c r="K1309" s="22"/>
      <c r="L1309" s="22"/>
      <c r="M1309" s="21"/>
      <c r="N1309" s="22"/>
      <c r="O1309" s="29" t="str">
        <f aca="false">IF(A1309="","",IF(COUNTIF($A$2:$A$2001,A1309)&gt;1,"GANDA","OK"))</f>
        <v/>
      </c>
      <c r="P1309" s="29" t="str">
        <f aca="false">IF(A1309="","",IF(C1309="","KOSONG",IF(AND(LEN(C1309)=16,ISNUMBER(--C1309)),"OK","TIDAK VALID")))</f>
        <v/>
      </c>
    </row>
    <row r="1310" customFormat="false" ht="15" hidden="false" customHeight="false" outlineLevel="0" collapsed="false">
      <c r="A1310" s="21"/>
      <c r="B1310" s="22"/>
      <c r="C1310" s="21"/>
      <c r="D1310" s="22"/>
      <c r="E1310" s="22"/>
      <c r="F1310" s="28"/>
      <c r="G1310" s="22"/>
      <c r="H1310" s="21"/>
      <c r="I1310" s="28"/>
      <c r="J1310" s="22"/>
      <c r="K1310" s="22"/>
      <c r="L1310" s="22"/>
      <c r="M1310" s="21"/>
      <c r="N1310" s="22"/>
      <c r="O1310" s="29" t="str">
        <f aca="false">IF(A1310="","",IF(COUNTIF($A$2:$A$2001,A1310)&gt;1,"GANDA","OK"))</f>
        <v/>
      </c>
      <c r="P1310" s="29" t="str">
        <f aca="false">IF(A1310="","",IF(C1310="","KOSONG",IF(AND(LEN(C1310)=16,ISNUMBER(--C1310)),"OK","TIDAK VALID")))</f>
        <v/>
      </c>
    </row>
    <row r="1311" customFormat="false" ht="15" hidden="false" customHeight="false" outlineLevel="0" collapsed="false">
      <c r="A1311" s="21"/>
      <c r="B1311" s="22"/>
      <c r="C1311" s="21"/>
      <c r="D1311" s="22"/>
      <c r="E1311" s="22"/>
      <c r="F1311" s="28"/>
      <c r="G1311" s="22"/>
      <c r="H1311" s="21"/>
      <c r="I1311" s="28"/>
      <c r="J1311" s="22"/>
      <c r="K1311" s="22"/>
      <c r="L1311" s="22"/>
      <c r="M1311" s="21"/>
      <c r="N1311" s="22"/>
      <c r="O1311" s="29" t="str">
        <f aca="false">IF(A1311="","",IF(COUNTIF($A$2:$A$2001,A1311)&gt;1,"GANDA","OK"))</f>
        <v/>
      </c>
      <c r="P1311" s="29" t="str">
        <f aca="false">IF(A1311="","",IF(C1311="","KOSONG",IF(AND(LEN(C1311)=16,ISNUMBER(--C1311)),"OK","TIDAK VALID")))</f>
        <v/>
      </c>
    </row>
    <row r="1312" customFormat="false" ht="15" hidden="false" customHeight="false" outlineLevel="0" collapsed="false">
      <c r="A1312" s="21"/>
      <c r="B1312" s="22"/>
      <c r="C1312" s="21"/>
      <c r="D1312" s="22"/>
      <c r="E1312" s="22"/>
      <c r="F1312" s="28"/>
      <c r="G1312" s="22"/>
      <c r="H1312" s="21"/>
      <c r="I1312" s="28"/>
      <c r="J1312" s="22"/>
      <c r="K1312" s="22"/>
      <c r="L1312" s="22"/>
      <c r="M1312" s="21"/>
      <c r="N1312" s="22"/>
      <c r="O1312" s="29" t="str">
        <f aca="false">IF(A1312="","",IF(COUNTIF($A$2:$A$2001,A1312)&gt;1,"GANDA","OK"))</f>
        <v/>
      </c>
      <c r="P1312" s="29" t="str">
        <f aca="false">IF(A1312="","",IF(C1312="","KOSONG",IF(AND(LEN(C1312)=16,ISNUMBER(--C1312)),"OK","TIDAK VALID")))</f>
        <v/>
      </c>
    </row>
    <row r="1313" customFormat="false" ht="15" hidden="false" customHeight="false" outlineLevel="0" collapsed="false">
      <c r="A1313" s="21"/>
      <c r="B1313" s="22"/>
      <c r="C1313" s="21"/>
      <c r="D1313" s="22"/>
      <c r="E1313" s="22"/>
      <c r="F1313" s="28"/>
      <c r="G1313" s="22"/>
      <c r="H1313" s="21"/>
      <c r="I1313" s="28"/>
      <c r="J1313" s="22"/>
      <c r="K1313" s="22"/>
      <c r="L1313" s="22"/>
      <c r="M1313" s="21"/>
      <c r="N1313" s="22"/>
      <c r="O1313" s="29" t="str">
        <f aca="false">IF(A1313="","",IF(COUNTIF($A$2:$A$2001,A1313)&gt;1,"GANDA","OK"))</f>
        <v/>
      </c>
      <c r="P1313" s="29" t="str">
        <f aca="false">IF(A1313="","",IF(C1313="","KOSONG",IF(AND(LEN(C1313)=16,ISNUMBER(--C1313)),"OK","TIDAK VALID")))</f>
        <v/>
      </c>
    </row>
    <row r="1314" customFormat="false" ht="15" hidden="false" customHeight="false" outlineLevel="0" collapsed="false">
      <c r="A1314" s="21"/>
      <c r="B1314" s="22"/>
      <c r="C1314" s="21"/>
      <c r="D1314" s="22"/>
      <c r="E1314" s="22"/>
      <c r="F1314" s="28"/>
      <c r="G1314" s="22"/>
      <c r="H1314" s="21"/>
      <c r="I1314" s="28"/>
      <c r="J1314" s="22"/>
      <c r="K1314" s="22"/>
      <c r="L1314" s="22"/>
      <c r="M1314" s="21"/>
      <c r="N1314" s="22"/>
      <c r="O1314" s="29" t="str">
        <f aca="false">IF(A1314="","",IF(COUNTIF($A$2:$A$2001,A1314)&gt;1,"GANDA","OK"))</f>
        <v/>
      </c>
      <c r="P1314" s="29" t="str">
        <f aca="false">IF(A1314="","",IF(C1314="","KOSONG",IF(AND(LEN(C1314)=16,ISNUMBER(--C1314)),"OK","TIDAK VALID")))</f>
        <v/>
      </c>
    </row>
    <row r="1315" customFormat="false" ht="15" hidden="false" customHeight="false" outlineLevel="0" collapsed="false">
      <c r="A1315" s="21"/>
      <c r="B1315" s="22"/>
      <c r="C1315" s="21"/>
      <c r="D1315" s="22"/>
      <c r="E1315" s="22"/>
      <c r="F1315" s="28"/>
      <c r="G1315" s="22"/>
      <c r="H1315" s="21"/>
      <c r="I1315" s="28"/>
      <c r="J1315" s="22"/>
      <c r="K1315" s="22"/>
      <c r="L1315" s="22"/>
      <c r="M1315" s="21"/>
      <c r="N1315" s="22"/>
      <c r="O1315" s="29" t="str">
        <f aca="false">IF(A1315="","",IF(COUNTIF($A$2:$A$2001,A1315)&gt;1,"GANDA","OK"))</f>
        <v/>
      </c>
      <c r="P1315" s="29" t="str">
        <f aca="false">IF(A1315="","",IF(C1315="","KOSONG",IF(AND(LEN(C1315)=16,ISNUMBER(--C1315)),"OK","TIDAK VALID")))</f>
        <v/>
      </c>
    </row>
    <row r="1316" customFormat="false" ht="15" hidden="false" customHeight="false" outlineLevel="0" collapsed="false">
      <c r="A1316" s="21"/>
      <c r="B1316" s="22"/>
      <c r="C1316" s="21"/>
      <c r="D1316" s="22"/>
      <c r="E1316" s="22"/>
      <c r="F1316" s="28"/>
      <c r="G1316" s="22"/>
      <c r="H1316" s="21"/>
      <c r="I1316" s="28"/>
      <c r="J1316" s="22"/>
      <c r="K1316" s="22"/>
      <c r="L1316" s="22"/>
      <c r="M1316" s="21"/>
      <c r="N1316" s="22"/>
      <c r="O1316" s="29" t="str">
        <f aca="false">IF(A1316="","",IF(COUNTIF($A$2:$A$2001,A1316)&gt;1,"GANDA","OK"))</f>
        <v/>
      </c>
      <c r="P1316" s="29" t="str">
        <f aca="false">IF(A1316="","",IF(C1316="","KOSONG",IF(AND(LEN(C1316)=16,ISNUMBER(--C1316)),"OK","TIDAK VALID")))</f>
        <v/>
      </c>
    </row>
    <row r="1317" customFormat="false" ht="15" hidden="false" customHeight="false" outlineLevel="0" collapsed="false">
      <c r="A1317" s="21"/>
      <c r="B1317" s="22"/>
      <c r="C1317" s="21"/>
      <c r="D1317" s="22"/>
      <c r="E1317" s="22"/>
      <c r="F1317" s="28"/>
      <c r="G1317" s="22"/>
      <c r="H1317" s="21"/>
      <c r="I1317" s="28"/>
      <c r="J1317" s="22"/>
      <c r="K1317" s="22"/>
      <c r="L1317" s="22"/>
      <c r="M1317" s="21"/>
      <c r="N1317" s="22"/>
      <c r="O1317" s="29" t="str">
        <f aca="false">IF(A1317="","",IF(COUNTIF($A$2:$A$2001,A1317)&gt;1,"GANDA","OK"))</f>
        <v/>
      </c>
      <c r="P1317" s="29" t="str">
        <f aca="false">IF(A1317="","",IF(C1317="","KOSONG",IF(AND(LEN(C1317)=16,ISNUMBER(--C1317)),"OK","TIDAK VALID")))</f>
        <v/>
      </c>
    </row>
    <row r="1318" customFormat="false" ht="15" hidden="false" customHeight="false" outlineLevel="0" collapsed="false">
      <c r="A1318" s="21"/>
      <c r="B1318" s="22"/>
      <c r="C1318" s="21"/>
      <c r="D1318" s="22"/>
      <c r="E1318" s="22"/>
      <c r="F1318" s="28"/>
      <c r="G1318" s="22"/>
      <c r="H1318" s="21"/>
      <c r="I1318" s="28"/>
      <c r="J1318" s="22"/>
      <c r="K1318" s="22"/>
      <c r="L1318" s="22"/>
      <c r="M1318" s="21"/>
      <c r="N1318" s="22"/>
      <c r="O1318" s="29" t="str">
        <f aca="false">IF(A1318="","",IF(COUNTIF($A$2:$A$2001,A1318)&gt;1,"GANDA","OK"))</f>
        <v/>
      </c>
      <c r="P1318" s="29" t="str">
        <f aca="false">IF(A1318="","",IF(C1318="","KOSONG",IF(AND(LEN(C1318)=16,ISNUMBER(--C1318)),"OK","TIDAK VALID")))</f>
        <v/>
      </c>
    </row>
    <row r="1319" customFormat="false" ht="15" hidden="false" customHeight="false" outlineLevel="0" collapsed="false">
      <c r="A1319" s="21"/>
      <c r="B1319" s="22"/>
      <c r="C1319" s="21"/>
      <c r="D1319" s="22"/>
      <c r="E1319" s="22"/>
      <c r="F1319" s="28"/>
      <c r="G1319" s="22"/>
      <c r="H1319" s="21"/>
      <c r="I1319" s="28"/>
      <c r="J1319" s="22"/>
      <c r="K1319" s="22"/>
      <c r="L1319" s="22"/>
      <c r="M1319" s="21"/>
      <c r="N1319" s="22"/>
      <c r="O1319" s="29" t="str">
        <f aca="false">IF(A1319="","",IF(COUNTIF($A$2:$A$2001,A1319)&gt;1,"GANDA","OK"))</f>
        <v/>
      </c>
      <c r="P1319" s="29" t="str">
        <f aca="false">IF(A1319="","",IF(C1319="","KOSONG",IF(AND(LEN(C1319)=16,ISNUMBER(--C1319)),"OK","TIDAK VALID")))</f>
        <v/>
      </c>
    </row>
    <row r="1320" customFormat="false" ht="15" hidden="false" customHeight="false" outlineLevel="0" collapsed="false">
      <c r="A1320" s="21"/>
      <c r="B1320" s="22"/>
      <c r="C1320" s="21"/>
      <c r="D1320" s="22"/>
      <c r="E1320" s="22"/>
      <c r="F1320" s="28"/>
      <c r="G1320" s="22"/>
      <c r="H1320" s="21"/>
      <c r="I1320" s="28"/>
      <c r="J1320" s="22"/>
      <c r="K1320" s="22"/>
      <c r="L1320" s="22"/>
      <c r="M1320" s="21"/>
      <c r="N1320" s="22"/>
      <c r="O1320" s="29" t="str">
        <f aca="false">IF(A1320="","",IF(COUNTIF($A$2:$A$2001,A1320)&gt;1,"GANDA","OK"))</f>
        <v/>
      </c>
      <c r="P1320" s="29" t="str">
        <f aca="false">IF(A1320="","",IF(C1320="","KOSONG",IF(AND(LEN(C1320)=16,ISNUMBER(--C1320)),"OK","TIDAK VALID")))</f>
        <v/>
      </c>
    </row>
    <row r="1321" customFormat="false" ht="15" hidden="false" customHeight="false" outlineLevel="0" collapsed="false">
      <c r="A1321" s="21"/>
      <c r="B1321" s="22"/>
      <c r="C1321" s="21"/>
      <c r="D1321" s="22"/>
      <c r="E1321" s="22"/>
      <c r="F1321" s="28"/>
      <c r="G1321" s="22"/>
      <c r="H1321" s="21"/>
      <c r="I1321" s="28"/>
      <c r="J1321" s="22"/>
      <c r="K1321" s="22"/>
      <c r="L1321" s="22"/>
      <c r="M1321" s="21"/>
      <c r="N1321" s="22"/>
      <c r="O1321" s="29" t="str">
        <f aca="false">IF(A1321="","",IF(COUNTIF($A$2:$A$2001,A1321)&gt;1,"GANDA","OK"))</f>
        <v/>
      </c>
      <c r="P1321" s="29" t="str">
        <f aca="false">IF(A1321="","",IF(C1321="","KOSONG",IF(AND(LEN(C1321)=16,ISNUMBER(--C1321)),"OK","TIDAK VALID")))</f>
        <v/>
      </c>
    </row>
    <row r="1322" customFormat="false" ht="15" hidden="false" customHeight="false" outlineLevel="0" collapsed="false">
      <c r="A1322" s="21"/>
      <c r="B1322" s="22"/>
      <c r="C1322" s="21"/>
      <c r="D1322" s="22"/>
      <c r="E1322" s="22"/>
      <c r="F1322" s="28"/>
      <c r="G1322" s="22"/>
      <c r="H1322" s="21"/>
      <c r="I1322" s="28"/>
      <c r="J1322" s="22"/>
      <c r="K1322" s="22"/>
      <c r="L1322" s="22"/>
      <c r="M1322" s="21"/>
      <c r="N1322" s="22"/>
      <c r="O1322" s="29" t="str">
        <f aca="false">IF(A1322="","",IF(COUNTIF($A$2:$A$2001,A1322)&gt;1,"GANDA","OK"))</f>
        <v/>
      </c>
      <c r="P1322" s="29" t="str">
        <f aca="false">IF(A1322="","",IF(C1322="","KOSONG",IF(AND(LEN(C1322)=16,ISNUMBER(--C1322)),"OK","TIDAK VALID")))</f>
        <v/>
      </c>
    </row>
    <row r="1323" customFormat="false" ht="15" hidden="false" customHeight="false" outlineLevel="0" collapsed="false">
      <c r="A1323" s="21"/>
      <c r="B1323" s="22"/>
      <c r="C1323" s="21"/>
      <c r="D1323" s="22"/>
      <c r="E1323" s="22"/>
      <c r="F1323" s="28"/>
      <c r="G1323" s="22"/>
      <c r="H1323" s="21"/>
      <c r="I1323" s="28"/>
      <c r="J1323" s="22"/>
      <c r="K1323" s="22"/>
      <c r="L1323" s="22"/>
      <c r="M1323" s="21"/>
      <c r="N1323" s="22"/>
      <c r="O1323" s="29" t="str">
        <f aca="false">IF(A1323="","",IF(COUNTIF($A$2:$A$2001,A1323)&gt;1,"GANDA","OK"))</f>
        <v/>
      </c>
      <c r="P1323" s="29" t="str">
        <f aca="false">IF(A1323="","",IF(C1323="","KOSONG",IF(AND(LEN(C1323)=16,ISNUMBER(--C1323)),"OK","TIDAK VALID")))</f>
        <v/>
      </c>
    </row>
    <row r="1324" customFormat="false" ht="15" hidden="false" customHeight="false" outlineLevel="0" collapsed="false">
      <c r="A1324" s="21"/>
      <c r="B1324" s="22"/>
      <c r="C1324" s="21"/>
      <c r="D1324" s="22"/>
      <c r="E1324" s="22"/>
      <c r="F1324" s="28"/>
      <c r="G1324" s="22"/>
      <c r="H1324" s="21"/>
      <c r="I1324" s="28"/>
      <c r="J1324" s="22"/>
      <c r="K1324" s="22"/>
      <c r="L1324" s="22"/>
      <c r="M1324" s="21"/>
      <c r="N1324" s="22"/>
      <c r="O1324" s="29" t="str">
        <f aca="false">IF(A1324="","",IF(COUNTIF($A$2:$A$2001,A1324)&gt;1,"GANDA","OK"))</f>
        <v/>
      </c>
      <c r="P1324" s="29" t="str">
        <f aca="false">IF(A1324="","",IF(C1324="","KOSONG",IF(AND(LEN(C1324)=16,ISNUMBER(--C1324)),"OK","TIDAK VALID")))</f>
        <v/>
      </c>
    </row>
    <row r="1325" customFormat="false" ht="15" hidden="false" customHeight="false" outlineLevel="0" collapsed="false">
      <c r="A1325" s="21"/>
      <c r="B1325" s="22"/>
      <c r="C1325" s="21"/>
      <c r="D1325" s="22"/>
      <c r="E1325" s="22"/>
      <c r="F1325" s="28"/>
      <c r="G1325" s="22"/>
      <c r="H1325" s="21"/>
      <c r="I1325" s="28"/>
      <c r="J1325" s="22"/>
      <c r="K1325" s="22"/>
      <c r="L1325" s="22"/>
      <c r="M1325" s="21"/>
      <c r="N1325" s="22"/>
      <c r="O1325" s="29" t="str">
        <f aca="false">IF(A1325="","",IF(COUNTIF($A$2:$A$2001,A1325)&gt;1,"GANDA","OK"))</f>
        <v/>
      </c>
      <c r="P1325" s="29" t="str">
        <f aca="false">IF(A1325="","",IF(C1325="","KOSONG",IF(AND(LEN(C1325)=16,ISNUMBER(--C1325)),"OK","TIDAK VALID")))</f>
        <v/>
      </c>
    </row>
    <row r="1326" customFormat="false" ht="15" hidden="false" customHeight="false" outlineLevel="0" collapsed="false">
      <c r="A1326" s="21"/>
      <c r="B1326" s="22"/>
      <c r="C1326" s="21"/>
      <c r="D1326" s="22"/>
      <c r="E1326" s="22"/>
      <c r="F1326" s="28"/>
      <c r="G1326" s="22"/>
      <c r="H1326" s="21"/>
      <c r="I1326" s="28"/>
      <c r="J1326" s="22"/>
      <c r="K1326" s="22"/>
      <c r="L1326" s="22"/>
      <c r="M1326" s="21"/>
      <c r="N1326" s="22"/>
      <c r="O1326" s="29" t="str">
        <f aca="false">IF(A1326="","",IF(COUNTIF($A$2:$A$2001,A1326)&gt;1,"GANDA","OK"))</f>
        <v/>
      </c>
      <c r="P1326" s="29" t="str">
        <f aca="false">IF(A1326="","",IF(C1326="","KOSONG",IF(AND(LEN(C1326)=16,ISNUMBER(--C1326)),"OK","TIDAK VALID")))</f>
        <v/>
      </c>
    </row>
    <row r="1327" customFormat="false" ht="15" hidden="false" customHeight="false" outlineLevel="0" collapsed="false">
      <c r="A1327" s="21"/>
      <c r="B1327" s="22"/>
      <c r="C1327" s="21"/>
      <c r="D1327" s="22"/>
      <c r="E1327" s="22"/>
      <c r="F1327" s="28"/>
      <c r="G1327" s="22"/>
      <c r="H1327" s="21"/>
      <c r="I1327" s="28"/>
      <c r="J1327" s="22"/>
      <c r="K1327" s="22"/>
      <c r="L1327" s="22"/>
      <c r="M1327" s="21"/>
      <c r="N1327" s="22"/>
      <c r="O1327" s="29" t="str">
        <f aca="false">IF(A1327="","",IF(COUNTIF($A$2:$A$2001,A1327)&gt;1,"GANDA","OK"))</f>
        <v/>
      </c>
      <c r="P1327" s="29" t="str">
        <f aca="false">IF(A1327="","",IF(C1327="","KOSONG",IF(AND(LEN(C1327)=16,ISNUMBER(--C1327)),"OK","TIDAK VALID")))</f>
        <v/>
      </c>
    </row>
    <row r="1328" customFormat="false" ht="15" hidden="false" customHeight="false" outlineLevel="0" collapsed="false">
      <c r="A1328" s="21"/>
      <c r="B1328" s="22"/>
      <c r="C1328" s="21"/>
      <c r="D1328" s="22"/>
      <c r="E1328" s="22"/>
      <c r="F1328" s="28"/>
      <c r="G1328" s="22"/>
      <c r="H1328" s="21"/>
      <c r="I1328" s="28"/>
      <c r="J1328" s="22"/>
      <c r="K1328" s="22"/>
      <c r="L1328" s="22"/>
      <c r="M1328" s="21"/>
      <c r="N1328" s="22"/>
      <c r="O1328" s="29" t="str">
        <f aca="false">IF(A1328="","",IF(COUNTIF($A$2:$A$2001,A1328)&gt;1,"GANDA","OK"))</f>
        <v/>
      </c>
      <c r="P1328" s="29" t="str">
        <f aca="false">IF(A1328="","",IF(C1328="","KOSONG",IF(AND(LEN(C1328)=16,ISNUMBER(--C1328)),"OK","TIDAK VALID")))</f>
        <v/>
      </c>
    </row>
    <row r="1329" customFormat="false" ht="15" hidden="false" customHeight="false" outlineLevel="0" collapsed="false">
      <c r="A1329" s="21"/>
      <c r="B1329" s="22"/>
      <c r="C1329" s="21"/>
      <c r="D1329" s="22"/>
      <c r="E1329" s="22"/>
      <c r="F1329" s="28"/>
      <c r="G1329" s="22"/>
      <c r="H1329" s="21"/>
      <c r="I1329" s="28"/>
      <c r="J1329" s="22"/>
      <c r="K1329" s="22"/>
      <c r="L1329" s="22"/>
      <c r="M1329" s="21"/>
      <c r="N1329" s="22"/>
      <c r="O1329" s="29" t="str">
        <f aca="false">IF(A1329="","",IF(COUNTIF($A$2:$A$2001,A1329)&gt;1,"GANDA","OK"))</f>
        <v/>
      </c>
      <c r="P1329" s="29" t="str">
        <f aca="false">IF(A1329="","",IF(C1329="","KOSONG",IF(AND(LEN(C1329)=16,ISNUMBER(--C1329)),"OK","TIDAK VALID")))</f>
        <v/>
      </c>
    </row>
    <row r="1330" customFormat="false" ht="15" hidden="false" customHeight="false" outlineLevel="0" collapsed="false">
      <c r="A1330" s="21"/>
      <c r="B1330" s="22"/>
      <c r="C1330" s="21"/>
      <c r="D1330" s="22"/>
      <c r="E1330" s="22"/>
      <c r="F1330" s="28"/>
      <c r="G1330" s="22"/>
      <c r="H1330" s="21"/>
      <c r="I1330" s="28"/>
      <c r="J1330" s="22"/>
      <c r="K1330" s="22"/>
      <c r="L1330" s="22"/>
      <c r="M1330" s="21"/>
      <c r="N1330" s="22"/>
      <c r="O1330" s="29" t="str">
        <f aca="false">IF(A1330="","",IF(COUNTIF($A$2:$A$2001,A1330)&gt;1,"GANDA","OK"))</f>
        <v/>
      </c>
      <c r="P1330" s="29" t="str">
        <f aca="false">IF(A1330="","",IF(C1330="","KOSONG",IF(AND(LEN(C1330)=16,ISNUMBER(--C1330)),"OK","TIDAK VALID")))</f>
        <v/>
      </c>
    </row>
    <row r="1331" customFormat="false" ht="15" hidden="false" customHeight="false" outlineLevel="0" collapsed="false">
      <c r="A1331" s="21"/>
      <c r="B1331" s="22"/>
      <c r="C1331" s="21"/>
      <c r="D1331" s="22"/>
      <c r="E1331" s="22"/>
      <c r="F1331" s="28"/>
      <c r="G1331" s="22"/>
      <c r="H1331" s="21"/>
      <c r="I1331" s="28"/>
      <c r="J1331" s="22"/>
      <c r="K1331" s="22"/>
      <c r="L1331" s="22"/>
      <c r="M1331" s="21"/>
      <c r="N1331" s="22"/>
      <c r="O1331" s="29" t="str">
        <f aca="false">IF(A1331="","",IF(COUNTIF($A$2:$A$2001,A1331)&gt;1,"GANDA","OK"))</f>
        <v/>
      </c>
      <c r="P1331" s="29" t="str">
        <f aca="false">IF(A1331="","",IF(C1331="","KOSONG",IF(AND(LEN(C1331)=16,ISNUMBER(--C1331)),"OK","TIDAK VALID")))</f>
        <v/>
      </c>
    </row>
    <row r="1332" customFormat="false" ht="15" hidden="false" customHeight="false" outlineLevel="0" collapsed="false">
      <c r="A1332" s="21"/>
      <c r="B1332" s="22"/>
      <c r="C1332" s="21"/>
      <c r="D1332" s="22"/>
      <c r="E1332" s="22"/>
      <c r="F1332" s="28"/>
      <c r="G1332" s="22"/>
      <c r="H1332" s="21"/>
      <c r="I1332" s="28"/>
      <c r="J1332" s="22"/>
      <c r="K1332" s="22"/>
      <c r="L1332" s="22"/>
      <c r="M1332" s="21"/>
      <c r="N1332" s="22"/>
      <c r="O1332" s="29" t="str">
        <f aca="false">IF(A1332="","",IF(COUNTIF($A$2:$A$2001,A1332)&gt;1,"GANDA","OK"))</f>
        <v/>
      </c>
      <c r="P1332" s="29" t="str">
        <f aca="false">IF(A1332="","",IF(C1332="","KOSONG",IF(AND(LEN(C1332)=16,ISNUMBER(--C1332)),"OK","TIDAK VALID")))</f>
        <v/>
      </c>
    </row>
    <row r="1333" customFormat="false" ht="15" hidden="false" customHeight="false" outlineLevel="0" collapsed="false">
      <c r="A1333" s="21"/>
      <c r="B1333" s="22"/>
      <c r="C1333" s="21"/>
      <c r="D1333" s="22"/>
      <c r="E1333" s="22"/>
      <c r="F1333" s="28"/>
      <c r="G1333" s="22"/>
      <c r="H1333" s="21"/>
      <c r="I1333" s="28"/>
      <c r="J1333" s="22"/>
      <c r="K1333" s="22"/>
      <c r="L1333" s="22"/>
      <c r="M1333" s="21"/>
      <c r="N1333" s="22"/>
      <c r="O1333" s="29" t="str">
        <f aca="false">IF(A1333="","",IF(COUNTIF($A$2:$A$2001,A1333)&gt;1,"GANDA","OK"))</f>
        <v/>
      </c>
      <c r="P1333" s="29" t="str">
        <f aca="false">IF(A1333="","",IF(C1333="","KOSONG",IF(AND(LEN(C1333)=16,ISNUMBER(--C1333)),"OK","TIDAK VALID")))</f>
        <v/>
      </c>
    </row>
    <row r="1334" customFormat="false" ht="15" hidden="false" customHeight="false" outlineLevel="0" collapsed="false">
      <c r="A1334" s="21"/>
      <c r="B1334" s="22"/>
      <c r="C1334" s="21"/>
      <c r="D1334" s="22"/>
      <c r="E1334" s="22"/>
      <c r="F1334" s="28"/>
      <c r="G1334" s="22"/>
      <c r="H1334" s="21"/>
      <c r="I1334" s="28"/>
      <c r="J1334" s="22"/>
      <c r="K1334" s="22"/>
      <c r="L1334" s="22"/>
      <c r="M1334" s="21"/>
      <c r="N1334" s="22"/>
      <c r="O1334" s="29" t="str">
        <f aca="false">IF(A1334="","",IF(COUNTIF($A$2:$A$2001,A1334)&gt;1,"GANDA","OK"))</f>
        <v/>
      </c>
      <c r="P1334" s="29" t="str">
        <f aca="false">IF(A1334="","",IF(C1334="","KOSONG",IF(AND(LEN(C1334)=16,ISNUMBER(--C1334)),"OK","TIDAK VALID")))</f>
        <v/>
      </c>
    </row>
    <row r="1335" customFormat="false" ht="15" hidden="false" customHeight="false" outlineLevel="0" collapsed="false">
      <c r="A1335" s="21"/>
      <c r="B1335" s="22"/>
      <c r="C1335" s="21"/>
      <c r="D1335" s="22"/>
      <c r="E1335" s="22"/>
      <c r="F1335" s="28"/>
      <c r="G1335" s="22"/>
      <c r="H1335" s="21"/>
      <c r="I1335" s="28"/>
      <c r="J1335" s="22"/>
      <c r="K1335" s="22"/>
      <c r="L1335" s="22"/>
      <c r="M1335" s="21"/>
      <c r="N1335" s="22"/>
      <c r="O1335" s="29" t="str">
        <f aca="false">IF(A1335="","",IF(COUNTIF($A$2:$A$2001,A1335)&gt;1,"GANDA","OK"))</f>
        <v/>
      </c>
      <c r="P1335" s="29" t="str">
        <f aca="false">IF(A1335="","",IF(C1335="","KOSONG",IF(AND(LEN(C1335)=16,ISNUMBER(--C1335)),"OK","TIDAK VALID")))</f>
        <v/>
      </c>
    </row>
    <row r="1336" customFormat="false" ht="15" hidden="false" customHeight="false" outlineLevel="0" collapsed="false">
      <c r="A1336" s="21"/>
      <c r="B1336" s="22"/>
      <c r="C1336" s="21"/>
      <c r="D1336" s="22"/>
      <c r="E1336" s="22"/>
      <c r="F1336" s="28"/>
      <c r="G1336" s="22"/>
      <c r="H1336" s="21"/>
      <c r="I1336" s="28"/>
      <c r="J1336" s="22"/>
      <c r="K1336" s="22"/>
      <c r="L1336" s="22"/>
      <c r="M1336" s="21"/>
      <c r="N1336" s="22"/>
      <c r="O1336" s="29" t="str">
        <f aca="false">IF(A1336="","",IF(COUNTIF($A$2:$A$2001,A1336)&gt;1,"GANDA","OK"))</f>
        <v/>
      </c>
      <c r="P1336" s="29" t="str">
        <f aca="false">IF(A1336="","",IF(C1336="","KOSONG",IF(AND(LEN(C1336)=16,ISNUMBER(--C1336)),"OK","TIDAK VALID")))</f>
        <v/>
      </c>
    </row>
    <row r="1337" customFormat="false" ht="15" hidden="false" customHeight="false" outlineLevel="0" collapsed="false">
      <c r="A1337" s="21"/>
      <c r="B1337" s="22"/>
      <c r="C1337" s="21"/>
      <c r="D1337" s="22"/>
      <c r="E1337" s="22"/>
      <c r="F1337" s="28"/>
      <c r="G1337" s="22"/>
      <c r="H1337" s="21"/>
      <c r="I1337" s="28"/>
      <c r="J1337" s="22"/>
      <c r="K1337" s="22"/>
      <c r="L1337" s="22"/>
      <c r="M1337" s="21"/>
      <c r="N1337" s="22"/>
      <c r="O1337" s="29" t="str">
        <f aca="false">IF(A1337="","",IF(COUNTIF($A$2:$A$2001,A1337)&gt;1,"GANDA","OK"))</f>
        <v/>
      </c>
      <c r="P1337" s="29" t="str">
        <f aca="false">IF(A1337="","",IF(C1337="","KOSONG",IF(AND(LEN(C1337)=16,ISNUMBER(--C1337)),"OK","TIDAK VALID")))</f>
        <v/>
      </c>
    </row>
    <row r="1338" customFormat="false" ht="15" hidden="false" customHeight="false" outlineLevel="0" collapsed="false">
      <c r="A1338" s="21"/>
      <c r="B1338" s="22"/>
      <c r="C1338" s="21"/>
      <c r="D1338" s="22"/>
      <c r="E1338" s="22"/>
      <c r="F1338" s="28"/>
      <c r="G1338" s="22"/>
      <c r="H1338" s="21"/>
      <c r="I1338" s="28"/>
      <c r="J1338" s="22"/>
      <c r="K1338" s="22"/>
      <c r="L1338" s="22"/>
      <c r="M1338" s="21"/>
      <c r="N1338" s="22"/>
      <c r="O1338" s="29" t="str">
        <f aca="false">IF(A1338="","",IF(COUNTIF($A$2:$A$2001,A1338)&gt;1,"GANDA","OK"))</f>
        <v/>
      </c>
      <c r="P1338" s="29" t="str">
        <f aca="false">IF(A1338="","",IF(C1338="","KOSONG",IF(AND(LEN(C1338)=16,ISNUMBER(--C1338)),"OK","TIDAK VALID")))</f>
        <v/>
      </c>
    </row>
    <row r="1339" customFormat="false" ht="15" hidden="false" customHeight="false" outlineLevel="0" collapsed="false">
      <c r="A1339" s="21"/>
      <c r="B1339" s="22"/>
      <c r="C1339" s="21"/>
      <c r="D1339" s="22"/>
      <c r="E1339" s="22"/>
      <c r="F1339" s="28"/>
      <c r="G1339" s="22"/>
      <c r="H1339" s="21"/>
      <c r="I1339" s="28"/>
      <c r="J1339" s="22"/>
      <c r="K1339" s="22"/>
      <c r="L1339" s="22"/>
      <c r="M1339" s="21"/>
      <c r="N1339" s="22"/>
      <c r="O1339" s="29" t="str">
        <f aca="false">IF(A1339="","",IF(COUNTIF($A$2:$A$2001,A1339)&gt;1,"GANDA","OK"))</f>
        <v/>
      </c>
      <c r="P1339" s="29" t="str">
        <f aca="false">IF(A1339="","",IF(C1339="","KOSONG",IF(AND(LEN(C1339)=16,ISNUMBER(--C1339)),"OK","TIDAK VALID")))</f>
        <v/>
      </c>
    </row>
    <row r="1340" customFormat="false" ht="15" hidden="false" customHeight="false" outlineLevel="0" collapsed="false">
      <c r="A1340" s="21"/>
      <c r="B1340" s="22"/>
      <c r="C1340" s="21"/>
      <c r="D1340" s="22"/>
      <c r="E1340" s="22"/>
      <c r="F1340" s="28"/>
      <c r="G1340" s="22"/>
      <c r="H1340" s="21"/>
      <c r="I1340" s="28"/>
      <c r="J1340" s="22"/>
      <c r="K1340" s="22"/>
      <c r="L1340" s="22"/>
      <c r="M1340" s="21"/>
      <c r="N1340" s="22"/>
      <c r="O1340" s="29" t="str">
        <f aca="false">IF(A1340="","",IF(COUNTIF($A$2:$A$2001,A1340)&gt;1,"GANDA","OK"))</f>
        <v/>
      </c>
      <c r="P1340" s="29" t="str">
        <f aca="false">IF(A1340="","",IF(C1340="","KOSONG",IF(AND(LEN(C1340)=16,ISNUMBER(--C1340)),"OK","TIDAK VALID")))</f>
        <v/>
      </c>
    </row>
    <row r="1341" customFormat="false" ht="15" hidden="false" customHeight="false" outlineLevel="0" collapsed="false">
      <c r="A1341" s="21"/>
      <c r="B1341" s="22"/>
      <c r="C1341" s="21"/>
      <c r="D1341" s="22"/>
      <c r="E1341" s="22"/>
      <c r="F1341" s="28"/>
      <c r="G1341" s="22"/>
      <c r="H1341" s="21"/>
      <c r="I1341" s="28"/>
      <c r="J1341" s="22"/>
      <c r="K1341" s="22"/>
      <c r="L1341" s="22"/>
      <c r="M1341" s="21"/>
      <c r="N1341" s="22"/>
      <c r="O1341" s="29" t="str">
        <f aca="false">IF(A1341="","",IF(COUNTIF($A$2:$A$2001,A1341)&gt;1,"GANDA","OK"))</f>
        <v/>
      </c>
      <c r="P1341" s="29" t="str">
        <f aca="false">IF(A1341="","",IF(C1341="","KOSONG",IF(AND(LEN(C1341)=16,ISNUMBER(--C1341)),"OK","TIDAK VALID")))</f>
        <v/>
      </c>
    </row>
    <row r="1342" customFormat="false" ht="15" hidden="false" customHeight="false" outlineLevel="0" collapsed="false">
      <c r="A1342" s="21"/>
      <c r="B1342" s="22"/>
      <c r="C1342" s="21"/>
      <c r="D1342" s="22"/>
      <c r="E1342" s="22"/>
      <c r="F1342" s="28"/>
      <c r="G1342" s="22"/>
      <c r="H1342" s="21"/>
      <c r="I1342" s="28"/>
      <c r="J1342" s="22"/>
      <c r="K1342" s="22"/>
      <c r="L1342" s="22"/>
      <c r="M1342" s="21"/>
      <c r="N1342" s="22"/>
      <c r="O1342" s="29" t="str">
        <f aca="false">IF(A1342="","",IF(COUNTIF($A$2:$A$2001,A1342)&gt;1,"GANDA","OK"))</f>
        <v/>
      </c>
      <c r="P1342" s="29" t="str">
        <f aca="false">IF(A1342="","",IF(C1342="","KOSONG",IF(AND(LEN(C1342)=16,ISNUMBER(--C1342)),"OK","TIDAK VALID")))</f>
        <v/>
      </c>
    </row>
    <row r="1343" customFormat="false" ht="15" hidden="false" customHeight="false" outlineLevel="0" collapsed="false">
      <c r="A1343" s="21"/>
      <c r="B1343" s="22"/>
      <c r="C1343" s="21"/>
      <c r="D1343" s="22"/>
      <c r="E1343" s="22"/>
      <c r="F1343" s="28"/>
      <c r="G1343" s="22"/>
      <c r="H1343" s="21"/>
      <c r="I1343" s="28"/>
      <c r="J1343" s="22"/>
      <c r="K1343" s="22"/>
      <c r="L1343" s="22"/>
      <c r="M1343" s="21"/>
      <c r="N1343" s="22"/>
      <c r="O1343" s="29" t="str">
        <f aca="false">IF(A1343="","",IF(COUNTIF($A$2:$A$2001,A1343)&gt;1,"GANDA","OK"))</f>
        <v/>
      </c>
      <c r="P1343" s="29" t="str">
        <f aca="false">IF(A1343="","",IF(C1343="","KOSONG",IF(AND(LEN(C1343)=16,ISNUMBER(--C1343)),"OK","TIDAK VALID")))</f>
        <v/>
      </c>
    </row>
    <row r="1344" customFormat="false" ht="15" hidden="false" customHeight="false" outlineLevel="0" collapsed="false">
      <c r="A1344" s="21"/>
      <c r="B1344" s="22"/>
      <c r="C1344" s="21"/>
      <c r="D1344" s="22"/>
      <c r="E1344" s="22"/>
      <c r="F1344" s="28"/>
      <c r="G1344" s="22"/>
      <c r="H1344" s="21"/>
      <c r="I1344" s="28"/>
      <c r="J1344" s="22"/>
      <c r="K1344" s="22"/>
      <c r="L1344" s="22"/>
      <c r="M1344" s="21"/>
      <c r="N1344" s="22"/>
      <c r="O1344" s="29" t="str">
        <f aca="false">IF(A1344="","",IF(COUNTIF($A$2:$A$2001,A1344)&gt;1,"GANDA","OK"))</f>
        <v/>
      </c>
      <c r="P1344" s="29" t="str">
        <f aca="false">IF(A1344="","",IF(C1344="","KOSONG",IF(AND(LEN(C1344)=16,ISNUMBER(--C1344)),"OK","TIDAK VALID")))</f>
        <v/>
      </c>
    </row>
    <row r="1345" customFormat="false" ht="15" hidden="false" customHeight="false" outlineLevel="0" collapsed="false">
      <c r="A1345" s="21"/>
      <c r="B1345" s="22"/>
      <c r="C1345" s="21"/>
      <c r="D1345" s="22"/>
      <c r="E1345" s="22"/>
      <c r="F1345" s="28"/>
      <c r="G1345" s="22"/>
      <c r="H1345" s="21"/>
      <c r="I1345" s="28"/>
      <c r="J1345" s="22"/>
      <c r="K1345" s="22"/>
      <c r="L1345" s="22"/>
      <c r="M1345" s="21"/>
      <c r="N1345" s="22"/>
      <c r="O1345" s="29" t="str">
        <f aca="false">IF(A1345="","",IF(COUNTIF($A$2:$A$2001,A1345)&gt;1,"GANDA","OK"))</f>
        <v/>
      </c>
      <c r="P1345" s="29" t="str">
        <f aca="false">IF(A1345="","",IF(C1345="","KOSONG",IF(AND(LEN(C1345)=16,ISNUMBER(--C1345)),"OK","TIDAK VALID")))</f>
        <v/>
      </c>
    </row>
    <row r="1346" customFormat="false" ht="15" hidden="false" customHeight="false" outlineLevel="0" collapsed="false">
      <c r="A1346" s="21"/>
      <c r="B1346" s="22"/>
      <c r="C1346" s="21"/>
      <c r="D1346" s="22"/>
      <c r="E1346" s="22"/>
      <c r="F1346" s="28"/>
      <c r="G1346" s="22"/>
      <c r="H1346" s="21"/>
      <c r="I1346" s="28"/>
      <c r="J1346" s="22"/>
      <c r="K1346" s="22"/>
      <c r="L1346" s="22"/>
      <c r="M1346" s="21"/>
      <c r="N1346" s="22"/>
      <c r="O1346" s="29" t="str">
        <f aca="false">IF(A1346="","",IF(COUNTIF($A$2:$A$2001,A1346)&gt;1,"GANDA","OK"))</f>
        <v/>
      </c>
      <c r="P1346" s="29" t="str">
        <f aca="false">IF(A1346="","",IF(C1346="","KOSONG",IF(AND(LEN(C1346)=16,ISNUMBER(--C1346)),"OK","TIDAK VALID")))</f>
        <v/>
      </c>
    </row>
    <row r="1347" customFormat="false" ht="15" hidden="false" customHeight="false" outlineLevel="0" collapsed="false">
      <c r="A1347" s="21"/>
      <c r="B1347" s="22"/>
      <c r="C1347" s="21"/>
      <c r="D1347" s="22"/>
      <c r="E1347" s="22"/>
      <c r="F1347" s="28"/>
      <c r="G1347" s="22"/>
      <c r="H1347" s="21"/>
      <c r="I1347" s="28"/>
      <c r="J1347" s="22"/>
      <c r="K1347" s="22"/>
      <c r="L1347" s="22"/>
      <c r="M1347" s="21"/>
      <c r="N1347" s="22"/>
      <c r="O1347" s="29" t="str">
        <f aca="false">IF(A1347="","",IF(COUNTIF($A$2:$A$2001,A1347)&gt;1,"GANDA","OK"))</f>
        <v/>
      </c>
      <c r="P1347" s="29" t="str">
        <f aca="false">IF(A1347="","",IF(C1347="","KOSONG",IF(AND(LEN(C1347)=16,ISNUMBER(--C1347)),"OK","TIDAK VALID")))</f>
        <v/>
      </c>
    </row>
    <row r="1348" customFormat="false" ht="15" hidden="false" customHeight="false" outlineLevel="0" collapsed="false">
      <c r="A1348" s="21"/>
      <c r="B1348" s="22"/>
      <c r="C1348" s="21"/>
      <c r="D1348" s="22"/>
      <c r="E1348" s="22"/>
      <c r="F1348" s="28"/>
      <c r="G1348" s="22"/>
      <c r="H1348" s="21"/>
      <c r="I1348" s="28"/>
      <c r="J1348" s="22"/>
      <c r="K1348" s="22"/>
      <c r="L1348" s="22"/>
      <c r="M1348" s="21"/>
      <c r="N1348" s="22"/>
      <c r="O1348" s="29" t="str">
        <f aca="false">IF(A1348="","",IF(COUNTIF($A$2:$A$2001,A1348)&gt;1,"GANDA","OK"))</f>
        <v/>
      </c>
      <c r="P1348" s="29" t="str">
        <f aca="false">IF(A1348="","",IF(C1348="","KOSONG",IF(AND(LEN(C1348)=16,ISNUMBER(--C1348)),"OK","TIDAK VALID")))</f>
        <v/>
      </c>
    </row>
    <row r="1349" customFormat="false" ht="15" hidden="false" customHeight="false" outlineLevel="0" collapsed="false">
      <c r="A1349" s="21"/>
      <c r="B1349" s="22"/>
      <c r="C1349" s="21"/>
      <c r="D1349" s="22"/>
      <c r="E1349" s="22"/>
      <c r="F1349" s="28"/>
      <c r="G1349" s="22"/>
      <c r="H1349" s="21"/>
      <c r="I1349" s="28"/>
      <c r="J1349" s="22"/>
      <c r="K1349" s="22"/>
      <c r="L1349" s="22"/>
      <c r="M1349" s="21"/>
      <c r="N1349" s="22"/>
      <c r="O1349" s="29" t="str">
        <f aca="false">IF(A1349="","",IF(COUNTIF($A$2:$A$2001,A1349)&gt;1,"GANDA","OK"))</f>
        <v/>
      </c>
      <c r="P1349" s="29" t="str">
        <f aca="false">IF(A1349="","",IF(C1349="","KOSONG",IF(AND(LEN(C1349)=16,ISNUMBER(--C1349)),"OK","TIDAK VALID")))</f>
        <v/>
      </c>
    </row>
    <row r="1350" customFormat="false" ht="15" hidden="false" customHeight="false" outlineLevel="0" collapsed="false">
      <c r="A1350" s="21"/>
      <c r="B1350" s="22"/>
      <c r="C1350" s="21"/>
      <c r="D1350" s="22"/>
      <c r="E1350" s="22"/>
      <c r="F1350" s="28"/>
      <c r="G1350" s="22"/>
      <c r="H1350" s="21"/>
      <c r="I1350" s="28"/>
      <c r="J1350" s="22"/>
      <c r="K1350" s="22"/>
      <c r="L1350" s="22"/>
      <c r="M1350" s="21"/>
      <c r="N1350" s="22"/>
      <c r="O1350" s="29" t="str">
        <f aca="false">IF(A1350="","",IF(COUNTIF($A$2:$A$2001,A1350)&gt;1,"GANDA","OK"))</f>
        <v/>
      </c>
      <c r="P1350" s="29" t="str">
        <f aca="false">IF(A1350="","",IF(C1350="","KOSONG",IF(AND(LEN(C1350)=16,ISNUMBER(--C1350)),"OK","TIDAK VALID")))</f>
        <v/>
      </c>
    </row>
    <row r="1351" customFormat="false" ht="15" hidden="false" customHeight="false" outlineLevel="0" collapsed="false">
      <c r="A1351" s="21"/>
      <c r="B1351" s="22"/>
      <c r="C1351" s="21"/>
      <c r="D1351" s="22"/>
      <c r="E1351" s="22"/>
      <c r="F1351" s="28"/>
      <c r="G1351" s="22"/>
      <c r="H1351" s="21"/>
      <c r="I1351" s="28"/>
      <c r="J1351" s="22"/>
      <c r="K1351" s="22"/>
      <c r="L1351" s="22"/>
      <c r="M1351" s="21"/>
      <c r="N1351" s="22"/>
      <c r="O1351" s="29" t="str">
        <f aca="false">IF(A1351="","",IF(COUNTIF($A$2:$A$2001,A1351)&gt;1,"GANDA","OK"))</f>
        <v/>
      </c>
      <c r="P1351" s="29" t="str">
        <f aca="false">IF(A1351="","",IF(C1351="","KOSONG",IF(AND(LEN(C1351)=16,ISNUMBER(--C1351)),"OK","TIDAK VALID")))</f>
        <v/>
      </c>
    </row>
    <row r="1352" customFormat="false" ht="15" hidden="false" customHeight="false" outlineLevel="0" collapsed="false">
      <c r="A1352" s="21"/>
      <c r="B1352" s="22"/>
      <c r="C1352" s="21"/>
      <c r="D1352" s="22"/>
      <c r="E1352" s="22"/>
      <c r="F1352" s="28"/>
      <c r="G1352" s="22"/>
      <c r="H1352" s="21"/>
      <c r="I1352" s="28"/>
      <c r="J1352" s="22"/>
      <c r="K1352" s="22"/>
      <c r="L1352" s="22"/>
      <c r="M1352" s="21"/>
      <c r="N1352" s="22"/>
      <c r="O1352" s="29" t="str">
        <f aca="false">IF(A1352="","",IF(COUNTIF($A$2:$A$2001,A1352)&gt;1,"GANDA","OK"))</f>
        <v/>
      </c>
      <c r="P1352" s="29" t="str">
        <f aca="false">IF(A1352="","",IF(C1352="","KOSONG",IF(AND(LEN(C1352)=16,ISNUMBER(--C1352)),"OK","TIDAK VALID")))</f>
        <v/>
      </c>
    </row>
    <row r="1353" customFormat="false" ht="15" hidden="false" customHeight="false" outlineLevel="0" collapsed="false">
      <c r="A1353" s="21"/>
      <c r="B1353" s="22"/>
      <c r="C1353" s="21"/>
      <c r="D1353" s="22"/>
      <c r="E1353" s="22"/>
      <c r="F1353" s="28"/>
      <c r="G1353" s="22"/>
      <c r="H1353" s="21"/>
      <c r="I1353" s="28"/>
      <c r="J1353" s="22"/>
      <c r="K1353" s="22"/>
      <c r="L1353" s="22"/>
      <c r="M1353" s="21"/>
      <c r="N1353" s="22"/>
      <c r="O1353" s="29" t="str">
        <f aca="false">IF(A1353="","",IF(COUNTIF($A$2:$A$2001,A1353)&gt;1,"GANDA","OK"))</f>
        <v/>
      </c>
      <c r="P1353" s="29" t="str">
        <f aca="false">IF(A1353="","",IF(C1353="","KOSONG",IF(AND(LEN(C1353)=16,ISNUMBER(--C1353)),"OK","TIDAK VALID")))</f>
        <v/>
      </c>
    </row>
    <row r="1354" customFormat="false" ht="15" hidden="false" customHeight="false" outlineLevel="0" collapsed="false">
      <c r="A1354" s="21"/>
      <c r="B1354" s="22"/>
      <c r="C1354" s="21"/>
      <c r="D1354" s="22"/>
      <c r="E1354" s="22"/>
      <c r="F1354" s="28"/>
      <c r="G1354" s="22"/>
      <c r="H1354" s="21"/>
      <c r="I1354" s="28"/>
      <c r="J1354" s="22"/>
      <c r="K1354" s="22"/>
      <c r="L1354" s="22"/>
      <c r="M1354" s="21"/>
      <c r="N1354" s="22"/>
      <c r="O1354" s="29" t="str">
        <f aca="false">IF(A1354="","",IF(COUNTIF($A$2:$A$2001,A1354)&gt;1,"GANDA","OK"))</f>
        <v/>
      </c>
      <c r="P1354" s="29" t="str">
        <f aca="false">IF(A1354="","",IF(C1354="","KOSONG",IF(AND(LEN(C1354)=16,ISNUMBER(--C1354)),"OK","TIDAK VALID")))</f>
        <v/>
      </c>
    </row>
    <row r="1355" customFormat="false" ht="15" hidden="false" customHeight="false" outlineLevel="0" collapsed="false">
      <c r="A1355" s="21"/>
      <c r="B1355" s="22"/>
      <c r="C1355" s="21"/>
      <c r="D1355" s="22"/>
      <c r="E1355" s="22"/>
      <c r="F1355" s="28"/>
      <c r="G1355" s="22"/>
      <c r="H1355" s="21"/>
      <c r="I1355" s="28"/>
      <c r="J1355" s="22"/>
      <c r="K1355" s="22"/>
      <c r="L1355" s="22"/>
      <c r="M1355" s="21"/>
      <c r="N1355" s="22"/>
      <c r="O1355" s="29" t="str">
        <f aca="false">IF(A1355="","",IF(COUNTIF($A$2:$A$2001,A1355)&gt;1,"GANDA","OK"))</f>
        <v/>
      </c>
      <c r="P1355" s="29" t="str">
        <f aca="false">IF(A1355="","",IF(C1355="","KOSONG",IF(AND(LEN(C1355)=16,ISNUMBER(--C1355)),"OK","TIDAK VALID")))</f>
        <v/>
      </c>
    </row>
    <row r="1356" customFormat="false" ht="15" hidden="false" customHeight="false" outlineLevel="0" collapsed="false">
      <c r="A1356" s="21"/>
      <c r="B1356" s="22"/>
      <c r="C1356" s="21"/>
      <c r="D1356" s="22"/>
      <c r="E1356" s="22"/>
      <c r="F1356" s="28"/>
      <c r="G1356" s="22"/>
      <c r="H1356" s="21"/>
      <c r="I1356" s="28"/>
      <c r="J1356" s="22"/>
      <c r="K1356" s="22"/>
      <c r="L1356" s="22"/>
      <c r="M1356" s="21"/>
      <c r="N1356" s="22"/>
      <c r="O1356" s="29" t="str">
        <f aca="false">IF(A1356="","",IF(COUNTIF($A$2:$A$2001,A1356)&gt;1,"GANDA","OK"))</f>
        <v/>
      </c>
      <c r="P1356" s="29" t="str">
        <f aca="false">IF(A1356="","",IF(C1356="","KOSONG",IF(AND(LEN(C1356)=16,ISNUMBER(--C1356)),"OK","TIDAK VALID")))</f>
        <v/>
      </c>
    </row>
    <row r="1357" customFormat="false" ht="15" hidden="false" customHeight="false" outlineLevel="0" collapsed="false">
      <c r="A1357" s="21"/>
      <c r="B1357" s="22"/>
      <c r="C1357" s="21"/>
      <c r="D1357" s="22"/>
      <c r="E1357" s="22"/>
      <c r="F1357" s="28"/>
      <c r="G1357" s="22"/>
      <c r="H1357" s="21"/>
      <c r="I1357" s="28"/>
      <c r="J1357" s="22"/>
      <c r="K1357" s="22"/>
      <c r="L1357" s="22"/>
      <c r="M1357" s="21"/>
      <c r="N1357" s="22"/>
      <c r="O1357" s="29" t="str">
        <f aca="false">IF(A1357="","",IF(COUNTIF($A$2:$A$2001,A1357)&gt;1,"GANDA","OK"))</f>
        <v/>
      </c>
      <c r="P1357" s="29" t="str">
        <f aca="false">IF(A1357="","",IF(C1357="","KOSONG",IF(AND(LEN(C1357)=16,ISNUMBER(--C1357)),"OK","TIDAK VALID")))</f>
        <v/>
      </c>
    </row>
    <row r="1358" customFormat="false" ht="15" hidden="false" customHeight="false" outlineLevel="0" collapsed="false">
      <c r="A1358" s="21"/>
      <c r="B1358" s="22"/>
      <c r="C1358" s="21"/>
      <c r="D1358" s="22"/>
      <c r="E1358" s="22"/>
      <c r="F1358" s="28"/>
      <c r="G1358" s="22"/>
      <c r="H1358" s="21"/>
      <c r="I1358" s="28"/>
      <c r="J1358" s="22"/>
      <c r="K1358" s="22"/>
      <c r="L1358" s="22"/>
      <c r="M1358" s="21"/>
      <c r="N1358" s="22"/>
      <c r="O1358" s="29" t="str">
        <f aca="false">IF(A1358="","",IF(COUNTIF($A$2:$A$2001,A1358)&gt;1,"GANDA","OK"))</f>
        <v/>
      </c>
      <c r="P1358" s="29" t="str">
        <f aca="false">IF(A1358="","",IF(C1358="","KOSONG",IF(AND(LEN(C1358)=16,ISNUMBER(--C1358)),"OK","TIDAK VALID")))</f>
        <v/>
      </c>
    </row>
    <row r="1359" customFormat="false" ht="15" hidden="false" customHeight="false" outlineLevel="0" collapsed="false">
      <c r="A1359" s="21"/>
      <c r="B1359" s="22"/>
      <c r="C1359" s="21"/>
      <c r="D1359" s="22"/>
      <c r="E1359" s="22"/>
      <c r="F1359" s="28"/>
      <c r="G1359" s="22"/>
      <c r="H1359" s="21"/>
      <c r="I1359" s="28"/>
      <c r="J1359" s="22"/>
      <c r="K1359" s="22"/>
      <c r="L1359" s="22"/>
      <c r="M1359" s="21"/>
      <c r="N1359" s="22"/>
      <c r="O1359" s="29" t="str">
        <f aca="false">IF(A1359="","",IF(COUNTIF($A$2:$A$2001,A1359)&gt;1,"GANDA","OK"))</f>
        <v/>
      </c>
      <c r="P1359" s="29" t="str">
        <f aca="false">IF(A1359="","",IF(C1359="","KOSONG",IF(AND(LEN(C1359)=16,ISNUMBER(--C1359)),"OK","TIDAK VALID")))</f>
        <v/>
      </c>
    </row>
    <row r="1360" customFormat="false" ht="15" hidden="false" customHeight="false" outlineLevel="0" collapsed="false">
      <c r="A1360" s="21"/>
      <c r="B1360" s="22"/>
      <c r="C1360" s="21"/>
      <c r="D1360" s="22"/>
      <c r="E1360" s="22"/>
      <c r="F1360" s="28"/>
      <c r="G1360" s="22"/>
      <c r="H1360" s="21"/>
      <c r="I1360" s="28"/>
      <c r="J1360" s="22"/>
      <c r="K1360" s="22"/>
      <c r="L1360" s="22"/>
      <c r="M1360" s="21"/>
      <c r="N1360" s="22"/>
      <c r="O1360" s="29" t="str">
        <f aca="false">IF(A1360="","",IF(COUNTIF($A$2:$A$2001,A1360)&gt;1,"GANDA","OK"))</f>
        <v/>
      </c>
      <c r="P1360" s="29" t="str">
        <f aca="false">IF(A1360="","",IF(C1360="","KOSONG",IF(AND(LEN(C1360)=16,ISNUMBER(--C1360)),"OK","TIDAK VALID")))</f>
        <v/>
      </c>
    </row>
    <row r="1361" customFormat="false" ht="15" hidden="false" customHeight="false" outlineLevel="0" collapsed="false">
      <c r="A1361" s="21"/>
      <c r="B1361" s="22"/>
      <c r="C1361" s="21"/>
      <c r="D1361" s="22"/>
      <c r="E1361" s="22"/>
      <c r="F1361" s="28"/>
      <c r="G1361" s="22"/>
      <c r="H1361" s="21"/>
      <c r="I1361" s="28"/>
      <c r="J1361" s="22"/>
      <c r="K1361" s="22"/>
      <c r="L1361" s="22"/>
      <c r="M1361" s="21"/>
      <c r="N1361" s="22"/>
      <c r="O1361" s="29" t="str">
        <f aca="false">IF(A1361="","",IF(COUNTIF($A$2:$A$2001,A1361)&gt;1,"GANDA","OK"))</f>
        <v/>
      </c>
      <c r="P1361" s="29" t="str">
        <f aca="false">IF(A1361="","",IF(C1361="","KOSONG",IF(AND(LEN(C1361)=16,ISNUMBER(--C1361)),"OK","TIDAK VALID")))</f>
        <v/>
      </c>
    </row>
    <row r="1362" customFormat="false" ht="15" hidden="false" customHeight="false" outlineLevel="0" collapsed="false">
      <c r="A1362" s="21"/>
      <c r="B1362" s="22"/>
      <c r="C1362" s="21"/>
      <c r="D1362" s="22"/>
      <c r="E1362" s="22"/>
      <c r="F1362" s="28"/>
      <c r="G1362" s="22"/>
      <c r="H1362" s="21"/>
      <c r="I1362" s="28"/>
      <c r="J1362" s="22"/>
      <c r="K1362" s="22"/>
      <c r="L1362" s="22"/>
      <c r="M1362" s="21"/>
      <c r="N1362" s="22"/>
      <c r="O1362" s="29" t="str">
        <f aca="false">IF(A1362="","",IF(COUNTIF($A$2:$A$2001,A1362)&gt;1,"GANDA","OK"))</f>
        <v/>
      </c>
      <c r="P1362" s="29" t="str">
        <f aca="false">IF(A1362="","",IF(C1362="","KOSONG",IF(AND(LEN(C1362)=16,ISNUMBER(--C1362)),"OK","TIDAK VALID")))</f>
        <v/>
      </c>
    </row>
    <row r="1363" customFormat="false" ht="15" hidden="false" customHeight="false" outlineLevel="0" collapsed="false">
      <c r="A1363" s="21"/>
      <c r="B1363" s="22"/>
      <c r="C1363" s="21"/>
      <c r="D1363" s="22"/>
      <c r="E1363" s="22"/>
      <c r="F1363" s="28"/>
      <c r="G1363" s="22"/>
      <c r="H1363" s="21"/>
      <c r="I1363" s="28"/>
      <c r="J1363" s="22"/>
      <c r="K1363" s="22"/>
      <c r="L1363" s="22"/>
      <c r="M1363" s="21"/>
      <c r="N1363" s="22"/>
      <c r="O1363" s="29" t="str">
        <f aca="false">IF(A1363="","",IF(COUNTIF($A$2:$A$2001,A1363)&gt;1,"GANDA","OK"))</f>
        <v/>
      </c>
      <c r="P1363" s="29" t="str">
        <f aca="false">IF(A1363="","",IF(C1363="","KOSONG",IF(AND(LEN(C1363)=16,ISNUMBER(--C1363)),"OK","TIDAK VALID")))</f>
        <v/>
      </c>
    </row>
    <row r="1364" customFormat="false" ht="15" hidden="false" customHeight="false" outlineLevel="0" collapsed="false">
      <c r="A1364" s="21"/>
      <c r="B1364" s="22"/>
      <c r="C1364" s="21"/>
      <c r="D1364" s="22"/>
      <c r="E1364" s="22"/>
      <c r="F1364" s="28"/>
      <c r="G1364" s="22"/>
      <c r="H1364" s="21"/>
      <c r="I1364" s="28"/>
      <c r="J1364" s="22"/>
      <c r="K1364" s="22"/>
      <c r="L1364" s="22"/>
      <c r="M1364" s="21"/>
      <c r="N1364" s="22"/>
      <c r="O1364" s="29" t="str">
        <f aca="false">IF(A1364="","",IF(COUNTIF($A$2:$A$2001,A1364)&gt;1,"GANDA","OK"))</f>
        <v/>
      </c>
      <c r="P1364" s="29" t="str">
        <f aca="false">IF(A1364="","",IF(C1364="","KOSONG",IF(AND(LEN(C1364)=16,ISNUMBER(--C1364)),"OK","TIDAK VALID")))</f>
        <v/>
      </c>
    </row>
    <row r="1365" customFormat="false" ht="15" hidden="false" customHeight="false" outlineLevel="0" collapsed="false">
      <c r="A1365" s="21"/>
      <c r="B1365" s="22"/>
      <c r="C1365" s="21"/>
      <c r="D1365" s="22"/>
      <c r="E1365" s="22"/>
      <c r="F1365" s="28"/>
      <c r="G1365" s="22"/>
      <c r="H1365" s="21"/>
      <c r="I1365" s="28"/>
      <c r="J1365" s="22"/>
      <c r="K1365" s="22"/>
      <c r="L1365" s="22"/>
      <c r="M1365" s="21"/>
      <c r="N1365" s="22"/>
      <c r="O1365" s="29" t="str">
        <f aca="false">IF(A1365="","",IF(COUNTIF($A$2:$A$2001,A1365)&gt;1,"GANDA","OK"))</f>
        <v/>
      </c>
      <c r="P1365" s="29" t="str">
        <f aca="false">IF(A1365="","",IF(C1365="","KOSONG",IF(AND(LEN(C1365)=16,ISNUMBER(--C1365)),"OK","TIDAK VALID")))</f>
        <v/>
      </c>
    </row>
    <row r="1366" customFormat="false" ht="15" hidden="false" customHeight="false" outlineLevel="0" collapsed="false">
      <c r="A1366" s="21"/>
      <c r="B1366" s="22"/>
      <c r="C1366" s="21"/>
      <c r="D1366" s="22"/>
      <c r="E1366" s="22"/>
      <c r="F1366" s="28"/>
      <c r="G1366" s="22"/>
      <c r="H1366" s="21"/>
      <c r="I1366" s="28"/>
      <c r="J1366" s="22"/>
      <c r="K1366" s="22"/>
      <c r="L1366" s="22"/>
      <c r="M1366" s="21"/>
      <c r="N1366" s="22"/>
      <c r="O1366" s="29" t="str">
        <f aca="false">IF(A1366="","",IF(COUNTIF($A$2:$A$2001,A1366)&gt;1,"GANDA","OK"))</f>
        <v/>
      </c>
      <c r="P1366" s="29" t="str">
        <f aca="false">IF(A1366="","",IF(C1366="","KOSONG",IF(AND(LEN(C1366)=16,ISNUMBER(--C1366)),"OK","TIDAK VALID")))</f>
        <v/>
      </c>
    </row>
    <row r="1367" customFormat="false" ht="15" hidden="false" customHeight="false" outlineLevel="0" collapsed="false">
      <c r="A1367" s="21"/>
      <c r="B1367" s="22"/>
      <c r="C1367" s="21"/>
      <c r="D1367" s="22"/>
      <c r="E1367" s="22"/>
      <c r="F1367" s="28"/>
      <c r="G1367" s="22"/>
      <c r="H1367" s="21"/>
      <c r="I1367" s="28"/>
      <c r="J1367" s="22"/>
      <c r="K1367" s="22"/>
      <c r="L1367" s="22"/>
      <c r="M1367" s="21"/>
      <c r="N1367" s="22"/>
      <c r="O1367" s="29" t="str">
        <f aca="false">IF(A1367="","",IF(COUNTIF($A$2:$A$2001,A1367)&gt;1,"GANDA","OK"))</f>
        <v/>
      </c>
      <c r="P1367" s="29" t="str">
        <f aca="false">IF(A1367="","",IF(C1367="","KOSONG",IF(AND(LEN(C1367)=16,ISNUMBER(--C1367)),"OK","TIDAK VALID")))</f>
        <v/>
      </c>
    </row>
    <row r="1368" customFormat="false" ht="15" hidden="false" customHeight="false" outlineLevel="0" collapsed="false">
      <c r="A1368" s="21"/>
      <c r="B1368" s="22"/>
      <c r="C1368" s="21"/>
      <c r="D1368" s="22"/>
      <c r="E1368" s="22"/>
      <c r="F1368" s="28"/>
      <c r="G1368" s="22"/>
      <c r="H1368" s="21"/>
      <c r="I1368" s="28"/>
      <c r="J1368" s="22"/>
      <c r="K1368" s="22"/>
      <c r="L1368" s="22"/>
      <c r="M1368" s="21"/>
      <c r="N1368" s="22"/>
      <c r="O1368" s="29" t="str">
        <f aca="false">IF(A1368="","",IF(COUNTIF($A$2:$A$2001,A1368)&gt;1,"GANDA","OK"))</f>
        <v/>
      </c>
      <c r="P1368" s="29" t="str">
        <f aca="false">IF(A1368="","",IF(C1368="","KOSONG",IF(AND(LEN(C1368)=16,ISNUMBER(--C1368)),"OK","TIDAK VALID")))</f>
        <v/>
      </c>
    </row>
    <row r="1369" customFormat="false" ht="15" hidden="false" customHeight="false" outlineLevel="0" collapsed="false">
      <c r="A1369" s="21"/>
      <c r="B1369" s="22"/>
      <c r="C1369" s="21"/>
      <c r="D1369" s="22"/>
      <c r="E1369" s="22"/>
      <c r="F1369" s="28"/>
      <c r="G1369" s="22"/>
      <c r="H1369" s="21"/>
      <c r="I1369" s="28"/>
      <c r="J1369" s="22"/>
      <c r="K1369" s="22"/>
      <c r="L1369" s="22"/>
      <c r="M1369" s="21"/>
      <c r="N1369" s="22"/>
      <c r="O1369" s="29" t="str">
        <f aca="false">IF(A1369="","",IF(COUNTIF($A$2:$A$2001,A1369)&gt;1,"GANDA","OK"))</f>
        <v/>
      </c>
      <c r="P1369" s="29" t="str">
        <f aca="false">IF(A1369="","",IF(C1369="","KOSONG",IF(AND(LEN(C1369)=16,ISNUMBER(--C1369)),"OK","TIDAK VALID")))</f>
        <v/>
      </c>
    </row>
    <row r="1370" customFormat="false" ht="15" hidden="false" customHeight="false" outlineLevel="0" collapsed="false">
      <c r="A1370" s="21"/>
      <c r="B1370" s="22"/>
      <c r="C1370" s="21"/>
      <c r="D1370" s="22"/>
      <c r="E1370" s="22"/>
      <c r="F1370" s="28"/>
      <c r="G1370" s="22"/>
      <c r="H1370" s="21"/>
      <c r="I1370" s="28"/>
      <c r="J1370" s="22"/>
      <c r="K1370" s="22"/>
      <c r="L1370" s="22"/>
      <c r="M1370" s="21"/>
      <c r="N1370" s="22"/>
      <c r="O1370" s="29" t="str">
        <f aca="false">IF(A1370="","",IF(COUNTIF($A$2:$A$2001,A1370)&gt;1,"GANDA","OK"))</f>
        <v/>
      </c>
      <c r="P1370" s="29" t="str">
        <f aca="false">IF(A1370="","",IF(C1370="","KOSONG",IF(AND(LEN(C1370)=16,ISNUMBER(--C1370)),"OK","TIDAK VALID")))</f>
        <v/>
      </c>
    </row>
    <row r="1371" customFormat="false" ht="15" hidden="false" customHeight="false" outlineLevel="0" collapsed="false">
      <c r="A1371" s="21"/>
      <c r="B1371" s="22"/>
      <c r="C1371" s="21"/>
      <c r="D1371" s="22"/>
      <c r="E1371" s="22"/>
      <c r="F1371" s="28"/>
      <c r="G1371" s="22"/>
      <c r="H1371" s="21"/>
      <c r="I1371" s="28"/>
      <c r="J1371" s="22"/>
      <c r="K1371" s="22"/>
      <c r="L1371" s="22"/>
      <c r="M1371" s="21"/>
      <c r="N1371" s="22"/>
      <c r="O1371" s="29" t="str">
        <f aca="false">IF(A1371="","",IF(COUNTIF($A$2:$A$2001,A1371)&gt;1,"GANDA","OK"))</f>
        <v/>
      </c>
      <c r="P1371" s="29" t="str">
        <f aca="false">IF(A1371="","",IF(C1371="","KOSONG",IF(AND(LEN(C1371)=16,ISNUMBER(--C1371)),"OK","TIDAK VALID")))</f>
        <v/>
      </c>
    </row>
    <row r="1372" customFormat="false" ht="15" hidden="false" customHeight="false" outlineLevel="0" collapsed="false">
      <c r="A1372" s="21"/>
      <c r="B1372" s="22"/>
      <c r="C1372" s="21"/>
      <c r="D1372" s="22"/>
      <c r="E1372" s="22"/>
      <c r="F1372" s="28"/>
      <c r="G1372" s="22"/>
      <c r="H1372" s="21"/>
      <c r="I1372" s="28"/>
      <c r="J1372" s="22"/>
      <c r="K1372" s="22"/>
      <c r="L1372" s="22"/>
      <c r="M1372" s="21"/>
      <c r="N1372" s="22"/>
      <c r="O1372" s="29" t="str">
        <f aca="false">IF(A1372="","",IF(COUNTIF($A$2:$A$2001,A1372)&gt;1,"GANDA","OK"))</f>
        <v/>
      </c>
      <c r="P1372" s="29" t="str">
        <f aca="false">IF(A1372="","",IF(C1372="","KOSONG",IF(AND(LEN(C1372)=16,ISNUMBER(--C1372)),"OK","TIDAK VALID")))</f>
        <v/>
      </c>
    </row>
    <row r="1373" customFormat="false" ht="15" hidden="false" customHeight="false" outlineLevel="0" collapsed="false">
      <c r="A1373" s="21"/>
      <c r="B1373" s="22"/>
      <c r="C1373" s="21"/>
      <c r="D1373" s="22"/>
      <c r="E1373" s="22"/>
      <c r="F1373" s="28"/>
      <c r="G1373" s="22"/>
      <c r="H1373" s="21"/>
      <c r="I1373" s="28"/>
      <c r="J1373" s="22"/>
      <c r="K1373" s="22"/>
      <c r="L1373" s="22"/>
      <c r="M1373" s="21"/>
      <c r="N1373" s="22"/>
      <c r="O1373" s="29" t="str">
        <f aca="false">IF(A1373="","",IF(COUNTIF($A$2:$A$2001,A1373)&gt;1,"GANDA","OK"))</f>
        <v/>
      </c>
      <c r="P1373" s="29" t="str">
        <f aca="false">IF(A1373="","",IF(C1373="","KOSONG",IF(AND(LEN(C1373)=16,ISNUMBER(--C1373)),"OK","TIDAK VALID")))</f>
        <v/>
      </c>
    </row>
    <row r="1374" customFormat="false" ht="15" hidden="false" customHeight="false" outlineLevel="0" collapsed="false">
      <c r="A1374" s="21"/>
      <c r="B1374" s="22"/>
      <c r="C1374" s="21"/>
      <c r="D1374" s="22"/>
      <c r="E1374" s="22"/>
      <c r="F1374" s="28"/>
      <c r="G1374" s="22"/>
      <c r="H1374" s="21"/>
      <c r="I1374" s="28"/>
      <c r="J1374" s="22"/>
      <c r="K1374" s="22"/>
      <c r="L1374" s="22"/>
      <c r="M1374" s="21"/>
      <c r="N1374" s="22"/>
      <c r="O1374" s="29" t="str">
        <f aca="false">IF(A1374="","",IF(COUNTIF($A$2:$A$2001,A1374)&gt;1,"GANDA","OK"))</f>
        <v/>
      </c>
      <c r="P1374" s="29" t="str">
        <f aca="false">IF(A1374="","",IF(C1374="","KOSONG",IF(AND(LEN(C1374)=16,ISNUMBER(--C1374)),"OK","TIDAK VALID")))</f>
        <v/>
      </c>
    </row>
    <row r="1375" customFormat="false" ht="15" hidden="false" customHeight="false" outlineLevel="0" collapsed="false">
      <c r="A1375" s="21"/>
      <c r="B1375" s="22"/>
      <c r="C1375" s="21"/>
      <c r="D1375" s="22"/>
      <c r="E1375" s="22"/>
      <c r="F1375" s="28"/>
      <c r="G1375" s="22"/>
      <c r="H1375" s="21"/>
      <c r="I1375" s="28"/>
      <c r="J1375" s="22"/>
      <c r="K1375" s="22"/>
      <c r="L1375" s="22"/>
      <c r="M1375" s="21"/>
      <c r="N1375" s="22"/>
      <c r="O1375" s="29" t="str">
        <f aca="false">IF(A1375="","",IF(COUNTIF($A$2:$A$2001,A1375)&gt;1,"GANDA","OK"))</f>
        <v/>
      </c>
      <c r="P1375" s="29" t="str">
        <f aca="false">IF(A1375="","",IF(C1375="","KOSONG",IF(AND(LEN(C1375)=16,ISNUMBER(--C1375)),"OK","TIDAK VALID")))</f>
        <v/>
      </c>
    </row>
    <row r="1376" customFormat="false" ht="15" hidden="false" customHeight="false" outlineLevel="0" collapsed="false">
      <c r="A1376" s="21"/>
      <c r="B1376" s="22"/>
      <c r="C1376" s="21"/>
      <c r="D1376" s="22"/>
      <c r="E1376" s="22"/>
      <c r="F1376" s="28"/>
      <c r="G1376" s="22"/>
      <c r="H1376" s="21"/>
      <c r="I1376" s="28"/>
      <c r="J1376" s="22"/>
      <c r="K1376" s="22"/>
      <c r="L1376" s="22"/>
      <c r="M1376" s="21"/>
      <c r="N1376" s="22"/>
      <c r="O1376" s="29" t="str">
        <f aca="false">IF(A1376="","",IF(COUNTIF($A$2:$A$2001,A1376)&gt;1,"GANDA","OK"))</f>
        <v/>
      </c>
      <c r="P1376" s="29" t="str">
        <f aca="false">IF(A1376="","",IF(C1376="","KOSONG",IF(AND(LEN(C1376)=16,ISNUMBER(--C1376)),"OK","TIDAK VALID")))</f>
        <v/>
      </c>
    </row>
    <row r="1377" customFormat="false" ht="15" hidden="false" customHeight="false" outlineLevel="0" collapsed="false">
      <c r="A1377" s="21"/>
      <c r="B1377" s="22"/>
      <c r="C1377" s="21"/>
      <c r="D1377" s="22"/>
      <c r="E1377" s="22"/>
      <c r="F1377" s="28"/>
      <c r="G1377" s="22"/>
      <c r="H1377" s="21"/>
      <c r="I1377" s="28"/>
      <c r="J1377" s="22"/>
      <c r="K1377" s="22"/>
      <c r="L1377" s="22"/>
      <c r="M1377" s="21"/>
      <c r="N1377" s="22"/>
      <c r="O1377" s="29" t="str">
        <f aca="false">IF(A1377="","",IF(COUNTIF($A$2:$A$2001,A1377)&gt;1,"GANDA","OK"))</f>
        <v/>
      </c>
      <c r="P1377" s="29" t="str">
        <f aca="false">IF(A1377="","",IF(C1377="","KOSONG",IF(AND(LEN(C1377)=16,ISNUMBER(--C1377)),"OK","TIDAK VALID")))</f>
        <v/>
      </c>
    </row>
    <row r="1378" customFormat="false" ht="15" hidden="false" customHeight="false" outlineLevel="0" collapsed="false">
      <c r="A1378" s="21"/>
      <c r="B1378" s="22"/>
      <c r="C1378" s="21"/>
      <c r="D1378" s="22"/>
      <c r="E1378" s="22"/>
      <c r="F1378" s="28"/>
      <c r="G1378" s="22"/>
      <c r="H1378" s="21"/>
      <c r="I1378" s="28"/>
      <c r="J1378" s="22"/>
      <c r="K1378" s="22"/>
      <c r="L1378" s="22"/>
      <c r="M1378" s="21"/>
      <c r="N1378" s="22"/>
      <c r="O1378" s="29" t="str">
        <f aca="false">IF(A1378="","",IF(COUNTIF($A$2:$A$2001,A1378)&gt;1,"GANDA","OK"))</f>
        <v/>
      </c>
      <c r="P1378" s="29" t="str">
        <f aca="false">IF(A1378="","",IF(C1378="","KOSONG",IF(AND(LEN(C1378)=16,ISNUMBER(--C1378)),"OK","TIDAK VALID")))</f>
        <v/>
      </c>
    </row>
    <row r="1379" customFormat="false" ht="15" hidden="false" customHeight="false" outlineLevel="0" collapsed="false">
      <c r="A1379" s="21"/>
      <c r="B1379" s="22"/>
      <c r="C1379" s="21"/>
      <c r="D1379" s="22"/>
      <c r="E1379" s="22"/>
      <c r="F1379" s="28"/>
      <c r="G1379" s="22"/>
      <c r="H1379" s="21"/>
      <c r="I1379" s="28"/>
      <c r="J1379" s="22"/>
      <c r="K1379" s="22"/>
      <c r="L1379" s="22"/>
      <c r="M1379" s="21"/>
      <c r="N1379" s="22"/>
      <c r="O1379" s="29" t="str">
        <f aca="false">IF(A1379="","",IF(COUNTIF($A$2:$A$2001,A1379)&gt;1,"GANDA","OK"))</f>
        <v/>
      </c>
      <c r="P1379" s="29" t="str">
        <f aca="false">IF(A1379="","",IF(C1379="","KOSONG",IF(AND(LEN(C1379)=16,ISNUMBER(--C1379)),"OK","TIDAK VALID")))</f>
        <v/>
      </c>
    </row>
    <row r="1380" customFormat="false" ht="15" hidden="false" customHeight="false" outlineLevel="0" collapsed="false">
      <c r="A1380" s="21"/>
      <c r="B1380" s="22"/>
      <c r="C1380" s="21"/>
      <c r="D1380" s="22"/>
      <c r="E1380" s="22"/>
      <c r="F1380" s="28"/>
      <c r="G1380" s="22"/>
      <c r="H1380" s="21"/>
      <c r="I1380" s="28"/>
      <c r="J1380" s="22"/>
      <c r="K1380" s="22"/>
      <c r="L1380" s="22"/>
      <c r="M1380" s="21"/>
      <c r="N1380" s="22"/>
      <c r="O1380" s="29" t="str">
        <f aca="false">IF(A1380="","",IF(COUNTIF($A$2:$A$2001,A1380)&gt;1,"GANDA","OK"))</f>
        <v/>
      </c>
      <c r="P1380" s="29" t="str">
        <f aca="false">IF(A1380="","",IF(C1380="","KOSONG",IF(AND(LEN(C1380)=16,ISNUMBER(--C1380)),"OK","TIDAK VALID")))</f>
        <v/>
      </c>
    </row>
    <row r="1381" customFormat="false" ht="15" hidden="false" customHeight="false" outlineLevel="0" collapsed="false">
      <c r="A1381" s="21"/>
      <c r="B1381" s="22"/>
      <c r="C1381" s="21"/>
      <c r="D1381" s="22"/>
      <c r="E1381" s="22"/>
      <c r="F1381" s="28"/>
      <c r="G1381" s="22"/>
      <c r="H1381" s="21"/>
      <c r="I1381" s="28"/>
      <c r="J1381" s="22"/>
      <c r="K1381" s="22"/>
      <c r="L1381" s="22"/>
      <c r="M1381" s="21"/>
      <c r="N1381" s="22"/>
      <c r="O1381" s="29" t="str">
        <f aca="false">IF(A1381="","",IF(COUNTIF($A$2:$A$2001,A1381)&gt;1,"GANDA","OK"))</f>
        <v/>
      </c>
      <c r="P1381" s="29" t="str">
        <f aca="false">IF(A1381="","",IF(C1381="","KOSONG",IF(AND(LEN(C1381)=16,ISNUMBER(--C1381)),"OK","TIDAK VALID")))</f>
        <v/>
      </c>
    </row>
    <row r="1382" customFormat="false" ht="15" hidden="false" customHeight="false" outlineLevel="0" collapsed="false">
      <c r="A1382" s="21"/>
      <c r="B1382" s="22"/>
      <c r="C1382" s="21"/>
      <c r="D1382" s="22"/>
      <c r="E1382" s="22"/>
      <c r="F1382" s="28"/>
      <c r="G1382" s="22"/>
      <c r="H1382" s="21"/>
      <c r="I1382" s="28"/>
      <c r="J1382" s="22"/>
      <c r="K1382" s="22"/>
      <c r="L1382" s="22"/>
      <c r="M1382" s="21"/>
      <c r="N1382" s="22"/>
      <c r="O1382" s="29" t="str">
        <f aca="false">IF(A1382="","",IF(COUNTIF($A$2:$A$2001,A1382)&gt;1,"GANDA","OK"))</f>
        <v/>
      </c>
      <c r="P1382" s="29" t="str">
        <f aca="false">IF(A1382="","",IF(C1382="","KOSONG",IF(AND(LEN(C1382)=16,ISNUMBER(--C1382)),"OK","TIDAK VALID")))</f>
        <v/>
      </c>
    </row>
    <row r="1383" customFormat="false" ht="15" hidden="false" customHeight="false" outlineLevel="0" collapsed="false">
      <c r="A1383" s="21"/>
      <c r="B1383" s="22"/>
      <c r="C1383" s="21"/>
      <c r="D1383" s="22"/>
      <c r="E1383" s="22"/>
      <c r="F1383" s="28"/>
      <c r="G1383" s="22"/>
      <c r="H1383" s="21"/>
      <c r="I1383" s="28"/>
      <c r="J1383" s="22"/>
      <c r="K1383" s="22"/>
      <c r="L1383" s="22"/>
      <c r="M1383" s="21"/>
      <c r="N1383" s="22"/>
      <c r="O1383" s="29" t="str">
        <f aca="false">IF(A1383="","",IF(COUNTIF($A$2:$A$2001,A1383)&gt;1,"GANDA","OK"))</f>
        <v/>
      </c>
      <c r="P1383" s="29" t="str">
        <f aca="false">IF(A1383="","",IF(C1383="","KOSONG",IF(AND(LEN(C1383)=16,ISNUMBER(--C1383)),"OK","TIDAK VALID")))</f>
        <v/>
      </c>
    </row>
    <row r="1384" customFormat="false" ht="15" hidden="false" customHeight="false" outlineLevel="0" collapsed="false">
      <c r="A1384" s="21"/>
      <c r="B1384" s="22"/>
      <c r="C1384" s="21"/>
      <c r="D1384" s="22"/>
      <c r="E1384" s="22"/>
      <c r="F1384" s="28"/>
      <c r="G1384" s="22"/>
      <c r="H1384" s="21"/>
      <c r="I1384" s="28"/>
      <c r="J1384" s="22"/>
      <c r="K1384" s="22"/>
      <c r="L1384" s="22"/>
      <c r="M1384" s="21"/>
      <c r="N1384" s="22"/>
      <c r="O1384" s="29" t="str">
        <f aca="false">IF(A1384="","",IF(COUNTIF($A$2:$A$2001,A1384)&gt;1,"GANDA","OK"))</f>
        <v/>
      </c>
      <c r="P1384" s="29" t="str">
        <f aca="false">IF(A1384="","",IF(C1384="","KOSONG",IF(AND(LEN(C1384)=16,ISNUMBER(--C1384)),"OK","TIDAK VALID")))</f>
        <v/>
      </c>
    </row>
    <row r="1385" customFormat="false" ht="15" hidden="false" customHeight="false" outlineLevel="0" collapsed="false">
      <c r="A1385" s="21"/>
      <c r="B1385" s="22"/>
      <c r="C1385" s="21"/>
      <c r="D1385" s="22"/>
      <c r="E1385" s="22"/>
      <c r="F1385" s="28"/>
      <c r="G1385" s="22"/>
      <c r="H1385" s="21"/>
      <c r="I1385" s="28"/>
      <c r="J1385" s="22"/>
      <c r="K1385" s="22"/>
      <c r="L1385" s="22"/>
      <c r="M1385" s="21"/>
      <c r="N1385" s="22"/>
      <c r="O1385" s="29" t="str">
        <f aca="false">IF(A1385="","",IF(COUNTIF($A$2:$A$2001,A1385)&gt;1,"GANDA","OK"))</f>
        <v/>
      </c>
      <c r="P1385" s="29" t="str">
        <f aca="false">IF(A1385="","",IF(C1385="","KOSONG",IF(AND(LEN(C1385)=16,ISNUMBER(--C1385)),"OK","TIDAK VALID")))</f>
        <v/>
      </c>
    </row>
    <row r="1386" customFormat="false" ht="15" hidden="false" customHeight="false" outlineLevel="0" collapsed="false">
      <c r="A1386" s="21"/>
      <c r="B1386" s="22"/>
      <c r="C1386" s="21"/>
      <c r="D1386" s="22"/>
      <c r="E1386" s="22"/>
      <c r="F1386" s="28"/>
      <c r="G1386" s="22"/>
      <c r="H1386" s="21"/>
      <c r="I1386" s="28"/>
      <c r="J1386" s="22"/>
      <c r="K1386" s="22"/>
      <c r="L1386" s="22"/>
      <c r="M1386" s="21"/>
      <c r="N1386" s="22"/>
      <c r="O1386" s="29" t="str">
        <f aca="false">IF(A1386="","",IF(COUNTIF($A$2:$A$2001,A1386)&gt;1,"GANDA","OK"))</f>
        <v/>
      </c>
      <c r="P1386" s="29" t="str">
        <f aca="false">IF(A1386="","",IF(C1386="","KOSONG",IF(AND(LEN(C1386)=16,ISNUMBER(--C1386)),"OK","TIDAK VALID")))</f>
        <v/>
      </c>
    </row>
    <row r="1387" customFormat="false" ht="15" hidden="false" customHeight="false" outlineLevel="0" collapsed="false">
      <c r="A1387" s="21"/>
      <c r="B1387" s="22"/>
      <c r="C1387" s="21"/>
      <c r="D1387" s="22"/>
      <c r="E1387" s="22"/>
      <c r="F1387" s="28"/>
      <c r="G1387" s="22"/>
      <c r="H1387" s="21"/>
      <c r="I1387" s="28"/>
      <c r="J1387" s="22"/>
      <c r="K1387" s="22"/>
      <c r="L1387" s="22"/>
      <c r="M1387" s="21"/>
      <c r="N1387" s="22"/>
      <c r="O1387" s="29" t="str">
        <f aca="false">IF(A1387="","",IF(COUNTIF($A$2:$A$2001,A1387)&gt;1,"GANDA","OK"))</f>
        <v/>
      </c>
      <c r="P1387" s="29" t="str">
        <f aca="false">IF(A1387="","",IF(C1387="","KOSONG",IF(AND(LEN(C1387)=16,ISNUMBER(--C1387)),"OK","TIDAK VALID")))</f>
        <v/>
      </c>
    </row>
    <row r="1388" customFormat="false" ht="15" hidden="false" customHeight="false" outlineLevel="0" collapsed="false">
      <c r="A1388" s="21"/>
      <c r="B1388" s="22"/>
      <c r="C1388" s="21"/>
      <c r="D1388" s="22"/>
      <c r="E1388" s="22"/>
      <c r="F1388" s="28"/>
      <c r="G1388" s="22"/>
      <c r="H1388" s="21"/>
      <c r="I1388" s="28"/>
      <c r="J1388" s="22"/>
      <c r="K1388" s="22"/>
      <c r="L1388" s="22"/>
      <c r="M1388" s="21"/>
      <c r="N1388" s="22"/>
      <c r="O1388" s="29" t="str">
        <f aca="false">IF(A1388="","",IF(COUNTIF($A$2:$A$2001,A1388)&gt;1,"GANDA","OK"))</f>
        <v/>
      </c>
      <c r="P1388" s="29" t="str">
        <f aca="false">IF(A1388="","",IF(C1388="","KOSONG",IF(AND(LEN(C1388)=16,ISNUMBER(--C1388)),"OK","TIDAK VALID")))</f>
        <v/>
      </c>
    </row>
    <row r="1389" customFormat="false" ht="15" hidden="false" customHeight="false" outlineLevel="0" collapsed="false">
      <c r="A1389" s="21"/>
      <c r="B1389" s="22"/>
      <c r="C1389" s="21"/>
      <c r="D1389" s="22"/>
      <c r="E1389" s="22"/>
      <c r="F1389" s="28"/>
      <c r="G1389" s="22"/>
      <c r="H1389" s="21"/>
      <c r="I1389" s="28"/>
      <c r="J1389" s="22"/>
      <c r="K1389" s="22"/>
      <c r="L1389" s="22"/>
      <c r="M1389" s="21"/>
      <c r="N1389" s="22"/>
      <c r="O1389" s="29" t="str">
        <f aca="false">IF(A1389="","",IF(COUNTIF($A$2:$A$2001,A1389)&gt;1,"GANDA","OK"))</f>
        <v/>
      </c>
      <c r="P1389" s="29" t="str">
        <f aca="false">IF(A1389="","",IF(C1389="","KOSONG",IF(AND(LEN(C1389)=16,ISNUMBER(--C1389)),"OK","TIDAK VALID")))</f>
        <v/>
      </c>
    </row>
    <row r="1390" customFormat="false" ht="15" hidden="false" customHeight="false" outlineLevel="0" collapsed="false">
      <c r="A1390" s="21"/>
      <c r="B1390" s="22"/>
      <c r="C1390" s="21"/>
      <c r="D1390" s="22"/>
      <c r="E1390" s="22"/>
      <c r="F1390" s="28"/>
      <c r="G1390" s="22"/>
      <c r="H1390" s="21"/>
      <c r="I1390" s="28"/>
      <c r="J1390" s="22"/>
      <c r="K1390" s="22"/>
      <c r="L1390" s="22"/>
      <c r="M1390" s="21"/>
      <c r="N1390" s="22"/>
      <c r="O1390" s="29" t="str">
        <f aca="false">IF(A1390="","",IF(COUNTIF($A$2:$A$2001,A1390)&gt;1,"GANDA","OK"))</f>
        <v/>
      </c>
      <c r="P1390" s="29" t="str">
        <f aca="false">IF(A1390="","",IF(C1390="","KOSONG",IF(AND(LEN(C1390)=16,ISNUMBER(--C1390)),"OK","TIDAK VALID")))</f>
        <v/>
      </c>
    </row>
    <row r="1391" customFormat="false" ht="15" hidden="false" customHeight="false" outlineLevel="0" collapsed="false">
      <c r="A1391" s="21"/>
      <c r="B1391" s="22"/>
      <c r="C1391" s="21"/>
      <c r="D1391" s="22"/>
      <c r="E1391" s="22"/>
      <c r="F1391" s="28"/>
      <c r="G1391" s="22"/>
      <c r="H1391" s="21"/>
      <c r="I1391" s="28"/>
      <c r="J1391" s="22"/>
      <c r="K1391" s="22"/>
      <c r="L1391" s="22"/>
      <c r="M1391" s="21"/>
      <c r="N1391" s="22"/>
      <c r="O1391" s="29" t="str">
        <f aca="false">IF(A1391="","",IF(COUNTIF($A$2:$A$2001,A1391)&gt;1,"GANDA","OK"))</f>
        <v/>
      </c>
      <c r="P1391" s="29" t="str">
        <f aca="false">IF(A1391="","",IF(C1391="","KOSONG",IF(AND(LEN(C1391)=16,ISNUMBER(--C1391)),"OK","TIDAK VALID")))</f>
        <v/>
      </c>
    </row>
    <row r="1392" customFormat="false" ht="15" hidden="false" customHeight="false" outlineLevel="0" collapsed="false">
      <c r="A1392" s="21"/>
      <c r="B1392" s="22"/>
      <c r="C1392" s="21"/>
      <c r="D1392" s="22"/>
      <c r="E1392" s="22"/>
      <c r="F1392" s="28"/>
      <c r="G1392" s="22"/>
      <c r="H1392" s="21"/>
      <c r="I1392" s="28"/>
      <c r="J1392" s="22"/>
      <c r="K1392" s="22"/>
      <c r="L1392" s="22"/>
      <c r="M1392" s="21"/>
      <c r="N1392" s="22"/>
      <c r="O1392" s="29" t="str">
        <f aca="false">IF(A1392="","",IF(COUNTIF($A$2:$A$2001,A1392)&gt;1,"GANDA","OK"))</f>
        <v/>
      </c>
      <c r="P1392" s="29" t="str">
        <f aca="false">IF(A1392="","",IF(C1392="","KOSONG",IF(AND(LEN(C1392)=16,ISNUMBER(--C1392)),"OK","TIDAK VALID")))</f>
        <v/>
      </c>
    </row>
    <row r="1393" customFormat="false" ht="15" hidden="false" customHeight="false" outlineLevel="0" collapsed="false">
      <c r="A1393" s="21"/>
      <c r="B1393" s="22"/>
      <c r="C1393" s="21"/>
      <c r="D1393" s="22"/>
      <c r="E1393" s="22"/>
      <c r="F1393" s="28"/>
      <c r="G1393" s="22"/>
      <c r="H1393" s="21"/>
      <c r="I1393" s="28"/>
      <c r="J1393" s="22"/>
      <c r="K1393" s="22"/>
      <c r="L1393" s="22"/>
      <c r="M1393" s="21"/>
      <c r="N1393" s="22"/>
      <c r="O1393" s="29" t="str">
        <f aca="false">IF(A1393="","",IF(COUNTIF($A$2:$A$2001,A1393)&gt;1,"GANDA","OK"))</f>
        <v/>
      </c>
      <c r="P1393" s="29" t="str">
        <f aca="false">IF(A1393="","",IF(C1393="","KOSONG",IF(AND(LEN(C1393)=16,ISNUMBER(--C1393)),"OK","TIDAK VALID")))</f>
        <v/>
      </c>
    </row>
    <row r="1394" customFormat="false" ht="15" hidden="false" customHeight="false" outlineLevel="0" collapsed="false">
      <c r="A1394" s="21"/>
      <c r="B1394" s="22"/>
      <c r="C1394" s="21"/>
      <c r="D1394" s="22"/>
      <c r="E1394" s="22"/>
      <c r="F1394" s="28"/>
      <c r="G1394" s="22"/>
      <c r="H1394" s="21"/>
      <c r="I1394" s="28"/>
      <c r="J1394" s="22"/>
      <c r="K1394" s="22"/>
      <c r="L1394" s="22"/>
      <c r="M1394" s="21"/>
      <c r="N1394" s="22"/>
      <c r="O1394" s="29" t="str">
        <f aca="false">IF(A1394="","",IF(COUNTIF($A$2:$A$2001,A1394)&gt;1,"GANDA","OK"))</f>
        <v/>
      </c>
      <c r="P1394" s="29" t="str">
        <f aca="false">IF(A1394="","",IF(C1394="","KOSONG",IF(AND(LEN(C1394)=16,ISNUMBER(--C1394)),"OK","TIDAK VALID")))</f>
        <v/>
      </c>
    </row>
    <row r="1395" customFormat="false" ht="15" hidden="false" customHeight="false" outlineLevel="0" collapsed="false">
      <c r="A1395" s="21"/>
      <c r="B1395" s="22"/>
      <c r="C1395" s="21"/>
      <c r="D1395" s="22"/>
      <c r="E1395" s="22"/>
      <c r="F1395" s="28"/>
      <c r="G1395" s="22"/>
      <c r="H1395" s="21"/>
      <c r="I1395" s="28"/>
      <c r="J1395" s="22"/>
      <c r="K1395" s="22"/>
      <c r="L1395" s="22"/>
      <c r="M1395" s="21"/>
      <c r="N1395" s="22"/>
      <c r="O1395" s="29" t="str">
        <f aca="false">IF(A1395="","",IF(COUNTIF($A$2:$A$2001,A1395)&gt;1,"GANDA","OK"))</f>
        <v/>
      </c>
      <c r="P1395" s="29" t="str">
        <f aca="false">IF(A1395="","",IF(C1395="","KOSONG",IF(AND(LEN(C1395)=16,ISNUMBER(--C1395)),"OK","TIDAK VALID")))</f>
        <v/>
      </c>
    </row>
    <row r="1396" customFormat="false" ht="15" hidden="false" customHeight="false" outlineLevel="0" collapsed="false">
      <c r="A1396" s="21"/>
      <c r="B1396" s="22"/>
      <c r="C1396" s="21"/>
      <c r="D1396" s="22"/>
      <c r="E1396" s="22"/>
      <c r="F1396" s="28"/>
      <c r="G1396" s="22"/>
      <c r="H1396" s="21"/>
      <c r="I1396" s="28"/>
      <c r="J1396" s="22"/>
      <c r="K1396" s="22"/>
      <c r="L1396" s="22"/>
      <c r="M1396" s="21"/>
      <c r="N1396" s="22"/>
      <c r="O1396" s="29" t="str">
        <f aca="false">IF(A1396="","",IF(COUNTIF($A$2:$A$2001,A1396)&gt;1,"GANDA","OK"))</f>
        <v/>
      </c>
      <c r="P1396" s="29" t="str">
        <f aca="false">IF(A1396="","",IF(C1396="","KOSONG",IF(AND(LEN(C1396)=16,ISNUMBER(--C1396)),"OK","TIDAK VALID")))</f>
        <v/>
      </c>
    </row>
    <row r="1397" customFormat="false" ht="15" hidden="false" customHeight="false" outlineLevel="0" collapsed="false">
      <c r="A1397" s="21"/>
      <c r="B1397" s="22"/>
      <c r="C1397" s="21"/>
      <c r="D1397" s="22"/>
      <c r="E1397" s="22"/>
      <c r="F1397" s="28"/>
      <c r="G1397" s="22"/>
      <c r="H1397" s="21"/>
      <c r="I1397" s="28"/>
      <c r="J1397" s="22"/>
      <c r="K1397" s="22"/>
      <c r="L1397" s="22"/>
      <c r="M1397" s="21"/>
      <c r="N1397" s="22"/>
      <c r="O1397" s="29" t="str">
        <f aca="false">IF(A1397="","",IF(COUNTIF($A$2:$A$2001,A1397)&gt;1,"GANDA","OK"))</f>
        <v/>
      </c>
      <c r="P1397" s="29" t="str">
        <f aca="false">IF(A1397="","",IF(C1397="","KOSONG",IF(AND(LEN(C1397)=16,ISNUMBER(--C1397)),"OK","TIDAK VALID")))</f>
        <v/>
      </c>
    </row>
    <row r="1398" customFormat="false" ht="15" hidden="false" customHeight="false" outlineLevel="0" collapsed="false">
      <c r="A1398" s="21"/>
      <c r="B1398" s="22"/>
      <c r="C1398" s="21"/>
      <c r="D1398" s="22"/>
      <c r="E1398" s="22"/>
      <c r="F1398" s="28"/>
      <c r="G1398" s="22"/>
      <c r="H1398" s="21"/>
      <c r="I1398" s="28"/>
      <c r="J1398" s="22"/>
      <c r="K1398" s="22"/>
      <c r="L1398" s="22"/>
      <c r="M1398" s="21"/>
      <c r="N1398" s="22"/>
      <c r="O1398" s="29" t="str">
        <f aca="false">IF(A1398="","",IF(COUNTIF($A$2:$A$2001,A1398)&gt;1,"GANDA","OK"))</f>
        <v/>
      </c>
      <c r="P1398" s="29" t="str">
        <f aca="false">IF(A1398="","",IF(C1398="","KOSONG",IF(AND(LEN(C1398)=16,ISNUMBER(--C1398)),"OK","TIDAK VALID")))</f>
        <v/>
      </c>
    </row>
    <row r="1399" customFormat="false" ht="15" hidden="false" customHeight="false" outlineLevel="0" collapsed="false">
      <c r="A1399" s="21"/>
      <c r="B1399" s="22"/>
      <c r="C1399" s="21"/>
      <c r="D1399" s="22"/>
      <c r="E1399" s="22"/>
      <c r="F1399" s="28"/>
      <c r="G1399" s="22"/>
      <c r="H1399" s="21"/>
      <c r="I1399" s="28"/>
      <c r="J1399" s="22"/>
      <c r="K1399" s="22"/>
      <c r="L1399" s="22"/>
      <c r="M1399" s="21"/>
      <c r="N1399" s="22"/>
      <c r="O1399" s="29" t="str">
        <f aca="false">IF(A1399="","",IF(COUNTIF($A$2:$A$2001,A1399)&gt;1,"GANDA","OK"))</f>
        <v/>
      </c>
      <c r="P1399" s="29" t="str">
        <f aca="false">IF(A1399="","",IF(C1399="","KOSONG",IF(AND(LEN(C1399)=16,ISNUMBER(--C1399)),"OK","TIDAK VALID")))</f>
        <v/>
      </c>
    </row>
    <row r="1400" customFormat="false" ht="15" hidden="false" customHeight="false" outlineLevel="0" collapsed="false">
      <c r="A1400" s="21"/>
      <c r="B1400" s="22"/>
      <c r="C1400" s="21"/>
      <c r="D1400" s="22"/>
      <c r="E1400" s="22"/>
      <c r="F1400" s="28"/>
      <c r="G1400" s="22"/>
      <c r="H1400" s="21"/>
      <c r="I1400" s="28"/>
      <c r="J1400" s="22"/>
      <c r="K1400" s="22"/>
      <c r="L1400" s="22"/>
      <c r="M1400" s="21"/>
      <c r="N1400" s="22"/>
      <c r="O1400" s="29" t="str">
        <f aca="false">IF(A1400="","",IF(COUNTIF($A$2:$A$2001,A1400)&gt;1,"GANDA","OK"))</f>
        <v/>
      </c>
      <c r="P1400" s="29" t="str">
        <f aca="false">IF(A1400="","",IF(C1400="","KOSONG",IF(AND(LEN(C1400)=16,ISNUMBER(--C1400)),"OK","TIDAK VALID")))</f>
        <v/>
      </c>
    </row>
    <row r="1401" customFormat="false" ht="15" hidden="false" customHeight="false" outlineLevel="0" collapsed="false">
      <c r="A1401" s="21"/>
      <c r="B1401" s="22"/>
      <c r="C1401" s="21"/>
      <c r="D1401" s="22"/>
      <c r="E1401" s="22"/>
      <c r="F1401" s="28"/>
      <c r="G1401" s="22"/>
      <c r="H1401" s="21"/>
      <c r="I1401" s="28"/>
      <c r="J1401" s="22"/>
      <c r="K1401" s="22"/>
      <c r="L1401" s="22"/>
      <c r="M1401" s="21"/>
      <c r="N1401" s="22"/>
      <c r="O1401" s="29" t="str">
        <f aca="false">IF(A1401="","",IF(COUNTIF($A$2:$A$2001,A1401)&gt;1,"GANDA","OK"))</f>
        <v/>
      </c>
      <c r="P1401" s="29" t="str">
        <f aca="false">IF(A1401="","",IF(C1401="","KOSONG",IF(AND(LEN(C1401)=16,ISNUMBER(--C1401)),"OK","TIDAK VALID")))</f>
        <v/>
      </c>
    </row>
    <row r="1402" customFormat="false" ht="15" hidden="false" customHeight="false" outlineLevel="0" collapsed="false">
      <c r="A1402" s="21"/>
      <c r="B1402" s="22"/>
      <c r="C1402" s="21"/>
      <c r="D1402" s="22"/>
      <c r="E1402" s="22"/>
      <c r="F1402" s="28"/>
      <c r="G1402" s="22"/>
      <c r="H1402" s="21"/>
      <c r="I1402" s="28"/>
      <c r="J1402" s="22"/>
      <c r="K1402" s="22"/>
      <c r="L1402" s="22"/>
      <c r="M1402" s="21"/>
      <c r="N1402" s="22"/>
      <c r="O1402" s="29" t="str">
        <f aca="false">IF(A1402="","",IF(COUNTIF($A$2:$A$2001,A1402)&gt;1,"GANDA","OK"))</f>
        <v/>
      </c>
      <c r="P1402" s="29" t="str">
        <f aca="false">IF(A1402="","",IF(C1402="","KOSONG",IF(AND(LEN(C1402)=16,ISNUMBER(--C1402)),"OK","TIDAK VALID")))</f>
        <v/>
      </c>
    </row>
    <row r="1403" customFormat="false" ht="15" hidden="false" customHeight="false" outlineLevel="0" collapsed="false">
      <c r="A1403" s="21"/>
      <c r="B1403" s="22"/>
      <c r="C1403" s="21"/>
      <c r="D1403" s="22"/>
      <c r="E1403" s="22"/>
      <c r="F1403" s="28"/>
      <c r="G1403" s="22"/>
      <c r="H1403" s="21"/>
      <c r="I1403" s="28"/>
      <c r="J1403" s="22"/>
      <c r="K1403" s="22"/>
      <c r="L1403" s="22"/>
      <c r="M1403" s="21"/>
      <c r="N1403" s="22"/>
      <c r="O1403" s="29" t="str">
        <f aca="false">IF(A1403="","",IF(COUNTIF($A$2:$A$2001,A1403)&gt;1,"GANDA","OK"))</f>
        <v/>
      </c>
      <c r="P1403" s="29" t="str">
        <f aca="false">IF(A1403="","",IF(C1403="","KOSONG",IF(AND(LEN(C1403)=16,ISNUMBER(--C1403)),"OK","TIDAK VALID")))</f>
        <v/>
      </c>
    </row>
    <row r="1404" customFormat="false" ht="15" hidden="false" customHeight="false" outlineLevel="0" collapsed="false">
      <c r="A1404" s="21"/>
      <c r="B1404" s="22"/>
      <c r="C1404" s="21"/>
      <c r="D1404" s="22"/>
      <c r="E1404" s="22"/>
      <c r="F1404" s="28"/>
      <c r="G1404" s="22"/>
      <c r="H1404" s="21"/>
      <c r="I1404" s="28"/>
      <c r="J1404" s="22"/>
      <c r="K1404" s="22"/>
      <c r="L1404" s="22"/>
      <c r="M1404" s="21"/>
      <c r="N1404" s="22"/>
      <c r="O1404" s="29" t="str">
        <f aca="false">IF(A1404="","",IF(COUNTIF($A$2:$A$2001,A1404)&gt;1,"GANDA","OK"))</f>
        <v/>
      </c>
      <c r="P1404" s="29" t="str">
        <f aca="false">IF(A1404="","",IF(C1404="","KOSONG",IF(AND(LEN(C1404)=16,ISNUMBER(--C1404)),"OK","TIDAK VALID")))</f>
        <v/>
      </c>
    </row>
    <row r="1405" customFormat="false" ht="15" hidden="false" customHeight="false" outlineLevel="0" collapsed="false">
      <c r="A1405" s="21"/>
      <c r="B1405" s="22"/>
      <c r="C1405" s="21"/>
      <c r="D1405" s="22"/>
      <c r="E1405" s="22"/>
      <c r="F1405" s="28"/>
      <c r="G1405" s="22"/>
      <c r="H1405" s="21"/>
      <c r="I1405" s="28"/>
      <c r="J1405" s="22"/>
      <c r="K1405" s="22"/>
      <c r="L1405" s="22"/>
      <c r="M1405" s="21"/>
      <c r="N1405" s="22"/>
      <c r="O1405" s="29" t="str">
        <f aca="false">IF(A1405="","",IF(COUNTIF($A$2:$A$2001,A1405)&gt;1,"GANDA","OK"))</f>
        <v/>
      </c>
      <c r="P1405" s="29" t="str">
        <f aca="false">IF(A1405="","",IF(C1405="","KOSONG",IF(AND(LEN(C1405)=16,ISNUMBER(--C1405)),"OK","TIDAK VALID")))</f>
        <v/>
      </c>
    </row>
    <row r="1406" customFormat="false" ht="15" hidden="false" customHeight="false" outlineLevel="0" collapsed="false">
      <c r="A1406" s="21"/>
      <c r="B1406" s="22"/>
      <c r="C1406" s="21"/>
      <c r="D1406" s="22"/>
      <c r="E1406" s="22"/>
      <c r="F1406" s="28"/>
      <c r="G1406" s="22"/>
      <c r="H1406" s="21"/>
      <c r="I1406" s="28"/>
      <c r="J1406" s="22"/>
      <c r="K1406" s="22"/>
      <c r="L1406" s="22"/>
      <c r="M1406" s="21"/>
      <c r="N1406" s="22"/>
      <c r="O1406" s="29" t="str">
        <f aca="false">IF(A1406="","",IF(COUNTIF($A$2:$A$2001,A1406)&gt;1,"GANDA","OK"))</f>
        <v/>
      </c>
      <c r="P1406" s="29" t="str">
        <f aca="false">IF(A1406="","",IF(C1406="","KOSONG",IF(AND(LEN(C1406)=16,ISNUMBER(--C1406)),"OK","TIDAK VALID")))</f>
        <v/>
      </c>
    </row>
    <row r="1407" customFormat="false" ht="15" hidden="false" customHeight="false" outlineLevel="0" collapsed="false">
      <c r="A1407" s="21"/>
      <c r="B1407" s="22"/>
      <c r="C1407" s="21"/>
      <c r="D1407" s="22"/>
      <c r="E1407" s="22"/>
      <c r="F1407" s="28"/>
      <c r="G1407" s="22"/>
      <c r="H1407" s="21"/>
      <c r="I1407" s="28"/>
      <c r="J1407" s="22"/>
      <c r="K1407" s="22"/>
      <c r="L1407" s="22"/>
      <c r="M1407" s="21"/>
      <c r="N1407" s="22"/>
      <c r="O1407" s="29" t="str">
        <f aca="false">IF(A1407="","",IF(COUNTIF($A$2:$A$2001,A1407)&gt;1,"GANDA","OK"))</f>
        <v/>
      </c>
      <c r="P1407" s="29" t="str">
        <f aca="false">IF(A1407="","",IF(C1407="","KOSONG",IF(AND(LEN(C1407)=16,ISNUMBER(--C1407)),"OK","TIDAK VALID")))</f>
        <v/>
      </c>
    </row>
    <row r="1408" customFormat="false" ht="15" hidden="false" customHeight="false" outlineLevel="0" collapsed="false">
      <c r="A1408" s="21"/>
      <c r="B1408" s="22"/>
      <c r="C1408" s="21"/>
      <c r="D1408" s="22"/>
      <c r="E1408" s="22"/>
      <c r="F1408" s="28"/>
      <c r="G1408" s="22"/>
      <c r="H1408" s="21"/>
      <c r="I1408" s="28"/>
      <c r="J1408" s="22"/>
      <c r="K1408" s="22"/>
      <c r="L1408" s="22"/>
      <c r="M1408" s="21"/>
      <c r="N1408" s="22"/>
      <c r="O1408" s="29" t="str">
        <f aca="false">IF(A1408="","",IF(COUNTIF($A$2:$A$2001,A1408)&gt;1,"GANDA","OK"))</f>
        <v/>
      </c>
      <c r="P1408" s="29" t="str">
        <f aca="false">IF(A1408="","",IF(C1408="","KOSONG",IF(AND(LEN(C1408)=16,ISNUMBER(--C1408)),"OK","TIDAK VALID")))</f>
        <v/>
      </c>
    </row>
    <row r="1409" customFormat="false" ht="15" hidden="false" customHeight="false" outlineLevel="0" collapsed="false">
      <c r="A1409" s="21"/>
      <c r="B1409" s="22"/>
      <c r="C1409" s="21"/>
      <c r="D1409" s="22"/>
      <c r="E1409" s="22"/>
      <c r="F1409" s="28"/>
      <c r="G1409" s="22"/>
      <c r="H1409" s="21"/>
      <c r="I1409" s="28"/>
      <c r="J1409" s="22"/>
      <c r="K1409" s="22"/>
      <c r="L1409" s="22"/>
      <c r="M1409" s="21"/>
      <c r="N1409" s="22"/>
      <c r="O1409" s="29" t="str">
        <f aca="false">IF(A1409="","",IF(COUNTIF($A$2:$A$2001,A1409)&gt;1,"GANDA","OK"))</f>
        <v/>
      </c>
      <c r="P1409" s="29" t="str">
        <f aca="false">IF(A1409="","",IF(C1409="","KOSONG",IF(AND(LEN(C1409)=16,ISNUMBER(--C1409)),"OK","TIDAK VALID")))</f>
        <v/>
      </c>
    </row>
    <row r="1410" customFormat="false" ht="15" hidden="false" customHeight="false" outlineLevel="0" collapsed="false">
      <c r="A1410" s="21"/>
      <c r="B1410" s="22"/>
      <c r="C1410" s="21"/>
      <c r="D1410" s="22"/>
      <c r="E1410" s="22"/>
      <c r="F1410" s="28"/>
      <c r="G1410" s="22"/>
      <c r="H1410" s="21"/>
      <c r="I1410" s="28"/>
      <c r="J1410" s="22"/>
      <c r="K1410" s="22"/>
      <c r="L1410" s="22"/>
      <c r="M1410" s="21"/>
      <c r="N1410" s="22"/>
      <c r="O1410" s="29" t="str">
        <f aca="false">IF(A1410="","",IF(COUNTIF($A$2:$A$2001,A1410)&gt;1,"GANDA","OK"))</f>
        <v/>
      </c>
      <c r="P1410" s="29" t="str">
        <f aca="false">IF(A1410="","",IF(C1410="","KOSONG",IF(AND(LEN(C1410)=16,ISNUMBER(--C1410)),"OK","TIDAK VALID")))</f>
        <v/>
      </c>
    </row>
    <row r="1411" customFormat="false" ht="15" hidden="false" customHeight="false" outlineLevel="0" collapsed="false">
      <c r="A1411" s="21"/>
      <c r="B1411" s="22"/>
      <c r="C1411" s="21"/>
      <c r="D1411" s="22"/>
      <c r="E1411" s="22"/>
      <c r="F1411" s="28"/>
      <c r="G1411" s="22"/>
      <c r="H1411" s="21"/>
      <c r="I1411" s="28"/>
      <c r="J1411" s="22"/>
      <c r="K1411" s="22"/>
      <c r="L1411" s="22"/>
      <c r="M1411" s="21"/>
      <c r="N1411" s="22"/>
      <c r="O1411" s="29" t="str">
        <f aca="false">IF(A1411="","",IF(COUNTIF($A$2:$A$2001,A1411)&gt;1,"GANDA","OK"))</f>
        <v/>
      </c>
      <c r="P1411" s="29" t="str">
        <f aca="false">IF(A1411="","",IF(C1411="","KOSONG",IF(AND(LEN(C1411)=16,ISNUMBER(--C1411)),"OK","TIDAK VALID")))</f>
        <v/>
      </c>
    </row>
    <row r="1412" customFormat="false" ht="15" hidden="false" customHeight="false" outlineLevel="0" collapsed="false">
      <c r="A1412" s="21"/>
      <c r="B1412" s="22"/>
      <c r="C1412" s="21"/>
      <c r="D1412" s="22"/>
      <c r="E1412" s="22"/>
      <c r="F1412" s="28"/>
      <c r="G1412" s="22"/>
      <c r="H1412" s="21"/>
      <c r="I1412" s="28"/>
      <c r="J1412" s="22"/>
      <c r="K1412" s="22"/>
      <c r="L1412" s="22"/>
      <c r="M1412" s="21"/>
      <c r="N1412" s="22"/>
      <c r="O1412" s="29" t="str">
        <f aca="false">IF(A1412="","",IF(COUNTIF($A$2:$A$2001,A1412)&gt;1,"GANDA","OK"))</f>
        <v/>
      </c>
      <c r="P1412" s="29" t="str">
        <f aca="false">IF(A1412="","",IF(C1412="","KOSONG",IF(AND(LEN(C1412)=16,ISNUMBER(--C1412)),"OK","TIDAK VALID")))</f>
        <v/>
      </c>
    </row>
    <row r="1413" customFormat="false" ht="15" hidden="false" customHeight="false" outlineLevel="0" collapsed="false">
      <c r="A1413" s="21"/>
      <c r="B1413" s="22"/>
      <c r="C1413" s="21"/>
      <c r="D1413" s="22"/>
      <c r="E1413" s="22"/>
      <c r="F1413" s="28"/>
      <c r="G1413" s="22"/>
      <c r="H1413" s="21"/>
      <c r="I1413" s="28"/>
      <c r="J1413" s="22"/>
      <c r="K1413" s="22"/>
      <c r="L1413" s="22"/>
      <c r="M1413" s="21"/>
      <c r="N1413" s="22"/>
      <c r="O1413" s="29" t="str">
        <f aca="false">IF(A1413="","",IF(COUNTIF($A$2:$A$2001,A1413)&gt;1,"GANDA","OK"))</f>
        <v/>
      </c>
      <c r="P1413" s="29" t="str">
        <f aca="false">IF(A1413="","",IF(C1413="","KOSONG",IF(AND(LEN(C1413)=16,ISNUMBER(--C1413)),"OK","TIDAK VALID")))</f>
        <v/>
      </c>
    </row>
    <row r="1414" customFormat="false" ht="15" hidden="false" customHeight="false" outlineLevel="0" collapsed="false">
      <c r="A1414" s="21"/>
      <c r="B1414" s="22"/>
      <c r="C1414" s="21"/>
      <c r="D1414" s="22"/>
      <c r="E1414" s="22"/>
      <c r="F1414" s="28"/>
      <c r="G1414" s="22"/>
      <c r="H1414" s="21"/>
      <c r="I1414" s="28"/>
      <c r="J1414" s="22"/>
      <c r="K1414" s="22"/>
      <c r="L1414" s="22"/>
      <c r="M1414" s="21"/>
      <c r="N1414" s="22"/>
      <c r="O1414" s="29" t="str">
        <f aca="false">IF(A1414="","",IF(COUNTIF($A$2:$A$2001,A1414)&gt;1,"GANDA","OK"))</f>
        <v/>
      </c>
      <c r="P1414" s="29" t="str">
        <f aca="false">IF(A1414="","",IF(C1414="","KOSONG",IF(AND(LEN(C1414)=16,ISNUMBER(--C1414)),"OK","TIDAK VALID")))</f>
        <v/>
      </c>
    </row>
    <row r="1415" customFormat="false" ht="15" hidden="false" customHeight="false" outlineLevel="0" collapsed="false">
      <c r="A1415" s="21"/>
      <c r="B1415" s="22"/>
      <c r="C1415" s="21"/>
      <c r="D1415" s="22"/>
      <c r="E1415" s="22"/>
      <c r="F1415" s="28"/>
      <c r="G1415" s="22"/>
      <c r="H1415" s="21"/>
      <c r="I1415" s="28"/>
      <c r="J1415" s="22"/>
      <c r="K1415" s="22"/>
      <c r="L1415" s="22"/>
      <c r="M1415" s="21"/>
      <c r="N1415" s="22"/>
      <c r="O1415" s="29" t="str">
        <f aca="false">IF(A1415="","",IF(COUNTIF($A$2:$A$2001,A1415)&gt;1,"GANDA","OK"))</f>
        <v/>
      </c>
      <c r="P1415" s="29" t="str">
        <f aca="false">IF(A1415="","",IF(C1415="","KOSONG",IF(AND(LEN(C1415)=16,ISNUMBER(--C1415)),"OK","TIDAK VALID")))</f>
        <v/>
      </c>
    </row>
    <row r="1416" customFormat="false" ht="15" hidden="false" customHeight="false" outlineLevel="0" collapsed="false">
      <c r="A1416" s="21"/>
      <c r="B1416" s="22"/>
      <c r="C1416" s="21"/>
      <c r="D1416" s="22"/>
      <c r="E1416" s="22"/>
      <c r="F1416" s="28"/>
      <c r="G1416" s="22"/>
      <c r="H1416" s="21"/>
      <c r="I1416" s="28"/>
      <c r="J1416" s="22"/>
      <c r="K1416" s="22"/>
      <c r="L1416" s="22"/>
      <c r="M1416" s="21"/>
      <c r="N1416" s="22"/>
      <c r="O1416" s="29" t="str">
        <f aca="false">IF(A1416="","",IF(COUNTIF($A$2:$A$2001,A1416)&gt;1,"GANDA","OK"))</f>
        <v/>
      </c>
      <c r="P1416" s="29" t="str">
        <f aca="false">IF(A1416="","",IF(C1416="","KOSONG",IF(AND(LEN(C1416)=16,ISNUMBER(--C1416)),"OK","TIDAK VALID")))</f>
        <v/>
      </c>
    </row>
    <row r="1417" customFormat="false" ht="15" hidden="false" customHeight="false" outlineLevel="0" collapsed="false">
      <c r="A1417" s="21"/>
      <c r="B1417" s="22"/>
      <c r="C1417" s="21"/>
      <c r="D1417" s="22"/>
      <c r="E1417" s="22"/>
      <c r="F1417" s="28"/>
      <c r="G1417" s="22"/>
      <c r="H1417" s="21"/>
      <c r="I1417" s="28"/>
      <c r="J1417" s="22"/>
      <c r="K1417" s="22"/>
      <c r="L1417" s="22"/>
      <c r="M1417" s="21"/>
      <c r="N1417" s="22"/>
      <c r="O1417" s="29" t="str">
        <f aca="false">IF(A1417="","",IF(COUNTIF($A$2:$A$2001,A1417)&gt;1,"GANDA","OK"))</f>
        <v/>
      </c>
      <c r="P1417" s="29" t="str">
        <f aca="false">IF(A1417="","",IF(C1417="","KOSONG",IF(AND(LEN(C1417)=16,ISNUMBER(--C1417)),"OK","TIDAK VALID")))</f>
        <v/>
      </c>
    </row>
    <row r="1418" customFormat="false" ht="15" hidden="false" customHeight="false" outlineLevel="0" collapsed="false">
      <c r="A1418" s="21"/>
      <c r="B1418" s="22"/>
      <c r="C1418" s="21"/>
      <c r="D1418" s="22"/>
      <c r="E1418" s="22"/>
      <c r="F1418" s="28"/>
      <c r="G1418" s="22"/>
      <c r="H1418" s="21"/>
      <c r="I1418" s="28"/>
      <c r="J1418" s="22"/>
      <c r="K1418" s="22"/>
      <c r="L1418" s="22"/>
      <c r="M1418" s="21"/>
      <c r="N1418" s="22"/>
      <c r="O1418" s="29" t="str">
        <f aca="false">IF(A1418="","",IF(COUNTIF($A$2:$A$2001,A1418)&gt;1,"GANDA","OK"))</f>
        <v/>
      </c>
      <c r="P1418" s="29" t="str">
        <f aca="false">IF(A1418="","",IF(C1418="","KOSONG",IF(AND(LEN(C1418)=16,ISNUMBER(--C1418)),"OK","TIDAK VALID")))</f>
        <v/>
      </c>
    </row>
    <row r="1419" customFormat="false" ht="15" hidden="false" customHeight="false" outlineLevel="0" collapsed="false">
      <c r="A1419" s="21"/>
      <c r="B1419" s="22"/>
      <c r="C1419" s="21"/>
      <c r="D1419" s="22"/>
      <c r="E1419" s="22"/>
      <c r="F1419" s="28"/>
      <c r="G1419" s="22"/>
      <c r="H1419" s="21"/>
      <c r="I1419" s="28"/>
      <c r="J1419" s="22"/>
      <c r="K1419" s="22"/>
      <c r="L1419" s="22"/>
      <c r="M1419" s="21"/>
      <c r="N1419" s="22"/>
      <c r="O1419" s="29" t="str">
        <f aca="false">IF(A1419="","",IF(COUNTIF($A$2:$A$2001,A1419)&gt;1,"GANDA","OK"))</f>
        <v/>
      </c>
      <c r="P1419" s="29" t="str">
        <f aca="false">IF(A1419="","",IF(C1419="","KOSONG",IF(AND(LEN(C1419)=16,ISNUMBER(--C1419)),"OK","TIDAK VALID")))</f>
        <v/>
      </c>
    </row>
    <row r="1420" customFormat="false" ht="15" hidden="false" customHeight="false" outlineLevel="0" collapsed="false">
      <c r="A1420" s="21"/>
      <c r="B1420" s="22"/>
      <c r="C1420" s="21"/>
      <c r="D1420" s="22"/>
      <c r="E1420" s="22"/>
      <c r="F1420" s="28"/>
      <c r="G1420" s="22"/>
      <c r="H1420" s="21"/>
      <c r="I1420" s="28"/>
      <c r="J1420" s="22"/>
      <c r="K1420" s="22"/>
      <c r="L1420" s="22"/>
      <c r="M1420" s="21"/>
      <c r="N1420" s="22"/>
      <c r="O1420" s="29" t="str">
        <f aca="false">IF(A1420="","",IF(COUNTIF($A$2:$A$2001,A1420)&gt;1,"GANDA","OK"))</f>
        <v/>
      </c>
      <c r="P1420" s="29" t="str">
        <f aca="false">IF(A1420="","",IF(C1420="","KOSONG",IF(AND(LEN(C1420)=16,ISNUMBER(--C1420)),"OK","TIDAK VALID")))</f>
        <v/>
      </c>
    </row>
    <row r="1421" customFormat="false" ht="15" hidden="false" customHeight="false" outlineLevel="0" collapsed="false">
      <c r="A1421" s="21"/>
      <c r="B1421" s="22"/>
      <c r="C1421" s="21"/>
      <c r="D1421" s="22"/>
      <c r="E1421" s="22"/>
      <c r="F1421" s="28"/>
      <c r="G1421" s="22"/>
      <c r="H1421" s="21"/>
      <c r="I1421" s="28"/>
      <c r="J1421" s="22"/>
      <c r="K1421" s="22"/>
      <c r="L1421" s="22"/>
      <c r="M1421" s="21"/>
      <c r="N1421" s="22"/>
      <c r="O1421" s="29" t="str">
        <f aca="false">IF(A1421="","",IF(COUNTIF($A$2:$A$2001,A1421)&gt;1,"GANDA","OK"))</f>
        <v/>
      </c>
      <c r="P1421" s="29" t="str">
        <f aca="false">IF(A1421="","",IF(C1421="","KOSONG",IF(AND(LEN(C1421)=16,ISNUMBER(--C1421)),"OK","TIDAK VALID")))</f>
        <v/>
      </c>
    </row>
    <row r="1422" customFormat="false" ht="15" hidden="false" customHeight="false" outlineLevel="0" collapsed="false">
      <c r="A1422" s="21"/>
      <c r="B1422" s="22"/>
      <c r="C1422" s="21"/>
      <c r="D1422" s="22"/>
      <c r="E1422" s="22"/>
      <c r="F1422" s="28"/>
      <c r="G1422" s="22"/>
      <c r="H1422" s="21"/>
      <c r="I1422" s="28"/>
      <c r="J1422" s="22"/>
      <c r="K1422" s="22"/>
      <c r="L1422" s="22"/>
      <c r="M1422" s="21"/>
      <c r="N1422" s="22"/>
      <c r="O1422" s="29" t="str">
        <f aca="false">IF(A1422="","",IF(COUNTIF($A$2:$A$2001,A1422)&gt;1,"GANDA","OK"))</f>
        <v/>
      </c>
      <c r="P1422" s="29" t="str">
        <f aca="false">IF(A1422="","",IF(C1422="","KOSONG",IF(AND(LEN(C1422)=16,ISNUMBER(--C1422)),"OK","TIDAK VALID")))</f>
        <v/>
      </c>
    </row>
    <row r="1423" customFormat="false" ht="15" hidden="false" customHeight="false" outlineLevel="0" collapsed="false">
      <c r="A1423" s="21"/>
      <c r="B1423" s="22"/>
      <c r="C1423" s="21"/>
      <c r="D1423" s="22"/>
      <c r="E1423" s="22"/>
      <c r="F1423" s="28"/>
      <c r="G1423" s="22"/>
      <c r="H1423" s="21"/>
      <c r="I1423" s="28"/>
      <c r="J1423" s="22"/>
      <c r="K1423" s="22"/>
      <c r="L1423" s="22"/>
      <c r="M1423" s="21"/>
      <c r="N1423" s="22"/>
      <c r="O1423" s="29" t="str">
        <f aca="false">IF(A1423="","",IF(COUNTIF($A$2:$A$2001,A1423)&gt;1,"GANDA","OK"))</f>
        <v/>
      </c>
      <c r="P1423" s="29" t="str">
        <f aca="false">IF(A1423="","",IF(C1423="","KOSONG",IF(AND(LEN(C1423)=16,ISNUMBER(--C1423)),"OK","TIDAK VALID")))</f>
        <v/>
      </c>
    </row>
    <row r="1424" customFormat="false" ht="15" hidden="false" customHeight="false" outlineLevel="0" collapsed="false">
      <c r="A1424" s="21"/>
      <c r="B1424" s="22"/>
      <c r="C1424" s="21"/>
      <c r="D1424" s="22"/>
      <c r="E1424" s="22"/>
      <c r="F1424" s="28"/>
      <c r="G1424" s="22"/>
      <c r="H1424" s="21"/>
      <c r="I1424" s="28"/>
      <c r="J1424" s="22"/>
      <c r="K1424" s="22"/>
      <c r="L1424" s="22"/>
      <c r="M1424" s="21"/>
      <c r="N1424" s="22"/>
      <c r="O1424" s="29" t="str">
        <f aca="false">IF(A1424="","",IF(COUNTIF($A$2:$A$2001,A1424)&gt;1,"GANDA","OK"))</f>
        <v/>
      </c>
      <c r="P1424" s="29" t="str">
        <f aca="false">IF(A1424="","",IF(C1424="","KOSONG",IF(AND(LEN(C1424)=16,ISNUMBER(--C1424)),"OK","TIDAK VALID")))</f>
        <v/>
      </c>
    </row>
    <row r="1425" customFormat="false" ht="15" hidden="false" customHeight="false" outlineLevel="0" collapsed="false">
      <c r="A1425" s="21"/>
      <c r="B1425" s="22"/>
      <c r="C1425" s="21"/>
      <c r="D1425" s="22"/>
      <c r="E1425" s="22"/>
      <c r="F1425" s="28"/>
      <c r="G1425" s="22"/>
      <c r="H1425" s="21"/>
      <c r="I1425" s="28"/>
      <c r="J1425" s="22"/>
      <c r="K1425" s="22"/>
      <c r="L1425" s="22"/>
      <c r="M1425" s="21"/>
      <c r="N1425" s="22"/>
      <c r="O1425" s="29" t="str">
        <f aca="false">IF(A1425="","",IF(COUNTIF($A$2:$A$2001,A1425)&gt;1,"GANDA","OK"))</f>
        <v/>
      </c>
      <c r="P1425" s="29" t="str">
        <f aca="false">IF(A1425="","",IF(C1425="","KOSONG",IF(AND(LEN(C1425)=16,ISNUMBER(--C1425)),"OK","TIDAK VALID")))</f>
        <v/>
      </c>
    </row>
    <row r="1426" customFormat="false" ht="15" hidden="false" customHeight="false" outlineLevel="0" collapsed="false">
      <c r="A1426" s="21"/>
      <c r="B1426" s="22"/>
      <c r="C1426" s="21"/>
      <c r="D1426" s="22"/>
      <c r="E1426" s="22"/>
      <c r="F1426" s="28"/>
      <c r="G1426" s="22"/>
      <c r="H1426" s="21"/>
      <c r="I1426" s="28"/>
      <c r="J1426" s="22"/>
      <c r="K1426" s="22"/>
      <c r="L1426" s="22"/>
      <c r="M1426" s="21"/>
      <c r="N1426" s="22"/>
      <c r="O1426" s="29" t="str">
        <f aca="false">IF(A1426="","",IF(COUNTIF($A$2:$A$2001,A1426)&gt;1,"GANDA","OK"))</f>
        <v/>
      </c>
      <c r="P1426" s="29" t="str">
        <f aca="false">IF(A1426="","",IF(C1426="","KOSONG",IF(AND(LEN(C1426)=16,ISNUMBER(--C1426)),"OK","TIDAK VALID")))</f>
        <v/>
      </c>
    </row>
    <row r="1427" customFormat="false" ht="15" hidden="false" customHeight="false" outlineLevel="0" collapsed="false">
      <c r="A1427" s="21"/>
      <c r="B1427" s="22"/>
      <c r="C1427" s="21"/>
      <c r="D1427" s="22"/>
      <c r="E1427" s="22"/>
      <c r="F1427" s="28"/>
      <c r="G1427" s="22"/>
      <c r="H1427" s="21"/>
      <c r="I1427" s="28"/>
      <c r="J1427" s="22"/>
      <c r="K1427" s="22"/>
      <c r="L1427" s="22"/>
      <c r="M1427" s="21"/>
      <c r="N1427" s="22"/>
      <c r="O1427" s="29" t="str">
        <f aca="false">IF(A1427="","",IF(COUNTIF($A$2:$A$2001,A1427)&gt;1,"GANDA","OK"))</f>
        <v/>
      </c>
      <c r="P1427" s="29" t="str">
        <f aca="false">IF(A1427="","",IF(C1427="","KOSONG",IF(AND(LEN(C1427)=16,ISNUMBER(--C1427)),"OK","TIDAK VALID")))</f>
        <v/>
      </c>
    </row>
    <row r="1428" customFormat="false" ht="15" hidden="false" customHeight="false" outlineLevel="0" collapsed="false">
      <c r="A1428" s="21"/>
      <c r="B1428" s="22"/>
      <c r="C1428" s="21"/>
      <c r="D1428" s="22"/>
      <c r="E1428" s="22"/>
      <c r="F1428" s="28"/>
      <c r="G1428" s="22"/>
      <c r="H1428" s="21"/>
      <c r="I1428" s="28"/>
      <c r="J1428" s="22"/>
      <c r="K1428" s="22"/>
      <c r="L1428" s="22"/>
      <c r="M1428" s="21"/>
      <c r="N1428" s="22"/>
      <c r="O1428" s="29" t="str">
        <f aca="false">IF(A1428="","",IF(COUNTIF($A$2:$A$2001,A1428)&gt;1,"GANDA","OK"))</f>
        <v/>
      </c>
      <c r="P1428" s="29" t="str">
        <f aca="false">IF(A1428="","",IF(C1428="","KOSONG",IF(AND(LEN(C1428)=16,ISNUMBER(--C1428)),"OK","TIDAK VALID")))</f>
        <v/>
      </c>
    </row>
    <row r="1429" customFormat="false" ht="15" hidden="false" customHeight="false" outlineLevel="0" collapsed="false">
      <c r="A1429" s="21"/>
      <c r="B1429" s="22"/>
      <c r="C1429" s="21"/>
      <c r="D1429" s="22"/>
      <c r="E1429" s="22"/>
      <c r="F1429" s="28"/>
      <c r="G1429" s="22"/>
      <c r="H1429" s="21"/>
      <c r="I1429" s="28"/>
      <c r="J1429" s="22"/>
      <c r="K1429" s="22"/>
      <c r="L1429" s="22"/>
      <c r="M1429" s="21"/>
      <c r="N1429" s="22"/>
      <c r="O1429" s="29" t="str">
        <f aca="false">IF(A1429="","",IF(COUNTIF($A$2:$A$2001,A1429)&gt;1,"GANDA","OK"))</f>
        <v/>
      </c>
      <c r="P1429" s="29" t="str">
        <f aca="false">IF(A1429="","",IF(C1429="","KOSONG",IF(AND(LEN(C1429)=16,ISNUMBER(--C1429)),"OK","TIDAK VALID")))</f>
        <v/>
      </c>
    </row>
    <row r="1430" customFormat="false" ht="15" hidden="false" customHeight="false" outlineLevel="0" collapsed="false">
      <c r="A1430" s="21"/>
      <c r="B1430" s="22"/>
      <c r="C1430" s="21"/>
      <c r="D1430" s="22"/>
      <c r="E1430" s="22"/>
      <c r="F1430" s="28"/>
      <c r="G1430" s="22"/>
      <c r="H1430" s="21"/>
      <c r="I1430" s="28"/>
      <c r="J1430" s="22"/>
      <c r="K1430" s="22"/>
      <c r="L1430" s="22"/>
      <c r="M1430" s="21"/>
      <c r="N1430" s="22"/>
      <c r="O1430" s="29" t="str">
        <f aca="false">IF(A1430="","",IF(COUNTIF($A$2:$A$2001,A1430)&gt;1,"GANDA","OK"))</f>
        <v/>
      </c>
      <c r="P1430" s="29" t="str">
        <f aca="false">IF(A1430="","",IF(C1430="","KOSONG",IF(AND(LEN(C1430)=16,ISNUMBER(--C1430)),"OK","TIDAK VALID")))</f>
        <v/>
      </c>
    </row>
    <row r="1431" customFormat="false" ht="15" hidden="false" customHeight="false" outlineLevel="0" collapsed="false">
      <c r="A1431" s="21"/>
      <c r="B1431" s="22"/>
      <c r="C1431" s="21"/>
      <c r="D1431" s="22"/>
      <c r="E1431" s="22"/>
      <c r="F1431" s="28"/>
      <c r="G1431" s="22"/>
      <c r="H1431" s="21"/>
      <c r="I1431" s="28"/>
      <c r="J1431" s="22"/>
      <c r="K1431" s="22"/>
      <c r="L1431" s="22"/>
      <c r="M1431" s="21"/>
      <c r="N1431" s="22"/>
      <c r="O1431" s="29" t="str">
        <f aca="false">IF(A1431="","",IF(COUNTIF($A$2:$A$2001,A1431)&gt;1,"GANDA","OK"))</f>
        <v/>
      </c>
      <c r="P1431" s="29" t="str">
        <f aca="false">IF(A1431="","",IF(C1431="","KOSONG",IF(AND(LEN(C1431)=16,ISNUMBER(--C1431)),"OK","TIDAK VALID")))</f>
        <v/>
      </c>
    </row>
    <row r="1432" customFormat="false" ht="15" hidden="false" customHeight="false" outlineLevel="0" collapsed="false">
      <c r="A1432" s="21"/>
      <c r="B1432" s="22"/>
      <c r="C1432" s="21"/>
      <c r="D1432" s="22"/>
      <c r="E1432" s="22"/>
      <c r="F1432" s="28"/>
      <c r="G1432" s="22"/>
      <c r="H1432" s="21"/>
      <c r="I1432" s="28"/>
      <c r="J1432" s="22"/>
      <c r="K1432" s="22"/>
      <c r="L1432" s="22"/>
      <c r="M1432" s="21"/>
      <c r="N1432" s="22"/>
      <c r="O1432" s="29" t="str">
        <f aca="false">IF(A1432="","",IF(COUNTIF($A$2:$A$2001,A1432)&gt;1,"GANDA","OK"))</f>
        <v/>
      </c>
      <c r="P1432" s="29" t="str">
        <f aca="false">IF(A1432="","",IF(C1432="","KOSONG",IF(AND(LEN(C1432)=16,ISNUMBER(--C1432)),"OK","TIDAK VALID")))</f>
        <v/>
      </c>
    </row>
    <row r="1433" customFormat="false" ht="15" hidden="false" customHeight="false" outlineLevel="0" collapsed="false">
      <c r="A1433" s="21"/>
      <c r="B1433" s="22"/>
      <c r="C1433" s="21"/>
      <c r="D1433" s="22"/>
      <c r="E1433" s="22"/>
      <c r="F1433" s="28"/>
      <c r="G1433" s="22"/>
      <c r="H1433" s="21"/>
      <c r="I1433" s="28"/>
      <c r="J1433" s="22"/>
      <c r="K1433" s="22"/>
      <c r="L1433" s="22"/>
      <c r="M1433" s="21"/>
      <c r="N1433" s="22"/>
      <c r="O1433" s="29" t="str">
        <f aca="false">IF(A1433="","",IF(COUNTIF($A$2:$A$2001,A1433)&gt;1,"GANDA","OK"))</f>
        <v/>
      </c>
      <c r="P1433" s="29" t="str">
        <f aca="false">IF(A1433="","",IF(C1433="","KOSONG",IF(AND(LEN(C1433)=16,ISNUMBER(--C1433)),"OK","TIDAK VALID")))</f>
        <v/>
      </c>
    </row>
    <row r="1434" customFormat="false" ht="15" hidden="false" customHeight="false" outlineLevel="0" collapsed="false">
      <c r="A1434" s="21"/>
      <c r="B1434" s="22"/>
      <c r="C1434" s="21"/>
      <c r="D1434" s="22"/>
      <c r="E1434" s="22"/>
      <c r="F1434" s="28"/>
      <c r="G1434" s="22"/>
      <c r="H1434" s="21"/>
      <c r="I1434" s="28"/>
      <c r="J1434" s="22"/>
      <c r="K1434" s="22"/>
      <c r="L1434" s="22"/>
      <c r="M1434" s="21"/>
      <c r="N1434" s="22"/>
      <c r="O1434" s="29" t="str">
        <f aca="false">IF(A1434="","",IF(COUNTIF($A$2:$A$2001,A1434)&gt;1,"GANDA","OK"))</f>
        <v/>
      </c>
      <c r="P1434" s="29" t="str">
        <f aca="false">IF(A1434="","",IF(C1434="","KOSONG",IF(AND(LEN(C1434)=16,ISNUMBER(--C1434)),"OK","TIDAK VALID")))</f>
        <v/>
      </c>
    </row>
    <row r="1435" customFormat="false" ht="15" hidden="false" customHeight="false" outlineLevel="0" collapsed="false">
      <c r="A1435" s="21"/>
      <c r="B1435" s="22"/>
      <c r="C1435" s="21"/>
      <c r="D1435" s="22"/>
      <c r="E1435" s="22"/>
      <c r="F1435" s="28"/>
      <c r="G1435" s="22"/>
      <c r="H1435" s="21"/>
      <c r="I1435" s="28"/>
      <c r="J1435" s="22"/>
      <c r="K1435" s="22"/>
      <c r="L1435" s="22"/>
      <c r="M1435" s="21"/>
      <c r="N1435" s="22"/>
      <c r="O1435" s="29" t="str">
        <f aca="false">IF(A1435="","",IF(COUNTIF($A$2:$A$2001,A1435)&gt;1,"GANDA","OK"))</f>
        <v/>
      </c>
      <c r="P1435" s="29" t="str">
        <f aca="false">IF(A1435="","",IF(C1435="","KOSONG",IF(AND(LEN(C1435)=16,ISNUMBER(--C1435)),"OK","TIDAK VALID")))</f>
        <v/>
      </c>
    </row>
    <row r="1436" customFormat="false" ht="15" hidden="false" customHeight="false" outlineLevel="0" collapsed="false">
      <c r="A1436" s="21"/>
      <c r="B1436" s="22"/>
      <c r="C1436" s="21"/>
      <c r="D1436" s="22"/>
      <c r="E1436" s="22"/>
      <c r="F1436" s="28"/>
      <c r="G1436" s="22"/>
      <c r="H1436" s="21"/>
      <c r="I1436" s="28"/>
      <c r="J1436" s="22"/>
      <c r="K1436" s="22"/>
      <c r="L1436" s="22"/>
      <c r="M1436" s="21"/>
      <c r="N1436" s="22"/>
      <c r="O1436" s="29" t="str">
        <f aca="false">IF(A1436="","",IF(COUNTIF($A$2:$A$2001,A1436)&gt;1,"GANDA","OK"))</f>
        <v/>
      </c>
      <c r="P1436" s="29" t="str">
        <f aca="false">IF(A1436="","",IF(C1436="","KOSONG",IF(AND(LEN(C1436)=16,ISNUMBER(--C1436)),"OK","TIDAK VALID")))</f>
        <v/>
      </c>
    </row>
    <row r="1437" customFormat="false" ht="15" hidden="false" customHeight="false" outlineLevel="0" collapsed="false">
      <c r="A1437" s="21"/>
      <c r="B1437" s="22"/>
      <c r="C1437" s="21"/>
      <c r="D1437" s="22"/>
      <c r="E1437" s="22"/>
      <c r="F1437" s="28"/>
      <c r="G1437" s="22"/>
      <c r="H1437" s="21"/>
      <c r="I1437" s="28"/>
      <c r="J1437" s="22"/>
      <c r="K1437" s="22"/>
      <c r="L1437" s="22"/>
      <c r="M1437" s="21"/>
      <c r="N1437" s="22"/>
      <c r="O1437" s="29" t="str">
        <f aca="false">IF(A1437="","",IF(COUNTIF($A$2:$A$2001,A1437)&gt;1,"GANDA","OK"))</f>
        <v/>
      </c>
      <c r="P1437" s="29" t="str">
        <f aca="false">IF(A1437="","",IF(C1437="","KOSONG",IF(AND(LEN(C1437)=16,ISNUMBER(--C1437)),"OK","TIDAK VALID")))</f>
        <v/>
      </c>
    </row>
    <row r="1438" customFormat="false" ht="15" hidden="false" customHeight="false" outlineLevel="0" collapsed="false">
      <c r="A1438" s="21"/>
      <c r="B1438" s="22"/>
      <c r="C1438" s="21"/>
      <c r="D1438" s="22"/>
      <c r="E1438" s="22"/>
      <c r="F1438" s="28"/>
      <c r="G1438" s="22"/>
      <c r="H1438" s="21"/>
      <c r="I1438" s="28"/>
      <c r="J1438" s="22"/>
      <c r="K1438" s="22"/>
      <c r="L1438" s="22"/>
      <c r="M1438" s="21"/>
      <c r="N1438" s="22"/>
      <c r="O1438" s="29" t="str">
        <f aca="false">IF(A1438="","",IF(COUNTIF($A$2:$A$2001,A1438)&gt;1,"GANDA","OK"))</f>
        <v/>
      </c>
      <c r="P1438" s="29" t="str">
        <f aca="false">IF(A1438="","",IF(C1438="","KOSONG",IF(AND(LEN(C1438)=16,ISNUMBER(--C1438)),"OK","TIDAK VALID")))</f>
        <v/>
      </c>
    </row>
    <row r="1439" customFormat="false" ht="15" hidden="false" customHeight="false" outlineLevel="0" collapsed="false">
      <c r="A1439" s="21"/>
      <c r="B1439" s="22"/>
      <c r="C1439" s="21"/>
      <c r="D1439" s="22"/>
      <c r="E1439" s="22"/>
      <c r="F1439" s="28"/>
      <c r="G1439" s="22"/>
      <c r="H1439" s="21"/>
      <c r="I1439" s="28"/>
      <c r="J1439" s="22"/>
      <c r="K1439" s="22"/>
      <c r="L1439" s="22"/>
      <c r="M1439" s="21"/>
      <c r="N1439" s="22"/>
      <c r="O1439" s="29" t="str">
        <f aca="false">IF(A1439="","",IF(COUNTIF($A$2:$A$2001,A1439)&gt;1,"GANDA","OK"))</f>
        <v/>
      </c>
      <c r="P1439" s="29" t="str">
        <f aca="false">IF(A1439="","",IF(C1439="","KOSONG",IF(AND(LEN(C1439)=16,ISNUMBER(--C1439)),"OK","TIDAK VALID")))</f>
        <v/>
      </c>
    </row>
    <row r="1440" customFormat="false" ht="15" hidden="false" customHeight="false" outlineLevel="0" collapsed="false">
      <c r="A1440" s="21"/>
      <c r="B1440" s="22"/>
      <c r="C1440" s="21"/>
      <c r="D1440" s="22"/>
      <c r="E1440" s="22"/>
      <c r="F1440" s="28"/>
      <c r="G1440" s="22"/>
      <c r="H1440" s="21"/>
      <c r="I1440" s="28"/>
      <c r="J1440" s="22"/>
      <c r="K1440" s="22"/>
      <c r="L1440" s="22"/>
      <c r="M1440" s="21"/>
      <c r="N1440" s="22"/>
      <c r="O1440" s="29" t="str">
        <f aca="false">IF(A1440="","",IF(COUNTIF($A$2:$A$2001,A1440)&gt;1,"GANDA","OK"))</f>
        <v/>
      </c>
      <c r="P1440" s="29" t="str">
        <f aca="false">IF(A1440="","",IF(C1440="","KOSONG",IF(AND(LEN(C1440)=16,ISNUMBER(--C1440)),"OK","TIDAK VALID")))</f>
        <v/>
      </c>
    </row>
    <row r="1441" customFormat="false" ht="15" hidden="false" customHeight="false" outlineLevel="0" collapsed="false">
      <c r="A1441" s="21"/>
      <c r="B1441" s="22"/>
      <c r="C1441" s="21"/>
      <c r="D1441" s="22"/>
      <c r="E1441" s="22"/>
      <c r="F1441" s="28"/>
      <c r="G1441" s="22"/>
      <c r="H1441" s="21"/>
      <c r="I1441" s="28"/>
      <c r="J1441" s="22"/>
      <c r="K1441" s="22"/>
      <c r="L1441" s="22"/>
      <c r="M1441" s="21"/>
      <c r="N1441" s="22"/>
      <c r="O1441" s="29" t="str">
        <f aca="false">IF(A1441="","",IF(COUNTIF($A$2:$A$2001,A1441)&gt;1,"GANDA","OK"))</f>
        <v/>
      </c>
      <c r="P1441" s="29" t="str">
        <f aca="false">IF(A1441="","",IF(C1441="","KOSONG",IF(AND(LEN(C1441)=16,ISNUMBER(--C1441)),"OK","TIDAK VALID")))</f>
        <v/>
      </c>
    </row>
    <row r="1442" customFormat="false" ht="15" hidden="false" customHeight="false" outlineLevel="0" collapsed="false">
      <c r="A1442" s="21"/>
      <c r="B1442" s="22"/>
      <c r="C1442" s="21"/>
      <c r="D1442" s="22"/>
      <c r="E1442" s="22"/>
      <c r="F1442" s="28"/>
      <c r="G1442" s="22"/>
      <c r="H1442" s="21"/>
      <c r="I1442" s="28"/>
      <c r="J1442" s="22"/>
      <c r="K1442" s="22"/>
      <c r="L1442" s="22"/>
      <c r="M1442" s="21"/>
      <c r="N1442" s="22"/>
      <c r="O1442" s="29" t="str">
        <f aca="false">IF(A1442="","",IF(COUNTIF($A$2:$A$2001,A1442)&gt;1,"GANDA","OK"))</f>
        <v/>
      </c>
      <c r="P1442" s="29" t="str">
        <f aca="false">IF(A1442="","",IF(C1442="","KOSONG",IF(AND(LEN(C1442)=16,ISNUMBER(--C1442)),"OK","TIDAK VALID")))</f>
        <v/>
      </c>
    </row>
    <row r="1443" customFormat="false" ht="15" hidden="false" customHeight="false" outlineLevel="0" collapsed="false">
      <c r="A1443" s="21"/>
      <c r="B1443" s="22"/>
      <c r="C1443" s="21"/>
      <c r="D1443" s="22"/>
      <c r="E1443" s="22"/>
      <c r="F1443" s="28"/>
      <c r="G1443" s="22"/>
      <c r="H1443" s="21"/>
      <c r="I1443" s="28"/>
      <c r="J1443" s="22"/>
      <c r="K1443" s="22"/>
      <c r="L1443" s="22"/>
      <c r="M1443" s="21"/>
      <c r="N1443" s="22"/>
      <c r="O1443" s="29" t="str">
        <f aca="false">IF(A1443="","",IF(COUNTIF($A$2:$A$2001,A1443)&gt;1,"GANDA","OK"))</f>
        <v/>
      </c>
      <c r="P1443" s="29" t="str">
        <f aca="false">IF(A1443="","",IF(C1443="","KOSONG",IF(AND(LEN(C1443)=16,ISNUMBER(--C1443)),"OK","TIDAK VALID")))</f>
        <v/>
      </c>
    </row>
    <row r="1444" customFormat="false" ht="15" hidden="false" customHeight="false" outlineLevel="0" collapsed="false">
      <c r="A1444" s="21"/>
      <c r="B1444" s="22"/>
      <c r="C1444" s="21"/>
      <c r="D1444" s="22"/>
      <c r="E1444" s="22"/>
      <c r="F1444" s="28"/>
      <c r="G1444" s="22"/>
      <c r="H1444" s="21"/>
      <c r="I1444" s="28"/>
      <c r="J1444" s="22"/>
      <c r="K1444" s="22"/>
      <c r="L1444" s="22"/>
      <c r="M1444" s="21"/>
      <c r="N1444" s="22"/>
      <c r="O1444" s="29" t="str">
        <f aca="false">IF(A1444="","",IF(COUNTIF($A$2:$A$2001,A1444)&gt;1,"GANDA","OK"))</f>
        <v/>
      </c>
      <c r="P1444" s="29" t="str">
        <f aca="false">IF(A1444="","",IF(C1444="","KOSONG",IF(AND(LEN(C1444)=16,ISNUMBER(--C1444)),"OK","TIDAK VALID")))</f>
        <v/>
      </c>
    </row>
    <row r="1445" customFormat="false" ht="15" hidden="false" customHeight="false" outlineLevel="0" collapsed="false">
      <c r="A1445" s="21"/>
      <c r="B1445" s="22"/>
      <c r="C1445" s="21"/>
      <c r="D1445" s="22"/>
      <c r="E1445" s="22"/>
      <c r="F1445" s="28"/>
      <c r="G1445" s="22"/>
      <c r="H1445" s="21"/>
      <c r="I1445" s="28"/>
      <c r="J1445" s="22"/>
      <c r="K1445" s="22"/>
      <c r="L1445" s="22"/>
      <c r="M1445" s="21"/>
      <c r="N1445" s="22"/>
      <c r="O1445" s="29" t="str">
        <f aca="false">IF(A1445="","",IF(COUNTIF($A$2:$A$2001,A1445)&gt;1,"GANDA","OK"))</f>
        <v/>
      </c>
      <c r="P1445" s="29" t="str">
        <f aca="false">IF(A1445="","",IF(C1445="","KOSONG",IF(AND(LEN(C1445)=16,ISNUMBER(--C1445)),"OK","TIDAK VALID")))</f>
        <v/>
      </c>
    </row>
    <row r="1446" customFormat="false" ht="15" hidden="false" customHeight="false" outlineLevel="0" collapsed="false">
      <c r="A1446" s="21"/>
      <c r="B1446" s="22"/>
      <c r="C1446" s="21"/>
      <c r="D1446" s="22"/>
      <c r="E1446" s="22"/>
      <c r="F1446" s="28"/>
      <c r="G1446" s="22"/>
      <c r="H1446" s="21"/>
      <c r="I1446" s="28"/>
      <c r="J1446" s="22"/>
      <c r="K1446" s="22"/>
      <c r="L1446" s="22"/>
      <c r="M1446" s="21"/>
      <c r="N1446" s="22"/>
      <c r="O1446" s="29" t="str">
        <f aca="false">IF(A1446="","",IF(COUNTIF($A$2:$A$2001,A1446)&gt;1,"GANDA","OK"))</f>
        <v/>
      </c>
      <c r="P1446" s="29" t="str">
        <f aca="false">IF(A1446="","",IF(C1446="","KOSONG",IF(AND(LEN(C1446)=16,ISNUMBER(--C1446)),"OK","TIDAK VALID")))</f>
        <v/>
      </c>
    </row>
    <row r="1447" customFormat="false" ht="15" hidden="false" customHeight="false" outlineLevel="0" collapsed="false">
      <c r="A1447" s="21"/>
      <c r="B1447" s="22"/>
      <c r="C1447" s="21"/>
      <c r="D1447" s="22"/>
      <c r="E1447" s="22"/>
      <c r="F1447" s="28"/>
      <c r="G1447" s="22"/>
      <c r="H1447" s="21"/>
      <c r="I1447" s="28"/>
      <c r="J1447" s="22"/>
      <c r="K1447" s="22"/>
      <c r="L1447" s="22"/>
      <c r="M1447" s="21"/>
      <c r="N1447" s="22"/>
      <c r="O1447" s="29" t="str">
        <f aca="false">IF(A1447="","",IF(COUNTIF($A$2:$A$2001,A1447)&gt;1,"GANDA","OK"))</f>
        <v/>
      </c>
      <c r="P1447" s="29" t="str">
        <f aca="false">IF(A1447="","",IF(C1447="","KOSONG",IF(AND(LEN(C1447)=16,ISNUMBER(--C1447)),"OK","TIDAK VALID")))</f>
        <v/>
      </c>
    </row>
    <row r="1448" customFormat="false" ht="15" hidden="false" customHeight="false" outlineLevel="0" collapsed="false">
      <c r="A1448" s="21"/>
      <c r="B1448" s="22"/>
      <c r="C1448" s="21"/>
      <c r="D1448" s="22"/>
      <c r="E1448" s="22"/>
      <c r="F1448" s="28"/>
      <c r="G1448" s="22"/>
      <c r="H1448" s="21"/>
      <c r="I1448" s="28"/>
      <c r="J1448" s="22"/>
      <c r="K1448" s="22"/>
      <c r="L1448" s="22"/>
      <c r="M1448" s="21"/>
      <c r="N1448" s="22"/>
      <c r="O1448" s="29" t="str">
        <f aca="false">IF(A1448="","",IF(COUNTIF($A$2:$A$2001,A1448)&gt;1,"GANDA","OK"))</f>
        <v/>
      </c>
      <c r="P1448" s="29" t="str">
        <f aca="false">IF(A1448="","",IF(C1448="","KOSONG",IF(AND(LEN(C1448)=16,ISNUMBER(--C1448)),"OK","TIDAK VALID")))</f>
        <v/>
      </c>
    </row>
    <row r="1449" customFormat="false" ht="15" hidden="false" customHeight="false" outlineLevel="0" collapsed="false">
      <c r="A1449" s="21"/>
      <c r="B1449" s="22"/>
      <c r="C1449" s="21"/>
      <c r="D1449" s="22"/>
      <c r="E1449" s="22"/>
      <c r="F1449" s="28"/>
      <c r="G1449" s="22"/>
      <c r="H1449" s="21"/>
      <c r="I1449" s="28"/>
      <c r="J1449" s="22"/>
      <c r="K1449" s="22"/>
      <c r="L1449" s="22"/>
      <c r="M1449" s="21"/>
      <c r="N1449" s="22"/>
      <c r="O1449" s="29" t="str">
        <f aca="false">IF(A1449="","",IF(COUNTIF($A$2:$A$2001,A1449)&gt;1,"GANDA","OK"))</f>
        <v/>
      </c>
      <c r="P1449" s="29" t="str">
        <f aca="false">IF(A1449="","",IF(C1449="","KOSONG",IF(AND(LEN(C1449)=16,ISNUMBER(--C1449)),"OK","TIDAK VALID")))</f>
        <v/>
      </c>
    </row>
    <row r="1450" customFormat="false" ht="15" hidden="false" customHeight="false" outlineLevel="0" collapsed="false">
      <c r="A1450" s="21"/>
      <c r="B1450" s="22"/>
      <c r="C1450" s="21"/>
      <c r="D1450" s="22"/>
      <c r="E1450" s="22"/>
      <c r="F1450" s="28"/>
      <c r="G1450" s="22"/>
      <c r="H1450" s="21"/>
      <c r="I1450" s="28"/>
      <c r="J1450" s="22"/>
      <c r="K1450" s="22"/>
      <c r="L1450" s="22"/>
      <c r="M1450" s="21"/>
      <c r="N1450" s="22"/>
      <c r="O1450" s="29" t="str">
        <f aca="false">IF(A1450="","",IF(COUNTIF($A$2:$A$2001,A1450)&gt;1,"GANDA","OK"))</f>
        <v/>
      </c>
      <c r="P1450" s="29" t="str">
        <f aca="false">IF(A1450="","",IF(C1450="","KOSONG",IF(AND(LEN(C1450)=16,ISNUMBER(--C1450)),"OK","TIDAK VALID")))</f>
        <v/>
      </c>
    </row>
    <row r="1451" customFormat="false" ht="15" hidden="false" customHeight="false" outlineLevel="0" collapsed="false">
      <c r="A1451" s="21"/>
      <c r="B1451" s="22"/>
      <c r="C1451" s="21"/>
      <c r="D1451" s="22"/>
      <c r="E1451" s="22"/>
      <c r="F1451" s="28"/>
      <c r="G1451" s="22"/>
      <c r="H1451" s="21"/>
      <c r="I1451" s="28"/>
      <c r="J1451" s="22"/>
      <c r="K1451" s="22"/>
      <c r="L1451" s="22"/>
      <c r="M1451" s="21"/>
      <c r="N1451" s="22"/>
      <c r="O1451" s="29" t="str">
        <f aca="false">IF(A1451="","",IF(COUNTIF($A$2:$A$2001,A1451)&gt;1,"GANDA","OK"))</f>
        <v/>
      </c>
      <c r="P1451" s="29" t="str">
        <f aca="false">IF(A1451="","",IF(C1451="","KOSONG",IF(AND(LEN(C1451)=16,ISNUMBER(--C1451)),"OK","TIDAK VALID")))</f>
        <v/>
      </c>
    </row>
    <row r="1452" customFormat="false" ht="15" hidden="false" customHeight="false" outlineLevel="0" collapsed="false">
      <c r="A1452" s="21"/>
      <c r="B1452" s="22"/>
      <c r="C1452" s="21"/>
      <c r="D1452" s="22"/>
      <c r="E1452" s="22"/>
      <c r="F1452" s="28"/>
      <c r="G1452" s="22"/>
      <c r="H1452" s="21"/>
      <c r="I1452" s="28"/>
      <c r="J1452" s="22"/>
      <c r="K1452" s="22"/>
      <c r="L1452" s="22"/>
      <c r="M1452" s="21"/>
      <c r="N1452" s="22"/>
      <c r="O1452" s="29" t="str">
        <f aca="false">IF(A1452="","",IF(COUNTIF($A$2:$A$2001,A1452)&gt;1,"GANDA","OK"))</f>
        <v/>
      </c>
      <c r="P1452" s="29" t="str">
        <f aca="false">IF(A1452="","",IF(C1452="","KOSONG",IF(AND(LEN(C1452)=16,ISNUMBER(--C1452)),"OK","TIDAK VALID")))</f>
        <v/>
      </c>
    </row>
    <row r="1453" customFormat="false" ht="15" hidden="false" customHeight="false" outlineLevel="0" collapsed="false">
      <c r="A1453" s="21"/>
      <c r="B1453" s="22"/>
      <c r="C1453" s="21"/>
      <c r="D1453" s="22"/>
      <c r="E1453" s="22"/>
      <c r="F1453" s="28"/>
      <c r="G1453" s="22"/>
      <c r="H1453" s="21"/>
      <c r="I1453" s="28"/>
      <c r="J1453" s="22"/>
      <c r="K1453" s="22"/>
      <c r="L1453" s="22"/>
      <c r="M1453" s="21"/>
      <c r="N1453" s="22"/>
      <c r="O1453" s="29" t="str">
        <f aca="false">IF(A1453="","",IF(COUNTIF($A$2:$A$2001,A1453)&gt;1,"GANDA","OK"))</f>
        <v/>
      </c>
      <c r="P1453" s="29" t="str">
        <f aca="false">IF(A1453="","",IF(C1453="","KOSONG",IF(AND(LEN(C1453)=16,ISNUMBER(--C1453)),"OK","TIDAK VALID")))</f>
        <v/>
      </c>
    </row>
    <row r="1454" customFormat="false" ht="15" hidden="false" customHeight="false" outlineLevel="0" collapsed="false">
      <c r="A1454" s="21"/>
      <c r="B1454" s="22"/>
      <c r="C1454" s="21"/>
      <c r="D1454" s="22"/>
      <c r="E1454" s="22"/>
      <c r="F1454" s="28"/>
      <c r="G1454" s="22"/>
      <c r="H1454" s="21"/>
      <c r="I1454" s="28"/>
      <c r="J1454" s="22"/>
      <c r="K1454" s="22"/>
      <c r="L1454" s="22"/>
      <c r="M1454" s="21"/>
      <c r="N1454" s="22"/>
      <c r="O1454" s="29" t="str">
        <f aca="false">IF(A1454="","",IF(COUNTIF($A$2:$A$2001,A1454)&gt;1,"GANDA","OK"))</f>
        <v/>
      </c>
      <c r="P1454" s="29" t="str">
        <f aca="false">IF(A1454="","",IF(C1454="","KOSONG",IF(AND(LEN(C1454)=16,ISNUMBER(--C1454)),"OK","TIDAK VALID")))</f>
        <v/>
      </c>
    </row>
    <row r="1455" customFormat="false" ht="15" hidden="false" customHeight="false" outlineLevel="0" collapsed="false">
      <c r="A1455" s="21"/>
      <c r="B1455" s="22"/>
      <c r="C1455" s="21"/>
      <c r="D1455" s="22"/>
      <c r="E1455" s="22"/>
      <c r="F1455" s="28"/>
      <c r="G1455" s="22"/>
      <c r="H1455" s="21"/>
      <c r="I1455" s="28"/>
      <c r="J1455" s="22"/>
      <c r="K1455" s="22"/>
      <c r="L1455" s="22"/>
      <c r="M1455" s="21"/>
      <c r="N1455" s="22"/>
      <c r="O1455" s="29" t="str">
        <f aca="false">IF(A1455="","",IF(COUNTIF($A$2:$A$2001,A1455)&gt;1,"GANDA","OK"))</f>
        <v/>
      </c>
      <c r="P1455" s="29" t="str">
        <f aca="false">IF(A1455="","",IF(C1455="","KOSONG",IF(AND(LEN(C1455)=16,ISNUMBER(--C1455)),"OK","TIDAK VALID")))</f>
        <v/>
      </c>
    </row>
    <row r="1456" customFormat="false" ht="15" hidden="false" customHeight="false" outlineLevel="0" collapsed="false">
      <c r="A1456" s="21"/>
      <c r="B1456" s="22"/>
      <c r="C1456" s="21"/>
      <c r="D1456" s="22"/>
      <c r="E1456" s="22"/>
      <c r="F1456" s="28"/>
      <c r="G1456" s="22"/>
      <c r="H1456" s="21"/>
      <c r="I1456" s="28"/>
      <c r="J1456" s="22"/>
      <c r="K1456" s="22"/>
      <c r="L1456" s="22"/>
      <c r="M1456" s="21"/>
      <c r="N1456" s="22"/>
      <c r="O1456" s="29" t="str">
        <f aca="false">IF(A1456="","",IF(COUNTIF($A$2:$A$2001,A1456)&gt;1,"GANDA","OK"))</f>
        <v/>
      </c>
      <c r="P1456" s="29" t="str">
        <f aca="false">IF(A1456="","",IF(C1456="","KOSONG",IF(AND(LEN(C1456)=16,ISNUMBER(--C1456)),"OK","TIDAK VALID")))</f>
        <v/>
      </c>
    </row>
    <row r="1457" customFormat="false" ht="15" hidden="false" customHeight="false" outlineLevel="0" collapsed="false">
      <c r="A1457" s="21"/>
      <c r="B1457" s="22"/>
      <c r="C1457" s="21"/>
      <c r="D1457" s="22"/>
      <c r="E1457" s="22"/>
      <c r="F1457" s="28"/>
      <c r="G1457" s="22"/>
      <c r="H1457" s="21"/>
      <c r="I1457" s="28"/>
      <c r="J1457" s="22"/>
      <c r="K1457" s="22"/>
      <c r="L1457" s="22"/>
      <c r="M1457" s="21"/>
      <c r="N1457" s="22"/>
      <c r="O1457" s="29" t="str">
        <f aca="false">IF(A1457="","",IF(COUNTIF($A$2:$A$2001,A1457)&gt;1,"GANDA","OK"))</f>
        <v/>
      </c>
      <c r="P1457" s="29" t="str">
        <f aca="false">IF(A1457="","",IF(C1457="","KOSONG",IF(AND(LEN(C1457)=16,ISNUMBER(--C1457)),"OK","TIDAK VALID")))</f>
        <v/>
      </c>
    </row>
    <row r="1458" customFormat="false" ht="15" hidden="false" customHeight="false" outlineLevel="0" collapsed="false">
      <c r="A1458" s="21"/>
      <c r="B1458" s="22"/>
      <c r="C1458" s="21"/>
      <c r="D1458" s="22"/>
      <c r="E1458" s="22"/>
      <c r="F1458" s="28"/>
      <c r="G1458" s="22"/>
      <c r="H1458" s="21"/>
      <c r="I1458" s="28"/>
      <c r="J1458" s="22"/>
      <c r="K1458" s="22"/>
      <c r="L1458" s="22"/>
      <c r="M1458" s="21"/>
      <c r="N1458" s="22"/>
      <c r="O1458" s="29" t="str">
        <f aca="false">IF(A1458="","",IF(COUNTIF($A$2:$A$2001,A1458)&gt;1,"GANDA","OK"))</f>
        <v/>
      </c>
      <c r="P1458" s="29" t="str">
        <f aca="false">IF(A1458="","",IF(C1458="","KOSONG",IF(AND(LEN(C1458)=16,ISNUMBER(--C1458)),"OK","TIDAK VALID")))</f>
        <v/>
      </c>
    </row>
    <row r="1459" customFormat="false" ht="15" hidden="false" customHeight="false" outlineLevel="0" collapsed="false">
      <c r="A1459" s="21"/>
      <c r="B1459" s="22"/>
      <c r="C1459" s="21"/>
      <c r="D1459" s="22"/>
      <c r="E1459" s="22"/>
      <c r="F1459" s="28"/>
      <c r="G1459" s="22"/>
      <c r="H1459" s="21"/>
      <c r="I1459" s="28"/>
      <c r="J1459" s="22"/>
      <c r="K1459" s="22"/>
      <c r="L1459" s="22"/>
      <c r="M1459" s="21"/>
      <c r="N1459" s="22"/>
      <c r="O1459" s="29" t="str">
        <f aca="false">IF(A1459="","",IF(COUNTIF($A$2:$A$2001,A1459)&gt;1,"GANDA","OK"))</f>
        <v/>
      </c>
      <c r="P1459" s="29" t="str">
        <f aca="false">IF(A1459="","",IF(C1459="","KOSONG",IF(AND(LEN(C1459)=16,ISNUMBER(--C1459)),"OK","TIDAK VALID")))</f>
        <v/>
      </c>
    </row>
    <row r="1460" customFormat="false" ht="15" hidden="false" customHeight="false" outlineLevel="0" collapsed="false">
      <c r="A1460" s="21"/>
      <c r="B1460" s="22"/>
      <c r="C1460" s="21"/>
      <c r="D1460" s="22"/>
      <c r="E1460" s="22"/>
      <c r="F1460" s="28"/>
      <c r="G1460" s="22"/>
      <c r="H1460" s="21"/>
      <c r="I1460" s="28"/>
      <c r="J1460" s="22"/>
      <c r="K1460" s="22"/>
      <c r="L1460" s="22"/>
      <c r="M1460" s="21"/>
      <c r="N1460" s="22"/>
      <c r="O1460" s="29" t="str">
        <f aca="false">IF(A1460="","",IF(COUNTIF($A$2:$A$2001,A1460)&gt;1,"GANDA","OK"))</f>
        <v/>
      </c>
      <c r="P1460" s="29" t="str">
        <f aca="false">IF(A1460="","",IF(C1460="","KOSONG",IF(AND(LEN(C1460)=16,ISNUMBER(--C1460)),"OK","TIDAK VALID")))</f>
        <v/>
      </c>
    </row>
    <row r="1461" customFormat="false" ht="15" hidden="false" customHeight="false" outlineLevel="0" collapsed="false">
      <c r="A1461" s="21"/>
      <c r="B1461" s="22"/>
      <c r="C1461" s="21"/>
      <c r="D1461" s="22"/>
      <c r="E1461" s="22"/>
      <c r="F1461" s="28"/>
      <c r="G1461" s="22"/>
      <c r="H1461" s="21"/>
      <c r="I1461" s="28"/>
      <c r="J1461" s="22"/>
      <c r="K1461" s="22"/>
      <c r="L1461" s="22"/>
      <c r="M1461" s="21"/>
      <c r="N1461" s="22"/>
      <c r="O1461" s="29" t="str">
        <f aca="false">IF(A1461="","",IF(COUNTIF($A$2:$A$2001,A1461)&gt;1,"GANDA","OK"))</f>
        <v/>
      </c>
      <c r="P1461" s="29" t="str">
        <f aca="false">IF(A1461="","",IF(C1461="","KOSONG",IF(AND(LEN(C1461)=16,ISNUMBER(--C1461)),"OK","TIDAK VALID")))</f>
        <v/>
      </c>
    </row>
    <row r="1462" customFormat="false" ht="15" hidden="false" customHeight="false" outlineLevel="0" collapsed="false">
      <c r="A1462" s="21"/>
      <c r="B1462" s="22"/>
      <c r="C1462" s="21"/>
      <c r="D1462" s="22"/>
      <c r="E1462" s="22"/>
      <c r="F1462" s="28"/>
      <c r="G1462" s="22"/>
      <c r="H1462" s="21"/>
      <c r="I1462" s="28"/>
      <c r="J1462" s="22"/>
      <c r="K1462" s="22"/>
      <c r="L1462" s="22"/>
      <c r="M1462" s="21"/>
      <c r="N1462" s="22"/>
      <c r="O1462" s="29" t="str">
        <f aca="false">IF(A1462="","",IF(COUNTIF($A$2:$A$2001,A1462)&gt;1,"GANDA","OK"))</f>
        <v/>
      </c>
      <c r="P1462" s="29" t="str">
        <f aca="false">IF(A1462="","",IF(C1462="","KOSONG",IF(AND(LEN(C1462)=16,ISNUMBER(--C1462)),"OK","TIDAK VALID")))</f>
        <v/>
      </c>
    </row>
    <row r="1463" customFormat="false" ht="15" hidden="false" customHeight="false" outlineLevel="0" collapsed="false">
      <c r="A1463" s="21"/>
      <c r="B1463" s="22"/>
      <c r="C1463" s="21"/>
      <c r="D1463" s="22"/>
      <c r="E1463" s="22"/>
      <c r="F1463" s="28"/>
      <c r="G1463" s="22"/>
      <c r="H1463" s="21"/>
      <c r="I1463" s="28"/>
      <c r="J1463" s="22"/>
      <c r="K1463" s="22"/>
      <c r="L1463" s="22"/>
      <c r="M1463" s="21"/>
      <c r="N1463" s="22"/>
      <c r="O1463" s="29" t="str">
        <f aca="false">IF(A1463="","",IF(COUNTIF($A$2:$A$2001,A1463)&gt;1,"GANDA","OK"))</f>
        <v/>
      </c>
      <c r="P1463" s="29" t="str">
        <f aca="false">IF(A1463="","",IF(C1463="","KOSONG",IF(AND(LEN(C1463)=16,ISNUMBER(--C1463)),"OK","TIDAK VALID")))</f>
        <v/>
      </c>
    </row>
    <row r="1464" customFormat="false" ht="15" hidden="false" customHeight="false" outlineLevel="0" collapsed="false">
      <c r="A1464" s="21"/>
      <c r="B1464" s="22"/>
      <c r="C1464" s="21"/>
      <c r="D1464" s="22"/>
      <c r="E1464" s="22"/>
      <c r="F1464" s="28"/>
      <c r="G1464" s="22"/>
      <c r="H1464" s="21"/>
      <c r="I1464" s="28"/>
      <c r="J1464" s="22"/>
      <c r="K1464" s="22"/>
      <c r="L1464" s="22"/>
      <c r="M1464" s="21"/>
      <c r="N1464" s="22"/>
      <c r="O1464" s="29" t="str">
        <f aca="false">IF(A1464="","",IF(COUNTIF($A$2:$A$2001,A1464)&gt;1,"GANDA","OK"))</f>
        <v/>
      </c>
      <c r="P1464" s="29" t="str">
        <f aca="false">IF(A1464="","",IF(C1464="","KOSONG",IF(AND(LEN(C1464)=16,ISNUMBER(--C1464)),"OK","TIDAK VALID")))</f>
        <v/>
      </c>
    </row>
    <row r="1465" customFormat="false" ht="15" hidden="false" customHeight="false" outlineLevel="0" collapsed="false">
      <c r="A1465" s="21"/>
      <c r="B1465" s="22"/>
      <c r="C1465" s="21"/>
      <c r="D1465" s="22"/>
      <c r="E1465" s="22"/>
      <c r="F1465" s="28"/>
      <c r="G1465" s="22"/>
      <c r="H1465" s="21"/>
      <c r="I1465" s="28"/>
      <c r="J1465" s="22"/>
      <c r="K1465" s="22"/>
      <c r="L1465" s="22"/>
      <c r="M1465" s="21"/>
      <c r="N1465" s="22"/>
      <c r="O1465" s="29" t="str">
        <f aca="false">IF(A1465="","",IF(COUNTIF($A$2:$A$2001,A1465)&gt;1,"GANDA","OK"))</f>
        <v/>
      </c>
      <c r="P1465" s="29" t="str">
        <f aca="false">IF(A1465="","",IF(C1465="","KOSONG",IF(AND(LEN(C1465)=16,ISNUMBER(--C1465)),"OK","TIDAK VALID")))</f>
        <v/>
      </c>
    </row>
    <row r="1466" customFormat="false" ht="15" hidden="false" customHeight="false" outlineLevel="0" collapsed="false">
      <c r="A1466" s="21"/>
      <c r="B1466" s="22"/>
      <c r="C1466" s="21"/>
      <c r="D1466" s="22"/>
      <c r="E1466" s="22"/>
      <c r="F1466" s="28"/>
      <c r="G1466" s="22"/>
      <c r="H1466" s="21"/>
      <c r="I1466" s="28"/>
      <c r="J1466" s="22"/>
      <c r="K1466" s="22"/>
      <c r="L1466" s="22"/>
      <c r="M1466" s="21"/>
      <c r="N1466" s="22"/>
      <c r="O1466" s="29" t="str">
        <f aca="false">IF(A1466="","",IF(COUNTIF($A$2:$A$2001,A1466)&gt;1,"GANDA","OK"))</f>
        <v/>
      </c>
      <c r="P1466" s="29" t="str">
        <f aca="false">IF(A1466="","",IF(C1466="","KOSONG",IF(AND(LEN(C1466)=16,ISNUMBER(--C1466)),"OK","TIDAK VALID")))</f>
        <v/>
      </c>
    </row>
    <row r="1467" customFormat="false" ht="15" hidden="false" customHeight="false" outlineLevel="0" collapsed="false">
      <c r="A1467" s="21"/>
      <c r="B1467" s="22"/>
      <c r="C1467" s="21"/>
      <c r="D1467" s="22"/>
      <c r="E1467" s="22"/>
      <c r="F1467" s="28"/>
      <c r="G1467" s="22"/>
      <c r="H1467" s="21"/>
      <c r="I1467" s="28"/>
      <c r="J1467" s="22"/>
      <c r="K1467" s="22"/>
      <c r="L1467" s="22"/>
      <c r="M1467" s="21"/>
      <c r="N1467" s="22"/>
      <c r="O1467" s="29" t="str">
        <f aca="false">IF(A1467="","",IF(COUNTIF($A$2:$A$2001,A1467)&gt;1,"GANDA","OK"))</f>
        <v/>
      </c>
      <c r="P1467" s="29" t="str">
        <f aca="false">IF(A1467="","",IF(C1467="","KOSONG",IF(AND(LEN(C1467)=16,ISNUMBER(--C1467)),"OK","TIDAK VALID")))</f>
        <v/>
      </c>
    </row>
    <row r="1468" customFormat="false" ht="15" hidden="false" customHeight="false" outlineLevel="0" collapsed="false">
      <c r="A1468" s="21"/>
      <c r="B1468" s="22"/>
      <c r="C1468" s="21"/>
      <c r="D1468" s="22"/>
      <c r="E1468" s="22"/>
      <c r="F1468" s="28"/>
      <c r="G1468" s="22"/>
      <c r="H1468" s="21"/>
      <c r="I1468" s="28"/>
      <c r="J1468" s="22"/>
      <c r="K1468" s="22"/>
      <c r="L1468" s="22"/>
      <c r="M1468" s="21"/>
      <c r="N1468" s="22"/>
      <c r="O1468" s="29" t="str">
        <f aca="false">IF(A1468="","",IF(COUNTIF($A$2:$A$2001,A1468)&gt;1,"GANDA","OK"))</f>
        <v/>
      </c>
      <c r="P1468" s="29" t="str">
        <f aca="false">IF(A1468="","",IF(C1468="","KOSONG",IF(AND(LEN(C1468)=16,ISNUMBER(--C1468)),"OK","TIDAK VALID")))</f>
        <v/>
      </c>
    </row>
    <row r="1469" customFormat="false" ht="15" hidden="false" customHeight="false" outlineLevel="0" collapsed="false">
      <c r="A1469" s="21"/>
      <c r="B1469" s="22"/>
      <c r="C1469" s="21"/>
      <c r="D1469" s="22"/>
      <c r="E1469" s="22"/>
      <c r="F1469" s="28"/>
      <c r="G1469" s="22"/>
      <c r="H1469" s="21"/>
      <c r="I1469" s="28"/>
      <c r="J1469" s="22"/>
      <c r="K1469" s="22"/>
      <c r="L1469" s="22"/>
      <c r="M1469" s="21"/>
      <c r="N1469" s="22"/>
      <c r="O1469" s="29" t="str">
        <f aca="false">IF(A1469="","",IF(COUNTIF($A$2:$A$2001,A1469)&gt;1,"GANDA","OK"))</f>
        <v/>
      </c>
      <c r="P1469" s="29" t="str">
        <f aca="false">IF(A1469="","",IF(C1469="","KOSONG",IF(AND(LEN(C1469)=16,ISNUMBER(--C1469)),"OK","TIDAK VALID")))</f>
        <v/>
      </c>
    </row>
    <row r="1470" customFormat="false" ht="15" hidden="false" customHeight="false" outlineLevel="0" collapsed="false">
      <c r="A1470" s="21"/>
      <c r="B1470" s="22"/>
      <c r="C1470" s="21"/>
      <c r="D1470" s="22"/>
      <c r="E1470" s="22"/>
      <c r="F1470" s="28"/>
      <c r="G1470" s="22"/>
      <c r="H1470" s="21"/>
      <c r="I1470" s="28"/>
      <c r="J1470" s="22"/>
      <c r="K1470" s="22"/>
      <c r="L1470" s="22"/>
      <c r="M1470" s="21"/>
      <c r="N1470" s="22"/>
      <c r="O1470" s="29" t="str">
        <f aca="false">IF(A1470="","",IF(COUNTIF($A$2:$A$2001,A1470)&gt;1,"GANDA","OK"))</f>
        <v/>
      </c>
      <c r="P1470" s="29" t="str">
        <f aca="false">IF(A1470="","",IF(C1470="","KOSONG",IF(AND(LEN(C1470)=16,ISNUMBER(--C1470)),"OK","TIDAK VALID")))</f>
        <v/>
      </c>
    </row>
    <row r="1471" customFormat="false" ht="15" hidden="false" customHeight="false" outlineLevel="0" collapsed="false">
      <c r="A1471" s="21"/>
      <c r="B1471" s="22"/>
      <c r="C1471" s="21"/>
      <c r="D1471" s="22"/>
      <c r="E1471" s="22"/>
      <c r="F1471" s="28"/>
      <c r="G1471" s="22"/>
      <c r="H1471" s="21"/>
      <c r="I1471" s="28"/>
      <c r="J1471" s="22"/>
      <c r="K1471" s="22"/>
      <c r="L1471" s="22"/>
      <c r="M1471" s="21"/>
      <c r="N1471" s="22"/>
      <c r="O1471" s="29" t="str">
        <f aca="false">IF(A1471="","",IF(COUNTIF($A$2:$A$2001,A1471)&gt;1,"GANDA","OK"))</f>
        <v/>
      </c>
      <c r="P1471" s="29" t="str">
        <f aca="false">IF(A1471="","",IF(C1471="","KOSONG",IF(AND(LEN(C1471)=16,ISNUMBER(--C1471)),"OK","TIDAK VALID")))</f>
        <v/>
      </c>
    </row>
    <row r="1472" customFormat="false" ht="15" hidden="false" customHeight="false" outlineLevel="0" collapsed="false">
      <c r="A1472" s="21"/>
      <c r="B1472" s="22"/>
      <c r="C1472" s="21"/>
      <c r="D1472" s="22"/>
      <c r="E1472" s="22"/>
      <c r="F1472" s="28"/>
      <c r="G1472" s="22"/>
      <c r="H1472" s="21"/>
      <c r="I1472" s="28"/>
      <c r="J1472" s="22"/>
      <c r="K1472" s="22"/>
      <c r="L1472" s="22"/>
      <c r="M1472" s="21"/>
      <c r="N1472" s="22"/>
      <c r="O1472" s="29" t="str">
        <f aca="false">IF(A1472="","",IF(COUNTIF($A$2:$A$2001,A1472)&gt;1,"GANDA","OK"))</f>
        <v/>
      </c>
      <c r="P1472" s="29" t="str">
        <f aca="false">IF(A1472="","",IF(C1472="","KOSONG",IF(AND(LEN(C1472)=16,ISNUMBER(--C1472)),"OK","TIDAK VALID")))</f>
        <v/>
      </c>
    </row>
    <row r="1473" customFormat="false" ht="15" hidden="false" customHeight="false" outlineLevel="0" collapsed="false">
      <c r="A1473" s="21"/>
      <c r="B1473" s="22"/>
      <c r="C1473" s="21"/>
      <c r="D1473" s="22"/>
      <c r="E1473" s="22"/>
      <c r="F1473" s="28"/>
      <c r="G1473" s="22"/>
      <c r="H1473" s="21"/>
      <c r="I1473" s="28"/>
      <c r="J1473" s="22"/>
      <c r="K1473" s="22"/>
      <c r="L1473" s="22"/>
      <c r="M1473" s="21"/>
      <c r="N1473" s="22"/>
      <c r="O1473" s="29" t="str">
        <f aca="false">IF(A1473="","",IF(COUNTIF($A$2:$A$2001,A1473)&gt;1,"GANDA","OK"))</f>
        <v/>
      </c>
      <c r="P1473" s="29" t="str">
        <f aca="false">IF(A1473="","",IF(C1473="","KOSONG",IF(AND(LEN(C1473)=16,ISNUMBER(--C1473)),"OK","TIDAK VALID")))</f>
        <v/>
      </c>
    </row>
    <row r="1474" customFormat="false" ht="15" hidden="false" customHeight="false" outlineLevel="0" collapsed="false">
      <c r="A1474" s="21"/>
      <c r="B1474" s="22"/>
      <c r="C1474" s="21"/>
      <c r="D1474" s="22"/>
      <c r="E1474" s="22"/>
      <c r="F1474" s="28"/>
      <c r="G1474" s="22"/>
      <c r="H1474" s="21"/>
      <c r="I1474" s="28"/>
      <c r="J1474" s="22"/>
      <c r="K1474" s="22"/>
      <c r="L1474" s="22"/>
      <c r="M1474" s="21"/>
      <c r="N1474" s="22"/>
      <c r="O1474" s="29" t="str">
        <f aca="false">IF(A1474="","",IF(COUNTIF($A$2:$A$2001,A1474)&gt;1,"GANDA","OK"))</f>
        <v/>
      </c>
      <c r="P1474" s="29" t="str">
        <f aca="false">IF(A1474="","",IF(C1474="","KOSONG",IF(AND(LEN(C1474)=16,ISNUMBER(--C1474)),"OK","TIDAK VALID")))</f>
        <v/>
      </c>
    </row>
    <row r="1475" customFormat="false" ht="15" hidden="false" customHeight="false" outlineLevel="0" collapsed="false">
      <c r="A1475" s="21"/>
      <c r="B1475" s="22"/>
      <c r="C1475" s="21"/>
      <c r="D1475" s="22"/>
      <c r="E1475" s="22"/>
      <c r="F1475" s="28"/>
      <c r="G1475" s="22"/>
      <c r="H1475" s="21"/>
      <c r="I1475" s="28"/>
      <c r="J1475" s="22"/>
      <c r="K1475" s="22"/>
      <c r="L1475" s="22"/>
      <c r="M1475" s="21"/>
      <c r="N1475" s="22"/>
      <c r="O1475" s="29" t="str">
        <f aca="false">IF(A1475="","",IF(COUNTIF($A$2:$A$2001,A1475)&gt;1,"GANDA","OK"))</f>
        <v/>
      </c>
      <c r="P1475" s="29" t="str">
        <f aca="false">IF(A1475="","",IF(C1475="","KOSONG",IF(AND(LEN(C1475)=16,ISNUMBER(--C1475)),"OK","TIDAK VALID")))</f>
        <v/>
      </c>
    </row>
    <row r="1476" customFormat="false" ht="15" hidden="false" customHeight="false" outlineLevel="0" collapsed="false">
      <c r="A1476" s="21"/>
      <c r="B1476" s="22"/>
      <c r="C1476" s="21"/>
      <c r="D1476" s="22"/>
      <c r="E1476" s="22"/>
      <c r="F1476" s="28"/>
      <c r="G1476" s="22"/>
      <c r="H1476" s="21"/>
      <c r="I1476" s="28"/>
      <c r="J1476" s="22"/>
      <c r="K1476" s="22"/>
      <c r="L1476" s="22"/>
      <c r="M1476" s="21"/>
      <c r="N1476" s="22"/>
      <c r="O1476" s="29" t="str">
        <f aca="false">IF(A1476="","",IF(COUNTIF($A$2:$A$2001,A1476)&gt;1,"GANDA","OK"))</f>
        <v/>
      </c>
      <c r="P1476" s="29" t="str">
        <f aca="false">IF(A1476="","",IF(C1476="","KOSONG",IF(AND(LEN(C1476)=16,ISNUMBER(--C1476)),"OK","TIDAK VALID")))</f>
        <v/>
      </c>
    </row>
    <row r="1477" customFormat="false" ht="15" hidden="false" customHeight="false" outlineLevel="0" collapsed="false">
      <c r="A1477" s="21"/>
      <c r="B1477" s="22"/>
      <c r="C1477" s="21"/>
      <c r="D1477" s="22"/>
      <c r="E1477" s="22"/>
      <c r="F1477" s="28"/>
      <c r="G1477" s="22"/>
      <c r="H1477" s="21"/>
      <c r="I1477" s="28"/>
      <c r="J1477" s="22"/>
      <c r="K1477" s="22"/>
      <c r="L1477" s="22"/>
      <c r="M1477" s="21"/>
      <c r="N1477" s="22"/>
      <c r="O1477" s="29" t="str">
        <f aca="false">IF(A1477="","",IF(COUNTIF($A$2:$A$2001,A1477)&gt;1,"GANDA","OK"))</f>
        <v/>
      </c>
      <c r="P1477" s="29" t="str">
        <f aca="false">IF(A1477="","",IF(C1477="","KOSONG",IF(AND(LEN(C1477)=16,ISNUMBER(--C1477)),"OK","TIDAK VALID")))</f>
        <v/>
      </c>
    </row>
    <row r="1478" customFormat="false" ht="15" hidden="false" customHeight="false" outlineLevel="0" collapsed="false">
      <c r="A1478" s="21"/>
      <c r="B1478" s="22"/>
      <c r="C1478" s="21"/>
      <c r="D1478" s="22"/>
      <c r="E1478" s="22"/>
      <c r="F1478" s="28"/>
      <c r="G1478" s="22"/>
      <c r="H1478" s="21"/>
      <c r="I1478" s="28"/>
      <c r="J1478" s="22"/>
      <c r="K1478" s="22"/>
      <c r="L1478" s="22"/>
      <c r="M1478" s="21"/>
      <c r="N1478" s="22"/>
      <c r="O1478" s="29" t="str">
        <f aca="false">IF(A1478="","",IF(COUNTIF($A$2:$A$2001,A1478)&gt;1,"GANDA","OK"))</f>
        <v/>
      </c>
      <c r="P1478" s="29" t="str">
        <f aca="false">IF(A1478="","",IF(C1478="","KOSONG",IF(AND(LEN(C1478)=16,ISNUMBER(--C1478)),"OK","TIDAK VALID")))</f>
        <v/>
      </c>
    </row>
    <row r="1479" customFormat="false" ht="15" hidden="false" customHeight="false" outlineLevel="0" collapsed="false">
      <c r="A1479" s="21"/>
      <c r="B1479" s="22"/>
      <c r="C1479" s="21"/>
      <c r="D1479" s="22"/>
      <c r="E1479" s="22"/>
      <c r="F1479" s="28"/>
      <c r="G1479" s="22"/>
      <c r="H1479" s="21"/>
      <c r="I1479" s="28"/>
      <c r="J1479" s="22"/>
      <c r="K1479" s="22"/>
      <c r="L1479" s="22"/>
      <c r="M1479" s="21"/>
      <c r="N1479" s="22"/>
      <c r="O1479" s="29" t="str">
        <f aca="false">IF(A1479="","",IF(COUNTIF($A$2:$A$2001,A1479)&gt;1,"GANDA","OK"))</f>
        <v/>
      </c>
      <c r="P1479" s="29" t="str">
        <f aca="false">IF(A1479="","",IF(C1479="","KOSONG",IF(AND(LEN(C1479)=16,ISNUMBER(--C1479)),"OK","TIDAK VALID")))</f>
        <v/>
      </c>
    </row>
    <row r="1480" customFormat="false" ht="15" hidden="false" customHeight="false" outlineLevel="0" collapsed="false">
      <c r="A1480" s="21"/>
      <c r="B1480" s="22"/>
      <c r="C1480" s="21"/>
      <c r="D1480" s="22"/>
      <c r="E1480" s="22"/>
      <c r="F1480" s="28"/>
      <c r="G1480" s="22"/>
      <c r="H1480" s="21"/>
      <c r="I1480" s="28"/>
      <c r="J1480" s="22"/>
      <c r="K1480" s="22"/>
      <c r="L1480" s="22"/>
      <c r="M1480" s="21"/>
      <c r="N1480" s="22"/>
      <c r="O1480" s="29" t="str">
        <f aca="false">IF(A1480="","",IF(COUNTIF($A$2:$A$2001,A1480)&gt;1,"GANDA","OK"))</f>
        <v/>
      </c>
      <c r="P1480" s="29" t="str">
        <f aca="false">IF(A1480="","",IF(C1480="","KOSONG",IF(AND(LEN(C1480)=16,ISNUMBER(--C1480)),"OK","TIDAK VALID")))</f>
        <v/>
      </c>
    </row>
    <row r="1481" customFormat="false" ht="15" hidden="false" customHeight="false" outlineLevel="0" collapsed="false">
      <c r="A1481" s="21"/>
      <c r="B1481" s="22"/>
      <c r="C1481" s="21"/>
      <c r="D1481" s="22"/>
      <c r="E1481" s="22"/>
      <c r="F1481" s="28"/>
      <c r="G1481" s="22"/>
      <c r="H1481" s="21"/>
      <c r="I1481" s="28"/>
      <c r="J1481" s="22"/>
      <c r="K1481" s="22"/>
      <c r="L1481" s="22"/>
      <c r="M1481" s="21"/>
      <c r="N1481" s="22"/>
      <c r="O1481" s="29" t="str">
        <f aca="false">IF(A1481="","",IF(COUNTIF($A$2:$A$2001,A1481)&gt;1,"GANDA","OK"))</f>
        <v/>
      </c>
      <c r="P1481" s="29" t="str">
        <f aca="false">IF(A1481="","",IF(C1481="","KOSONG",IF(AND(LEN(C1481)=16,ISNUMBER(--C1481)),"OK","TIDAK VALID")))</f>
        <v/>
      </c>
    </row>
    <row r="1482" customFormat="false" ht="15" hidden="false" customHeight="false" outlineLevel="0" collapsed="false">
      <c r="A1482" s="21"/>
      <c r="B1482" s="22"/>
      <c r="C1482" s="21"/>
      <c r="D1482" s="22"/>
      <c r="E1482" s="22"/>
      <c r="F1482" s="28"/>
      <c r="G1482" s="22"/>
      <c r="H1482" s="21"/>
      <c r="I1482" s="28"/>
      <c r="J1482" s="22"/>
      <c r="K1482" s="22"/>
      <c r="L1482" s="22"/>
      <c r="M1482" s="21"/>
      <c r="N1482" s="22"/>
      <c r="O1482" s="29" t="str">
        <f aca="false">IF(A1482="","",IF(COUNTIF($A$2:$A$2001,A1482)&gt;1,"GANDA","OK"))</f>
        <v/>
      </c>
      <c r="P1482" s="29" t="str">
        <f aca="false">IF(A1482="","",IF(C1482="","KOSONG",IF(AND(LEN(C1482)=16,ISNUMBER(--C1482)),"OK","TIDAK VALID")))</f>
        <v/>
      </c>
    </row>
    <row r="1483" customFormat="false" ht="15" hidden="false" customHeight="false" outlineLevel="0" collapsed="false">
      <c r="A1483" s="21"/>
      <c r="B1483" s="22"/>
      <c r="C1483" s="21"/>
      <c r="D1483" s="22"/>
      <c r="E1483" s="22"/>
      <c r="F1483" s="28"/>
      <c r="G1483" s="22"/>
      <c r="H1483" s="21"/>
      <c r="I1483" s="28"/>
      <c r="J1483" s="22"/>
      <c r="K1483" s="22"/>
      <c r="L1483" s="22"/>
      <c r="M1483" s="21"/>
      <c r="N1483" s="22"/>
      <c r="O1483" s="29" t="str">
        <f aca="false">IF(A1483="","",IF(COUNTIF($A$2:$A$2001,A1483)&gt;1,"GANDA","OK"))</f>
        <v/>
      </c>
      <c r="P1483" s="29" t="str">
        <f aca="false">IF(A1483="","",IF(C1483="","KOSONG",IF(AND(LEN(C1483)=16,ISNUMBER(--C1483)),"OK","TIDAK VALID")))</f>
        <v/>
      </c>
    </row>
    <row r="1484" customFormat="false" ht="15" hidden="false" customHeight="false" outlineLevel="0" collapsed="false">
      <c r="A1484" s="21"/>
      <c r="B1484" s="22"/>
      <c r="C1484" s="21"/>
      <c r="D1484" s="22"/>
      <c r="E1484" s="22"/>
      <c r="F1484" s="28"/>
      <c r="G1484" s="22"/>
      <c r="H1484" s="21"/>
      <c r="I1484" s="28"/>
      <c r="J1484" s="22"/>
      <c r="K1484" s="22"/>
      <c r="L1484" s="22"/>
      <c r="M1484" s="21"/>
      <c r="N1484" s="22"/>
      <c r="O1484" s="29" t="str">
        <f aca="false">IF(A1484="","",IF(COUNTIF($A$2:$A$2001,A1484)&gt;1,"GANDA","OK"))</f>
        <v/>
      </c>
      <c r="P1484" s="29" t="str">
        <f aca="false">IF(A1484="","",IF(C1484="","KOSONG",IF(AND(LEN(C1484)=16,ISNUMBER(--C1484)),"OK","TIDAK VALID")))</f>
        <v/>
      </c>
    </row>
    <row r="1485" customFormat="false" ht="15" hidden="false" customHeight="false" outlineLevel="0" collapsed="false">
      <c r="A1485" s="21"/>
      <c r="B1485" s="22"/>
      <c r="C1485" s="21"/>
      <c r="D1485" s="22"/>
      <c r="E1485" s="22"/>
      <c r="F1485" s="28"/>
      <c r="G1485" s="22"/>
      <c r="H1485" s="21"/>
      <c r="I1485" s="28"/>
      <c r="J1485" s="22"/>
      <c r="K1485" s="22"/>
      <c r="L1485" s="22"/>
      <c r="M1485" s="21"/>
      <c r="N1485" s="22"/>
      <c r="O1485" s="29" t="str">
        <f aca="false">IF(A1485="","",IF(COUNTIF($A$2:$A$2001,A1485)&gt;1,"GANDA","OK"))</f>
        <v/>
      </c>
      <c r="P1485" s="29" t="str">
        <f aca="false">IF(A1485="","",IF(C1485="","KOSONG",IF(AND(LEN(C1485)=16,ISNUMBER(--C1485)),"OK","TIDAK VALID")))</f>
        <v/>
      </c>
    </row>
    <row r="1486" customFormat="false" ht="15" hidden="false" customHeight="false" outlineLevel="0" collapsed="false">
      <c r="A1486" s="21"/>
      <c r="B1486" s="22"/>
      <c r="C1486" s="21"/>
      <c r="D1486" s="22"/>
      <c r="E1486" s="22"/>
      <c r="F1486" s="28"/>
      <c r="G1486" s="22"/>
      <c r="H1486" s="21"/>
      <c r="I1486" s="28"/>
      <c r="J1486" s="22"/>
      <c r="K1486" s="22"/>
      <c r="L1486" s="22"/>
      <c r="M1486" s="21"/>
      <c r="N1486" s="22"/>
      <c r="O1486" s="29" t="str">
        <f aca="false">IF(A1486="","",IF(COUNTIF($A$2:$A$2001,A1486)&gt;1,"GANDA","OK"))</f>
        <v/>
      </c>
      <c r="P1486" s="29" t="str">
        <f aca="false">IF(A1486="","",IF(C1486="","KOSONG",IF(AND(LEN(C1486)=16,ISNUMBER(--C1486)),"OK","TIDAK VALID")))</f>
        <v/>
      </c>
    </row>
    <row r="1487" customFormat="false" ht="15" hidden="false" customHeight="false" outlineLevel="0" collapsed="false">
      <c r="A1487" s="21"/>
      <c r="B1487" s="22"/>
      <c r="C1487" s="21"/>
      <c r="D1487" s="22"/>
      <c r="E1487" s="22"/>
      <c r="F1487" s="28"/>
      <c r="G1487" s="22"/>
      <c r="H1487" s="21"/>
      <c r="I1487" s="28"/>
      <c r="J1487" s="22"/>
      <c r="K1487" s="22"/>
      <c r="L1487" s="22"/>
      <c r="M1487" s="21"/>
      <c r="N1487" s="22"/>
      <c r="O1487" s="29" t="str">
        <f aca="false">IF(A1487="","",IF(COUNTIF($A$2:$A$2001,A1487)&gt;1,"GANDA","OK"))</f>
        <v/>
      </c>
      <c r="P1487" s="29" t="str">
        <f aca="false">IF(A1487="","",IF(C1487="","KOSONG",IF(AND(LEN(C1487)=16,ISNUMBER(--C1487)),"OK","TIDAK VALID")))</f>
        <v/>
      </c>
    </row>
    <row r="1488" customFormat="false" ht="15" hidden="false" customHeight="false" outlineLevel="0" collapsed="false">
      <c r="A1488" s="21"/>
      <c r="B1488" s="22"/>
      <c r="C1488" s="21"/>
      <c r="D1488" s="22"/>
      <c r="E1488" s="22"/>
      <c r="F1488" s="28"/>
      <c r="G1488" s="22"/>
      <c r="H1488" s="21"/>
      <c r="I1488" s="28"/>
      <c r="J1488" s="22"/>
      <c r="K1488" s="22"/>
      <c r="L1488" s="22"/>
      <c r="M1488" s="21"/>
      <c r="N1488" s="22"/>
      <c r="O1488" s="29" t="str">
        <f aca="false">IF(A1488="","",IF(COUNTIF($A$2:$A$2001,A1488)&gt;1,"GANDA","OK"))</f>
        <v/>
      </c>
      <c r="P1488" s="29" t="str">
        <f aca="false">IF(A1488="","",IF(C1488="","KOSONG",IF(AND(LEN(C1488)=16,ISNUMBER(--C1488)),"OK","TIDAK VALID")))</f>
        <v/>
      </c>
    </row>
    <row r="1489" customFormat="false" ht="15" hidden="false" customHeight="false" outlineLevel="0" collapsed="false">
      <c r="A1489" s="21"/>
      <c r="B1489" s="22"/>
      <c r="C1489" s="21"/>
      <c r="D1489" s="22"/>
      <c r="E1489" s="22"/>
      <c r="F1489" s="28"/>
      <c r="G1489" s="22"/>
      <c r="H1489" s="21"/>
      <c r="I1489" s="28"/>
      <c r="J1489" s="22"/>
      <c r="K1489" s="22"/>
      <c r="L1489" s="22"/>
      <c r="M1489" s="21"/>
      <c r="N1489" s="22"/>
      <c r="O1489" s="29" t="str">
        <f aca="false">IF(A1489="","",IF(COUNTIF($A$2:$A$2001,A1489)&gt;1,"GANDA","OK"))</f>
        <v/>
      </c>
      <c r="P1489" s="29" t="str">
        <f aca="false">IF(A1489="","",IF(C1489="","KOSONG",IF(AND(LEN(C1489)=16,ISNUMBER(--C1489)),"OK","TIDAK VALID")))</f>
        <v/>
      </c>
    </row>
    <row r="1490" customFormat="false" ht="15" hidden="false" customHeight="false" outlineLevel="0" collapsed="false">
      <c r="A1490" s="21"/>
      <c r="B1490" s="22"/>
      <c r="C1490" s="21"/>
      <c r="D1490" s="22"/>
      <c r="E1490" s="22"/>
      <c r="F1490" s="28"/>
      <c r="G1490" s="22"/>
      <c r="H1490" s="21"/>
      <c r="I1490" s="28"/>
      <c r="J1490" s="22"/>
      <c r="K1490" s="22"/>
      <c r="L1490" s="22"/>
      <c r="M1490" s="21"/>
      <c r="N1490" s="22"/>
      <c r="O1490" s="29" t="str">
        <f aca="false">IF(A1490="","",IF(COUNTIF($A$2:$A$2001,A1490)&gt;1,"GANDA","OK"))</f>
        <v/>
      </c>
      <c r="P1490" s="29" t="str">
        <f aca="false">IF(A1490="","",IF(C1490="","KOSONG",IF(AND(LEN(C1490)=16,ISNUMBER(--C1490)),"OK","TIDAK VALID")))</f>
        <v/>
      </c>
    </row>
    <row r="1491" customFormat="false" ht="15" hidden="false" customHeight="false" outlineLevel="0" collapsed="false">
      <c r="A1491" s="21"/>
      <c r="B1491" s="22"/>
      <c r="C1491" s="21"/>
      <c r="D1491" s="22"/>
      <c r="E1491" s="22"/>
      <c r="F1491" s="28"/>
      <c r="G1491" s="22"/>
      <c r="H1491" s="21"/>
      <c r="I1491" s="28"/>
      <c r="J1491" s="22"/>
      <c r="K1491" s="22"/>
      <c r="L1491" s="22"/>
      <c r="M1491" s="21"/>
      <c r="N1491" s="22"/>
      <c r="O1491" s="29" t="str">
        <f aca="false">IF(A1491="","",IF(COUNTIF($A$2:$A$2001,A1491)&gt;1,"GANDA","OK"))</f>
        <v/>
      </c>
      <c r="P1491" s="29" t="str">
        <f aca="false">IF(A1491="","",IF(C1491="","KOSONG",IF(AND(LEN(C1491)=16,ISNUMBER(--C1491)),"OK","TIDAK VALID")))</f>
        <v/>
      </c>
    </row>
    <row r="1492" customFormat="false" ht="15" hidden="false" customHeight="false" outlineLevel="0" collapsed="false">
      <c r="A1492" s="21"/>
      <c r="B1492" s="22"/>
      <c r="C1492" s="21"/>
      <c r="D1492" s="22"/>
      <c r="E1492" s="22"/>
      <c r="F1492" s="28"/>
      <c r="G1492" s="22"/>
      <c r="H1492" s="21"/>
      <c r="I1492" s="28"/>
      <c r="J1492" s="22"/>
      <c r="K1492" s="22"/>
      <c r="L1492" s="22"/>
      <c r="M1492" s="21"/>
      <c r="N1492" s="22"/>
      <c r="O1492" s="29" t="str">
        <f aca="false">IF(A1492="","",IF(COUNTIF($A$2:$A$2001,A1492)&gt;1,"GANDA","OK"))</f>
        <v/>
      </c>
      <c r="P1492" s="29" t="str">
        <f aca="false">IF(A1492="","",IF(C1492="","KOSONG",IF(AND(LEN(C1492)=16,ISNUMBER(--C1492)),"OK","TIDAK VALID")))</f>
        <v/>
      </c>
    </row>
    <row r="1493" customFormat="false" ht="15" hidden="false" customHeight="false" outlineLevel="0" collapsed="false">
      <c r="A1493" s="21"/>
      <c r="B1493" s="22"/>
      <c r="C1493" s="21"/>
      <c r="D1493" s="22"/>
      <c r="E1493" s="22"/>
      <c r="F1493" s="28"/>
      <c r="G1493" s="22"/>
      <c r="H1493" s="21"/>
      <c r="I1493" s="28"/>
      <c r="J1493" s="22"/>
      <c r="K1493" s="22"/>
      <c r="L1493" s="22"/>
      <c r="M1493" s="21"/>
      <c r="N1493" s="22"/>
      <c r="O1493" s="29" t="str">
        <f aca="false">IF(A1493="","",IF(COUNTIF($A$2:$A$2001,A1493)&gt;1,"GANDA","OK"))</f>
        <v/>
      </c>
      <c r="P1493" s="29" t="str">
        <f aca="false">IF(A1493="","",IF(C1493="","KOSONG",IF(AND(LEN(C1493)=16,ISNUMBER(--C1493)),"OK","TIDAK VALID")))</f>
        <v/>
      </c>
    </row>
    <row r="1494" customFormat="false" ht="15" hidden="false" customHeight="false" outlineLevel="0" collapsed="false">
      <c r="A1494" s="21"/>
      <c r="B1494" s="22"/>
      <c r="C1494" s="21"/>
      <c r="D1494" s="22"/>
      <c r="E1494" s="22"/>
      <c r="F1494" s="28"/>
      <c r="G1494" s="22"/>
      <c r="H1494" s="21"/>
      <c r="I1494" s="28"/>
      <c r="J1494" s="22"/>
      <c r="K1494" s="22"/>
      <c r="L1494" s="22"/>
      <c r="M1494" s="21"/>
      <c r="N1494" s="22"/>
      <c r="O1494" s="29" t="str">
        <f aca="false">IF(A1494="","",IF(COUNTIF($A$2:$A$2001,A1494)&gt;1,"GANDA","OK"))</f>
        <v/>
      </c>
      <c r="P1494" s="29" t="str">
        <f aca="false">IF(A1494="","",IF(C1494="","KOSONG",IF(AND(LEN(C1494)=16,ISNUMBER(--C1494)),"OK","TIDAK VALID")))</f>
        <v/>
      </c>
    </row>
    <row r="1495" customFormat="false" ht="15" hidden="false" customHeight="false" outlineLevel="0" collapsed="false">
      <c r="A1495" s="21"/>
      <c r="B1495" s="22"/>
      <c r="C1495" s="21"/>
      <c r="D1495" s="22"/>
      <c r="E1495" s="22"/>
      <c r="F1495" s="28"/>
      <c r="G1495" s="22"/>
      <c r="H1495" s="21"/>
      <c r="I1495" s="28"/>
      <c r="J1495" s="22"/>
      <c r="K1495" s="22"/>
      <c r="L1495" s="22"/>
      <c r="M1495" s="21"/>
      <c r="N1495" s="22"/>
      <c r="O1495" s="29" t="str">
        <f aca="false">IF(A1495="","",IF(COUNTIF($A$2:$A$2001,A1495)&gt;1,"GANDA","OK"))</f>
        <v/>
      </c>
      <c r="P1495" s="29" t="str">
        <f aca="false">IF(A1495="","",IF(C1495="","KOSONG",IF(AND(LEN(C1495)=16,ISNUMBER(--C1495)),"OK","TIDAK VALID")))</f>
        <v/>
      </c>
    </row>
    <row r="1496" customFormat="false" ht="15" hidden="false" customHeight="false" outlineLevel="0" collapsed="false">
      <c r="A1496" s="21"/>
      <c r="B1496" s="22"/>
      <c r="C1496" s="21"/>
      <c r="D1496" s="22"/>
      <c r="E1496" s="22"/>
      <c r="F1496" s="28"/>
      <c r="G1496" s="22"/>
      <c r="H1496" s="21"/>
      <c r="I1496" s="28"/>
      <c r="J1496" s="22"/>
      <c r="K1496" s="22"/>
      <c r="L1496" s="22"/>
      <c r="M1496" s="21"/>
      <c r="N1496" s="22"/>
      <c r="O1496" s="29" t="str">
        <f aca="false">IF(A1496="","",IF(COUNTIF($A$2:$A$2001,A1496)&gt;1,"GANDA","OK"))</f>
        <v/>
      </c>
      <c r="P1496" s="29" t="str">
        <f aca="false">IF(A1496="","",IF(C1496="","KOSONG",IF(AND(LEN(C1496)=16,ISNUMBER(--C1496)),"OK","TIDAK VALID")))</f>
        <v/>
      </c>
    </row>
    <row r="1497" customFormat="false" ht="15" hidden="false" customHeight="false" outlineLevel="0" collapsed="false">
      <c r="A1497" s="21"/>
      <c r="B1497" s="22"/>
      <c r="C1497" s="21"/>
      <c r="D1497" s="22"/>
      <c r="E1497" s="22"/>
      <c r="F1497" s="28"/>
      <c r="G1497" s="22"/>
      <c r="H1497" s="21"/>
      <c r="I1497" s="28"/>
      <c r="J1497" s="22"/>
      <c r="K1497" s="22"/>
      <c r="L1497" s="22"/>
      <c r="M1497" s="21"/>
      <c r="N1497" s="22"/>
      <c r="O1497" s="29" t="str">
        <f aca="false">IF(A1497="","",IF(COUNTIF($A$2:$A$2001,A1497)&gt;1,"GANDA","OK"))</f>
        <v/>
      </c>
      <c r="P1497" s="29" t="str">
        <f aca="false">IF(A1497="","",IF(C1497="","KOSONG",IF(AND(LEN(C1497)=16,ISNUMBER(--C1497)),"OK","TIDAK VALID")))</f>
        <v/>
      </c>
    </row>
    <row r="1498" customFormat="false" ht="15" hidden="false" customHeight="false" outlineLevel="0" collapsed="false">
      <c r="A1498" s="21"/>
      <c r="B1498" s="22"/>
      <c r="C1498" s="21"/>
      <c r="D1498" s="22"/>
      <c r="E1498" s="22"/>
      <c r="F1498" s="28"/>
      <c r="G1498" s="22"/>
      <c r="H1498" s="21"/>
      <c r="I1498" s="28"/>
      <c r="J1498" s="22"/>
      <c r="K1498" s="22"/>
      <c r="L1498" s="22"/>
      <c r="M1498" s="21"/>
      <c r="N1498" s="22"/>
      <c r="O1498" s="29" t="str">
        <f aca="false">IF(A1498="","",IF(COUNTIF($A$2:$A$2001,A1498)&gt;1,"GANDA","OK"))</f>
        <v/>
      </c>
      <c r="P1498" s="29" t="str">
        <f aca="false">IF(A1498="","",IF(C1498="","KOSONG",IF(AND(LEN(C1498)=16,ISNUMBER(--C1498)),"OK","TIDAK VALID")))</f>
        <v/>
      </c>
    </row>
    <row r="1499" customFormat="false" ht="15" hidden="false" customHeight="false" outlineLevel="0" collapsed="false">
      <c r="A1499" s="21"/>
      <c r="B1499" s="22"/>
      <c r="C1499" s="21"/>
      <c r="D1499" s="22"/>
      <c r="E1499" s="22"/>
      <c r="F1499" s="28"/>
      <c r="G1499" s="22"/>
      <c r="H1499" s="21"/>
      <c r="I1499" s="28"/>
      <c r="J1499" s="22"/>
      <c r="K1499" s="22"/>
      <c r="L1499" s="22"/>
      <c r="M1499" s="21"/>
      <c r="N1499" s="22"/>
      <c r="O1499" s="29" t="str">
        <f aca="false">IF(A1499="","",IF(COUNTIF($A$2:$A$2001,A1499)&gt;1,"GANDA","OK"))</f>
        <v/>
      </c>
      <c r="P1499" s="29" t="str">
        <f aca="false">IF(A1499="","",IF(C1499="","KOSONG",IF(AND(LEN(C1499)=16,ISNUMBER(--C1499)),"OK","TIDAK VALID")))</f>
        <v/>
      </c>
    </row>
    <row r="1500" customFormat="false" ht="15" hidden="false" customHeight="false" outlineLevel="0" collapsed="false">
      <c r="A1500" s="21"/>
      <c r="B1500" s="22"/>
      <c r="C1500" s="21"/>
      <c r="D1500" s="22"/>
      <c r="E1500" s="22"/>
      <c r="F1500" s="28"/>
      <c r="G1500" s="22"/>
      <c r="H1500" s="21"/>
      <c r="I1500" s="28"/>
      <c r="J1500" s="22"/>
      <c r="K1500" s="22"/>
      <c r="L1500" s="22"/>
      <c r="M1500" s="21"/>
      <c r="N1500" s="22"/>
      <c r="O1500" s="29" t="str">
        <f aca="false">IF(A1500="","",IF(COUNTIF($A$2:$A$2001,A1500)&gt;1,"GANDA","OK"))</f>
        <v/>
      </c>
      <c r="P1500" s="29" t="str">
        <f aca="false">IF(A1500="","",IF(C1500="","KOSONG",IF(AND(LEN(C1500)=16,ISNUMBER(--C1500)),"OK","TIDAK VALID")))</f>
        <v/>
      </c>
    </row>
    <row r="1501" customFormat="false" ht="15" hidden="false" customHeight="false" outlineLevel="0" collapsed="false">
      <c r="A1501" s="21"/>
      <c r="B1501" s="22"/>
      <c r="C1501" s="21"/>
      <c r="D1501" s="22"/>
      <c r="E1501" s="22"/>
      <c r="F1501" s="28"/>
      <c r="G1501" s="22"/>
      <c r="H1501" s="21"/>
      <c r="I1501" s="28"/>
      <c r="J1501" s="22"/>
      <c r="K1501" s="22"/>
      <c r="L1501" s="22"/>
      <c r="M1501" s="21"/>
      <c r="N1501" s="22"/>
      <c r="O1501" s="29" t="str">
        <f aca="false">IF(A1501="","",IF(COUNTIF($A$2:$A$2001,A1501)&gt;1,"GANDA","OK"))</f>
        <v/>
      </c>
      <c r="P1501" s="29" t="str">
        <f aca="false">IF(A1501="","",IF(C1501="","KOSONG",IF(AND(LEN(C1501)=16,ISNUMBER(--C1501)),"OK","TIDAK VALID")))</f>
        <v/>
      </c>
    </row>
    <row r="1502" customFormat="false" ht="15" hidden="false" customHeight="false" outlineLevel="0" collapsed="false">
      <c r="A1502" s="21"/>
      <c r="B1502" s="22"/>
      <c r="C1502" s="21"/>
      <c r="D1502" s="22"/>
      <c r="E1502" s="22"/>
      <c r="F1502" s="28"/>
      <c r="G1502" s="22"/>
      <c r="H1502" s="21"/>
      <c r="I1502" s="28"/>
      <c r="J1502" s="22"/>
      <c r="K1502" s="22"/>
      <c r="L1502" s="22"/>
      <c r="M1502" s="21"/>
      <c r="N1502" s="22"/>
      <c r="O1502" s="29" t="str">
        <f aca="false">IF(A1502="","",IF(COUNTIF($A$2:$A$2001,A1502)&gt;1,"GANDA","OK"))</f>
        <v/>
      </c>
      <c r="P1502" s="29" t="str">
        <f aca="false">IF(A1502="","",IF(C1502="","KOSONG",IF(AND(LEN(C1502)=16,ISNUMBER(--C1502)),"OK","TIDAK VALID")))</f>
        <v/>
      </c>
    </row>
    <row r="1503" customFormat="false" ht="15" hidden="false" customHeight="false" outlineLevel="0" collapsed="false">
      <c r="A1503" s="21"/>
      <c r="B1503" s="22"/>
      <c r="C1503" s="21"/>
      <c r="D1503" s="22"/>
      <c r="E1503" s="22"/>
      <c r="F1503" s="28"/>
      <c r="G1503" s="22"/>
      <c r="H1503" s="21"/>
      <c r="I1503" s="28"/>
      <c r="J1503" s="22"/>
      <c r="K1503" s="22"/>
      <c r="L1503" s="22"/>
      <c r="M1503" s="21"/>
      <c r="N1503" s="22"/>
      <c r="O1503" s="29" t="str">
        <f aca="false">IF(A1503="","",IF(COUNTIF($A$2:$A$2001,A1503)&gt;1,"GANDA","OK"))</f>
        <v/>
      </c>
      <c r="P1503" s="29" t="str">
        <f aca="false">IF(A1503="","",IF(C1503="","KOSONG",IF(AND(LEN(C1503)=16,ISNUMBER(--C1503)),"OK","TIDAK VALID")))</f>
        <v/>
      </c>
    </row>
    <row r="1504" customFormat="false" ht="15" hidden="false" customHeight="false" outlineLevel="0" collapsed="false">
      <c r="A1504" s="21"/>
      <c r="B1504" s="22"/>
      <c r="C1504" s="21"/>
      <c r="D1504" s="22"/>
      <c r="E1504" s="22"/>
      <c r="F1504" s="28"/>
      <c r="G1504" s="22"/>
      <c r="H1504" s="21"/>
      <c r="I1504" s="28"/>
      <c r="J1504" s="22"/>
      <c r="K1504" s="22"/>
      <c r="L1504" s="22"/>
      <c r="M1504" s="21"/>
      <c r="N1504" s="22"/>
      <c r="O1504" s="29" t="str">
        <f aca="false">IF(A1504="","",IF(COUNTIF($A$2:$A$2001,A1504)&gt;1,"GANDA","OK"))</f>
        <v/>
      </c>
      <c r="P1504" s="29" t="str">
        <f aca="false">IF(A1504="","",IF(C1504="","KOSONG",IF(AND(LEN(C1504)=16,ISNUMBER(--C1504)),"OK","TIDAK VALID")))</f>
        <v/>
      </c>
    </row>
    <row r="1505" customFormat="false" ht="15" hidden="false" customHeight="false" outlineLevel="0" collapsed="false">
      <c r="A1505" s="21"/>
      <c r="B1505" s="22"/>
      <c r="C1505" s="21"/>
      <c r="D1505" s="22"/>
      <c r="E1505" s="22"/>
      <c r="F1505" s="28"/>
      <c r="G1505" s="22"/>
      <c r="H1505" s="21"/>
      <c r="I1505" s="28"/>
      <c r="J1505" s="22"/>
      <c r="K1505" s="22"/>
      <c r="L1505" s="22"/>
      <c r="M1505" s="21"/>
      <c r="N1505" s="22"/>
      <c r="O1505" s="29" t="str">
        <f aca="false">IF(A1505="","",IF(COUNTIF($A$2:$A$2001,A1505)&gt;1,"GANDA","OK"))</f>
        <v/>
      </c>
      <c r="P1505" s="29" t="str">
        <f aca="false">IF(A1505="","",IF(C1505="","KOSONG",IF(AND(LEN(C1505)=16,ISNUMBER(--C1505)),"OK","TIDAK VALID")))</f>
        <v/>
      </c>
    </row>
    <row r="1506" customFormat="false" ht="15" hidden="false" customHeight="false" outlineLevel="0" collapsed="false">
      <c r="A1506" s="21"/>
      <c r="B1506" s="22"/>
      <c r="C1506" s="21"/>
      <c r="D1506" s="22"/>
      <c r="E1506" s="22"/>
      <c r="F1506" s="28"/>
      <c r="G1506" s="22"/>
      <c r="H1506" s="21"/>
      <c r="I1506" s="28"/>
      <c r="J1506" s="22"/>
      <c r="K1506" s="22"/>
      <c r="L1506" s="22"/>
      <c r="M1506" s="21"/>
      <c r="N1506" s="22"/>
      <c r="O1506" s="29" t="str">
        <f aca="false">IF(A1506="","",IF(COUNTIF($A$2:$A$2001,A1506)&gt;1,"GANDA","OK"))</f>
        <v/>
      </c>
      <c r="P1506" s="29" t="str">
        <f aca="false">IF(A1506="","",IF(C1506="","KOSONG",IF(AND(LEN(C1506)=16,ISNUMBER(--C1506)),"OK","TIDAK VALID")))</f>
        <v/>
      </c>
    </row>
    <row r="1507" customFormat="false" ht="15" hidden="false" customHeight="false" outlineLevel="0" collapsed="false">
      <c r="A1507" s="21"/>
      <c r="B1507" s="22"/>
      <c r="C1507" s="21"/>
      <c r="D1507" s="22"/>
      <c r="E1507" s="22"/>
      <c r="F1507" s="28"/>
      <c r="G1507" s="22"/>
      <c r="H1507" s="21"/>
      <c r="I1507" s="28"/>
      <c r="J1507" s="22"/>
      <c r="K1507" s="22"/>
      <c r="L1507" s="22"/>
      <c r="M1507" s="21"/>
      <c r="N1507" s="22"/>
      <c r="O1507" s="29" t="str">
        <f aca="false">IF(A1507="","",IF(COUNTIF($A$2:$A$2001,A1507)&gt;1,"GANDA","OK"))</f>
        <v/>
      </c>
      <c r="P1507" s="29" t="str">
        <f aca="false">IF(A1507="","",IF(C1507="","KOSONG",IF(AND(LEN(C1507)=16,ISNUMBER(--C1507)),"OK","TIDAK VALID")))</f>
        <v/>
      </c>
    </row>
    <row r="1508" customFormat="false" ht="15" hidden="false" customHeight="false" outlineLevel="0" collapsed="false">
      <c r="A1508" s="21"/>
      <c r="B1508" s="22"/>
      <c r="C1508" s="21"/>
      <c r="D1508" s="22"/>
      <c r="E1508" s="22"/>
      <c r="F1508" s="28"/>
      <c r="G1508" s="22"/>
      <c r="H1508" s="21"/>
      <c r="I1508" s="28"/>
      <c r="J1508" s="22"/>
      <c r="K1508" s="22"/>
      <c r="L1508" s="22"/>
      <c r="M1508" s="21"/>
      <c r="N1508" s="22"/>
      <c r="O1508" s="29" t="str">
        <f aca="false">IF(A1508="","",IF(COUNTIF($A$2:$A$2001,A1508)&gt;1,"GANDA","OK"))</f>
        <v/>
      </c>
      <c r="P1508" s="29" t="str">
        <f aca="false">IF(A1508="","",IF(C1508="","KOSONG",IF(AND(LEN(C1508)=16,ISNUMBER(--C1508)),"OK","TIDAK VALID")))</f>
        <v/>
      </c>
    </row>
    <row r="1509" customFormat="false" ht="15" hidden="false" customHeight="false" outlineLevel="0" collapsed="false">
      <c r="A1509" s="21"/>
      <c r="B1509" s="22"/>
      <c r="C1509" s="21"/>
      <c r="D1509" s="22"/>
      <c r="E1509" s="22"/>
      <c r="F1509" s="28"/>
      <c r="G1509" s="22"/>
      <c r="H1509" s="21"/>
      <c r="I1509" s="28"/>
      <c r="J1509" s="22"/>
      <c r="K1509" s="22"/>
      <c r="L1509" s="22"/>
      <c r="M1509" s="21"/>
      <c r="N1509" s="22"/>
      <c r="O1509" s="29" t="str">
        <f aca="false">IF(A1509="","",IF(COUNTIF($A$2:$A$2001,A1509)&gt;1,"GANDA","OK"))</f>
        <v/>
      </c>
      <c r="P1509" s="29" t="str">
        <f aca="false">IF(A1509="","",IF(C1509="","KOSONG",IF(AND(LEN(C1509)=16,ISNUMBER(--C1509)),"OK","TIDAK VALID")))</f>
        <v/>
      </c>
    </row>
    <row r="1510" customFormat="false" ht="15" hidden="false" customHeight="false" outlineLevel="0" collapsed="false">
      <c r="A1510" s="21"/>
      <c r="B1510" s="22"/>
      <c r="C1510" s="21"/>
      <c r="D1510" s="22"/>
      <c r="E1510" s="22"/>
      <c r="F1510" s="28"/>
      <c r="G1510" s="22"/>
      <c r="H1510" s="21"/>
      <c r="I1510" s="28"/>
      <c r="J1510" s="22"/>
      <c r="K1510" s="22"/>
      <c r="L1510" s="22"/>
      <c r="M1510" s="21"/>
      <c r="N1510" s="22"/>
      <c r="O1510" s="29" t="str">
        <f aca="false">IF(A1510="","",IF(COUNTIF($A$2:$A$2001,A1510)&gt;1,"GANDA","OK"))</f>
        <v/>
      </c>
      <c r="P1510" s="29" t="str">
        <f aca="false">IF(A1510="","",IF(C1510="","KOSONG",IF(AND(LEN(C1510)=16,ISNUMBER(--C1510)),"OK","TIDAK VALID")))</f>
        <v/>
      </c>
    </row>
    <row r="1511" customFormat="false" ht="15" hidden="false" customHeight="false" outlineLevel="0" collapsed="false">
      <c r="A1511" s="21"/>
      <c r="B1511" s="22"/>
      <c r="C1511" s="21"/>
      <c r="D1511" s="22"/>
      <c r="E1511" s="22"/>
      <c r="F1511" s="28"/>
      <c r="G1511" s="22"/>
      <c r="H1511" s="21"/>
      <c r="I1511" s="28"/>
      <c r="J1511" s="22"/>
      <c r="K1511" s="22"/>
      <c r="L1511" s="22"/>
      <c r="M1511" s="21"/>
      <c r="N1511" s="22"/>
      <c r="O1511" s="29" t="str">
        <f aca="false">IF(A1511="","",IF(COUNTIF($A$2:$A$2001,A1511)&gt;1,"GANDA","OK"))</f>
        <v/>
      </c>
      <c r="P1511" s="29" t="str">
        <f aca="false">IF(A1511="","",IF(C1511="","KOSONG",IF(AND(LEN(C1511)=16,ISNUMBER(--C1511)),"OK","TIDAK VALID")))</f>
        <v/>
      </c>
    </row>
    <row r="1512" customFormat="false" ht="15" hidden="false" customHeight="false" outlineLevel="0" collapsed="false">
      <c r="A1512" s="21"/>
      <c r="B1512" s="22"/>
      <c r="C1512" s="21"/>
      <c r="D1512" s="22"/>
      <c r="E1512" s="22"/>
      <c r="F1512" s="28"/>
      <c r="G1512" s="22"/>
      <c r="H1512" s="21"/>
      <c r="I1512" s="28"/>
      <c r="J1512" s="22"/>
      <c r="K1512" s="22"/>
      <c r="L1512" s="22"/>
      <c r="M1512" s="21"/>
      <c r="N1512" s="22"/>
      <c r="O1512" s="29" t="str">
        <f aca="false">IF(A1512="","",IF(COUNTIF($A$2:$A$2001,A1512)&gt;1,"GANDA","OK"))</f>
        <v/>
      </c>
      <c r="P1512" s="29" t="str">
        <f aca="false">IF(A1512="","",IF(C1512="","KOSONG",IF(AND(LEN(C1512)=16,ISNUMBER(--C1512)),"OK","TIDAK VALID")))</f>
        <v/>
      </c>
    </row>
    <row r="1513" customFormat="false" ht="15" hidden="false" customHeight="false" outlineLevel="0" collapsed="false">
      <c r="A1513" s="21"/>
      <c r="B1513" s="22"/>
      <c r="C1513" s="21"/>
      <c r="D1513" s="22"/>
      <c r="E1513" s="22"/>
      <c r="F1513" s="28"/>
      <c r="G1513" s="22"/>
      <c r="H1513" s="21"/>
      <c r="I1513" s="28"/>
      <c r="J1513" s="22"/>
      <c r="K1513" s="22"/>
      <c r="L1513" s="22"/>
      <c r="M1513" s="21"/>
      <c r="N1513" s="22"/>
      <c r="O1513" s="29" t="str">
        <f aca="false">IF(A1513="","",IF(COUNTIF($A$2:$A$2001,A1513)&gt;1,"GANDA","OK"))</f>
        <v/>
      </c>
      <c r="P1513" s="29" t="str">
        <f aca="false">IF(A1513="","",IF(C1513="","KOSONG",IF(AND(LEN(C1513)=16,ISNUMBER(--C1513)),"OK","TIDAK VALID")))</f>
        <v/>
      </c>
    </row>
    <row r="1514" customFormat="false" ht="15" hidden="false" customHeight="false" outlineLevel="0" collapsed="false">
      <c r="A1514" s="21"/>
      <c r="B1514" s="22"/>
      <c r="C1514" s="21"/>
      <c r="D1514" s="22"/>
      <c r="E1514" s="22"/>
      <c r="F1514" s="28"/>
      <c r="G1514" s="22"/>
      <c r="H1514" s="21"/>
      <c r="I1514" s="28"/>
      <c r="J1514" s="22"/>
      <c r="K1514" s="22"/>
      <c r="L1514" s="22"/>
      <c r="M1514" s="21"/>
      <c r="N1514" s="22"/>
      <c r="O1514" s="29" t="str">
        <f aca="false">IF(A1514="","",IF(COUNTIF($A$2:$A$2001,A1514)&gt;1,"GANDA","OK"))</f>
        <v/>
      </c>
      <c r="P1514" s="29" t="str">
        <f aca="false">IF(A1514="","",IF(C1514="","KOSONG",IF(AND(LEN(C1514)=16,ISNUMBER(--C1514)),"OK","TIDAK VALID")))</f>
        <v/>
      </c>
    </row>
    <row r="1515" customFormat="false" ht="15" hidden="false" customHeight="false" outlineLevel="0" collapsed="false">
      <c r="A1515" s="21"/>
      <c r="B1515" s="22"/>
      <c r="C1515" s="21"/>
      <c r="D1515" s="22"/>
      <c r="E1515" s="22"/>
      <c r="F1515" s="28"/>
      <c r="G1515" s="22"/>
      <c r="H1515" s="21"/>
      <c r="I1515" s="28"/>
      <c r="J1515" s="22"/>
      <c r="K1515" s="22"/>
      <c r="L1515" s="22"/>
      <c r="M1515" s="21"/>
      <c r="N1515" s="22"/>
      <c r="O1515" s="29" t="str">
        <f aca="false">IF(A1515="","",IF(COUNTIF($A$2:$A$2001,A1515)&gt;1,"GANDA","OK"))</f>
        <v/>
      </c>
      <c r="P1515" s="29" t="str">
        <f aca="false">IF(A1515="","",IF(C1515="","KOSONG",IF(AND(LEN(C1515)=16,ISNUMBER(--C1515)),"OK","TIDAK VALID")))</f>
        <v/>
      </c>
    </row>
    <row r="1516" customFormat="false" ht="15" hidden="false" customHeight="false" outlineLevel="0" collapsed="false">
      <c r="A1516" s="21"/>
      <c r="B1516" s="22"/>
      <c r="C1516" s="21"/>
      <c r="D1516" s="22"/>
      <c r="E1516" s="22"/>
      <c r="F1516" s="28"/>
      <c r="G1516" s="22"/>
      <c r="H1516" s="21"/>
      <c r="I1516" s="28"/>
      <c r="J1516" s="22"/>
      <c r="K1516" s="22"/>
      <c r="L1516" s="22"/>
      <c r="M1516" s="21"/>
      <c r="N1516" s="22"/>
      <c r="O1516" s="29" t="str">
        <f aca="false">IF(A1516="","",IF(COUNTIF($A$2:$A$2001,A1516)&gt;1,"GANDA","OK"))</f>
        <v/>
      </c>
      <c r="P1516" s="29" t="str">
        <f aca="false">IF(A1516="","",IF(C1516="","KOSONG",IF(AND(LEN(C1516)=16,ISNUMBER(--C1516)),"OK","TIDAK VALID")))</f>
        <v/>
      </c>
    </row>
    <row r="1517" customFormat="false" ht="15" hidden="false" customHeight="false" outlineLevel="0" collapsed="false">
      <c r="A1517" s="21"/>
      <c r="B1517" s="22"/>
      <c r="C1517" s="21"/>
      <c r="D1517" s="22"/>
      <c r="E1517" s="22"/>
      <c r="F1517" s="28"/>
      <c r="G1517" s="22"/>
      <c r="H1517" s="21"/>
      <c r="I1517" s="28"/>
      <c r="J1517" s="22"/>
      <c r="K1517" s="22"/>
      <c r="L1517" s="22"/>
      <c r="M1517" s="21"/>
      <c r="N1517" s="22"/>
      <c r="O1517" s="29" t="str">
        <f aca="false">IF(A1517="","",IF(COUNTIF($A$2:$A$2001,A1517)&gt;1,"GANDA","OK"))</f>
        <v/>
      </c>
      <c r="P1517" s="29" t="str">
        <f aca="false">IF(A1517="","",IF(C1517="","KOSONG",IF(AND(LEN(C1517)=16,ISNUMBER(--C1517)),"OK","TIDAK VALID")))</f>
        <v/>
      </c>
    </row>
    <row r="1518" customFormat="false" ht="15" hidden="false" customHeight="false" outlineLevel="0" collapsed="false">
      <c r="A1518" s="21"/>
      <c r="B1518" s="22"/>
      <c r="C1518" s="21"/>
      <c r="D1518" s="22"/>
      <c r="E1518" s="22"/>
      <c r="F1518" s="28"/>
      <c r="G1518" s="22"/>
      <c r="H1518" s="21"/>
      <c r="I1518" s="28"/>
      <c r="J1518" s="22"/>
      <c r="K1518" s="22"/>
      <c r="L1518" s="22"/>
      <c r="M1518" s="21"/>
      <c r="N1518" s="22"/>
      <c r="O1518" s="29" t="str">
        <f aca="false">IF(A1518="","",IF(COUNTIF($A$2:$A$2001,A1518)&gt;1,"GANDA","OK"))</f>
        <v/>
      </c>
      <c r="P1518" s="29" t="str">
        <f aca="false">IF(A1518="","",IF(C1518="","KOSONG",IF(AND(LEN(C1518)=16,ISNUMBER(--C1518)),"OK","TIDAK VALID")))</f>
        <v/>
      </c>
    </row>
    <row r="1519" customFormat="false" ht="15" hidden="false" customHeight="false" outlineLevel="0" collapsed="false">
      <c r="A1519" s="21"/>
      <c r="B1519" s="22"/>
      <c r="C1519" s="21"/>
      <c r="D1519" s="22"/>
      <c r="E1519" s="22"/>
      <c r="F1519" s="28"/>
      <c r="G1519" s="22"/>
      <c r="H1519" s="21"/>
      <c r="I1519" s="28"/>
      <c r="J1519" s="22"/>
      <c r="K1519" s="22"/>
      <c r="L1519" s="22"/>
      <c r="M1519" s="21"/>
      <c r="N1519" s="22"/>
      <c r="O1519" s="29" t="str">
        <f aca="false">IF(A1519="","",IF(COUNTIF($A$2:$A$2001,A1519)&gt;1,"GANDA","OK"))</f>
        <v/>
      </c>
      <c r="P1519" s="29" t="str">
        <f aca="false">IF(A1519="","",IF(C1519="","KOSONG",IF(AND(LEN(C1519)=16,ISNUMBER(--C1519)),"OK","TIDAK VALID")))</f>
        <v/>
      </c>
    </row>
    <row r="1520" customFormat="false" ht="15" hidden="false" customHeight="false" outlineLevel="0" collapsed="false">
      <c r="A1520" s="21"/>
      <c r="B1520" s="22"/>
      <c r="C1520" s="21"/>
      <c r="D1520" s="22"/>
      <c r="E1520" s="22"/>
      <c r="F1520" s="28"/>
      <c r="G1520" s="22"/>
      <c r="H1520" s="21"/>
      <c r="I1520" s="28"/>
      <c r="J1520" s="22"/>
      <c r="K1520" s="22"/>
      <c r="L1520" s="22"/>
      <c r="M1520" s="21"/>
      <c r="N1520" s="22"/>
      <c r="O1520" s="29" t="str">
        <f aca="false">IF(A1520="","",IF(COUNTIF($A$2:$A$2001,A1520)&gt;1,"GANDA","OK"))</f>
        <v/>
      </c>
      <c r="P1520" s="29" t="str">
        <f aca="false">IF(A1520="","",IF(C1520="","KOSONG",IF(AND(LEN(C1520)=16,ISNUMBER(--C1520)),"OK","TIDAK VALID")))</f>
        <v/>
      </c>
    </row>
    <row r="1521" customFormat="false" ht="15" hidden="false" customHeight="false" outlineLevel="0" collapsed="false">
      <c r="A1521" s="21"/>
      <c r="B1521" s="22"/>
      <c r="C1521" s="21"/>
      <c r="D1521" s="22"/>
      <c r="E1521" s="22"/>
      <c r="F1521" s="28"/>
      <c r="G1521" s="22"/>
      <c r="H1521" s="21"/>
      <c r="I1521" s="28"/>
      <c r="J1521" s="22"/>
      <c r="K1521" s="22"/>
      <c r="L1521" s="22"/>
      <c r="M1521" s="21"/>
      <c r="N1521" s="22"/>
      <c r="O1521" s="29" t="str">
        <f aca="false">IF(A1521="","",IF(COUNTIF($A$2:$A$2001,A1521)&gt;1,"GANDA","OK"))</f>
        <v/>
      </c>
      <c r="P1521" s="29" t="str">
        <f aca="false">IF(A1521="","",IF(C1521="","KOSONG",IF(AND(LEN(C1521)=16,ISNUMBER(--C1521)),"OK","TIDAK VALID")))</f>
        <v/>
      </c>
    </row>
    <row r="1522" customFormat="false" ht="15" hidden="false" customHeight="false" outlineLevel="0" collapsed="false">
      <c r="A1522" s="21"/>
      <c r="B1522" s="22"/>
      <c r="C1522" s="21"/>
      <c r="D1522" s="22"/>
      <c r="E1522" s="22"/>
      <c r="F1522" s="28"/>
      <c r="G1522" s="22"/>
      <c r="H1522" s="21"/>
      <c r="I1522" s="28"/>
      <c r="J1522" s="22"/>
      <c r="K1522" s="22"/>
      <c r="L1522" s="22"/>
      <c r="M1522" s="21"/>
      <c r="N1522" s="22"/>
      <c r="O1522" s="29" t="str">
        <f aca="false">IF(A1522="","",IF(COUNTIF($A$2:$A$2001,A1522)&gt;1,"GANDA","OK"))</f>
        <v/>
      </c>
      <c r="P1522" s="29" t="str">
        <f aca="false">IF(A1522="","",IF(C1522="","KOSONG",IF(AND(LEN(C1522)=16,ISNUMBER(--C1522)),"OK","TIDAK VALID")))</f>
        <v/>
      </c>
    </row>
    <row r="1523" customFormat="false" ht="15" hidden="false" customHeight="false" outlineLevel="0" collapsed="false">
      <c r="A1523" s="21"/>
      <c r="B1523" s="22"/>
      <c r="C1523" s="21"/>
      <c r="D1523" s="22"/>
      <c r="E1523" s="22"/>
      <c r="F1523" s="28"/>
      <c r="G1523" s="22"/>
      <c r="H1523" s="21"/>
      <c r="I1523" s="28"/>
      <c r="J1523" s="22"/>
      <c r="K1523" s="22"/>
      <c r="L1523" s="22"/>
      <c r="M1523" s="21"/>
      <c r="N1523" s="22"/>
      <c r="O1523" s="29" t="str">
        <f aca="false">IF(A1523="","",IF(COUNTIF($A$2:$A$2001,A1523)&gt;1,"GANDA","OK"))</f>
        <v/>
      </c>
      <c r="P1523" s="29" t="str">
        <f aca="false">IF(A1523="","",IF(C1523="","KOSONG",IF(AND(LEN(C1523)=16,ISNUMBER(--C1523)),"OK","TIDAK VALID")))</f>
        <v/>
      </c>
    </row>
    <row r="1524" customFormat="false" ht="15" hidden="false" customHeight="false" outlineLevel="0" collapsed="false">
      <c r="A1524" s="21"/>
      <c r="B1524" s="22"/>
      <c r="C1524" s="21"/>
      <c r="D1524" s="22"/>
      <c r="E1524" s="22"/>
      <c r="F1524" s="28"/>
      <c r="G1524" s="22"/>
      <c r="H1524" s="21"/>
      <c r="I1524" s="28"/>
      <c r="J1524" s="22"/>
      <c r="K1524" s="22"/>
      <c r="L1524" s="22"/>
      <c r="M1524" s="21"/>
      <c r="N1524" s="22"/>
      <c r="O1524" s="29" t="str">
        <f aca="false">IF(A1524="","",IF(COUNTIF($A$2:$A$2001,A1524)&gt;1,"GANDA","OK"))</f>
        <v/>
      </c>
      <c r="P1524" s="29" t="str">
        <f aca="false">IF(A1524="","",IF(C1524="","KOSONG",IF(AND(LEN(C1524)=16,ISNUMBER(--C1524)),"OK","TIDAK VALID")))</f>
        <v/>
      </c>
    </row>
    <row r="1525" customFormat="false" ht="15" hidden="false" customHeight="false" outlineLevel="0" collapsed="false">
      <c r="A1525" s="21"/>
      <c r="B1525" s="22"/>
      <c r="C1525" s="21"/>
      <c r="D1525" s="22"/>
      <c r="E1525" s="22"/>
      <c r="F1525" s="28"/>
      <c r="G1525" s="22"/>
      <c r="H1525" s="21"/>
      <c r="I1525" s="28"/>
      <c r="J1525" s="22"/>
      <c r="K1525" s="22"/>
      <c r="L1525" s="22"/>
      <c r="M1525" s="21"/>
      <c r="N1525" s="22"/>
      <c r="O1525" s="29" t="str">
        <f aca="false">IF(A1525="","",IF(COUNTIF($A$2:$A$2001,A1525)&gt;1,"GANDA","OK"))</f>
        <v/>
      </c>
      <c r="P1525" s="29" t="str">
        <f aca="false">IF(A1525="","",IF(C1525="","KOSONG",IF(AND(LEN(C1525)=16,ISNUMBER(--C1525)),"OK","TIDAK VALID")))</f>
        <v/>
      </c>
    </row>
    <row r="1526" customFormat="false" ht="15" hidden="false" customHeight="false" outlineLevel="0" collapsed="false">
      <c r="A1526" s="21"/>
      <c r="B1526" s="22"/>
      <c r="C1526" s="21"/>
      <c r="D1526" s="22"/>
      <c r="E1526" s="22"/>
      <c r="F1526" s="28"/>
      <c r="G1526" s="22"/>
      <c r="H1526" s="21"/>
      <c r="I1526" s="28"/>
      <c r="J1526" s="22"/>
      <c r="K1526" s="22"/>
      <c r="L1526" s="22"/>
      <c r="M1526" s="21"/>
      <c r="N1526" s="22"/>
      <c r="O1526" s="29" t="str">
        <f aca="false">IF(A1526="","",IF(COUNTIF($A$2:$A$2001,A1526)&gt;1,"GANDA","OK"))</f>
        <v/>
      </c>
      <c r="P1526" s="29" t="str">
        <f aca="false">IF(A1526="","",IF(C1526="","KOSONG",IF(AND(LEN(C1526)=16,ISNUMBER(--C1526)),"OK","TIDAK VALID")))</f>
        <v/>
      </c>
    </row>
    <row r="1527" customFormat="false" ht="15" hidden="false" customHeight="false" outlineLevel="0" collapsed="false">
      <c r="A1527" s="21"/>
      <c r="B1527" s="22"/>
      <c r="C1527" s="21"/>
      <c r="D1527" s="22"/>
      <c r="E1527" s="22"/>
      <c r="F1527" s="28"/>
      <c r="G1527" s="22"/>
      <c r="H1527" s="21"/>
      <c r="I1527" s="28"/>
      <c r="J1527" s="22"/>
      <c r="K1527" s="22"/>
      <c r="L1527" s="22"/>
      <c r="M1527" s="21"/>
      <c r="N1527" s="22"/>
      <c r="O1527" s="29" t="str">
        <f aca="false">IF(A1527="","",IF(COUNTIF($A$2:$A$2001,A1527)&gt;1,"GANDA","OK"))</f>
        <v/>
      </c>
      <c r="P1527" s="29" t="str">
        <f aca="false">IF(A1527="","",IF(C1527="","KOSONG",IF(AND(LEN(C1527)=16,ISNUMBER(--C1527)),"OK","TIDAK VALID")))</f>
        <v/>
      </c>
    </row>
    <row r="1528" customFormat="false" ht="15" hidden="false" customHeight="false" outlineLevel="0" collapsed="false">
      <c r="A1528" s="21"/>
      <c r="B1528" s="22"/>
      <c r="C1528" s="21"/>
      <c r="D1528" s="22"/>
      <c r="E1528" s="22"/>
      <c r="F1528" s="28"/>
      <c r="G1528" s="22"/>
      <c r="H1528" s="21"/>
      <c r="I1528" s="28"/>
      <c r="J1528" s="22"/>
      <c r="K1528" s="22"/>
      <c r="L1528" s="22"/>
      <c r="M1528" s="21"/>
      <c r="N1528" s="22"/>
      <c r="O1528" s="29" t="str">
        <f aca="false">IF(A1528="","",IF(COUNTIF($A$2:$A$2001,A1528)&gt;1,"GANDA","OK"))</f>
        <v/>
      </c>
      <c r="P1528" s="29" t="str">
        <f aca="false">IF(A1528="","",IF(C1528="","KOSONG",IF(AND(LEN(C1528)=16,ISNUMBER(--C1528)),"OK","TIDAK VALID")))</f>
        <v/>
      </c>
    </row>
    <row r="1529" customFormat="false" ht="15" hidden="false" customHeight="false" outlineLevel="0" collapsed="false">
      <c r="A1529" s="21"/>
      <c r="B1529" s="22"/>
      <c r="C1529" s="21"/>
      <c r="D1529" s="22"/>
      <c r="E1529" s="22"/>
      <c r="F1529" s="28"/>
      <c r="G1529" s="22"/>
      <c r="H1529" s="21"/>
      <c r="I1529" s="28"/>
      <c r="J1529" s="22"/>
      <c r="K1529" s="22"/>
      <c r="L1529" s="22"/>
      <c r="M1529" s="21"/>
      <c r="N1529" s="22"/>
      <c r="O1529" s="29" t="str">
        <f aca="false">IF(A1529="","",IF(COUNTIF($A$2:$A$2001,A1529)&gt;1,"GANDA","OK"))</f>
        <v/>
      </c>
      <c r="P1529" s="29" t="str">
        <f aca="false">IF(A1529="","",IF(C1529="","KOSONG",IF(AND(LEN(C1529)=16,ISNUMBER(--C1529)),"OK","TIDAK VALID")))</f>
        <v/>
      </c>
    </row>
    <row r="1530" customFormat="false" ht="15" hidden="false" customHeight="false" outlineLevel="0" collapsed="false">
      <c r="A1530" s="21"/>
      <c r="B1530" s="22"/>
      <c r="C1530" s="21"/>
      <c r="D1530" s="22"/>
      <c r="E1530" s="22"/>
      <c r="F1530" s="28"/>
      <c r="G1530" s="22"/>
      <c r="H1530" s="21"/>
      <c r="I1530" s="28"/>
      <c r="J1530" s="22"/>
      <c r="K1530" s="22"/>
      <c r="L1530" s="22"/>
      <c r="M1530" s="21"/>
      <c r="N1530" s="22"/>
      <c r="O1530" s="29" t="str">
        <f aca="false">IF(A1530="","",IF(COUNTIF($A$2:$A$2001,A1530)&gt;1,"GANDA","OK"))</f>
        <v/>
      </c>
      <c r="P1530" s="29" t="str">
        <f aca="false">IF(A1530="","",IF(C1530="","KOSONG",IF(AND(LEN(C1530)=16,ISNUMBER(--C1530)),"OK","TIDAK VALID")))</f>
        <v/>
      </c>
    </row>
    <row r="1531" customFormat="false" ht="15" hidden="false" customHeight="false" outlineLevel="0" collapsed="false">
      <c r="A1531" s="21"/>
      <c r="B1531" s="22"/>
      <c r="C1531" s="21"/>
      <c r="D1531" s="22"/>
      <c r="E1531" s="22"/>
      <c r="F1531" s="28"/>
      <c r="G1531" s="22"/>
      <c r="H1531" s="21"/>
      <c r="I1531" s="28"/>
      <c r="J1531" s="22"/>
      <c r="K1531" s="22"/>
      <c r="L1531" s="22"/>
      <c r="M1531" s="21"/>
      <c r="N1531" s="22"/>
      <c r="O1531" s="29" t="str">
        <f aca="false">IF(A1531="","",IF(COUNTIF($A$2:$A$2001,A1531)&gt;1,"GANDA","OK"))</f>
        <v/>
      </c>
      <c r="P1531" s="29" t="str">
        <f aca="false">IF(A1531="","",IF(C1531="","KOSONG",IF(AND(LEN(C1531)=16,ISNUMBER(--C1531)),"OK","TIDAK VALID")))</f>
        <v/>
      </c>
    </row>
    <row r="1532" customFormat="false" ht="15" hidden="false" customHeight="false" outlineLevel="0" collapsed="false">
      <c r="A1532" s="21"/>
      <c r="B1532" s="22"/>
      <c r="C1532" s="21"/>
      <c r="D1532" s="22"/>
      <c r="E1532" s="22"/>
      <c r="F1532" s="28"/>
      <c r="G1532" s="22"/>
      <c r="H1532" s="21"/>
      <c r="I1532" s="28"/>
      <c r="J1532" s="22"/>
      <c r="K1532" s="22"/>
      <c r="L1532" s="22"/>
      <c r="M1532" s="21"/>
      <c r="N1532" s="22"/>
      <c r="O1532" s="29" t="str">
        <f aca="false">IF(A1532="","",IF(COUNTIF($A$2:$A$2001,A1532)&gt;1,"GANDA","OK"))</f>
        <v/>
      </c>
      <c r="P1532" s="29" t="str">
        <f aca="false">IF(A1532="","",IF(C1532="","KOSONG",IF(AND(LEN(C1532)=16,ISNUMBER(--C1532)),"OK","TIDAK VALID")))</f>
        <v/>
      </c>
    </row>
    <row r="1533" customFormat="false" ht="15" hidden="false" customHeight="false" outlineLevel="0" collapsed="false">
      <c r="A1533" s="21"/>
      <c r="B1533" s="22"/>
      <c r="C1533" s="21"/>
      <c r="D1533" s="22"/>
      <c r="E1533" s="22"/>
      <c r="F1533" s="28"/>
      <c r="G1533" s="22"/>
      <c r="H1533" s="21"/>
      <c r="I1533" s="28"/>
      <c r="J1533" s="22"/>
      <c r="K1533" s="22"/>
      <c r="L1533" s="22"/>
      <c r="M1533" s="21"/>
      <c r="N1533" s="22"/>
      <c r="O1533" s="29" t="str">
        <f aca="false">IF(A1533="","",IF(COUNTIF($A$2:$A$2001,A1533)&gt;1,"GANDA","OK"))</f>
        <v/>
      </c>
      <c r="P1533" s="29" t="str">
        <f aca="false">IF(A1533="","",IF(C1533="","KOSONG",IF(AND(LEN(C1533)=16,ISNUMBER(--C1533)),"OK","TIDAK VALID")))</f>
        <v/>
      </c>
    </row>
    <row r="1534" customFormat="false" ht="15" hidden="false" customHeight="false" outlineLevel="0" collapsed="false">
      <c r="A1534" s="21"/>
      <c r="B1534" s="22"/>
      <c r="C1534" s="21"/>
      <c r="D1534" s="22"/>
      <c r="E1534" s="22"/>
      <c r="F1534" s="28"/>
      <c r="G1534" s="22"/>
      <c r="H1534" s="21"/>
      <c r="I1534" s="28"/>
      <c r="J1534" s="22"/>
      <c r="K1534" s="22"/>
      <c r="L1534" s="22"/>
      <c r="M1534" s="21"/>
      <c r="N1534" s="22"/>
      <c r="O1534" s="29" t="str">
        <f aca="false">IF(A1534="","",IF(COUNTIF($A$2:$A$2001,A1534)&gt;1,"GANDA","OK"))</f>
        <v/>
      </c>
      <c r="P1534" s="29" t="str">
        <f aca="false">IF(A1534="","",IF(C1534="","KOSONG",IF(AND(LEN(C1534)=16,ISNUMBER(--C1534)),"OK","TIDAK VALID")))</f>
        <v/>
      </c>
    </row>
    <row r="1535" customFormat="false" ht="15" hidden="false" customHeight="false" outlineLevel="0" collapsed="false">
      <c r="A1535" s="21"/>
      <c r="B1535" s="22"/>
      <c r="C1535" s="21"/>
      <c r="D1535" s="22"/>
      <c r="E1535" s="22"/>
      <c r="F1535" s="28"/>
      <c r="G1535" s="22"/>
      <c r="H1535" s="21"/>
      <c r="I1535" s="28"/>
      <c r="J1535" s="22"/>
      <c r="K1535" s="22"/>
      <c r="L1535" s="22"/>
      <c r="M1535" s="21"/>
      <c r="N1535" s="22"/>
      <c r="O1535" s="29" t="str">
        <f aca="false">IF(A1535="","",IF(COUNTIF($A$2:$A$2001,A1535)&gt;1,"GANDA","OK"))</f>
        <v/>
      </c>
      <c r="P1535" s="29" t="str">
        <f aca="false">IF(A1535="","",IF(C1535="","KOSONG",IF(AND(LEN(C1535)=16,ISNUMBER(--C1535)),"OK","TIDAK VALID")))</f>
        <v/>
      </c>
    </row>
    <row r="1536" customFormat="false" ht="15" hidden="false" customHeight="false" outlineLevel="0" collapsed="false">
      <c r="A1536" s="21"/>
      <c r="B1536" s="22"/>
      <c r="C1536" s="21"/>
      <c r="D1536" s="22"/>
      <c r="E1536" s="22"/>
      <c r="F1536" s="28"/>
      <c r="G1536" s="22"/>
      <c r="H1536" s="21"/>
      <c r="I1536" s="28"/>
      <c r="J1536" s="22"/>
      <c r="K1536" s="22"/>
      <c r="L1536" s="22"/>
      <c r="M1536" s="21"/>
      <c r="N1536" s="22"/>
      <c r="O1536" s="29" t="str">
        <f aca="false">IF(A1536="","",IF(COUNTIF($A$2:$A$2001,A1536)&gt;1,"GANDA","OK"))</f>
        <v/>
      </c>
      <c r="P1536" s="29" t="str">
        <f aca="false">IF(A1536="","",IF(C1536="","KOSONG",IF(AND(LEN(C1536)=16,ISNUMBER(--C1536)),"OK","TIDAK VALID")))</f>
        <v/>
      </c>
    </row>
    <row r="1537" customFormat="false" ht="15" hidden="false" customHeight="false" outlineLevel="0" collapsed="false">
      <c r="A1537" s="21"/>
      <c r="B1537" s="22"/>
      <c r="C1537" s="21"/>
      <c r="D1537" s="22"/>
      <c r="E1537" s="22"/>
      <c r="F1537" s="28"/>
      <c r="G1537" s="22"/>
      <c r="H1537" s="21"/>
      <c r="I1537" s="28"/>
      <c r="J1537" s="22"/>
      <c r="K1537" s="22"/>
      <c r="L1537" s="22"/>
      <c r="M1537" s="21"/>
      <c r="N1537" s="22"/>
      <c r="O1537" s="29" t="str">
        <f aca="false">IF(A1537="","",IF(COUNTIF($A$2:$A$2001,A1537)&gt;1,"GANDA","OK"))</f>
        <v/>
      </c>
      <c r="P1537" s="29" t="str">
        <f aca="false">IF(A1537="","",IF(C1537="","KOSONG",IF(AND(LEN(C1537)=16,ISNUMBER(--C1537)),"OK","TIDAK VALID")))</f>
        <v/>
      </c>
    </row>
    <row r="1538" customFormat="false" ht="15" hidden="false" customHeight="false" outlineLevel="0" collapsed="false">
      <c r="A1538" s="21"/>
      <c r="B1538" s="22"/>
      <c r="C1538" s="21"/>
      <c r="D1538" s="22"/>
      <c r="E1538" s="22"/>
      <c r="F1538" s="28"/>
      <c r="G1538" s="22"/>
      <c r="H1538" s="21"/>
      <c r="I1538" s="28"/>
      <c r="J1538" s="22"/>
      <c r="K1538" s="22"/>
      <c r="L1538" s="22"/>
      <c r="M1538" s="21"/>
      <c r="N1538" s="22"/>
      <c r="O1538" s="29" t="str">
        <f aca="false">IF(A1538="","",IF(COUNTIF($A$2:$A$2001,A1538)&gt;1,"GANDA","OK"))</f>
        <v/>
      </c>
      <c r="P1538" s="29" t="str">
        <f aca="false">IF(A1538="","",IF(C1538="","KOSONG",IF(AND(LEN(C1538)=16,ISNUMBER(--C1538)),"OK","TIDAK VALID")))</f>
        <v/>
      </c>
    </row>
    <row r="1539" customFormat="false" ht="15" hidden="false" customHeight="false" outlineLevel="0" collapsed="false">
      <c r="A1539" s="21"/>
      <c r="B1539" s="22"/>
      <c r="C1539" s="21"/>
      <c r="D1539" s="22"/>
      <c r="E1539" s="22"/>
      <c r="F1539" s="28"/>
      <c r="G1539" s="22"/>
      <c r="H1539" s="21"/>
      <c r="I1539" s="28"/>
      <c r="J1539" s="22"/>
      <c r="K1539" s="22"/>
      <c r="L1539" s="22"/>
      <c r="M1539" s="21"/>
      <c r="N1539" s="22"/>
      <c r="O1539" s="29" t="str">
        <f aca="false">IF(A1539="","",IF(COUNTIF($A$2:$A$2001,A1539)&gt;1,"GANDA","OK"))</f>
        <v/>
      </c>
      <c r="P1539" s="29" t="str">
        <f aca="false">IF(A1539="","",IF(C1539="","KOSONG",IF(AND(LEN(C1539)=16,ISNUMBER(--C1539)),"OK","TIDAK VALID")))</f>
        <v/>
      </c>
    </row>
    <row r="1540" customFormat="false" ht="15" hidden="false" customHeight="false" outlineLevel="0" collapsed="false">
      <c r="A1540" s="21"/>
      <c r="B1540" s="22"/>
      <c r="C1540" s="21"/>
      <c r="D1540" s="22"/>
      <c r="E1540" s="22"/>
      <c r="F1540" s="28"/>
      <c r="G1540" s="22"/>
      <c r="H1540" s="21"/>
      <c r="I1540" s="28"/>
      <c r="J1540" s="22"/>
      <c r="K1540" s="22"/>
      <c r="L1540" s="22"/>
      <c r="M1540" s="21"/>
      <c r="N1540" s="22"/>
      <c r="O1540" s="29" t="str">
        <f aca="false">IF(A1540="","",IF(COUNTIF($A$2:$A$2001,A1540)&gt;1,"GANDA","OK"))</f>
        <v/>
      </c>
      <c r="P1540" s="29" t="str">
        <f aca="false">IF(A1540="","",IF(C1540="","KOSONG",IF(AND(LEN(C1540)=16,ISNUMBER(--C1540)),"OK","TIDAK VALID")))</f>
        <v/>
      </c>
    </row>
    <row r="1541" customFormat="false" ht="15" hidden="false" customHeight="false" outlineLevel="0" collapsed="false">
      <c r="A1541" s="21"/>
      <c r="B1541" s="22"/>
      <c r="C1541" s="21"/>
      <c r="D1541" s="22"/>
      <c r="E1541" s="22"/>
      <c r="F1541" s="28"/>
      <c r="G1541" s="22"/>
      <c r="H1541" s="21"/>
      <c r="I1541" s="28"/>
      <c r="J1541" s="22"/>
      <c r="K1541" s="22"/>
      <c r="L1541" s="22"/>
      <c r="M1541" s="21"/>
      <c r="N1541" s="22"/>
      <c r="O1541" s="29" t="str">
        <f aca="false">IF(A1541="","",IF(COUNTIF($A$2:$A$2001,A1541)&gt;1,"GANDA","OK"))</f>
        <v/>
      </c>
      <c r="P1541" s="29" t="str">
        <f aca="false">IF(A1541="","",IF(C1541="","KOSONG",IF(AND(LEN(C1541)=16,ISNUMBER(--C1541)),"OK","TIDAK VALID")))</f>
        <v/>
      </c>
    </row>
    <row r="1542" customFormat="false" ht="15" hidden="false" customHeight="false" outlineLevel="0" collapsed="false">
      <c r="A1542" s="21"/>
      <c r="B1542" s="22"/>
      <c r="C1542" s="21"/>
      <c r="D1542" s="22"/>
      <c r="E1542" s="22"/>
      <c r="F1542" s="28"/>
      <c r="G1542" s="22"/>
      <c r="H1542" s="21"/>
      <c r="I1542" s="28"/>
      <c r="J1542" s="22"/>
      <c r="K1542" s="22"/>
      <c r="L1542" s="22"/>
      <c r="M1542" s="21"/>
      <c r="N1542" s="22"/>
      <c r="O1542" s="29" t="str">
        <f aca="false">IF(A1542="","",IF(COUNTIF($A$2:$A$2001,A1542)&gt;1,"GANDA","OK"))</f>
        <v/>
      </c>
      <c r="P1542" s="29" t="str">
        <f aca="false">IF(A1542="","",IF(C1542="","KOSONG",IF(AND(LEN(C1542)=16,ISNUMBER(--C1542)),"OK","TIDAK VALID")))</f>
        <v/>
      </c>
    </row>
    <row r="1543" customFormat="false" ht="15" hidden="false" customHeight="false" outlineLevel="0" collapsed="false">
      <c r="A1543" s="21"/>
      <c r="B1543" s="22"/>
      <c r="C1543" s="21"/>
      <c r="D1543" s="22"/>
      <c r="E1543" s="22"/>
      <c r="F1543" s="28"/>
      <c r="G1543" s="22"/>
      <c r="H1543" s="21"/>
      <c r="I1543" s="28"/>
      <c r="J1543" s="22"/>
      <c r="K1543" s="22"/>
      <c r="L1543" s="22"/>
      <c r="M1543" s="21"/>
      <c r="N1543" s="22"/>
      <c r="O1543" s="29" t="str">
        <f aca="false">IF(A1543="","",IF(COUNTIF($A$2:$A$2001,A1543)&gt;1,"GANDA","OK"))</f>
        <v/>
      </c>
      <c r="P1543" s="29" t="str">
        <f aca="false">IF(A1543="","",IF(C1543="","KOSONG",IF(AND(LEN(C1543)=16,ISNUMBER(--C1543)),"OK","TIDAK VALID")))</f>
        <v/>
      </c>
    </row>
    <row r="1544" customFormat="false" ht="15" hidden="false" customHeight="false" outlineLevel="0" collapsed="false">
      <c r="A1544" s="21"/>
      <c r="B1544" s="22"/>
      <c r="C1544" s="21"/>
      <c r="D1544" s="22"/>
      <c r="E1544" s="22"/>
      <c r="F1544" s="28"/>
      <c r="G1544" s="22"/>
      <c r="H1544" s="21"/>
      <c r="I1544" s="28"/>
      <c r="J1544" s="22"/>
      <c r="K1544" s="22"/>
      <c r="L1544" s="22"/>
      <c r="M1544" s="21"/>
      <c r="N1544" s="22"/>
      <c r="O1544" s="29" t="str">
        <f aca="false">IF(A1544="","",IF(COUNTIF($A$2:$A$2001,A1544)&gt;1,"GANDA","OK"))</f>
        <v/>
      </c>
      <c r="P1544" s="29" t="str">
        <f aca="false">IF(A1544="","",IF(C1544="","KOSONG",IF(AND(LEN(C1544)=16,ISNUMBER(--C1544)),"OK","TIDAK VALID")))</f>
        <v/>
      </c>
    </row>
    <row r="1545" customFormat="false" ht="15" hidden="false" customHeight="false" outlineLevel="0" collapsed="false">
      <c r="A1545" s="21"/>
      <c r="B1545" s="22"/>
      <c r="C1545" s="21"/>
      <c r="D1545" s="22"/>
      <c r="E1545" s="22"/>
      <c r="F1545" s="28"/>
      <c r="G1545" s="22"/>
      <c r="H1545" s="21"/>
      <c r="I1545" s="28"/>
      <c r="J1545" s="22"/>
      <c r="K1545" s="22"/>
      <c r="L1545" s="22"/>
      <c r="M1545" s="21"/>
      <c r="N1545" s="22"/>
      <c r="O1545" s="29" t="str">
        <f aca="false">IF(A1545="","",IF(COUNTIF($A$2:$A$2001,A1545)&gt;1,"GANDA","OK"))</f>
        <v/>
      </c>
      <c r="P1545" s="29" t="str">
        <f aca="false">IF(A1545="","",IF(C1545="","KOSONG",IF(AND(LEN(C1545)=16,ISNUMBER(--C1545)),"OK","TIDAK VALID")))</f>
        <v/>
      </c>
    </row>
    <row r="1546" customFormat="false" ht="15" hidden="false" customHeight="false" outlineLevel="0" collapsed="false">
      <c r="A1546" s="21"/>
      <c r="B1546" s="22"/>
      <c r="C1546" s="21"/>
      <c r="D1546" s="22"/>
      <c r="E1546" s="22"/>
      <c r="F1546" s="28"/>
      <c r="G1546" s="22"/>
      <c r="H1546" s="21"/>
      <c r="I1546" s="28"/>
      <c r="J1546" s="22"/>
      <c r="K1546" s="22"/>
      <c r="L1546" s="22"/>
      <c r="M1546" s="21"/>
      <c r="N1546" s="22"/>
      <c r="O1546" s="29" t="str">
        <f aca="false">IF(A1546="","",IF(COUNTIF($A$2:$A$2001,A1546)&gt;1,"GANDA","OK"))</f>
        <v/>
      </c>
      <c r="P1546" s="29" t="str">
        <f aca="false">IF(A1546="","",IF(C1546="","KOSONG",IF(AND(LEN(C1546)=16,ISNUMBER(--C1546)),"OK","TIDAK VALID")))</f>
        <v/>
      </c>
    </row>
    <row r="1547" customFormat="false" ht="15" hidden="false" customHeight="false" outlineLevel="0" collapsed="false">
      <c r="A1547" s="21"/>
      <c r="B1547" s="22"/>
      <c r="C1547" s="21"/>
      <c r="D1547" s="22"/>
      <c r="E1547" s="22"/>
      <c r="F1547" s="28"/>
      <c r="G1547" s="22"/>
      <c r="H1547" s="21"/>
      <c r="I1547" s="28"/>
      <c r="J1547" s="22"/>
      <c r="K1547" s="22"/>
      <c r="L1547" s="22"/>
      <c r="M1547" s="21"/>
      <c r="N1547" s="22"/>
      <c r="O1547" s="29" t="str">
        <f aca="false">IF(A1547="","",IF(COUNTIF($A$2:$A$2001,A1547)&gt;1,"GANDA","OK"))</f>
        <v/>
      </c>
      <c r="P1547" s="29" t="str">
        <f aca="false">IF(A1547="","",IF(C1547="","KOSONG",IF(AND(LEN(C1547)=16,ISNUMBER(--C1547)),"OK","TIDAK VALID")))</f>
        <v/>
      </c>
    </row>
    <row r="1548" customFormat="false" ht="15" hidden="false" customHeight="false" outlineLevel="0" collapsed="false">
      <c r="A1548" s="21"/>
      <c r="B1548" s="22"/>
      <c r="C1548" s="21"/>
      <c r="D1548" s="22"/>
      <c r="E1548" s="22"/>
      <c r="F1548" s="28"/>
      <c r="G1548" s="22"/>
      <c r="H1548" s="21"/>
      <c r="I1548" s="28"/>
      <c r="J1548" s="22"/>
      <c r="K1548" s="22"/>
      <c r="L1548" s="22"/>
      <c r="M1548" s="21"/>
      <c r="N1548" s="22"/>
      <c r="O1548" s="29" t="str">
        <f aca="false">IF(A1548="","",IF(COUNTIF($A$2:$A$2001,A1548)&gt;1,"GANDA","OK"))</f>
        <v/>
      </c>
      <c r="P1548" s="29" t="str">
        <f aca="false">IF(A1548="","",IF(C1548="","KOSONG",IF(AND(LEN(C1548)=16,ISNUMBER(--C1548)),"OK","TIDAK VALID")))</f>
        <v/>
      </c>
    </row>
    <row r="1549" customFormat="false" ht="15" hidden="false" customHeight="false" outlineLevel="0" collapsed="false">
      <c r="A1549" s="21"/>
      <c r="B1549" s="22"/>
      <c r="C1549" s="21"/>
      <c r="D1549" s="22"/>
      <c r="E1549" s="22"/>
      <c r="F1549" s="28"/>
      <c r="G1549" s="22"/>
      <c r="H1549" s="21"/>
      <c r="I1549" s="28"/>
      <c r="J1549" s="22"/>
      <c r="K1549" s="22"/>
      <c r="L1549" s="22"/>
      <c r="M1549" s="21"/>
      <c r="N1549" s="22"/>
      <c r="O1549" s="29" t="str">
        <f aca="false">IF(A1549="","",IF(COUNTIF($A$2:$A$2001,A1549)&gt;1,"GANDA","OK"))</f>
        <v/>
      </c>
      <c r="P1549" s="29" t="str">
        <f aca="false">IF(A1549="","",IF(C1549="","KOSONG",IF(AND(LEN(C1549)=16,ISNUMBER(--C1549)),"OK","TIDAK VALID")))</f>
        <v/>
      </c>
    </row>
    <row r="1550" customFormat="false" ht="15" hidden="false" customHeight="false" outlineLevel="0" collapsed="false">
      <c r="A1550" s="21"/>
      <c r="B1550" s="22"/>
      <c r="C1550" s="21"/>
      <c r="D1550" s="22"/>
      <c r="E1550" s="22"/>
      <c r="F1550" s="28"/>
      <c r="G1550" s="22"/>
      <c r="H1550" s="21"/>
      <c r="I1550" s="28"/>
      <c r="J1550" s="22"/>
      <c r="K1550" s="22"/>
      <c r="L1550" s="22"/>
      <c r="M1550" s="21"/>
      <c r="N1550" s="22"/>
      <c r="O1550" s="29" t="str">
        <f aca="false">IF(A1550="","",IF(COUNTIF($A$2:$A$2001,A1550)&gt;1,"GANDA","OK"))</f>
        <v/>
      </c>
      <c r="P1550" s="29" t="str">
        <f aca="false">IF(A1550="","",IF(C1550="","KOSONG",IF(AND(LEN(C1550)=16,ISNUMBER(--C1550)),"OK","TIDAK VALID")))</f>
        <v/>
      </c>
    </row>
    <row r="1551" customFormat="false" ht="15" hidden="false" customHeight="false" outlineLevel="0" collapsed="false">
      <c r="A1551" s="21"/>
      <c r="B1551" s="22"/>
      <c r="C1551" s="21"/>
      <c r="D1551" s="22"/>
      <c r="E1551" s="22"/>
      <c r="F1551" s="28"/>
      <c r="G1551" s="22"/>
      <c r="H1551" s="21"/>
      <c r="I1551" s="28"/>
      <c r="J1551" s="22"/>
      <c r="K1551" s="22"/>
      <c r="L1551" s="22"/>
      <c r="M1551" s="21"/>
      <c r="N1551" s="22"/>
      <c r="O1551" s="29" t="str">
        <f aca="false">IF(A1551="","",IF(COUNTIF($A$2:$A$2001,A1551)&gt;1,"GANDA","OK"))</f>
        <v/>
      </c>
      <c r="P1551" s="29" t="str">
        <f aca="false">IF(A1551="","",IF(C1551="","KOSONG",IF(AND(LEN(C1551)=16,ISNUMBER(--C1551)),"OK","TIDAK VALID")))</f>
        <v/>
      </c>
    </row>
    <row r="1552" customFormat="false" ht="15" hidden="false" customHeight="false" outlineLevel="0" collapsed="false">
      <c r="A1552" s="21"/>
      <c r="B1552" s="22"/>
      <c r="C1552" s="21"/>
      <c r="D1552" s="22"/>
      <c r="E1552" s="22"/>
      <c r="F1552" s="28"/>
      <c r="G1552" s="22"/>
      <c r="H1552" s="21"/>
      <c r="I1552" s="28"/>
      <c r="J1552" s="22"/>
      <c r="K1552" s="22"/>
      <c r="L1552" s="22"/>
      <c r="M1552" s="21"/>
      <c r="N1552" s="22"/>
      <c r="O1552" s="29" t="str">
        <f aca="false">IF(A1552="","",IF(COUNTIF($A$2:$A$2001,A1552)&gt;1,"GANDA","OK"))</f>
        <v/>
      </c>
      <c r="P1552" s="29" t="str">
        <f aca="false">IF(A1552="","",IF(C1552="","KOSONG",IF(AND(LEN(C1552)=16,ISNUMBER(--C1552)),"OK","TIDAK VALID")))</f>
        <v/>
      </c>
    </row>
    <row r="1553" customFormat="false" ht="15" hidden="false" customHeight="false" outlineLevel="0" collapsed="false">
      <c r="A1553" s="21"/>
      <c r="B1553" s="22"/>
      <c r="C1553" s="21"/>
      <c r="D1553" s="22"/>
      <c r="E1553" s="22"/>
      <c r="F1553" s="28"/>
      <c r="G1553" s="22"/>
      <c r="H1553" s="21"/>
      <c r="I1553" s="28"/>
      <c r="J1553" s="22"/>
      <c r="K1553" s="22"/>
      <c r="L1553" s="22"/>
      <c r="M1553" s="21"/>
      <c r="N1553" s="22"/>
      <c r="O1553" s="29" t="str">
        <f aca="false">IF(A1553="","",IF(COUNTIF($A$2:$A$2001,A1553)&gt;1,"GANDA","OK"))</f>
        <v/>
      </c>
      <c r="P1553" s="29" t="str">
        <f aca="false">IF(A1553="","",IF(C1553="","KOSONG",IF(AND(LEN(C1553)=16,ISNUMBER(--C1553)),"OK","TIDAK VALID")))</f>
        <v/>
      </c>
    </row>
    <row r="1554" customFormat="false" ht="15" hidden="false" customHeight="false" outlineLevel="0" collapsed="false">
      <c r="A1554" s="21"/>
      <c r="B1554" s="22"/>
      <c r="C1554" s="21"/>
      <c r="D1554" s="22"/>
      <c r="E1554" s="22"/>
      <c r="F1554" s="28"/>
      <c r="G1554" s="22"/>
      <c r="H1554" s="21"/>
      <c r="I1554" s="28"/>
      <c r="J1554" s="22"/>
      <c r="K1554" s="22"/>
      <c r="L1554" s="22"/>
      <c r="M1554" s="21"/>
      <c r="N1554" s="22"/>
      <c r="O1554" s="29" t="str">
        <f aca="false">IF(A1554="","",IF(COUNTIF($A$2:$A$2001,A1554)&gt;1,"GANDA","OK"))</f>
        <v/>
      </c>
      <c r="P1554" s="29" t="str">
        <f aca="false">IF(A1554="","",IF(C1554="","KOSONG",IF(AND(LEN(C1554)=16,ISNUMBER(--C1554)),"OK","TIDAK VALID")))</f>
        <v/>
      </c>
    </row>
    <row r="1555" customFormat="false" ht="15" hidden="false" customHeight="false" outlineLevel="0" collapsed="false">
      <c r="A1555" s="21"/>
      <c r="B1555" s="22"/>
      <c r="C1555" s="21"/>
      <c r="D1555" s="22"/>
      <c r="E1555" s="22"/>
      <c r="F1555" s="28"/>
      <c r="G1555" s="22"/>
      <c r="H1555" s="21"/>
      <c r="I1555" s="28"/>
      <c r="J1555" s="22"/>
      <c r="K1555" s="22"/>
      <c r="L1555" s="22"/>
      <c r="M1555" s="21"/>
      <c r="N1555" s="22"/>
      <c r="O1555" s="29" t="str">
        <f aca="false">IF(A1555="","",IF(COUNTIF($A$2:$A$2001,A1555)&gt;1,"GANDA","OK"))</f>
        <v/>
      </c>
      <c r="P1555" s="29" t="str">
        <f aca="false">IF(A1555="","",IF(C1555="","KOSONG",IF(AND(LEN(C1555)=16,ISNUMBER(--C1555)),"OK","TIDAK VALID")))</f>
        <v/>
      </c>
    </row>
    <row r="1556" customFormat="false" ht="15" hidden="false" customHeight="false" outlineLevel="0" collapsed="false">
      <c r="A1556" s="21"/>
      <c r="B1556" s="22"/>
      <c r="C1556" s="21"/>
      <c r="D1556" s="22"/>
      <c r="E1556" s="22"/>
      <c r="F1556" s="28"/>
      <c r="G1556" s="22"/>
      <c r="H1556" s="21"/>
      <c r="I1556" s="28"/>
      <c r="J1556" s="22"/>
      <c r="K1556" s="22"/>
      <c r="L1556" s="22"/>
      <c r="M1556" s="21"/>
      <c r="N1556" s="22"/>
      <c r="O1556" s="29" t="str">
        <f aca="false">IF(A1556="","",IF(COUNTIF($A$2:$A$2001,A1556)&gt;1,"GANDA","OK"))</f>
        <v/>
      </c>
      <c r="P1556" s="29" t="str">
        <f aca="false">IF(A1556="","",IF(C1556="","KOSONG",IF(AND(LEN(C1556)=16,ISNUMBER(--C1556)),"OK","TIDAK VALID")))</f>
        <v/>
      </c>
    </row>
    <row r="1557" customFormat="false" ht="15" hidden="false" customHeight="false" outlineLevel="0" collapsed="false">
      <c r="A1557" s="21"/>
      <c r="B1557" s="22"/>
      <c r="C1557" s="21"/>
      <c r="D1557" s="22"/>
      <c r="E1557" s="22"/>
      <c r="F1557" s="28"/>
      <c r="G1557" s="22"/>
      <c r="H1557" s="21"/>
      <c r="I1557" s="28"/>
      <c r="J1557" s="22"/>
      <c r="K1557" s="22"/>
      <c r="L1557" s="22"/>
      <c r="M1557" s="21"/>
      <c r="N1557" s="22"/>
      <c r="O1557" s="29" t="str">
        <f aca="false">IF(A1557="","",IF(COUNTIF($A$2:$A$2001,A1557)&gt;1,"GANDA","OK"))</f>
        <v/>
      </c>
      <c r="P1557" s="29" t="str">
        <f aca="false">IF(A1557="","",IF(C1557="","KOSONG",IF(AND(LEN(C1557)=16,ISNUMBER(--C1557)),"OK","TIDAK VALID")))</f>
        <v/>
      </c>
    </row>
    <row r="1558" customFormat="false" ht="15" hidden="false" customHeight="false" outlineLevel="0" collapsed="false">
      <c r="A1558" s="21"/>
      <c r="B1558" s="22"/>
      <c r="C1558" s="21"/>
      <c r="D1558" s="22"/>
      <c r="E1558" s="22"/>
      <c r="F1558" s="28"/>
      <c r="G1558" s="22"/>
      <c r="H1558" s="21"/>
      <c r="I1558" s="28"/>
      <c r="J1558" s="22"/>
      <c r="K1558" s="22"/>
      <c r="L1558" s="22"/>
      <c r="M1558" s="21"/>
      <c r="N1558" s="22"/>
      <c r="O1558" s="29" t="str">
        <f aca="false">IF(A1558="","",IF(COUNTIF($A$2:$A$2001,A1558)&gt;1,"GANDA","OK"))</f>
        <v/>
      </c>
      <c r="P1558" s="29" t="str">
        <f aca="false">IF(A1558="","",IF(C1558="","KOSONG",IF(AND(LEN(C1558)=16,ISNUMBER(--C1558)),"OK","TIDAK VALID")))</f>
        <v/>
      </c>
    </row>
    <row r="1559" customFormat="false" ht="15" hidden="false" customHeight="false" outlineLevel="0" collapsed="false">
      <c r="A1559" s="21"/>
      <c r="B1559" s="22"/>
      <c r="C1559" s="21"/>
      <c r="D1559" s="22"/>
      <c r="E1559" s="22"/>
      <c r="F1559" s="28"/>
      <c r="G1559" s="22"/>
      <c r="H1559" s="21"/>
      <c r="I1559" s="28"/>
      <c r="J1559" s="22"/>
      <c r="K1559" s="22"/>
      <c r="L1559" s="22"/>
      <c r="M1559" s="21"/>
      <c r="N1559" s="22"/>
      <c r="O1559" s="29" t="str">
        <f aca="false">IF(A1559="","",IF(COUNTIF($A$2:$A$2001,A1559)&gt;1,"GANDA","OK"))</f>
        <v/>
      </c>
      <c r="P1559" s="29" t="str">
        <f aca="false">IF(A1559="","",IF(C1559="","KOSONG",IF(AND(LEN(C1559)=16,ISNUMBER(--C1559)),"OK","TIDAK VALID")))</f>
        <v/>
      </c>
    </row>
    <row r="1560" customFormat="false" ht="15" hidden="false" customHeight="false" outlineLevel="0" collapsed="false">
      <c r="A1560" s="21"/>
      <c r="B1560" s="22"/>
      <c r="C1560" s="21"/>
      <c r="D1560" s="22"/>
      <c r="E1560" s="22"/>
      <c r="F1560" s="28"/>
      <c r="G1560" s="22"/>
      <c r="H1560" s="21"/>
      <c r="I1560" s="28"/>
      <c r="J1560" s="22"/>
      <c r="K1560" s="22"/>
      <c r="L1560" s="22"/>
      <c r="M1560" s="21"/>
      <c r="N1560" s="22"/>
      <c r="O1560" s="29" t="str">
        <f aca="false">IF(A1560="","",IF(COUNTIF($A$2:$A$2001,A1560)&gt;1,"GANDA","OK"))</f>
        <v/>
      </c>
      <c r="P1560" s="29" t="str">
        <f aca="false">IF(A1560="","",IF(C1560="","KOSONG",IF(AND(LEN(C1560)=16,ISNUMBER(--C1560)),"OK","TIDAK VALID")))</f>
        <v/>
      </c>
    </row>
    <row r="1561" customFormat="false" ht="15" hidden="false" customHeight="false" outlineLevel="0" collapsed="false">
      <c r="A1561" s="21"/>
      <c r="B1561" s="22"/>
      <c r="C1561" s="21"/>
      <c r="D1561" s="22"/>
      <c r="E1561" s="22"/>
      <c r="F1561" s="28"/>
      <c r="G1561" s="22"/>
      <c r="H1561" s="21"/>
      <c r="I1561" s="28"/>
      <c r="J1561" s="22"/>
      <c r="K1561" s="22"/>
      <c r="L1561" s="22"/>
      <c r="M1561" s="21"/>
      <c r="N1561" s="22"/>
      <c r="O1561" s="29" t="str">
        <f aca="false">IF(A1561="","",IF(COUNTIF($A$2:$A$2001,A1561)&gt;1,"GANDA","OK"))</f>
        <v/>
      </c>
      <c r="P1561" s="29" t="str">
        <f aca="false">IF(A1561="","",IF(C1561="","KOSONG",IF(AND(LEN(C1561)=16,ISNUMBER(--C1561)),"OK","TIDAK VALID")))</f>
        <v/>
      </c>
    </row>
    <row r="1562" customFormat="false" ht="15" hidden="false" customHeight="false" outlineLevel="0" collapsed="false">
      <c r="A1562" s="21"/>
      <c r="B1562" s="22"/>
      <c r="C1562" s="21"/>
      <c r="D1562" s="22"/>
      <c r="E1562" s="22"/>
      <c r="F1562" s="28"/>
      <c r="G1562" s="22"/>
      <c r="H1562" s="21"/>
      <c r="I1562" s="28"/>
      <c r="J1562" s="22"/>
      <c r="K1562" s="22"/>
      <c r="L1562" s="22"/>
      <c r="M1562" s="21"/>
      <c r="N1562" s="22"/>
      <c r="O1562" s="29" t="str">
        <f aca="false">IF(A1562="","",IF(COUNTIF($A$2:$A$2001,A1562)&gt;1,"GANDA","OK"))</f>
        <v/>
      </c>
      <c r="P1562" s="29" t="str">
        <f aca="false">IF(A1562="","",IF(C1562="","KOSONG",IF(AND(LEN(C1562)=16,ISNUMBER(--C1562)),"OK","TIDAK VALID")))</f>
        <v/>
      </c>
    </row>
    <row r="1563" customFormat="false" ht="15" hidden="false" customHeight="false" outlineLevel="0" collapsed="false">
      <c r="A1563" s="21"/>
      <c r="B1563" s="22"/>
      <c r="C1563" s="21"/>
      <c r="D1563" s="22"/>
      <c r="E1563" s="22"/>
      <c r="F1563" s="28"/>
      <c r="G1563" s="22"/>
      <c r="H1563" s="21"/>
      <c r="I1563" s="28"/>
      <c r="J1563" s="22"/>
      <c r="K1563" s="22"/>
      <c r="L1563" s="22"/>
      <c r="M1563" s="21"/>
      <c r="N1563" s="22"/>
      <c r="O1563" s="29" t="str">
        <f aca="false">IF(A1563="","",IF(COUNTIF($A$2:$A$2001,A1563)&gt;1,"GANDA","OK"))</f>
        <v/>
      </c>
      <c r="P1563" s="29" t="str">
        <f aca="false">IF(A1563="","",IF(C1563="","KOSONG",IF(AND(LEN(C1563)=16,ISNUMBER(--C1563)),"OK","TIDAK VALID")))</f>
        <v/>
      </c>
    </row>
    <row r="1564" customFormat="false" ht="15" hidden="false" customHeight="false" outlineLevel="0" collapsed="false">
      <c r="A1564" s="21"/>
      <c r="B1564" s="22"/>
      <c r="C1564" s="21"/>
      <c r="D1564" s="22"/>
      <c r="E1564" s="22"/>
      <c r="F1564" s="28"/>
      <c r="G1564" s="22"/>
      <c r="H1564" s="21"/>
      <c r="I1564" s="28"/>
      <c r="J1564" s="22"/>
      <c r="K1564" s="22"/>
      <c r="L1564" s="22"/>
      <c r="M1564" s="21"/>
      <c r="N1564" s="22"/>
      <c r="O1564" s="29" t="str">
        <f aca="false">IF(A1564="","",IF(COUNTIF($A$2:$A$2001,A1564)&gt;1,"GANDA","OK"))</f>
        <v/>
      </c>
      <c r="P1564" s="29" t="str">
        <f aca="false">IF(A1564="","",IF(C1564="","KOSONG",IF(AND(LEN(C1564)=16,ISNUMBER(--C1564)),"OK","TIDAK VALID")))</f>
        <v/>
      </c>
    </row>
    <row r="1565" customFormat="false" ht="15" hidden="false" customHeight="false" outlineLevel="0" collapsed="false">
      <c r="A1565" s="21"/>
      <c r="B1565" s="22"/>
      <c r="C1565" s="21"/>
      <c r="D1565" s="22"/>
      <c r="E1565" s="22"/>
      <c r="F1565" s="28"/>
      <c r="G1565" s="22"/>
      <c r="H1565" s="21"/>
      <c r="I1565" s="28"/>
      <c r="J1565" s="22"/>
      <c r="K1565" s="22"/>
      <c r="L1565" s="22"/>
      <c r="M1565" s="21"/>
      <c r="N1565" s="22"/>
      <c r="O1565" s="29" t="str">
        <f aca="false">IF(A1565="","",IF(COUNTIF($A$2:$A$2001,A1565)&gt;1,"GANDA","OK"))</f>
        <v/>
      </c>
      <c r="P1565" s="29" t="str">
        <f aca="false">IF(A1565="","",IF(C1565="","KOSONG",IF(AND(LEN(C1565)=16,ISNUMBER(--C1565)),"OK","TIDAK VALID")))</f>
        <v/>
      </c>
    </row>
    <row r="1566" customFormat="false" ht="15" hidden="false" customHeight="false" outlineLevel="0" collapsed="false">
      <c r="A1566" s="21"/>
      <c r="B1566" s="22"/>
      <c r="C1566" s="21"/>
      <c r="D1566" s="22"/>
      <c r="E1566" s="22"/>
      <c r="F1566" s="28"/>
      <c r="G1566" s="22"/>
      <c r="H1566" s="21"/>
      <c r="I1566" s="28"/>
      <c r="J1566" s="22"/>
      <c r="K1566" s="22"/>
      <c r="L1566" s="22"/>
      <c r="M1566" s="21"/>
      <c r="N1566" s="22"/>
      <c r="O1566" s="29" t="str">
        <f aca="false">IF(A1566="","",IF(COUNTIF($A$2:$A$2001,A1566)&gt;1,"GANDA","OK"))</f>
        <v/>
      </c>
      <c r="P1566" s="29" t="str">
        <f aca="false">IF(A1566="","",IF(C1566="","KOSONG",IF(AND(LEN(C1566)=16,ISNUMBER(--C1566)),"OK","TIDAK VALID")))</f>
        <v/>
      </c>
    </row>
    <row r="1567" customFormat="false" ht="15" hidden="false" customHeight="false" outlineLevel="0" collapsed="false">
      <c r="A1567" s="21"/>
      <c r="B1567" s="22"/>
      <c r="C1567" s="21"/>
      <c r="D1567" s="22"/>
      <c r="E1567" s="22"/>
      <c r="F1567" s="28"/>
      <c r="G1567" s="22"/>
      <c r="H1567" s="21"/>
      <c r="I1567" s="28"/>
      <c r="J1567" s="22"/>
      <c r="K1567" s="22"/>
      <c r="L1567" s="22"/>
      <c r="M1567" s="21"/>
      <c r="N1567" s="22"/>
      <c r="O1567" s="29" t="str">
        <f aca="false">IF(A1567="","",IF(COUNTIF($A$2:$A$2001,A1567)&gt;1,"GANDA","OK"))</f>
        <v/>
      </c>
      <c r="P1567" s="29" t="str">
        <f aca="false">IF(A1567="","",IF(C1567="","KOSONG",IF(AND(LEN(C1567)=16,ISNUMBER(--C1567)),"OK","TIDAK VALID")))</f>
        <v/>
      </c>
    </row>
    <row r="1568" customFormat="false" ht="15" hidden="false" customHeight="false" outlineLevel="0" collapsed="false">
      <c r="A1568" s="21"/>
      <c r="B1568" s="22"/>
      <c r="C1568" s="21"/>
      <c r="D1568" s="22"/>
      <c r="E1568" s="22"/>
      <c r="F1568" s="28"/>
      <c r="G1568" s="22"/>
      <c r="H1568" s="21"/>
      <c r="I1568" s="28"/>
      <c r="J1568" s="22"/>
      <c r="K1568" s="22"/>
      <c r="L1568" s="22"/>
      <c r="M1568" s="21"/>
      <c r="N1568" s="22"/>
      <c r="O1568" s="29" t="str">
        <f aca="false">IF(A1568="","",IF(COUNTIF($A$2:$A$2001,A1568)&gt;1,"GANDA","OK"))</f>
        <v/>
      </c>
      <c r="P1568" s="29" t="str">
        <f aca="false">IF(A1568="","",IF(C1568="","KOSONG",IF(AND(LEN(C1568)=16,ISNUMBER(--C1568)),"OK","TIDAK VALID")))</f>
        <v/>
      </c>
    </row>
    <row r="1569" customFormat="false" ht="15" hidden="false" customHeight="false" outlineLevel="0" collapsed="false">
      <c r="A1569" s="21"/>
      <c r="B1569" s="22"/>
      <c r="C1569" s="21"/>
      <c r="D1569" s="22"/>
      <c r="E1569" s="22"/>
      <c r="F1569" s="28"/>
      <c r="G1569" s="22"/>
      <c r="H1569" s="21"/>
      <c r="I1569" s="28"/>
      <c r="J1569" s="22"/>
      <c r="K1569" s="22"/>
      <c r="L1569" s="22"/>
      <c r="M1569" s="21"/>
      <c r="N1569" s="22"/>
      <c r="O1569" s="29" t="str">
        <f aca="false">IF(A1569="","",IF(COUNTIF($A$2:$A$2001,A1569)&gt;1,"GANDA","OK"))</f>
        <v/>
      </c>
      <c r="P1569" s="29" t="str">
        <f aca="false">IF(A1569="","",IF(C1569="","KOSONG",IF(AND(LEN(C1569)=16,ISNUMBER(--C1569)),"OK","TIDAK VALID")))</f>
        <v/>
      </c>
    </row>
    <row r="1570" customFormat="false" ht="15" hidden="false" customHeight="false" outlineLevel="0" collapsed="false">
      <c r="A1570" s="21"/>
      <c r="B1570" s="22"/>
      <c r="C1570" s="21"/>
      <c r="D1570" s="22"/>
      <c r="E1570" s="22"/>
      <c r="F1570" s="28"/>
      <c r="G1570" s="22"/>
      <c r="H1570" s="21"/>
      <c r="I1570" s="28"/>
      <c r="J1570" s="22"/>
      <c r="K1570" s="22"/>
      <c r="L1570" s="22"/>
      <c r="M1570" s="21"/>
      <c r="N1570" s="22"/>
      <c r="O1570" s="29" t="str">
        <f aca="false">IF(A1570="","",IF(COUNTIF($A$2:$A$2001,A1570)&gt;1,"GANDA","OK"))</f>
        <v/>
      </c>
      <c r="P1570" s="29" t="str">
        <f aca="false">IF(A1570="","",IF(C1570="","KOSONG",IF(AND(LEN(C1570)=16,ISNUMBER(--C1570)),"OK","TIDAK VALID")))</f>
        <v/>
      </c>
    </row>
    <row r="1571" customFormat="false" ht="15" hidden="false" customHeight="false" outlineLevel="0" collapsed="false">
      <c r="A1571" s="21"/>
      <c r="B1571" s="22"/>
      <c r="C1571" s="21"/>
      <c r="D1571" s="22"/>
      <c r="E1571" s="22"/>
      <c r="F1571" s="28"/>
      <c r="G1571" s="22"/>
      <c r="H1571" s="21"/>
      <c r="I1571" s="28"/>
      <c r="J1571" s="22"/>
      <c r="K1571" s="22"/>
      <c r="L1571" s="22"/>
      <c r="M1571" s="21"/>
      <c r="N1571" s="22"/>
      <c r="O1571" s="29" t="str">
        <f aca="false">IF(A1571="","",IF(COUNTIF($A$2:$A$2001,A1571)&gt;1,"GANDA","OK"))</f>
        <v/>
      </c>
      <c r="P1571" s="29" t="str">
        <f aca="false">IF(A1571="","",IF(C1571="","KOSONG",IF(AND(LEN(C1571)=16,ISNUMBER(--C1571)),"OK","TIDAK VALID")))</f>
        <v/>
      </c>
    </row>
    <row r="1572" customFormat="false" ht="15" hidden="false" customHeight="false" outlineLevel="0" collapsed="false">
      <c r="A1572" s="21"/>
      <c r="B1572" s="22"/>
      <c r="C1572" s="21"/>
      <c r="D1572" s="22"/>
      <c r="E1572" s="22"/>
      <c r="F1572" s="28"/>
      <c r="G1572" s="22"/>
      <c r="H1572" s="21"/>
      <c r="I1572" s="28"/>
      <c r="J1572" s="22"/>
      <c r="K1572" s="22"/>
      <c r="L1572" s="22"/>
      <c r="M1572" s="21"/>
      <c r="N1572" s="22"/>
      <c r="O1572" s="29" t="str">
        <f aca="false">IF(A1572="","",IF(COUNTIF($A$2:$A$2001,A1572)&gt;1,"GANDA","OK"))</f>
        <v/>
      </c>
      <c r="P1572" s="29" t="str">
        <f aca="false">IF(A1572="","",IF(C1572="","KOSONG",IF(AND(LEN(C1572)=16,ISNUMBER(--C1572)),"OK","TIDAK VALID")))</f>
        <v/>
      </c>
    </row>
    <row r="1573" customFormat="false" ht="15" hidden="false" customHeight="false" outlineLevel="0" collapsed="false">
      <c r="A1573" s="21"/>
      <c r="B1573" s="22"/>
      <c r="C1573" s="21"/>
      <c r="D1573" s="22"/>
      <c r="E1573" s="22"/>
      <c r="F1573" s="28"/>
      <c r="G1573" s="22"/>
      <c r="H1573" s="21"/>
      <c r="I1573" s="28"/>
      <c r="J1573" s="22"/>
      <c r="K1573" s="22"/>
      <c r="L1573" s="22"/>
      <c r="M1573" s="21"/>
      <c r="N1573" s="22"/>
      <c r="O1573" s="29" t="str">
        <f aca="false">IF(A1573="","",IF(COUNTIF($A$2:$A$2001,A1573)&gt;1,"GANDA","OK"))</f>
        <v/>
      </c>
      <c r="P1573" s="29" t="str">
        <f aca="false">IF(A1573="","",IF(C1573="","KOSONG",IF(AND(LEN(C1573)=16,ISNUMBER(--C1573)),"OK","TIDAK VALID")))</f>
        <v/>
      </c>
    </row>
    <row r="1574" customFormat="false" ht="15" hidden="false" customHeight="false" outlineLevel="0" collapsed="false">
      <c r="A1574" s="21"/>
      <c r="B1574" s="22"/>
      <c r="C1574" s="21"/>
      <c r="D1574" s="22"/>
      <c r="E1574" s="22"/>
      <c r="F1574" s="28"/>
      <c r="G1574" s="22"/>
      <c r="H1574" s="21"/>
      <c r="I1574" s="28"/>
      <c r="J1574" s="22"/>
      <c r="K1574" s="22"/>
      <c r="L1574" s="22"/>
      <c r="M1574" s="21"/>
      <c r="N1574" s="22"/>
      <c r="O1574" s="29" t="str">
        <f aca="false">IF(A1574="","",IF(COUNTIF($A$2:$A$2001,A1574)&gt;1,"GANDA","OK"))</f>
        <v/>
      </c>
      <c r="P1574" s="29" t="str">
        <f aca="false">IF(A1574="","",IF(C1574="","KOSONG",IF(AND(LEN(C1574)=16,ISNUMBER(--C1574)),"OK","TIDAK VALID")))</f>
        <v/>
      </c>
    </row>
    <row r="1575" customFormat="false" ht="15" hidden="false" customHeight="false" outlineLevel="0" collapsed="false">
      <c r="A1575" s="21"/>
      <c r="B1575" s="22"/>
      <c r="C1575" s="21"/>
      <c r="D1575" s="22"/>
      <c r="E1575" s="22"/>
      <c r="F1575" s="28"/>
      <c r="G1575" s="22"/>
      <c r="H1575" s="21"/>
      <c r="I1575" s="28"/>
      <c r="J1575" s="22"/>
      <c r="K1575" s="22"/>
      <c r="L1575" s="22"/>
      <c r="M1575" s="21"/>
      <c r="N1575" s="22"/>
      <c r="O1575" s="29" t="str">
        <f aca="false">IF(A1575="","",IF(COUNTIF($A$2:$A$2001,A1575)&gt;1,"GANDA","OK"))</f>
        <v/>
      </c>
      <c r="P1575" s="29" t="str">
        <f aca="false">IF(A1575="","",IF(C1575="","KOSONG",IF(AND(LEN(C1575)=16,ISNUMBER(--C1575)),"OK","TIDAK VALID")))</f>
        <v/>
      </c>
    </row>
    <row r="1576" customFormat="false" ht="15" hidden="false" customHeight="false" outlineLevel="0" collapsed="false">
      <c r="A1576" s="21"/>
      <c r="B1576" s="22"/>
      <c r="C1576" s="21"/>
      <c r="D1576" s="22"/>
      <c r="E1576" s="22"/>
      <c r="F1576" s="28"/>
      <c r="G1576" s="22"/>
      <c r="H1576" s="21"/>
      <c r="I1576" s="28"/>
      <c r="J1576" s="22"/>
      <c r="K1576" s="22"/>
      <c r="L1576" s="22"/>
      <c r="M1576" s="21"/>
      <c r="N1576" s="22"/>
      <c r="O1576" s="29" t="str">
        <f aca="false">IF(A1576="","",IF(COUNTIF($A$2:$A$2001,A1576)&gt;1,"GANDA","OK"))</f>
        <v/>
      </c>
      <c r="P1576" s="29" t="str">
        <f aca="false">IF(A1576="","",IF(C1576="","KOSONG",IF(AND(LEN(C1576)=16,ISNUMBER(--C1576)),"OK","TIDAK VALID")))</f>
        <v/>
      </c>
    </row>
    <row r="1577" customFormat="false" ht="15" hidden="false" customHeight="false" outlineLevel="0" collapsed="false">
      <c r="A1577" s="21"/>
      <c r="B1577" s="22"/>
      <c r="C1577" s="21"/>
      <c r="D1577" s="22"/>
      <c r="E1577" s="22"/>
      <c r="F1577" s="28"/>
      <c r="G1577" s="22"/>
      <c r="H1577" s="21"/>
      <c r="I1577" s="28"/>
      <c r="J1577" s="22"/>
      <c r="K1577" s="22"/>
      <c r="L1577" s="22"/>
      <c r="M1577" s="21"/>
      <c r="N1577" s="22"/>
      <c r="O1577" s="29" t="str">
        <f aca="false">IF(A1577="","",IF(COUNTIF($A$2:$A$2001,A1577)&gt;1,"GANDA","OK"))</f>
        <v/>
      </c>
      <c r="P1577" s="29" t="str">
        <f aca="false">IF(A1577="","",IF(C1577="","KOSONG",IF(AND(LEN(C1577)=16,ISNUMBER(--C1577)),"OK","TIDAK VALID")))</f>
        <v/>
      </c>
    </row>
    <row r="1578" customFormat="false" ht="15" hidden="false" customHeight="false" outlineLevel="0" collapsed="false">
      <c r="A1578" s="21"/>
      <c r="B1578" s="22"/>
      <c r="C1578" s="21"/>
      <c r="D1578" s="22"/>
      <c r="E1578" s="22"/>
      <c r="F1578" s="28"/>
      <c r="G1578" s="22"/>
      <c r="H1578" s="21"/>
      <c r="I1578" s="28"/>
      <c r="J1578" s="22"/>
      <c r="K1578" s="22"/>
      <c r="L1578" s="22"/>
      <c r="M1578" s="21"/>
      <c r="N1578" s="22"/>
      <c r="O1578" s="29" t="str">
        <f aca="false">IF(A1578="","",IF(COUNTIF($A$2:$A$2001,A1578)&gt;1,"GANDA","OK"))</f>
        <v/>
      </c>
      <c r="P1578" s="29" t="str">
        <f aca="false">IF(A1578="","",IF(C1578="","KOSONG",IF(AND(LEN(C1578)=16,ISNUMBER(--C1578)),"OK","TIDAK VALID")))</f>
        <v/>
      </c>
    </row>
    <row r="1579" customFormat="false" ht="15" hidden="false" customHeight="false" outlineLevel="0" collapsed="false">
      <c r="A1579" s="21"/>
      <c r="B1579" s="22"/>
      <c r="C1579" s="21"/>
      <c r="D1579" s="22"/>
      <c r="E1579" s="22"/>
      <c r="F1579" s="28"/>
      <c r="G1579" s="22"/>
      <c r="H1579" s="21"/>
      <c r="I1579" s="28"/>
      <c r="J1579" s="22"/>
      <c r="K1579" s="22"/>
      <c r="L1579" s="22"/>
      <c r="M1579" s="21"/>
      <c r="N1579" s="22"/>
      <c r="O1579" s="29" t="str">
        <f aca="false">IF(A1579="","",IF(COUNTIF($A$2:$A$2001,A1579)&gt;1,"GANDA","OK"))</f>
        <v/>
      </c>
      <c r="P1579" s="29" t="str">
        <f aca="false">IF(A1579="","",IF(C1579="","KOSONG",IF(AND(LEN(C1579)=16,ISNUMBER(--C1579)),"OK","TIDAK VALID")))</f>
        <v/>
      </c>
    </row>
    <row r="1580" customFormat="false" ht="15" hidden="false" customHeight="false" outlineLevel="0" collapsed="false">
      <c r="A1580" s="21"/>
      <c r="B1580" s="22"/>
      <c r="C1580" s="21"/>
      <c r="D1580" s="22"/>
      <c r="E1580" s="22"/>
      <c r="F1580" s="28"/>
      <c r="G1580" s="22"/>
      <c r="H1580" s="21"/>
      <c r="I1580" s="28"/>
      <c r="J1580" s="22"/>
      <c r="K1580" s="22"/>
      <c r="L1580" s="22"/>
      <c r="M1580" s="21"/>
      <c r="N1580" s="22"/>
      <c r="O1580" s="29" t="str">
        <f aca="false">IF(A1580="","",IF(COUNTIF($A$2:$A$2001,A1580)&gt;1,"GANDA","OK"))</f>
        <v/>
      </c>
      <c r="P1580" s="29" t="str">
        <f aca="false">IF(A1580="","",IF(C1580="","KOSONG",IF(AND(LEN(C1580)=16,ISNUMBER(--C1580)),"OK","TIDAK VALID")))</f>
        <v/>
      </c>
    </row>
    <row r="1581" customFormat="false" ht="15" hidden="false" customHeight="false" outlineLevel="0" collapsed="false">
      <c r="A1581" s="21"/>
      <c r="B1581" s="22"/>
      <c r="C1581" s="21"/>
      <c r="D1581" s="22"/>
      <c r="E1581" s="22"/>
      <c r="F1581" s="28"/>
      <c r="G1581" s="22"/>
      <c r="H1581" s="21"/>
      <c r="I1581" s="28"/>
      <c r="J1581" s="22"/>
      <c r="K1581" s="22"/>
      <c r="L1581" s="22"/>
      <c r="M1581" s="21"/>
      <c r="N1581" s="22"/>
      <c r="O1581" s="29" t="str">
        <f aca="false">IF(A1581="","",IF(COUNTIF($A$2:$A$2001,A1581)&gt;1,"GANDA","OK"))</f>
        <v/>
      </c>
      <c r="P1581" s="29" t="str">
        <f aca="false">IF(A1581="","",IF(C1581="","KOSONG",IF(AND(LEN(C1581)=16,ISNUMBER(--C1581)),"OK","TIDAK VALID")))</f>
        <v/>
      </c>
    </row>
    <row r="1582" customFormat="false" ht="15" hidden="false" customHeight="false" outlineLevel="0" collapsed="false">
      <c r="A1582" s="21"/>
      <c r="B1582" s="22"/>
      <c r="C1582" s="21"/>
      <c r="D1582" s="22"/>
      <c r="E1582" s="22"/>
      <c r="F1582" s="28"/>
      <c r="G1582" s="22"/>
      <c r="H1582" s="21"/>
      <c r="I1582" s="28"/>
      <c r="J1582" s="22"/>
      <c r="K1582" s="22"/>
      <c r="L1582" s="22"/>
      <c r="M1582" s="21"/>
      <c r="N1582" s="22"/>
      <c r="O1582" s="29" t="str">
        <f aca="false">IF(A1582="","",IF(COUNTIF($A$2:$A$2001,A1582)&gt;1,"GANDA","OK"))</f>
        <v/>
      </c>
      <c r="P1582" s="29" t="str">
        <f aca="false">IF(A1582="","",IF(C1582="","KOSONG",IF(AND(LEN(C1582)=16,ISNUMBER(--C1582)),"OK","TIDAK VALID")))</f>
        <v/>
      </c>
    </row>
    <row r="1583" customFormat="false" ht="15" hidden="false" customHeight="false" outlineLevel="0" collapsed="false">
      <c r="A1583" s="21"/>
      <c r="B1583" s="22"/>
      <c r="C1583" s="21"/>
      <c r="D1583" s="22"/>
      <c r="E1583" s="22"/>
      <c r="F1583" s="28"/>
      <c r="G1583" s="22"/>
      <c r="H1583" s="21"/>
      <c r="I1583" s="28"/>
      <c r="J1583" s="22"/>
      <c r="K1583" s="22"/>
      <c r="L1583" s="22"/>
      <c r="M1583" s="21"/>
      <c r="N1583" s="22"/>
      <c r="O1583" s="29" t="str">
        <f aca="false">IF(A1583="","",IF(COUNTIF($A$2:$A$2001,A1583)&gt;1,"GANDA","OK"))</f>
        <v/>
      </c>
      <c r="P1583" s="29" t="str">
        <f aca="false">IF(A1583="","",IF(C1583="","KOSONG",IF(AND(LEN(C1583)=16,ISNUMBER(--C1583)),"OK","TIDAK VALID")))</f>
        <v/>
      </c>
    </row>
    <row r="1584" customFormat="false" ht="15" hidden="false" customHeight="false" outlineLevel="0" collapsed="false">
      <c r="A1584" s="21"/>
      <c r="B1584" s="22"/>
      <c r="C1584" s="21"/>
      <c r="D1584" s="22"/>
      <c r="E1584" s="22"/>
      <c r="F1584" s="28"/>
      <c r="G1584" s="22"/>
      <c r="H1584" s="21"/>
      <c r="I1584" s="28"/>
      <c r="J1584" s="22"/>
      <c r="K1584" s="22"/>
      <c r="L1584" s="22"/>
      <c r="M1584" s="21"/>
      <c r="N1584" s="22"/>
      <c r="O1584" s="29" t="str">
        <f aca="false">IF(A1584="","",IF(COUNTIF($A$2:$A$2001,A1584)&gt;1,"GANDA","OK"))</f>
        <v/>
      </c>
      <c r="P1584" s="29" t="str">
        <f aca="false">IF(A1584="","",IF(C1584="","KOSONG",IF(AND(LEN(C1584)=16,ISNUMBER(--C1584)),"OK","TIDAK VALID")))</f>
        <v/>
      </c>
    </row>
    <row r="1585" customFormat="false" ht="15" hidden="false" customHeight="false" outlineLevel="0" collapsed="false">
      <c r="A1585" s="21"/>
      <c r="B1585" s="22"/>
      <c r="C1585" s="21"/>
      <c r="D1585" s="22"/>
      <c r="E1585" s="22"/>
      <c r="F1585" s="28"/>
      <c r="G1585" s="22"/>
      <c r="H1585" s="21"/>
      <c r="I1585" s="28"/>
      <c r="J1585" s="22"/>
      <c r="K1585" s="22"/>
      <c r="L1585" s="22"/>
      <c r="M1585" s="21"/>
      <c r="N1585" s="22"/>
      <c r="O1585" s="29" t="str">
        <f aca="false">IF(A1585="","",IF(COUNTIF($A$2:$A$2001,A1585)&gt;1,"GANDA","OK"))</f>
        <v/>
      </c>
      <c r="P1585" s="29" t="str">
        <f aca="false">IF(A1585="","",IF(C1585="","KOSONG",IF(AND(LEN(C1585)=16,ISNUMBER(--C1585)),"OK","TIDAK VALID")))</f>
        <v/>
      </c>
    </row>
    <row r="1586" customFormat="false" ht="15" hidden="false" customHeight="false" outlineLevel="0" collapsed="false">
      <c r="A1586" s="21"/>
      <c r="B1586" s="22"/>
      <c r="C1586" s="21"/>
      <c r="D1586" s="22"/>
      <c r="E1586" s="22"/>
      <c r="F1586" s="28"/>
      <c r="G1586" s="22"/>
      <c r="H1586" s="21"/>
      <c r="I1586" s="28"/>
      <c r="J1586" s="22"/>
      <c r="K1586" s="22"/>
      <c r="L1586" s="22"/>
      <c r="M1586" s="21"/>
      <c r="N1586" s="22"/>
      <c r="O1586" s="29" t="str">
        <f aca="false">IF(A1586="","",IF(COUNTIF($A$2:$A$2001,A1586)&gt;1,"GANDA","OK"))</f>
        <v/>
      </c>
      <c r="P1586" s="29" t="str">
        <f aca="false">IF(A1586="","",IF(C1586="","KOSONG",IF(AND(LEN(C1586)=16,ISNUMBER(--C1586)),"OK","TIDAK VALID")))</f>
        <v/>
      </c>
    </row>
    <row r="1587" customFormat="false" ht="15" hidden="false" customHeight="false" outlineLevel="0" collapsed="false">
      <c r="A1587" s="21"/>
      <c r="B1587" s="22"/>
      <c r="C1587" s="21"/>
      <c r="D1587" s="22"/>
      <c r="E1587" s="22"/>
      <c r="F1587" s="28"/>
      <c r="G1587" s="22"/>
      <c r="H1587" s="21"/>
      <c r="I1587" s="28"/>
      <c r="J1587" s="22"/>
      <c r="K1587" s="22"/>
      <c r="L1587" s="22"/>
      <c r="M1587" s="21"/>
      <c r="N1587" s="22"/>
      <c r="O1587" s="29" t="str">
        <f aca="false">IF(A1587="","",IF(COUNTIF($A$2:$A$2001,A1587)&gt;1,"GANDA","OK"))</f>
        <v/>
      </c>
      <c r="P1587" s="29" t="str">
        <f aca="false">IF(A1587="","",IF(C1587="","KOSONG",IF(AND(LEN(C1587)=16,ISNUMBER(--C1587)),"OK","TIDAK VALID")))</f>
        <v/>
      </c>
    </row>
    <row r="1588" customFormat="false" ht="15" hidden="false" customHeight="false" outlineLevel="0" collapsed="false">
      <c r="A1588" s="21"/>
      <c r="B1588" s="22"/>
      <c r="C1588" s="21"/>
      <c r="D1588" s="22"/>
      <c r="E1588" s="22"/>
      <c r="F1588" s="28"/>
      <c r="G1588" s="22"/>
      <c r="H1588" s="21"/>
      <c r="I1588" s="28"/>
      <c r="J1588" s="22"/>
      <c r="K1588" s="22"/>
      <c r="L1588" s="22"/>
      <c r="M1588" s="21"/>
      <c r="N1588" s="22"/>
      <c r="O1588" s="29" t="str">
        <f aca="false">IF(A1588="","",IF(COUNTIF($A$2:$A$2001,A1588)&gt;1,"GANDA","OK"))</f>
        <v/>
      </c>
      <c r="P1588" s="29" t="str">
        <f aca="false">IF(A1588="","",IF(C1588="","KOSONG",IF(AND(LEN(C1588)=16,ISNUMBER(--C1588)),"OK","TIDAK VALID")))</f>
        <v/>
      </c>
    </row>
    <row r="1589" customFormat="false" ht="15" hidden="false" customHeight="false" outlineLevel="0" collapsed="false">
      <c r="A1589" s="21"/>
      <c r="B1589" s="22"/>
      <c r="C1589" s="21"/>
      <c r="D1589" s="22"/>
      <c r="E1589" s="22"/>
      <c r="F1589" s="28"/>
      <c r="G1589" s="22"/>
      <c r="H1589" s="21"/>
      <c r="I1589" s="28"/>
      <c r="J1589" s="22"/>
      <c r="K1589" s="22"/>
      <c r="L1589" s="22"/>
      <c r="M1589" s="21"/>
      <c r="N1589" s="22"/>
      <c r="O1589" s="29" t="str">
        <f aca="false">IF(A1589="","",IF(COUNTIF($A$2:$A$2001,A1589)&gt;1,"GANDA","OK"))</f>
        <v/>
      </c>
      <c r="P1589" s="29" t="str">
        <f aca="false">IF(A1589="","",IF(C1589="","KOSONG",IF(AND(LEN(C1589)=16,ISNUMBER(--C1589)),"OK","TIDAK VALID")))</f>
        <v/>
      </c>
    </row>
    <row r="1590" customFormat="false" ht="15" hidden="false" customHeight="false" outlineLevel="0" collapsed="false">
      <c r="A1590" s="21"/>
      <c r="B1590" s="22"/>
      <c r="C1590" s="21"/>
      <c r="D1590" s="22"/>
      <c r="E1590" s="22"/>
      <c r="F1590" s="28"/>
      <c r="G1590" s="22"/>
      <c r="H1590" s="21"/>
      <c r="I1590" s="28"/>
      <c r="J1590" s="22"/>
      <c r="K1590" s="22"/>
      <c r="L1590" s="22"/>
      <c r="M1590" s="21"/>
      <c r="N1590" s="22"/>
      <c r="O1590" s="29" t="str">
        <f aca="false">IF(A1590="","",IF(COUNTIF($A$2:$A$2001,A1590)&gt;1,"GANDA","OK"))</f>
        <v/>
      </c>
      <c r="P1590" s="29" t="str">
        <f aca="false">IF(A1590="","",IF(C1590="","KOSONG",IF(AND(LEN(C1590)=16,ISNUMBER(--C1590)),"OK","TIDAK VALID")))</f>
        <v/>
      </c>
    </row>
    <row r="1591" customFormat="false" ht="15" hidden="false" customHeight="false" outlineLevel="0" collapsed="false">
      <c r="A1591" s="21"/>
      <c r="B1591" s="22"/>
      <c r="C1591" s="21"/>
      <c r="D1591" s="22"/>
      <c r="E1591" s="22"/>
      <c r="F1591" s="28"/>
      <c r="G1591" s="22"/>
      <c r="H1591" s="21"/>
      <c r="I1591" s="28"/>
      <c r="J1591" s="22"/>
      <c r="K1591" s="22"/>
      <c r="L1591" s="22"/>
      <c r="M1591" s="21"/>
      <c r="N1591" s="22"/>
      <c r="O1591" s="29" t="str">
        <f aca="false">IF(A1591="","",IF(COUNTIF($A$2:$A$2001,A1591)&gt;1,"GANDA","OK"))</f>
        <v/>
      </c>
      <c r="P1591" s="29" t="str">
        <f aca="false">IF(A1591="","",IF(C1591="","KOSONG",IF(AND(LEN(C1591)=16,ISNUMBER(--C1591)),"OK","TIDAK VALID")))</f>
        <v/>
      </c>
    </row>
    <row r="1592" customFormat="false" ht="15" hidden="false" customHeight="false" outlineLevel="0" collapsed="false">
      <c r="A1592" s="21"/>
      <c r="B1592" s="22"/>
      <c r="C1592" s="21"/>
      <c r="D1592" s="22"/>
      <c r="E1592" s="22"/>
      <c r="F1592" s="28"/>
      <c r="G1592" s="22"/>
      <c r="H1592" s="21"/>
      <c r="I1592" s="28"/>
      <c r="J1592" s="22"/>
      <c r="K1592" s="22"/>
      <c r="L1592" s="22"/>
      <c r="M1592" s="21"/>
      <c r="N1592" s="22"/>
      <c r="O1592" s="29" t="str">
        <f aca="false">IF(A1592="","",IF(COUNTIF($A$2:$A$2001,A1592)&gt;1,"GANDA","OK"))</f>
        <v/>
      </c>
      <c r="P1592" s="29" t="str">
        <f aca="false">IF(A1592="","",IF(C1592="","KOSONG",IF(AND(LEN(C1592)=16,ISNUMBER(--C1592)),"OK","TIDAK VALID")))</f>
        <v/>
      </c>
    </row>
    <row r="1593" customFormat="false" ht="15" hidden="false" customHeight="false" outlineLevel="0" collapsed="false">
      <c r="A1593" s="21"/>
      <c r="B1593" s="22"/>
      <c r="C1593" s="21"/>
      <c r="D1593" s="22"/>
      <c r="E1593" s="22"/>
      <c r="F1593" s="28"/>
      <c r="G1593" s="22"/>
      <c r="H1593" s="21"/>
      <c r="I1593" s="28"/>
      <c r="J1593" s="22"/>
      <c r="K1593" s="22"/>
      <c r="L1593" s="22"/>
      <c r="M1593" s="21"/>
      <c r="N1593" s="22"/>
      <c r="O1593" s="29" t="str">
        <f aca="false">IF(A1593="","",IF(COUNTIF($A$2:$A$2001,A1593)&gt;1,"GANDA","OK"))</f>
        <v/>
      </c>
      <c r="P1593" s="29" t="str">
        <f aca="false">IF(A1593="","",IF(C1593="","KOSONG",IF(AND(LEN(C1593)=16,ISNUMBER(--C1593)),"OK","TIDAK VALID")))</f>
        <v/>
      </c>
    </row>
    <row r="1594" customFormat="false" ht="15" hidden="false" customHeight="false" outlineLevel="0" collapsed="false">
      <c r="A1594" s="21"/>
      <c r="B1594" s="22"/>
      <c r="C1594" s="21"/>
      <c r="D1594" s="22"/>
      <c r="E1594" s="22"/>
      <c r="F1594" s="28"/>
      <c r="G1594" s="22"/>
      <c r="H1594" s="21"/>
      <c r="I1594" s="28"/>
      <c r="J1594" s="22"/>
      <c r="K1594" s="22"/>
      <c r="L1594" s="22"/>
      <c r="M1594" s="21"/>
      <c r="N1594" s="22"/>
      <c r="O1594" s="29" t="str">
        <f aca="false">IF(A1594="","",IF(COUNTIF($A$2:$A$2001,A1594)&gt;1,"GANDA","OK"))</f>
        <v/>
      </c>
      <c r="P1594" s="29" t="str">
        <f aca="false">IF(A1594="","",IF(C1594="","KOSONG",IF(AND(LEN(C1594)=16,ISNUMBER(--C1594)),"OK","TIDAK VALID")))</f>
        <v/>
      </c>
    </row>
    <row r="1595" customFormat="false" ht="15" hidden="false" customHeight="false" outlineLevel="0" collapsed="false">
      <c r="A1595" s="21"/>
      <c r="B1595" s="22"/>
      <c r="C1595" s="21"/>
      <c r="D1595" s="22"/>
      <c r="E1595" s="22"/>
      <c r="F1595" s="28"/>
      <c r="G1595" s="22"/>
      <c r="H1595" s="21"/>
      <c r="I1595" s="28"/>
      <c r="J1595" s="22"/>
      <c r="K1595" s="22"/>
      <c r="L1595" s="22"/>
      <c r="M1595" s="21"/>
      <c r="N1595" s="22"/>
      <c r="O1595" s="29" t="str">
        <f aca="false">IF(A1595="","",IF(COUNTIF($A$2:$A$2001,A1595)&gt;1,"GANDA","OK"))</f>
        <v/>
      </c>
      <c r="P1595" s="29" t="str">
        <f aca="false">IF(A1595="","",IF(C1595="","KOSONG",IF(AND(LEN(C1595)=16,ISNUMBER(--C1595)),"OK","TIDAK VALID")))</f>
        <v/>
      </c>
    </row>
    <row r="1596" customFormat="false" ht="15" hidden="false" customHeight="false" outlineLevel="0" collapsed="false">
      <c r="A1596" s="21"/>
      <c r="B1596" s="22"/>
      <c r="C1596" s="21"/>
      <c r="D1596" s="22"/>
      <c r="E1596" s="22"/>
      <c r="F1596" s="28"/>
      <c r="G1596" s="22"/>
      <c r="H1596" s="21"/>
      <c r="I1596" s="28"/>
      <c r="J1596" s="22"/>
      <c r="K1596" s="22"/>
      <c r="L1596" s="22"/>
      <c r="M1596" s="21"/>
      <c r="N1596" s="22"/>
      <c r="O1596" s="29" t="str">
        <f aca="false">IF(A1596="","",IF(COUNTIF($A$2:$A$2001,A1596)&gt;1,"GANDA","OK"))</f>
        <v/>
      </c>
      <c r="P1596" s="29" t="str">
        <f aca="false">IF(A1596="","",IF(C1596="","KOSONG",IF(AND(LEN(C1596)=16,ISNUMBER(--C1596)),"OK","TIDAK VALID")))</f>
        <v/>
      </c>
    </row>
    <row r="1597" customFormat="false" ht="15" hidden="false" customHeight="false" outlineLevel="0" collapsed="false">
      <c r="A1597" s="21"/>
      <c r="B1597" s="22"/>
      <c r="C1597" s="21"/>
      <c r="D1597" s="22"/>
      <c r="E1597" s="22"/>
      <c r="F1597" s="28"/>
      <c r="G1597" s="22"/>
      <c r="H1597" s="21"/>
      <c r="I1597" s="28"/>
      <c r="J1597" s="22"/>
      <c r="K1597" s="22"/>
      <c r="L1597" s="22"/>
      <c r="M1597" s="21"/>
      <c r="N1597" s="22"/>
      <c r="O1597" s="29" t="str">
        <f aca="false">IF(A1597="","",IF(COUNTIF($A$2:$A$2001,A1597)&gt;1,"GANDA","OK"))</f>
        <v/>
      </c>
      <c r="P1597" s="29" t="str">
        <f aca="false">IF(A1597="","",IF(C1597="","KOSONG",IF(AND(LEN(C1597)=16,ISNUMBER(--C1597)),"OK","TIDAK VALID")))</f>
        <v/>
      </c>
    </row>
    <row r="1598" customFormat="false" ht="15" hidden="false" customHeight="false" outlineLevel="0" collapsed="false">
      <c r="A1598" s="21"/>
      <c r="B1598" s="22"/>
      <c r="C1598" s="21"/>
      <c r="D1598" s="22"/>
      <c r="E1598" s="22"/>
      <c r="F1598" s="28"/>
      <c r="G1598" s="22"/>
      <c r="H1598" s="21"/>
      <c r="I1598" s="28"/>
      <c r="J1598" s="22"/>
      <c r="K1598" s="22"/>
      <c r="L1598" s="22"/>
      <c r="M1598" s="21"/>
      <c r="N1598" s="22"/>
      <c r="O1598" s="29" t="str">
        <f aca="false">IF(A1598="","",IF(COUNTIF($A$2:$A$2001,A1598)&gt;1,"GANDA","OK"))</f>
        <v/>
      </c>
      <c r="P1598" s="29" t="str">
        <f aca="false">IF(A1598="","",IF(C1598="","KOSONG",IF(AND(LEN(C1598)=16,ISNUMBER(--C1598)),"OK","TIDAK VALID")))</f>
        <v/>
      </c>
    </row>
    <row r="1599" customFormat="false" ht="15" hidden="false" customHeight="false" outlineLevel="0" collapsed="false">
      <c r="A1599" s="21"/>
      <c r="B1599" s="22"/>
      <c r="C1599" s="21"/>
      <c r="D1599" s="22"/>
      <c r="E1599" s="22"/>
      <c r="F1599" s="28"/>
      <c r="G1599" s="22"/>
      <c r="H1599" s="21"/>
      <c r="I1599" s="28"/>
      <c r="J1599" s="22"/>
      <c r="K1599" s="22"/>
      <c r="L1599" s="22"/>
      <c r="M1599" s="21"/>
      <c r="N1599" s="22"/>
      <c r="O1599" s="29" t="str">
        <f aca="false">IF(A1599="","",IF(COUNTIF($A$2:$A$2001,A1599)&gt;1,"GANDA","OK"))</f>
        <v/>
      </c>
      <c r="P1599" s="29" t="str">
        <f aca="false">IF(A1599="","",IF(C1599="","KOSONG",IF(AND(LEN(C1599)=16,ISNUMBER(--C1599)),"OK","TIDAK VALID")))</f>
        <v/>
      </c>
    </row>
    <row r="1600" customFormat="false" ht="15" hidden="false" customHeight="false" outlineLevel="0" collapsed="false">
      <c r="A1600" s="21"/>
      <c r="B1600" s="22"/>
      <c r="C1600" s="21"/>
      <c r="D1600" s="22"/>
      <c r="E1600" s="22"/>
      <c r="F1600" s="28"/>
      <c r="G1600" s="22"/>
      <c r="H1600" s="21"/>
      <c r="I1600" s="28"/>
      <c r="J1600" s="22"/>
      <c r="K1600" s="22"/>
      <c r="L1600" s="22"/>
      <c r="M1600" s="21"/>
      <c r="N1600" s="22"/>
      <c r="O1600" s="29" t="str">
        <f aca="false">IF(A1600="","",IF(COUNTIF($A$2:$A$2001,A1600)&gt;1,"GANDA","OK"))</f>
        <v/>
      </c>
      <c r="P1600" s="29" t="str">
        <f aca="false">IF(A1600="","",IF(C1600="","KOSONG",IF(AND(LEN(C1600)=16,ISNUMBER(--C1600)),"OK","TIDAK VALID")))</f>
        <v/>
      </c>
    </row>
    <row r="1601" customFormat="false" ht="15" hidden="false" customHeight="false" outlineLevel="0" collapsed="false">
      <c r="A1601" s="21"/>
      <c r="B1601" s="22"/>
      <c r="C1601" s="21"/>
      <c r="D1601" s="22"/>
      <c r="E1601" s="22"/>
      <c r="F1601" s="28"/>
      <c r="G1601" s="22"/>
      <c r="H1601" s="21"/>
      <c r="I1601" s="28"/>
      <c r="J1601" s="22"/>
      <c r="K1601" s="22"/>
      <c r="L1601" s="22"/>
      <c r="M1601" s="21"/>
      <c r="N1601" s="22"/>
      <c r="O1601" s="29" t="str">
        <f aca="false">IF(A1601="","",IF(COUNTIF($A$2:$A$2001,A1601)&gt;1,"GANDA","OK"))</f>
        <v/>
      </c>
      <c r="P1601" s="29" t="str">
        <f aca="false">IF(A1601="","",IF(C1601="","KOSONG",IF(AND(LEN(C1601)=16,ISNUMBER(--C1601)),"OK","TIDAK VALID")))</f>
        <v/>
      </c>
    </row>
    <row r="1602" customFormat="false" ht="15" hidden="false" customHeight="false" outlineLevel="0" collapsed="false">
      <c r="A1602" s="21"/>
      <c r="B1602" s="22"/>
      <c r="C1602" s="21"/>
      <c r="D1602" s="22"/>
      <c r="E1602" s="22"/>
      <c r="F1602" s="28"/>
      <c r="G1602" s="22"/>
      <c r="H1602" s="21"/>
      <c r="I1602" s="28"/>
      <c r="J1602" s="22"/>
      <c r="K1602" s="22"/>
      <c r="L1602" s="22"/>
      <c r="M1602" s="21"/>
      <c r="N1602" s="22"/>
      <c r="O1602" s="29" t="str">
        <f aca="false">IF(A1602="","",IF(COUNTIF($A$2:$A$2001,A1602)&gt;1,"GANDA","OK"))</f>
        <v/>
      </c>
      <c r="P1602" s="29" t="str">
        <f aca="false">IF(A1602="","",IF(C1602="","KOSONG",IF(AND(LEN(C1602)=16,ISNUMBER(--C1602)),"OK","TIDAK VALID")))</f>
        <v/>
      </c>
    </row>
    <row r="1603" customFormat="false" ht="15" hidden="false" customHeight="false" outlineLevel="0" collapsed="false">
      <c r="A1603" s="21"/>
      <c r="B1603" s="22"/>
      <c r="C1603" s="21"/>
      <c r="D1603" s="22"/>
      <c r="E1603" s="22"/>
      <c r="F1603" s="28"/>
      <c r="G1603" s="22"/>
      <c r="H1603" s="21"/>
      <c r="I1603" s="28"/>
      <c r="J1603" s="22"/>
      <c r="K1603" s="22"/>
      <c r="L1603" s="22"/>
      <c r="M1603" s="21"/>
      <c r="N1603" s="22"/>
      <c r="O1603" s="29" t="str">
        <f aca="false">IF(A1603="","",IF(COUNTIF($A$2:$A$2001,A1603)&gt;1,"GANDA","OK"))</f>
        <v/>
      </c>
      <c r="P1603" s="29" t="str">
        <f aca="false">IF(A1603="","",IF(C1603="","KOSONG",IF(AND(LEN(C1603)=16,ISNUMBER(--C1603)),"OK","TIDAK VALID")))</f>
        <v/>
      </c>
    </row>
    <row r="1604" customFormat="false" ht="15" hidden="false" customHeight="false" outlineLevel="0" collapsed="false">
      <c r="A1604" s="21"/>
      <c r="B1604" s="22"/>
      <c r="C1604" s="21"/>
      <c r="D1604" s="22"/>
      <c r="E1604" s="22"/>
      <c r="F1604" s="28"/>
      <c r="G1604" s="22"/>
      <c r="H1604" s="21"/>
      <c r="I1604" s="28"/>
      <c r="J1604" s="22"/>
      <c r="K1604" s="22"/>
      <c r="L1604" s="22"/>
      <c r="M1604" s="21"/>
      <c r="N1604" s="22"/>
      <c r="O1604" s="29" t="str">
        <f aca="false">IF(A1604="","",IF(COUNTIF($A$2:$A$2001,A1604)&gt;1,"GANDA","OK"))</f>
        <v/>
      </c>
      <c r="P1604" s="29" t="str">
        <f aca="false">IF(A1604="","",IF(C1604="","KOSONG",IF(AND(LEN(C1604)=16,ISNUMBER(--C1604)),"OK","TIDAK VALID")))</f>
        <v/>
      </c>
    </row>
    <row r="1605" customFormat="false" ht="15" hidden="false" customHeight="false" outlineLevel="0" collapsed="false">
      <c r="A1605" s="21"/>
      <c r="B1605" s="22"/>
      <c r="C1605" s="21"/>
      <c r="D1605" s="22"/>
      <c r="E1605" s="22"/>
      <c r="F1605" s="28"/>
      <c r="G1605" s="22"/>
      <c r="H1605" s="21"/>
      <c r="I1605" s="28"/>
      <c r="J1605" s="22"/>
      <c r="K1605" s="22"/>
      <c r="L1605" s="22"/>
      <c r="M1605" s="21"/>
      <c r="N1605" s="22"/>
      <c r="O1605" s="29" t="str">
        <f aca="false">IF(A1605="","",IF(COUNTIF($A$2:$A$2001,A1605)&gt;1,"GANDA","OK"))</f>
        <v/>
      </c>
      <c r="P1605" s="29" t="str">
        <f aca="false">IF(A1605="","",IF(C1605="","KOSONG",IF(AND(LEN(C1605)=16,ISNUMBER(--C1605)),"OK","TIDAK VALID")))</f>
        <v/>
      </c>
    </row>
    <row r="1606" customFormat="false" ht="15" hidden="false" customHeight="false" outlineLevel="0" collapsed="false">
      <c r="A1606" s="21"/>
      <c r="B1606" s="22"/>
      <c r="C1606" s="21"/>
      <c r="D1606" s="22"/>
      <c r="E1606" s="22"/>
      <c r="F1606" s="28"/>
      <c r="G1606" s="22"/>
      <c r="H1606" s="21"/>
      <c r="I1606" s="28"/>
      <c r="J1606" s="22"/>
      <c r="K1606" s="22"/>
      <c r="L1606" s="22"/>
      <c r="M1606" s="21"/>
      <c r="N1606" s="22"/>
      <c r="O1606" s="29" t="str">
        <f aca="false">IF(A1606="","",IF(COUNTIF($A$2:$A$2001,A1606)&gt;1,"GANDA","OK"))</f>
        <v/>
      </c>
      <c r="P1606" s="29" t="str">
        <f aca="false">IF(A1606="","",IF(C1606="","KOSONG",IF(AND(LEN(C1606)=16,ISNUMBER(--C1606)),"OK","TIDAK VALID")))</f>
        <v/>
      </c>
    </row>
    <row r="1607" customFormat="false" ht="15" hidden="false" customHeight="false" outlineLevel="0" collapsed="false">
      <c r="A1607" s="21"/>
      <c r="B1607" s="22"/>
      <c r="C1607" s="21"/>
      <c r="D1607" s="22"/>
      <c r="E1607" s="22"/>
      <c r="F1607" s="28"/>
      <c r="G1607" s="22"/>
      <c r="H1607" s="21"/>
      <c r="I1607" s="28"/>
      <c r="J1607" s="22"/>
      <c r="K1607" s="22"/>
      <c r="L1607" s="22"/>
      <c r="M1607" s="21"/>
      <c r="N1607" s="22"/>
      <c r="O1607" s="29" t="str">
        <f aca="false">IF(A1607="","",IF(COUNTIF($A$2:$A$2001,A1607)&gt;1,"GANDA","OK"))</f>
        <v/>
      </c>
      <c r="P1607" s="29" t="str">
        <f aca="false">IF(A1607="","",IF(C1607="","KOSONG",IF(AND(LEN(C1607)=16,ISNUMBER(--C1607)),"OK","TIDAK VALID")))</f>
        <v/>
      </c>
    </row>
    <row r="1608" customFormat="false" ht="15" hidden="false" customHeight="false" outlineLevel="0" collapsed="false">
      <c r="A1608" s="21"/>
      <c r="B1608" s="22"/>
      <c r="C1608" s="21"/>
      <c r="D1608" s="22"/>
      <c r="E1608" s="22"/>
      <c r="F1608" s="28"/>
      <c r="G1608" s="22"/>
      <c r="H1608" s="21"/>
      <c r="I1608" s="28"/>
      <c r="J1608" s="22"/>
      <c r="K1608" s="22"/>
      <c r="L1608" s="22"/>
      <c r="M1608" s="21"/>
      <c r="N1608" s="22"/>
      <c r="O1608" s="29" t="str">
        <f aca="false">IF(A1608="","",IF(COUNTIF($A$2:$A$2001,A1608)&gt;1,"GANDA","OK"))</f>
        <v/>
      </c>
      <c r="P1608" s="29" t="str">
        <f aca="false">IF(A1608="","",IF(C1608="","KOSONG",IF(AND(LEN(C1608)=16,ISNUMBER(--C1608)),"OK","TIDAK VALID")))</f>
        <v/>
      </c>
    </row>
    <row r="1609" customFormat="false" ht="15" hidden="false" customHeight="false" outlineLevel="0" collapsed="false">
      <c r="A1609" s="21"/>
      <c r="B1609" s="22"/>
      <c r="C1609" s="21"/>
      <c r="D1609" s="22"/>
      <c r="E1609" s="22"/>
      <c r="F1609" s="28"/>
      <c r="G1609" s="22"/>
      <c r="H1609" s="21"/>
      <c r="I1609" s="28"/>
      <c r="J1609" s="22"/>
      <c r="K1609" s="22"/>
      <c r="L1609" s="22"/>
      <c r="M1609" s="21"/>
      <c r="N1609" s="22"/>
      <c r="O1609" s="29" t="str">
        <f aca="false">IF(A1609="","",IF(COUNTIF($A$2:$A$2001,A1609)&gt;1,"GANDA","OK"))</f>
        <v/>
      </c>
      <c r="P1609" s="29" t="str">
        <f aca="false">IF(A1609="","",IF(C1609="","KOSONG",IF(AND(LEN(C1609)=16,ISNUMBER(--C1609)),"OK","TIDAK VALID")))</f>
        <v/>
      </c>
    </row>
    <row r="1610" customFormat="false" ht="15" hidden="false" customHeight="false" outlineLevel="0" collapsed="false">
      <c r="A1610" s="21"/>
      <c r="B1610" s="22"/>
      <c r="C1610" s="21"/>
      <c r="D1610" s="22"/>
      <c r="E1610" s="22"/>
      <c r="F1610" s="28"/>
      <c r="G1610" s="22"/>
      <c r="H1610" s="21"/>
      <c r="I1610" s="28"/>
      <c r="J1610" s="22"/>
      <c r="K1610" s="22"/>
      <c r="L1610" s="22"/>
      <c r="M1610" s="21"/>
      <c r="N1610" s="22"/>
      <c r="O1610" s="29" t="str">
        <f aca="false">IF(A1610="","",IF(COUNTIF($A$2:$A$2001,A1610)&gt;1,"GANDA","OK"))</f>
        <v/>
      </c>
      <c r="P1610" s="29" t="str">
        <f aca="false">IF(A1610="","",IF(C1610="","KOSONG",IF(AND(LEN(C1610)=16,ISNUMBER(--C1610)),"OK","TIDAK VALID")))</f>
        <v/>
      </c>
    </row>
    <row r="1611" customFormat="false" ht="15" hidden="false" customHeight="false" outlineLevel="0" collapsed="false">
      <c r="A1611" s="21"/>
      <c r="B1611" s="22"/>
      <c r="C1611" s="21"/>
      <c r="D1611" s="22"/>
      <c r="E1611" s="22"/>
      <c r="F1611" s="28"/>
      <c r="G1611" s="22"/>
      <c r="H1611" s="21"/>
      <c r="I1611" s="28"/>
      <c r="J1611" s="22"/>
      <c r="K1611" s="22"/>
      <c r="L1611" s="22"/>
      <c r="M1611" s="21"/>
      <c r="N1611" s="22"/>
      <c r="O1611" s="29" t="str">
        <f aca="false">IF(A1611="","",IF(COUNTIF($A$2:$A$2001,A1611)&gt;1,"GANDA","OK"))</f>
        <v/>
      </c>
      <c r="P1611" s="29" t="str">
        <f aca="false">IF(A1611="","",IF(C1611="","KOSONG",IF(AND(LEN(C1611)=16,ISNUMBER(--C1611)),"OK","TIDAK VALID")))</f>
        <v/>
      </c>
    </row>
    <row r="1612" customFormat="false" ht="15" hidden="false" customHeight="false" outlineLevel="0" collapsed="false">
      <c r="A1612" s="21"/>
      <c r="B1612" s="22"/>
      <c r="C1612" s="21"/>
      <c r="D1612" s="22"/>
      <c r="E1612" s="22"/>
      <c r="F1612" s="28"/>
      <c r="G1612" s="22"/>
      <c r="H1612" s="21"/>
      <c r="I1612" s="28"/>
      <c r="J1612" s="22"/>
      <c r="K1612" s="22"/>
      <c r="L1612" s="22"/>
      <c r="M1612" s="21"/>
      <c r="N1612" s="22"/>
      <c r="O1612" s="29" t="str">
        <f aca="false">IF(A1612="","",IF(COUNTIF($A$2:$A$2001,A1612)&gt;1,"GANDA","OK"))</f>
        <v/>
      </c>
      <c r="P1612" s="29" t="str">
        <f aca="false">IF(A1612="","",IF(C1612="","KOSONG",IF(AND(LEN(C1612)=16,ISNUMBER(--C1612)),"OK","TIDAK VALID")))</f>
        <v/>
      </c>
    </row>
    <row r="1613" customFormat="false" ht="15" hidden="false" customHeight="false" outlineLevel="0" collapsed="false">
      <c r="A1613" s="21"/>
      <c r="B1613" s="22"/>
      <c r="C1613" s="21"/>
      <c r="D1613" s="22"/>
      <c r="E1613" s="22"/>
      <c r="F1613" s="28"/>
      <c r="G1613" s="22"/>
      <c r="H1613" s="21"/>
      <c r="I1613" s="28"/>
      <c r="J1613" s="22"/>
      <c r="K1613" s="22"/>
      <c r="L1613" s="22"/>
      <c r="M1613" s="21"/>
      <c r="N1613" s="22"/>
      <c r="O1613" s="29" t="str">
        <f aca="false">IF(A1613="","",IF(COUNTIF($A$2:$A$2001,A1613)&gt;1,"GANDA","OK"))</f>
        <v/>
      </c>
      <c r="P1613" s="29" t="str">
        <f aca="false">IF(A1613="","",IF(C1613="","KOSONG",IF(AND(LEN(C1613)=16,ISNUMBER(--C1613)),"OK","TIDAK VALID")))</f>
        <v/>
      </c>
    </row>
    <row r="1614" customFormat="false" ht="15" hidden="false" customHeight="false" outlineLevel="0" collapsed="false">
      <c r="A1614" s="21"/>
      <c r="B1614" s="22"/>
      <c r="C1614" s="21"/>
      <c r="D1614" s="22"/>
      <c r="E1614" s="22"/>
      <c r="F1614" s="28"/>
      <c r="G1614" s="22"/>
      <c r="H1614" s="21"/>
      <c r="I1614" s="28"/>
      <c r="J1614" s="22"/>
      <c r="K1614" s="22"/>
      <c r="L1614" s="22"/>
      <c r="M1614" s="21"/>
      <c r="N1614" s="22"/>
      <c r="O1614" s="29" t="str">
        <f aca="false">IF(A1614="","",IF(COUNTIF($A$2:$A$2001,A1614)&gt;1,"GANDA","OK"))</f>
        <v/>
      </c>
      <c r="P1614" s="29" t="str">
        <f aca="false">IF(A1614="","",IF(C1614="","KOSONG",IF(AND(LEN(C1614)=16,ISNUMBER(--C1614)),"OK","TIDAK VALID")))</f>
        <v/>
      </c>
    </row>
    <row r="1615" customFormat="false" ht="15" hidden="false" customHeight="false" outlineLevel="0" collapsed="false">
      <c r="A1615" s="21"/>
      <c r="B1615" s="22"/>
      <c r="C1615" s="21"/>
      <c r="D1615" s="22"/>
      <c r="E1615" s="22"/>
      <c r="F1615" s="28"/>
      <c r="G1615" s="22"/>
      <c r="H1615" s="21"/>
      <c r="I1615" s="28"/>
      <c r="J1615" s="22"/>
      <c r="K1615" s="22"/>
      <c r="L1615" s="22"/>
      <c r="M1615" s="21"/>
      <c r="N1615" s="22"/>
      <c r="O1615" s="29" t="str">
        <f aca="false">IF(A1615="","",IF(COUNTIF($A$2:$A$2001,A1615)&gt;1,"GANDA","OK"))</f>
        <v/>
      </c>
      <c r="P1615" s="29" t="str">
        <f aca="false">IF(A1615="","",IF(C1615="","KOSONG",IF(AND(LEN(C1615)=16,ISNUMBER(--C1615)),"OK","TIDAK VALID")))</f>
        <v/>
      </c>
    </row>
    <row r="1616" customFormat="false" ht="15" hidden="false" customHeight="false" outlineLevel="0" collapsed="false">
      <c r="A1616" s="21"/>
      <c r="B1616" s="22"/>
      <c r="C1616" s="21"/>
      <c r="D1616" s="22"/>
      <c r="E1616" s="22"/>
      <c r="F1616" s="28"/>
      <c r="G1616" s="22"/>
      <c r="H1616" s="21"/>
      <c r="I1616" s="28"/>
      <c r="J1616" s="22"/>
      <c r="K1616" s="22"/>
      <c r="L1616" s="22"/>
      <c r="M1616" s="21"/>
      <c r="N1616" s="22"/>
      <c r="O1616" s="29" t="str">
        <f aca="false">IF(A1616="","",IF(COUNTIF($A$2:$A$2001,A1616)&gt;1,"GANDA","OK"))</f>
        <v/>
      </c>
      <c r="P1616" s="29" t="str">
        <f aca="false">IF(A1616="","",IF(C1616="","KOSONG",IF(AND(LEN(C1616)=16,ISNUMBER(--C1616)),"OK","TIDAK VALID")))</f>
        <v/>
      </c>
    </row>
    <row r="1617" customFormat="false" ht="15" hidden="false" customHeight="false" outlineLevel="0" collapsed="false">
      <c r="A1617" s="21"/>
      <c r="B1617" s="22"/>
      <c r="C1617" s="21"/>
      <c r="D1617" s="22"/>
      <c r="E1617" s="22"/>
      <c r="F1617" s="28"/>
      <c r="G1617" s="22"/>
      <c r="H1617" s="21"/>
      <c r="I1617" s="28"/>
      <c r="J1617" s="22"/>
      <c r="K1617" s="22"/>
      <c r="L1617" s="22"/>
      <c r="M1617" s="21"/>
      <c r="N1617" s="22"/>
      <c r="O1617" s="29" t="str">
        <f aca="false">IF(A1617="","",IF(COUNTIF($A$2:$A$2001,A1617)&gt;1,"GANDA","OK"))</f>
        <v/>
      </c>
      <c r="P1617" s="29" t="str">
        <f aca="false">IF(A1617="","",IF(C1617="","KOSONG",IF(AND(LEN(C1617)=16,ISNUMBER(--C1617)),"OK","TIDAK VALID")))</f>
        <v/>
      </c>
    </row>
    <row r="1618" customFormat="false" ht="15" hidden="false" customHeight="false" outlineLevel="0" collapsed="false">
      <c r="A1618" s="21"/>
      <c r="B1618" s="22"/>
      <c r="C1618" s="21"/>
      <c r="D1618" s="22"/>
      <c r="E1618" s="22"/>
      <c r="F1618" s="28"/>
      <c r="G1618" s="22"/>
      <c r="H1618" s="21"/>
      <c r="I1618" s="28"/>
      <c r="J1618" s="22"/>
      <c r="K1618" s="22"/>
      <c r="L1618" s="22"/>
      <c r="M1618" s="21"/>
      <c r="N1618" s="22"/>
      <c r="O1618" s="29" t="str">
        <f aca="false">IF(A1618="","",IF(COUNTIF($A$2:$A$2001,A1618)&gt;1,"GANDA","OK"))</f>
        <v/>
      </c>
      <c r="P1618" s="29" t="str">
        <f aca="false">IF(A1618="","",IF(C1618="","KOSONG",IF(AND(LEN(C1618)=16,ISNUMBER(--C1618)),"OK","TIDAK VALID")))</f>
        <v/>
      </c>
    </row>
    <row r="1619" customFormat="false" ht="15" hidden="false" customHeight="false" outlineLevel="0" collapsed="false">
      <c r="A1619" s="21"/>
      <c r="B1619" s="22"/>
      <c r="C1619" s="21"/>
      <c r="D1619" s="22"/>
      <c r="E1619" s="22"/>
      <c r="F1619" s="28"/>
      <c r="G1619" s="22"/>
      <c r="H1619" s="21"/>
      <c r="I1619" s="28"/>
      <c r="J1619" s="22"/>
      <c r="K1619" s="22"/>
      <c r="L1619" s="22"/>
      <c r="M1619" s="21"/>
      <c r="N1619" s="22"/>
      <c r="O1619" s="29" t="str">
        <f aca="false">IF(A1619="","",IF(COUNTIF($A$2:$A$2001,A1619)&gt;1,"GANDA","OK"))</f>
        <v/>
      </c>
      <c r="P1619" s="29" t="str">
        <f aca="false">IF(A1619="","",IF(C1619="","KOSONG",IF(AND(LEN(C1619)=16,ISNUMBER(--C1619)),"OK","TIDAK VALID")))</f>
        <v/>
      </c>
    </row>
    <row r="1620" customFormat="false" ht="15" hidden="false" customHeight="false" outlineLevel="0" collapsed="false">
      <c r="A1620" s="21"/>
      <c r="B1620" s="22"/>
      <c r="C1620" s="21"/>
      <c r="D1620" s="22"/>
      <c r="E1620" s="22"/>
      <c r="F1620" s="28"/>
      <c r="G1620" s="22"/>
      <c r="H1620" s="21"/>
      <c r="I1620" s="28"/>
      <c r="J1620" s="22"/>
      <c r="K1620" s="22"/>
      <c r="L1620" s="22"/>
      <c r="M1620" s="21"/>
      <c r="N1620" s="22"/>
      <c r="O1620" s="29" t="str">
        <f aca="false">IF(A1620="","",IF(COUNTIF($A$2:$A$2001,A1620)&gt;1,"GANDA","OK"))</f>
        <v/>
      </c>
      <c r="P1620" s="29" t="str">
        <f aca="false">IF(A1620="","",IF(C1620="","KOSONG",IF(AND(LEN(C1620)=16,ISNUMBER(--C1620)),"OK","TIDAK VALID")))</f>
        <v/>
      </c>
    </row>
    <row r="1621" customFormat="false" ht="15" hidden="false" customHeight="false" outlineLevel="0" collapsed="false">
      <c r="A1621" s="21"/>
      <c r="B1621" s="22"/>
      <c r="C1621" s="21"/>
      <c r="D1621" s="22"/>
      <c r="E1621" s="22"/>
      <c r="F1621" s="28"/>
      <c r="G1621" s="22"/>
      <c r="H1621" s="21"/>
      <c r="I1621" s="28"/>
      <c r="J1621" s="22"/>
      <c r="K1621" s="22"/>
      <c r="L1621" s="22"/>
      <c r="M1621" s="21"/>
      <c r="N1621" s="22"/>
      <c r="O1621" s="29" t="str">
        <f aca="false">IF(A1621="","",IF(COUNTIF($A$2:$A$2001,A1621)&gt;1,"GANDA","OK"))</f>
        <v/>
      </c>
      <c r="P1621" s="29" t="str">
        <f aca="false">IF(A1621="","",IF(C1621="","KOSONG",IF(AND(LEN(C1621)=16,ISNUMBER(--C1621)),"OK","TIDAK VALID")))</f>
        <v/>
      </c>
    </row>
    <row r="1622" customFormat="false" ht="15" hidden="false" customHeight="false" outlineLevel="0" collapsed="false">
      <c r="A1622" s="21"/>
      <c r="B1622" s="22"/>
      <c r="C1622" s="21"/>
      <c r="D1622" s="22"/>
      <c r="E1622" s="22"/>
      <c r="F1622" s="28"/>
      <c r="G1622" s="22"/>
      <c r="H1622" s="21"/>
      <c r="I1622" s="28"/>
      <c r="J1622" s="22"/>
      <c r="K1622" s="22"/>
      <c r="L1622" s="22"/>
      <c r="M1622" s="21"/>
      <c r="N1622" s="22"/>
      <c r="O1622" s="29" t="str">
        <f aca="false">IF(A1622="","",IF(COUNTIF($A$2:$A$2001,A1622)&gt;1,"GANDA","OK"))</f>
        <v/>
      </c>
      <c r="P1622" s="29" t="str">
        <f aca="false">IF(A1622="","",IF(C1622="","KOSONG",IF(AND(LEN(C1622)=16,ISNUMBER(--C1622)),"OK","TIDAK VALID")))</f>
        <v/>
      </c>
    </row>
    <row r="1623" customFormat="false" ht="15" hidden="false" customHeight="false" outlineLevel="0" collapsed="false">
      <c r="A1623" s="21"/>
      <c r="B1623" s="22"/>
      <c r="C1623" s="21"/>
      <c r="D1623" s="22"/>
      <c r="E1623" s="22"/>
      <c r="F1623" s="28"/>
      <c r="G1623" s="22"/>
      <c r="H1623" s="21"/>
      <c r="I1623" s="28"/>
      <c r="J1623" s="22"/>
      <c r="K1623" s="22"/>
      <c r="L1623" s="22"/>
      <c r="M1623" s="21"/>
      <c r="N1623" s="22"/>
      <c r="O1623" s="29" t="str">
        <f aca="false">IF(A1623="","",IF(COUNTIF($A$2:$A$2001,A1623)&gt;1,"GANDA","OK"))</f>
        <v/>
      </c>
      <c r="P1623" s="29" t="str">
        <f aca="false">IF(A1623="","",IF(C1623="","KOSONG",IF(AND(LEN(C1623)=16,ISNUMBER(--C1623)),"OK","TIDAK VALID")))</f>
        <v/>
      </c>
    </row>
    <row r="1624" customFormat="false" ht="15" hidden="false" customHeight="false" outlineLevel="0" collapsed="false">
      <c r="A1624" s="21"/>
      <c r="B1624" s="22"/>
      <c r="C1624" s="21"/>
      <c r="D1624" s="22"/>
      <c r="E1624" s="22"/>
      <c r="F1624" s="28"/>
      <c r="G1624" s="22"/>
      <c r="H1624" s="21"/>
      <c r="I1624" s="28"/>
      <c r="J1624" s="22"/>
      <c r="K1624" s="22"/>
      <c r="L1624" s="22"/>
      <c r="M1624" s="21"/>
      <c r="N1624" s="22"/>
      <c r="O1624" s="29" t="str">
        <f aca="false">IF(A1624="","",IF(COUNTIF($A$2:$A$2001,A1624)&gt;1,"GANDA","OK"))</f>
        <v/>
      </c>
      <c r="P1624" s="29" t="str">
        <f aca="false">IF(A1624="","",IF(C1624="","KOSONG",IF(AND(LEN(C1624)=16,ISNUMBER(--C1624)),"OK","TIDAK VALID")))</f>
        <v/>
      </c>
    </row>
    <row r="1625" customFormat="false" ht="15" hidden="false" customHeight="false" outlineLevel="0" collapsed="false">
      <c r="A1625" s="21"/>
      <c r="B1625" s="22"/>
      <c r="C1625" s="21"/>
      <c r="D1625" s="22"/>
      <c r="E1625" s="22"/>
      <c r="F1625" s="28"/>
      <c r="G1625" s="22"/>
      <c r="H1625" s="21"/>
      <c r="I1625" s="28"/>
      <c r="J1625" s="22"/>
      <c r="K1625" s="22"/>
      <c r="L1625" s="22"/>
      <c r="M1625" s="21"/>
      <c r="N1625" s="22"/>
      <c r="O1625" s="29" t="str">
        <f aca="false">IF(A1625="","",IF(COUNTIF($A$2:$A$2001,A1625)&gt;1,"GANDA","OK"))</f>
        <v/>
      </c>
      <c r="P1625" s="29" t="str">
        <f aca="false">IF(A1625="","",IF(C1625="","KOSONG",IF(AND(LEN(C1625)=16,ISNUMBER(--C1625)),"OK","TIDAK VALID")))</f>
        <v/>
      </c>
    </row>
    <row r="1626" customFormat="false" ht="15" hidden="false" customHeight="false" outlineLevel="0" collapsed="false">
      <c r="A1626" s="21"/>
      <c r="B1626" s="22"/>
      <c r="C1626" s="21"/>
      <c r="D1626" s="22"/>
      <c r="E1626" s="22"/>
      <c r="F1626" s="28"/>
      <c r="G1626" s="22"/>
      <c r="H1626" s="21"/>
      <c r="I1626" s="28"/>
      <c r="J1626" s="22"/>
      <c r="K1626" s="22"/>
      <c r="L1626" s="22"/>
      <c r="M1626" s="21"/>
      <c r="N1626" s="22"/>
      <c r="O1626" s="29" t="str">
        <f aca="false">IF(A1626="","",IF(COUNTIF($A$2:$A$2001,A1626)&gt;1,"GANDA","OK"))</f>
        <v/>
      </c>
      <c r="P1626" s="29" t="str">
        <f aca="false">IF(A1626="","",IF(C1626="","KOSONG",IF(AND(LEN(C1626)=16,ISNUMBER(--C1626)),"OK","TIDAK VALID")))</f>
        <v/>
      </c>
    </row>
    <row r="1627" customFormat="false" ht="15" hidden="false" customHeight="false" outlineLevel="0" collapsed="false">
      <c r="A1627" s="21"/>
      <c r="B1627" s="22"/>
      <c r="C1627" s="21"/>
      <c r="D1627" s="22"/>
      <c r="E1627" s="22"/>
      <c r="F1627" s="28"/>
      <c r="G1627" s="22"/>
      <c r="H1627" s="21"/>
      <c r="I1627" s="28"/>
      <c r="J1627" s="22"/>
      <c r="K1627" s="22"/>
      <c r="L1627" s="22"/>
      <c r="M1627" s="21"/>
      <c r="N1627" s="22"/>
      <c r="O1627" s="29" t="str">
        <f aca="false">IF(A1627="","",IF(COUNTIF($A$2:$A$2001,A1627)&gt;1,"GANDA","OK"))</f>
        <v/>
      </c>
      <c r="P1627" s="29" t="str">
        <f aca="false">IF(A1627="","",IF(C1627="","KOSONG",IF(AND(LEN(C1627)=16,ISNUMBER(--C1627)),"OK","TIDAK VALID")))</f>
        <v/>
      </c>
    </row>
    <row r="1628" customFormat="false" ht="15" hidden="false" customHeight="false" outlineLevel="0" collapsed="false">
      <c r="A1628" s="21"/>
      <c r="B1628" s="22"/>
      <c r="C1628" s="21"/>
      <c r="D1628" s="22"/>
      <c r="E1628" s="22"/>
      <c r="F1628" s="28"/>
      <c r="G1628" s="22"/>
      <c r="H1628" s="21"/>
      <c r="I1628" s="28"/>
      <c r="J1628" s="22"/>
      <c r="K1628" s="22"/>
      <c r="L1628" s="22"/>
      <c r="M1628" s="21"/>
      <c r="N1628" s="22"/>
      <c r="O1628" s="29" t="str">
        <f aca="false">IF(A1628="","",IF(COUNTIF($A$2:$A$2001,A1628)&gt;1,"GANDA","OK"))</f>
        <v/>
      </c>
      <c r="P1628" s="29" t="str">
        <f aca="false">IF(A1628="","",IF(C1628="","KOSONG",IF(AND(LEN(C1628)=16,ISNUMBER(--C1628)),"OK","TIDAK VALID")))</f>
        <v/>
      </c>
    </row>
    <row r="1629" customFormat="false" ht="15" hidden="false" customHeight="false" outlineLevel="0" collapsed="false">
      <c r="A1629" s="21"/>
      <c r="B1629" s="22"/>
      <c r="C1629" s="21"/>
      <c r="D1629" s="22"/>
      <c r="E1629" s="22"/>
      <c r="F1629" s="28"/>
      <c r="G1629" s="22"/>
      <c r="H1629" s="21"/>
      <c r="I1629" s="28"/>
      <c r="J1629" s="22"/>
      <c r="K1629" s="22"/>
      <c r="L1629" s="22"/>
      <c r="M1629" s="21"/>
      <c r="N1629" s="22"/>
      <c r="O1629" s="29" t="str">
        <f aca="false">IF(A1629="","",IF(COUNTIF($A$2:$A$2001,A1629)&gt;1,"GANDA","OK"))</f>
        <v/>
      </c>
      <c r="P1629" s="29" t="str">
        <f aca="false">IF(A1629="","",IF(C1629="","KOSONG",IF(AND(LEN(C1629)=16,ISNUMBER(--C1629)),"OK","TIDAK VALID")))</f>
        <v/>
      </c>
    </row>
    <row r="1630" customFormat="false" ht="15" hidden="false" customHeight="false" outlineLevel="0" collapsed="false">
      <c r="A1630" s="21"/>
      <c r="B1630" s="22"/>
      <c r="C1630" s="21"/>
      <c r="D1630" s="22"/>
      <c r="E1630" s="22"/>
      <c r="F1630" s="28"/>
      <c r="G1630" s="22"/>
      <c r="H1630" s="21"/>
      <c r="I1630" s="28"/>
      <c r="J1630" s="22"/>
      <c r="K1630" s="22"/>
      <c r="L1630" s="22"/>
      <c r="M1630" s="21"/>
      <c r="N1630" s="22"/>
      <c r="O1630" s="29" t="str">
        <f aca="false">IF(A1630="","",IF(COUNTIF($A$2:$A$2001,A1630)&gt;1,"GANDA","OK"))</f>
        <v/>
      </c>
      <c r="P1630" s="29" t="str">
        <f aca="false">IF(A1630="","",IF(C1630="","KOSONG",IF(AND(LEN(C1630)=16,ISNUMBER(--C1630)),"OK","TIDAK VALID")))</f>
        <v/>
      </c>
    </row>
    <row r="1631" customFormat="false" ht="15" hidden="false" customHeight="false" outlineLevel="0" collapsed="false">
      <c r="A1631" s="21"/>
      <c r="B1631" s="22"/>
      <c r="C1631" s="21"/>
      <c r="D1631" s="22"/>
      <c r="E1631" s="22"/>
      <c r="F1631" s="28"/>
      <c r="G1631" s="22"/>
      <c r="H1631" s="21"/>
      <c r="I1631" s="28"/>
      <c r="J1631" s="22"/>
      <c r="K1631" s="22"/>
      <c r="L1631" s="22"/>
      <c r="M1631" s="21"/>
      <c r="N1631" s="22"/>
      <c r="O1631" s="29" t="str">
        <f aca="false">IF(A1631="","",IF(COUNTIF($A$2:$A$2001,A1631)&gt;1,"GANDA","OK"))</f>
        <v/>
      </c>
      <c r="P1631" s="29" t="str">
        <f aca="false">IF(A1631="","",IF(C1631="","KOSONG",IF(AND(LEN(C1631)=16,ISNUMBER(--C1631)),"OK","TIDAK VALID")))</f>
        <v/>
      </c>
    </row>
    <row r="1632" customFormat="false" ht="15" hidden="false" customHeight="false" outlineLevel="0" collapsed="false">
      <c r="A1632" s="21"/>
      <c r="B1632" s="22"/>
      <c r="C1632" s="21"/>
      <c r="D1632" s="22"/>
      <c r="E1632" s="22"/>
      <c r="F1632" s="28"/>
      <c r="G1632" s="22"/>
      <c r="H1632" s="21"/>
      <c r="I1632" s="28"/>
      <c r="J1632" s="22"/>
      <c r="K1632" s="22"/>
      <c r="L1632" s="22"/>
      <c r="M1632" s="21"/>
      <c r="N1632" s="22"/>
      <c r="O1632" s="29" t="str">
        <f aca="false">IF(A1632="","",IF(COUNTIF($A$2:$A$2001,A1632)&gt;1,"GANDA","OK"))</f>
        <v/>
      </c>
      <c r="P1632" s="29" t="str">
        <f aca="false">IF(A1632="","",IF(C1632="","KOSONG",IF(AND(LEN(C1632)=16,ISNUMBER(--C1632)),"OK","TIDAK VALID")))</f>
        <v/>
      </c>
    </row>
    <row r="1633" customFormat="false" ht="15" hidden="false" customHeight="false" outlineLevel="0" collapsed="false">
      <c r="A1633" s="21"/>
      <c r="B1633" s="22"/>
      <c r="C1633" s="21"/>
      <c r="D1633" s="22"/>
      <c r="E1633" s="22"/>
      <c r="F1633" s="28"/>
      <c r="G1633" s="22"/>
      <c r="H1633" s="21"/>
      <c r="I1633" s="28"/>
      <c r="J1633" s="22"/>
      <c r="K1633" s="22"/>
      <c r="L1633" s="22"/>
      <c r="M1633" s="21"/>
      <c r="N1633" s="22"/>
      <c r="O1633" s="29" t="str">
        <f aca="false">IF(A1633="","",IF(COUNTIF($A$2:$A$2001,A1633)&gt;1,"GANDA","OK"))</f>
        <v/>
      </c>
      <c r="P1633" s="29" t="str">
        <f aca="false">IF(A1633="","",IF(C1633="","KOSONG",IF(AND(LEN(C1633)=16,ISNUMBER(--C1633)),"OK","TIDAK VALID")))</f>
        <v/>
      </c>
    </row>
    <row r="1634" customFormat="false" ht="15" hidden="false" customHeight="false" outlineLevel="0" collapsed="false">
      <c r="A1634" s="21"/>
      <c r="B1634" s="22"/>
      <c r="C1634" s="21"/>
      <c r="D1634" s="22"/>
      <c r="E1634" s="22"/>
      <c r="F1634" s="28"/>
      <c r="G1634" s="22"/>
      <c r="H1634" s="21"/>
      <c r="I1634" s="28"/>
      <c r="J1634" s="22"/>
      <c r="K1634" s="22"/>
      <c r="L1634" s="22"/>
      <c r="M1634" s="21"/>
      <c r="N1634" s="22"/>
      <c r="O1634" s="29" t="str">
        <f aca="false">IF(A1634="","",IF(COUNTIF($A$2:$A$2001,A1634)&gt;1,"GANDA","OK"))</f>
        <v/>
      </c>
      <c r="P1634" s="29" t="str">
        <f aca="false">IF(A1634="","",IF(C1634="","KOSONG",IF(AND(LEN(C1634)=16,ISNUMBER(--C1634)),"OK","TIDAK VALID")))</f>
        <v/>
      </c>
    </row>
    <row r="1635" customFormat="false" ht="15" hidden="false" customHeight="false" outlineLevel="0" collapsed="false">
      <c r="A1635" s="21"/>
      <c r="B1635" s="22"/>
      <c r="C1635" s="21"/>
      <c r="D1635" s="22"/>
      <c r="E1635" s="22"/>
      <c r="F1635" s="28"/>
      <c r="G1635" s="22"/>
      <c r="H1635" s="21"/>
      <c r="I1635" s="28"/>
      <c r="J1635" s="22"/>
      <c r="K1635" s="22"/>
      <c r="L1635" s="22"/>
      <c r="M1635" s="21"/>
      <c r="N1635" s="22"/>
      <c r="O1635" s="29" t="str">
        <f aca="false">IF(A1635="","",IF(COUNTIF($A$2:$A$2001,A1635)&gt;1,"GANDA","OK"))</f>
        <v/>
      </c>
      <c r="P1635" s="29" t="str">
        <f aca="false">IF(A1635="","",IF(C1635="","KOSONG",IF(AND(LEN(C1635)=16,ISNUMBER(--C1635)),"OK","TIDAK VALID")))</f>
        <v/>
      </c>
    </row>
    <row r="1636" customFormat="false" ht="15" hidden="false" customHeight="false" outlineLevel="0" collapsed="false">
      <c r="A1636" s="21"/>
      <c r="B1636" s="22"/>
      <c r="C1636" s="21"/>
      <c r="D1636" s="22"/>
      <c r="E1636" s="22"/>
      <c r="F1636" s="28"/>
      <c r="G1636" s="22"/>
      <c r="H1636" s="21"/>
      <c r="I1636" s="28"/>
      <c r="J1636" s="22"/>
      <c r="K1636" s="22"/>
      <c r="L1636" s="22"/>
      <c r="M1636" s="21"/>
      <c r="N1636" s="22"/>
      <c r="O1636" s="29" t="str">
        <f aca="false">IF(A1636="","",IF(COUNTIF($A$2:$A$2001,A1636)&gt;1,"GANDA","OK"))</f>
        <v/>
      </c>
      <c r="P1636" s="29" t="str">
        <f aca="false">IF(A1636="","",IF(C1636="","KOSONG",IF(AND(LEN(C1636)=16,ISNUMBER(--C1636)),"OK","TIDAK VALID")))</f>
        <v/>
      </c>
    </row>
    <row r="1637" customFormat="false" ht="15" hidden="false" customHeight="false" outlineLevel="0" collapsed="false">
      <c r="A1637" s="21"/>
      <c r="B1637" s="22"/>
      <c r="C1637" s="21"/>
      <c r="D1637" s="22"/>
      <c r="E1637" s="22"/>
      <c r="F1637" s="28"/>
      <c r="G1637" s="22"/>
      <c r="H1637" s="21"/>
      <c r="I1637" s="28"/>
      <c r="J1637" s="22"/>
      <c r="K1637" s="22"/>
      <c r="L1637" s="22"/>
      <c r="M1637" s="21"/>
      <c r="N1637" s="22"/>
      <c r="O1637" s="29" t="str">
        <f aca="false">IF(A1637="","",IF(COUNTIF($A$2:$A$2001,A1637)&gt;1,"GANDA","OK"))</f>
        <v/>
      </c>
      <c r="P1637" s="29" t="str">
        <f aca="false">IF(A1637="","",IF(C1637="","KOSONG",IF(AND(LEN(C1637)=16,ISNUMBER(--C1637)),"OK","TIDAK VALID")))</f>
        <v/>
      </c>
    </row>
    <row r="1638" customFormat="false" ht="15" hidden="false" customHeight="false" outlineLevel="0" collapsed="false">
      <c r="A1638" s="21"/>
      <c r="B1638" s="22"/>
      <c r="C1638" s="21"/>
      <c r="D1638" s="22"/>
      <c r="E1638" s="22"/>
      <c r="F1638" s="28"/>
      <c r="G1638" s="22"/>
      <c r="H1638" s="21"/>
      <c r="I1638" s="28"/>
      <c r="J1638" s="22"/>
      <c r="K1638" s="22"/>
      <c r="L1638" s="22"/>
      <c r="M1638" s="21"/>
      <c r="N1638" s="22"/>
      <c r="O1638" s="29" t="str">
        <f aca="false">IF(A1638="","",IF(COUNTIF($A$2:$A$2001,A1638)&gt;1,"GANDA","OK"))</f>
        <v/>
      </c>
      <c r="P1638" s="29" t="str">
        <f aca="false">IF(A1638="","",IF(C1638="","KOSONG",IF(AND(LEN(C1638)=16,ISNUMBER(--C1638)),"OK","TIDAK VALID")))</f>
        <v/>
      </c>
    </row>
    <row r="1639" customFormat="false" ht="15" hidden="false" customHeight="false" outlineLevel="0" collapsed="false">
      <c r="A1639" s="21"/>
      <c r="B1639" s="22"/>
      <c r="C1639" s="21"/>
      <c r="D1639" s="22"/>
      <c r="E1639" s="22"/>
      <c r="F1639" s="28"/>
      <c r="G1639" s="22"/>
      <c r="H1639" s="21"/>
      <c r="I1639" s="28"/>
      <c r="J1639" s="22"/>
      <c r="K1639" s="22"/>
      <c r="L1639" s="22"/>
      <c r="M1639" s="21"/>
      <c r="N1639" s="22"/>
      <c r="O1639" s="29" t="str">
        <f aca="false">IF(A1639="","",IF(COUNTIF($A$2:$A$2001,A1639)&gt;1,"GANDA","OK"))</f>
        <v/>
      </c>
      <c r="P1639" s="29" t="str">
        <f aca="false">IF(A1639="","",IF(C1639="","KOSONG",IF(AND(LEN(C1639)=16,ISNUMBER(--C1639)),"OK","TIDAK VALID")))</f>
        <v/>
      </c>
    </row>
    <row r="1640" customFormat="false" ht="15" hidden="false" customHeight="false" outlineLevel="0" collapsed="false">
      <c r="A1640" s="21"/>
      <c r="B1640" s="22"/>
      <c r="C1640" s="21"/>
      <c r="D1640" s="22"/>
      <c r="E1640" s="22"/>
      <c r="F1640" s="28"/>
      <c r="G1640" s="22"/>
      <c r="H1640" s="21"/>
      <c r="I1640" s="28"/>
      <c r="J1640" s="22"/>
      <c r="K1640" s="22"/>
      <c r="L1640" s="22"/>
      <c r="M1640" s="21"/>
      <c r="N1640" s="22"/>
      <c r="O1640" s="29" t="str">
        <f aca="false">IF(A1640="","",IF(COUNTIF($A$2:$A$2001,A1640)&gt;1,"GANDA","OK"))</f>
        <v/>
      </c>
      <c r="P1640" s="29" t="str">
        <f aca="false">IF(A1640="","",IF(C1640="","KOSONG",IF(AND(LEN(C1640)=16,ISNUMBER(--C1640)),"OK","TIDAK VALID")))</f>
        <v/>
      </c>
    </row>
    <row r="1641" customFormat="false" ht="15" hidden="false" customHeight="false" outlineLevel="0" collapsed="false">
      <c r="A1641" s="21"/>
      <c r="B1641" s="22"/>
      <c r="C1641" s="21"/>
      <c r="D1641" s="22"/>
      <c r="E1641" s="22"/>
      <c r="F1641" s="28"/>
      <c r="G1641" s="22"/>
      <c r="H1641" s="21"/>
      <c r="I1641" s="28"/>
      <c r="J1641" s="22"/>
      <c r="K1641" s="22"/>
      <c r="L1641" s="22"/>
      <c r="M1641" s="21"/>
      <c r="N1641" s="22"/>
      <c r="O1641" s="29" t="str">
        <f aca="false">IF(A1641="","",IF(COUNTIF($A$2:$A$2001,A1641)&gt;1,"GANDA","OK"))</f>
        <v/>
      </c>
      <c r="P1641" s="29" t="str">
        <f aca="false">IF(A1641="","",IF(C1641="","KOSONG",IF(AND(LEN(C1641)=16,ISNUMBER(--C1641)),"OK","TIDAK VALID")))</f>
        <v/>
      </c>
    </row>
    <row r="1642" customFormat="false" ht="15" hidden="false" customHeight="false" outlineLevel="0" collapsed="false">
      <c r="A1642" s="21"/>
      <c r="B1642" s="22"/>
      <c r="C1642" s="21"/>
      <c r="D1642" s="22"/>
      <c r="E1642" s="22"/>
      <c r="F1642" s="28"/>
      <c r="G1642" s="22"/>
      <c r="H1642" s="21"/>
      <c r="I1642" s="28"/>
      <c r="J1642" s="22"/>
      <c r="K1642" s="22"/>
      <c r="L1642" s="22"/>
      <c r="M1642" s="21"/>
      <c r="N1642" s="22"/>
      <c r="O1642" s="29" t="str">
        <f aca="false">IF(A1642="","",IF(COUNTIF($A$2:$A$2001,A1642)&gt;1,"GANDA","OK"))</f>
        <v/>
      </c>
      <c r="P1642" s="29" t="str">
        <f aca="false">IF(A1642="","",IF(C1642="","KOSONG",IF(AND(LEN(C1642)=16,ISNUMBER(--C1642)),"OK","TIDAK VALID")))</f>
        <v/>
      </c>
    </row>
    <row r="1643" customFormat="false" ht="15" hidden="false" customHeight="false" outlineLevel="0" collapsed="false">
      <c r="A1643" s="21"/>
      <c r="B1643" s="22"/>
      <c r="C1643" s="21"/>
      <c r="D1643" s="22"/>
      <c r="E1643" s="22"/>
      <c r="F1643" s="28"/>
      <c r="G1643" s="22"/>
      <c r="H1643" s="21"/>
      <c r="I1643" s="28"/>
      <c r="J1643" s="22"/>
      <c r="K1643" s="22"/>
      <c r="L1643" s="22"/>
      <c r="M1643" s="21"/>
      <c r="N1643" s="22"/>
      <c r="O1643" s="29" t="str">
        <f aca="false">IF(A1643="","",IF(COUNTIF($A$2:$A$2001,A1643)&gt;1,"GANDA","OK"))</f>
        <v/>
      </c>
      <c r="P1643" s="29" t="str">
        <f aca="false">IF(A1643="","",IF(C1643="","KOSONG",IF(AND(LEN(C1643)=16,ISNUMBER(--C1643)),"OK","TIDAK VALID")))</f>
        <v/>
      </c>
    </row>
    <row r="1644" customFormat="false" ht="15" hidden="false" customHeight="false" outlineLevel="0" collapsed="false">
      <c r="A1644" s="21"/>
      <c r="B1644" s="22"/>
      <c r="C1644" s="21"/>
      <c r="D1644" s="22"/>
      <c r="E1644" s="22"/>
      <c r="F1644" s="28"/>
      <c r="G1644" s="22"/>
      <c r="H1644" s="21"/>
      <c r="I1644" s="28"/>
      <c r="J1644" s="22"/>
      <c r="K1644" s="22"/>
      <c r="L1644" s="22"/>
      <c r="M1644" s="21"/>
      <c r="N1644" s="22"/>
      <c r="O1644" s="29" t="str">
        <f aca="false">IF(A1644="","",IF(COUNTIF($A$2:$A$2001,A1644)&gt;1,"GANDA","OK"))</f>
        <v/>
      </c>
      <c r="P1644" s="29" t="str">
        <f aca="false">IF(A1644="","",IF(C1644="","KOSONG",IF(AND(LEN(C1644)=16,ISNUMBER(--C1644)),"OK","TIDAK VALID")))</f>
        <v/>
      </c>
    </row>
    <row r="1645" customFormat="false" ht="15" hidden="false" customHeight="false" outlineLevel="0" collapsed="false">
      <c r="A1645" s="21"/>
      <c r="B1645" s="22"/>
      <c r="C1645" s="21"/>
      <c r="D1645" s="22"/>
      <c r="E1645" s="22"/>
      <c r="F1645" s="28"/>
      <c r="G1645" s="22"/>
      <c r="H1645" s="21"/>
      <c r="I1645" s="28"/>
      <c r="J1645" s="22"/>
      <c r="K1645" s="22"/>
      <c r="L1645" s="22"/>
      <c r="M1645" s="21"/>
      <c r="N1645" s="22"/>
      <c r="O1645" s="29" t="str">
        <f aca="false">IF(A1645="","",IF(COUNTIF($A$2:$A$2001,A1645)&gt;1,"GANDA","OK"))</f>
        <v/>
      </c>
      <c r="P1645" s="29" t="str">
        <f aca="false">IF(A1645="","",IF(C1645="","KOSONG",IF(AND(LEN(C1645)=16,ISNUMBER(--C1645)),"OK","TIDAK VALID")))</f>
        <v/>
      </c>
    </row>
    <row r="1646" customFormat="false" ht="15" hidden="false" customHeight="false" outlineLevel="0" collapsed="false">
      <c r="A1646" s="21"/>
      <c r="B1646" s="22"/>
      <c r="C1646" s="21"/>
      <c r="D1646" s="22"/>
      <c r="E1646" s="22"/>
      <c r="F1646" s="28"/>
      <c r="G1646" s="22"/>
      <c r="H1646" s="21"/>
      <c r="I1646" s="28"/>
      <c r="J1646" s="22"/>
      <c r="K1646" s="22"/>
      <c r="L1646" s="22"/>
      <c r="M1646" s="21"/>
      <c r="N1646" s="22"/>
      <c r="O1646" s="29" t="str">
        <f aca="false">IF(A1646="","",IF(COUNTIF($A$2:$A$2001,A1646)&gt;1,"GANDA","OK"))</f>
        <v/>
      </c>
      <c r="P1646" s="29" t="str">
        <f aca="false">IF(A1646="","",IF(C1646="","KOSONG",IF(AND(LEN(C1646)=16,ISNUMBER(--C1646)),"OK","TIDAK VALID")))</f>
        <v/>
      </c>
    </row>
    <row r="1647" customFormat="false" ht="15" hidden="false" customHeight="false" outlineLevel="0" collapsed="false">
      <c r="A1647" s="21"/>
      <c r="B1647" s="22"/>
      <c r="C1647" s="21"/>
      <c r="D1647" s="22"/>
      <c r="E1647" s="22"/>
      <c r="F1647" s="28"/>
      <c r="G1647" s="22"/>
      <c r="H1647" s="21"/>
      <c r="I1647" s="28"/>
      <c r="J1647" s="22"/>
      <c r="K1647" s="22"/>
      <c r="L1647" s="22"/>
      <c r="M1647" s="21"/>
      <c r="N1647" s="22"/>
      <c r="O1647" s="29" t="str">
        <f aca="false">IF(A1647="","",IF(COUNTIF($A$2:$A$2001,A1647)&gt;1,"GANDA","OK"))</f>
        <v/>
      </c>
      <c r="P1647" s="29" t="str">
        <f aca="false">IF(A1647="","",IF(C1647="","KOSONG",IF(AND(LEN(C1647)=16,ISNUMBER(--C1647)),"OK","TIDAK VALID")))</f>
        <v/>
      </c>
    </row>
    <row r="1648" customFormat="false" ht="15" hidden="false" customHeight="false" outlineLevel="0" collapsed="false">
      <c r="A1648" s="21"/>
      <c r="B1648" s="22"/>
      <c r="C1648" s="21"/>
      <c r="D1648" s="22"/>
      <c r="E1648" s="22"/>
      <c r="F1648" s="28"/>
      <c r="G1648" s="22"/>
      <c r="H1648" s="21"/>
      <c r="I1648" s="28"/>
      <c r="J1648" s="22"/>
      <c r="K1648" s="22"/>
      <c r="L1648" s="22"/>
      <c r="M1648" s="21"/>
      <c r="N1648" s="22"/>
      <c r="O1648" s="29" t="str">
        <f aca="false">IF(A1648="","",IF(COUNTIF($A$2:$A$2001,A1648)&gt;1,"GANDA","OK"))</f>
        <v/>
      </c>
      <c r="P1648" s="29" t="str">
        <f aca="false">IF(A1648="","",IF(C1648="","KOSONG",IF(AND(LEN(C1648)=16,ISNUMBER(--C1648)),"OK","TIDAK VALID")))</f>
        <v/>
      </c>
    </row>
    <row r="1649" customFormat="false" ht="15" hidden="false" customHeight="false" outlineLevel="0" collapsed="false">
      <c r="A1649" s="21"/>
      <c r="B1649" s="22"/>
      <c r="C1649" s="21"/>
      <c r="D1649" s="22"/>
      <c r="E1649" s="22"/>
      <c r="F1649" s="28"/>
      <c r="G1649" s="22"/>
      <c r="H1649" s="21"/>
      <c r="I1649" s="28"/>
      <c r="J1649" s="22"/>
      <c r="K1649" s="22"/>
      <c r="L1649" s="22"/>
      <c r="M1649" s="21"/>
      <c r="N1649" s="22"/>
      <c r="O1649" s="29" t="str">
        <f aca="false">IF(A1649="","",IF(COUNTIF($A$2:$A$2001,A1649)&gt;1,"GANDA","OK"))</f>
        <v/>
      </c>
      <c r="P1649" s="29" t="str">
        <f aca="false">IF(A1649="","",IF(C1649="","KOSONG",IF(AND(LEN(C1649)=16,ISNUMBER(--C1649)),"OK","TIDAK VALID")))</f>
        <v/>
      </c>
    </row>
    <row r="1650" customFormat="false" ht="15" hidden="false" customHeight="false" outlineLevel="0" collapsed="false">
      <c r="A1650" s="21"/>
      <c r="B1650" s="22"/>
      <c r="C1650" s="21"/>
      <c r="D1650" s="22"/>
      <c r="E1650" s="22"/>
      <c r="F1650" s="28"/>
      <c r="G1650" s="22"/>
      <c r="H1650" s="21"/>
      <c r="I1650" s="28"/>
      <c r="J1650" s="22"/>
      <c r="K1650" s="22"/>
      <c r="L1650" s="22"/>
      <c r="M1650" s="21"/>
      <c r="N1650" s="22"/>
      <c r="O1650" s="29" t="str">
        <f aca="false">IF(A1650="","",IF(COUNTIF($A$2:$A$2001,A1650)&gt;1,"GANDA","OK"))</f>
        <v/>
      </c>
      <c r="P1650" s="29" t="str">
        <f aca="false">IF(A1650="","",IF(C1650="","KOSONG",IF(AND(LEN(C1650)=16,ISNUMBER(--C1650)),"OK","TIDAK VALID")))</f>
        <v/>
      </c>
    </row>
    <row r="1651" customFormat="false" ht="15" hidden="false" customHeight="false" outlineLevel="0" collapsed="false">
      <c r="A1651" s="21"/>
      <c r="B1651" s="22"/>
      <c r="C1651" s="21"/>
      <c r="D1651" s="22"/>
      <c r="E1651" s="22"/>
      <c r="F1651" s="28"/>
      <c r="G1651" s="22"/>
      <c r="H1651" s="21"/>
      <c r="I1651" s="28"/>
      <c r="J1651" s="22"/>
      <c r="K1651" s="22"/>
      <c r="L1651" s="22"/>
      <c r="M1651" s="21"/>
      <c r="N1651" s="22"/>
      <c r="O1651" s="29" t="str">
        <f aca="false">IF(A1651="","",IF(COUNTIF($A$2:$A$2001,A1651)&gt;1,"GANDA","OK"))</f>
        <v/>
      </c>
      <c r="P1651" s="29" t="str">
        <f aca="false">IF(A1651="","",IF(C1651="","KOSONG",IF(AND(LEN(C1651)=16,ISNUMBER(--C1651)),"OK","TIDAK VALID")))</f>
        <v/>
      </c>
    </row>
    <row r="1652" customFormat="false" ht="15" hidden="false" customHeight="false" outlineLevel="0" collapsed="false">
      <c r="A1652" s="21"/>
      <c r="B1652" s="22"/>
      <c r="C1652" s="21"/>
      <c r="D1652" s="22"/>
      <c r="E1652" s="22"/>
      <c r="F1652" s="28"/>
      <c r="G1652" s="22"/>
      <c r="H1652" s="21"/>
      <c r="I1652" s="28"/>
      <c r="J1652" s="22"/>
      <c r="K1652" s="22"/>
      <c r="L1652" s="22"/>
      <c r="M1652" s="21"/>
      <c r="N1652" s="22"/>
      <c r="O1652" s="29" t="str">
        <f aca="false">IF(A1652="","",IF(COUNTIF($A$2:$A$2001,A1652)&gt;1,"GANDA","OK"))</f>
        <v/>
      </c>
      <c r="P1652" s="29" t="str">
        <f aca="false">IF(A1652="","",IF(C1652="","KOSONG",IF(AND(LEN(C1652)=16,ISNUMBER(--C1652)),"OK","TIDAK VALID")))</f>
        <v/>
      </c>
    </row>
    <row r="1653" customFormat="false" ht="15" hidden="false" customHeight="false" outlineLevel="0" collapsed="false">
      <c r="A1653" s="21"/>
      <c r="B1653" s="22"/>
      <c r="C1653" s="21"/>
      <c r="D1653" s="22"/>
      <c r="E1653" s="22"/>
      <c r="F1653" s="28"/>
      <c r="G1653" s="22"/>
      <c r="H1653" s="21"/>
      <c r="I1653" s="28"/>
      <c r="J1653" s="22"/>
      <c r="K1653" s="22"/>
      <c r="L1653" s="22"/>
      <c r="M1653" s="21"/>
      <c r="N1653" s="22"/>
      <c r="O1653" s="29" t="str">
        <f aca="false">IF(A1653="","",IF(COUNTIF($A$2:$A$2001,A1653)&gt;1,"GANDA","OK"))</f>
        <v/>
      </c>
      <c r="P1653" s="29" t="str">
        <f aca="false">IF(A1653="","",IF(C1653="","KOSONG",IF(AND(LEN(C1653)=16,ISNUMBER(--C1653)),"OK","TIDAK VALID")))</f>
        <v/>
      </c>
    </row>
    <row r="1654" customFormat="false" ht="15" hidden="false" customHeight="false" outlineLevel="0" collapsed="false">
      <c r="A1654" s="21"/>
      <c r="B1654" s="22"/>
      <c r="C1654" s="21"/>
      <c r="D1654" s="22"/>
      <c r="E1654" s="22"/>
      <c r="F1654" s="28"/>
      <c r="G1654" s="22"/>
      <c r="H1654" s="21"/>
      <c r="I1654" s="28"/>
      <c r="J1654" s="22"/>
      <c r="K1654" s="22"/>
      <c r="L1654" s="22"/>
      <c r="M1654" s="21"/>
      <c r="N1654" s="22"/>
      <c r="O1654" s="29" t="str">
        <f aca="false">IF(A1654="","",IF(COUNTIF($A$2:$A$2001,A1654)&gt;1,"GANDA","OK"))</f>
        <v/>
      </c>
      <c r="P1654" s="29" t="str">
        <f aca="false">IF(A1654="","",IF(C1654="","KOSONG",IF(AND(LEN(C1654)=16,ISNUMBER(--C1654)),"OK","TIDAK VALID")))</f>
        <v/>
      </c>
    </row>
    <row r="1655" customFormat="false" ht="15" hidden="false" customHeight="false" outlineLevel="0" collapsed="false">
      <c r="A1655" s="21"/>
      <c r="B1655" s="22"/>
      <c r="C1655" s="21"/>
      <c r="D1655" s="22"/>
      <c r="E1655" s="22"/>
      <c r="F1655" s="28"/>
      <c r="G1655" s="22"/>
      <c r="H1655" s="21"/>
      <c r="I1655" s="28"/>
      <c r="J1655" s="22"/>
      <c r="K1655" s="22"/>
      <c r="L1655" s="22"/>
      <c r="M1655" s="21"/>
      <c r="N1655" s="22"/>
      <c r="O1655" s="29" t="str">
        <f aca="false">IF(A1655="","",IF(COUNTIF($A$2:$A$2001,A1655)&gt;1,"GANDA","OK"))</f>
        <v/>
      </c>
      <c r="P1655" s="29" t="str">
        <f aca="false">IF(A1655="","",IF(C1655="","KOSONG",IF(AND(LEN(C1655)=16,ISNUMBER(--C1655)),"OK","TIDAK VALID")))</f>
        <v/>
      </c>
    </row>
    <row r="1656" customFormat="false" ht="15" hidden="false" customHeight="false" outlineLevel="0" collapsed="false">
      <c r="A1656" s="21"/>
      <c r="B1656" s="22"/>
      <c r="C1656" s="21"/>
      <c r="D1656" s="22"/>
      <c r="E1656" s="22"/>
      <c r="F1656" s="28"/>
      <c r="G1656" s="22"/>
      <c r="H1656" s="21"/>
      <c r="I1656" s="28"/>
      <c r="J1656" s="22"/>
      <c r="K1656" s="22"/>
      <c r="L1656" s="22"/>
      <c r="M1656" s="21"/>
      <c r="N1656" s="22"/>
      <c r="O1656" s="29" t="str">
        <f aca="false">IF(A1656="","",IF(COUNTIF($A$2:$A$2001,A1656)&gt;1,"GANDA","OK"))</f>
        <v/>
      </c>
      <c r="P1656" s="29" t="str">
        <f aca="false">IF(A1656="","",IF(C1656="","KOSONG",IF(AND(LEN(C1656)=16,ISNUMBER(--C1656)),"OK","TIDAK VALID")))</f>
        <v/>
      </c>
    </row>
    <row r="1657" customFormat="false" ht="15" hidden="false" customHeight="false" outlineLevel="0" collapsed="false">
      <c r="A1657" s="21"/>
      <c r="B1657" s="22"/>
      <c r="C1657" s="21"/>
      <c r="D1657" s="22"/>
      <c r="E1657" s="22"/>
      <c r="F1657" s="28"/>
      <c r="G1657" s="22"/>
      <c r="H1657" s="21"/>
      <c r="I1657" s="28"/>
      <c r="J1657" s="22"/>
      <c r="K1657" s="22"/>
      <c r="L1657" s="22"/>
      <c r="M1657" s="21"/>
      <c r="N1657" s="22"/>
      <c r="O1657" s="29" t="str">
        <f aca="false">IF(A1657="","",IF(COUNTIF($A$2:$A$2001,A1657)&gt;1,"GANDA","OK"))</f>
        <v/>
      </c>
      <c r="P1657" s="29" t="str">
        <f aca="false">IF(A1657="","",IF(C1657="","KOSONG",IF(AND(LEN(C1657)=16,ISNUMBER(--C1657)),"OK","TIDAK VALID")))</f>
        <v/>
      </c>
    </row>
    <row r="1658" customFormat="false" ht="15" hidden="false" customHeight="false" outlineLevel="0" collapsed="false">
      <c r="A1658" s="21"/>
      <c r="B1658" s="22"/>
      <c r="C1658" s="21"/>
      <c r="D1658" s="22"/>
      <c r="E1658" s="22"/>
      <c r="F1658" s="28"/>
      <c r="G1658" s="22"/>
      <c r="H1658" s="21"/>
      <c r="I1658" s="28"/>
      <c r="J1658" s="22"/>
      <c r="K1658" s="22"/>
      <c r="L1658" s="22"/>
      <c r="M1658" s="21"/>
      <c r="N1658" s="22"/>
      <c r="O1658" s="29" t="str">
        <f aca="false">IF(A1658="","",IF(COUNTIF($A$2:$A$2001,A1658)&gt;1,"GANDA","OK"))</f>
        <v/>
      </c>
      <c r="P1658" s="29" t="str">
        <f aca="false">IF(A1658="","",IF(C1658="","KOSONG",IF(AND(LEN(C1658)=16,ISNUMBER(--C1658)),"OK","TIDAK VALID")))</f>
        <v/>
      </c>
    </row>
    <row r="1659" customFormat="false" ht="15" hidden="false" customHeight="false" outlineLevel="0" collapsed="false">
      <c r="A1659" s="21"/>
      <c r="B1659" s="22"/>
      <c r="C1659" s="21"/>
      <c r="D1659" s="22"/>
      <c r="E1659" s="22"/>
      <c r="F1659" s="28"/>
      <c r="G1659" s="22"/>
      <c r="H1659" s="21"/>
      <c r="I1659" s="28"/>
      <c r="J1659" s="22"/>
      <c r="K1659" s="22"/>
      <c r="L1659" s="22"/>
      <c r="M1659" s="21"/>
      <c r="N1659" s="22"/>
      <c r="O1659" s="29" t="str">
        <f aca="false">IF(A1659="","",IF(COUNTIF($A$2:$A$2001,A1659)&gt;1,"GANDA","OK"))</f>
        <v/>
      </c>
      <c r="P1659" s="29" t="str">
        <f aca="false">IF(A1659="","",IF(C1659="","KOSONG",IF(AND(LEN(C1659)=16,ISNUMBER(--C1659)),"OK","TIDAK VALID")))</f>
        <v/>
      </c>
    </row>
    <row r="1660" customFormat="false" ht="15" hidden="false" customHeight="false" outlineLevel="0" collapsed="false">
      <c r="A1660" s="21"/>
      <c r="B1660" s="22"/>
      <c r="C1660" s="21"/>
      <c r="D1660" s="22"/>
      <c r="E1660" s="22"/>
      <c r="F1660" s="28"/>
      <c r="G1660" s="22"/>
      <c r="H1660" s="21"/>
      <c r="I1660" s="28"/>
      <c r="J1660" s="22"/>
      <c r="K1660" s="22"/>
      <c r="L1660" s="22"/>
      <c r="M1660" s="21"/>
      <c r="N1660" s="22"/>
      <c r="O1660" s="29" t="str">
        <f aca="false">IF(A1660="","",IF(COUNTIF($A$2:$A$2001,A1660)&gt;1,"GANDA","OK"))</f>
        <v/>
      </c>
      <c r="P1660" s="29" t="str">
        <f aca="false">IF(A1660="","",IF(C1660="","KOSONG",IF(AND(LEN(C1660)=16,ISNUMBER(--C1660)),"OK","TIDAK VALID")))</f>
        <v/>
      </c>
    </row>
    <row r="1661" customFormat="false" ht="15" hidden="false" customHeight="false" outlineLevel="0" collapsed="false">
      <c r="A1661" s="21"/>
      <c r="B1661" s="22"/>
      <c r="C1661" s="21"/>
      <c r="D1661" s="22"/>
      <c r="E1661" s="22"/>
      <c r="F1661" s="28"/>
      <c r="G1661" s="22"/>
      <c r="H1661" s="21"/>
      <c r="I1661" s="28"/>
      <c r="J1661" s="22"/>
      <c r="K1661" s="22"/>
      <c r="L1661" s="22"/>
      <c r="M1661" s="21"/>
      <c r="N1661" s="22"/>
      <c r="O1661" s="29" t="str">
        <f aca="false">IF(A1661="","",IF(COUNTIF($A$2:$A$2001,A1661)&gt;1,"GANDA","OK"))</f>
        <v/>
      </c>
      <c r="P1661" s="29" t="str">
        <f aca="false">IF(A1661="","",IF(C1661="","KOSONG",IF(AND(LEN(C1661)=16,ISNUMBER(--C1661)),"OK","TIDAK VALID")))</f>
        <v/>
      </c>
    </row>
    <row r="1662" customFormat="false" ht="15" hidden="false" customHeight="false" outlineLevel="0" collapsed="false">
      <c r="A1662" s="21"/>
      <c r="B1662" s="22"/>
      <c r="C1662" s="21"/>
      <c r="D1662" s="22"/>
      <c r="E1662" s="22"/>
      <c r="F1662" s="28"/>
      <c r="G1662" s="22"/>
      <c r="H1662" s="21"/>
      <c r="I1662" s="28"/>
      <c r="J1662" s="22"/>
      <c r="K1662" s="22"/>
      <c r="L1662" s="22"/>
      <c r="M1662" s="21"/>
      <c r="N1662" s="22"/>
      <c r="O1662" s="29" t="str">
        <f aca="false">IF(A1662="","",IF(COUNTIF($A$2:$A$2001,A1662)&gt;1,"GANDA","OK"))</f>
        <v/>
      </c>
      <c r="P1662" s="29" t="str">
        <f aca="false">IF(A1662="","",IF(C1662="","KOSONG",IF(AND(LEN(C1662)=16,ISNUMBER(--C1662)),"OK","TIDAK VALID")))</f>
        <v/>
      </c>
    </row>
    <row r="1663" customFormat="false" ht="15" hidden="false" customHeight="false" outlineLevel="0" collapsed="false">
      <c r="A1663" s="21"/>
      <c r="B1663" s="22"/>
      <c r="C1663" s="21"/>
      <c r="D1663" s="22"/>
      <c r="E1663" s="22"/>
      <c r="F1663" s="28"/>
      <c r="G1663" s="22"/>
      <c r="H1663" s="21"/>
      <c r="I1663" s="28"/>
      <c r="J1663" s="22"/>
      <c r="K1663" s="22"/>
      <c r="L1663" s="22"/>
      <c r="M1663" s="21"/>
      <c r="N1663" s="22"/>
      <c r="O1663" s="29" t="str">
        <f aca="false">IF(A1663="","",IF(COUNTIF($A$2:$A$2001,A1663)&gt;1,"GANDA","OK"))</f>
        <v/>
      </c>
      <c r="P1663" s="29" t="str">
        <f aca="false">IF(A1663="","",IF(C1663="","KOSONG",IF(AND(LEN(C1663)=16,ISNUMBER(--C1663)),"OK","TIDAK VALID")))</f>
        <v/>
      </c>
    </row>
    <row r="1664" customFormat="false" ht="15" hidden="false" customHeight="false" outlineLevel="0" collapsed="false">
      <c r="A1664" s="21"/>
      <c r="B1664" s="22"/>
      <c r="C1664" s="21"/>
      <c r="D1664" s="22"/>
      <c r="E1664" s="22"/>
      <c r="F1664" s="28"/>
      <c r="G1664" s="22"/>
      <c r="H1664" s="21"/>
      <c r="I1664" s="28"/>
      <c r="J1664" s="22"/>
      <c r="K1664" s="22"/>
      <c r="L1664" s="22"/>
      <c r="M1664" s="21"/>
      <c r="N1664" s="22"/>
      <c r="O1664" s="29" t="str">
        <f aca="false">IF(A1664="","",IF(COUNTIF($A$2:$A$2001,A1664)&gt;1,"GANDA","OK"))</f>
        <v/>
      </c>
      <c r="P1664" s="29" t="str">
        <f aca="false">IF(A1664="","",IF(C1664="","KOSONG",IF(AND(LEN(C1664)=16,ISNUMBER(--C1664)),"OK","TIDAK VALID")))</f>
        <v/>
      </c>
    </row>
    <row r="1665" customFormat="false" ht="15" hidden="false" customHeight="false" outlineLevel="0" collapsed="false">
      <c r="A1665" s="21"/>
      <c r="B1665" s="22"/>
      <c r="C1665" s="21"/>
      <c r="D1665" s="22"/>
      <c r="E1665" s="22"/>
      <c r="F1665" s="28"/>
      <c r="G1665" s="22"/>
      <c r="H1665" s="21"/>
      <c r="I1665" s="28"/>
      <c r="J1665" s="22"/>
      <c r="K1665" s="22"/>
      <c r="L1665" s="22"/>
      <c r="M1665" s="21"/>
      <c r="N1665" s="22"/>
      <c r="O1665" s="29" t="str">
        <f aca="false">IF(A1665="","",IF(COUNTIF($A$2:$A$2001,A1665)&gt;1,"GANDA","OK"))</f>
        <v/>
      </c>
      <c r="P1665" s="29" t="str">
        <f aca="false">IF(A1665="","",IF(C1665="","KOSONG",IF(AND(LEN(C1665)=16,ISNUMBER(--C1665)),"OK","TIDAK VALID")))</f>
        <v/>
      </c>
    </row>
    <row r="1666" customFormat="false" ht="15" hidden="false" customHeight="false" outlineLevel="0" collapsed="false">
      <c r="A1666" s="21"/>
      <c r="B1666" s="22"/>
      <c r="C1666" s="21"/>
      <c r="D1666" s="22"/>
      <c r="E1666" s="22"/>
      <c r="F1666" s="28"/>
      <c r="G1666" s="22"/>
      <c r="H1666" s="21"/>
      <c r="I1666" s="28"/>
      <c r="J1666" s="22"/>
      <c r="K1666" s="22"/>
      <c r="L1666" s="22"/>
      <c r="M1666" s="21"/>
      <c r="N1666" s="22"/>
      <c r="O1666" s="29" t="str">
        <f aca="false">IF(A1666="","",IF(COUNTIF($A$2:$A$2001,A1666)&gt;1,"GANDA","OK"))</f>
        <v/>
      </c>
      <c r="P1666" s="29" t="str">
        <f aca="false">IF(A1666="","",IF(C1666="","KOSONG",IF(AND(LEN(C1666)=16,ISNUMBER(--C1666)),"OK","TIDAK VALID")))</f>
        <v/>
      </c>
    </row>
    <row r="1667" customFormat="false" ht="15" hidden="false" customHeight="false" outlineLevel="0" collapsed="false">
      <c r="A1667" s="21"/>
      <c r="B1667" s="22"/>
      <c r="C1667" s="21"/>
      <c r="D1667" s="22"/>
      <c r="E1667" s="22"/>
      <c r="F1667" s="28"/>
      <c r="G1667" s="22"/>
      <c r="H1667" s="21"/>
      <c r="I1667" s="28"/>
      <c r="J1667" s="22"/>
      <c r="K1667" s="22"/>
      <c r="L1667" s="22"/>
      <c r="M1667" s="21"/>
      <c r="N1667" s="22"/>
      <c r="O1667" s="29" t="str">
        <f aca="false">IF(A1667="","",IF(COUNTIF($A$2:$A$2001,A1667)&gt;1,"GANDA","OK"))</f>
        <v/>
      </c>
      <c r="P1667" s="29" t="str">
        <f aca="false">IF(A1667="","",IF(C1667="","KOSONG",IF(AND(LEN(C1667)=16,ISNUMBER(--C1667)),"OK","TIDAK VALID")))</f>
        <v/>
      </c>
    </row>
    <row r="1668" customFormat="false" ht="15" hidden="false" customHeight="false" outlineLevel="0" collapsed="false">
      <c r="A1668" s="21"/>
      <c r="B1668" s="22"/>
      <c r="C1668" s="21"/>
      <c r="D1668" s="22"/>
      <c r="E1668" s="22"/>
      <c r="F1668" s="28"/>
      <c r="G1668" s="22"/>
      <c r="H1668" s="21"/>
      <c r="I1668" s="28"/>
      <c r="J1668" s="22"/>
      <c r="K1668" s="22"/>
      <c r="L1668" s="22"/>
      <c r="M1668" s="21"/>
      <c r="N1668" s="22"/>
      <c r="O1668" s="29" t="str">
        <f aca="false">IF(A1668="","",IF(COUNTIF($A$2:$A$2001,A1668)&gt;1,"GANDA","OK"))</f>
        <v/>
      </c>
      <c r="P1668" s="29" t="str">
        <f aca="false">IF(A1668="","",IF(C1668="","KOSONG",IF(AND(LEN(C1668)=16,ISNUMBER(--C1668)),"OK","TIDAK VALID")))</f>
        <v/>
      </c>
    </row>
    <row r="1669" customFormat="false" ht="15" hidden="false" customHeight="false" outlineLevel="0" collapsed="false">
      <c r="A1669" s="21"/>
      <c r="B1669" s="22"/>
      <c r="C1669" s="21"/>
      <c r="D1669" s="22"/>
      <c r="E1669" s="22"/>
      <c r="F1669" s="28"/>
      <c r="G1669" s="22"/>
      <c r="H1669" s="21"/>
      <c r="I1669" s="28"/>
      <c r="J1669" s="22"/>
      <c r="K1669" s="22"/>
      <c r="L1669" s="22"/>
      <c r="M1669" s="21"/>
      <c r="N1669" s="22"/>
      <c r="O1669" s="29" t="str">
        <f aca="false">IF(A1669="","",IF(COUNTIF($A$2:$A$2001,A1669)&gt;1,"GANDA","OK"))</f>
        <v/>
      </c>
      <c r="P1669" s="29" t="str">
        <f aca="false">IF(A1669="","",IF(C1669="","KOSONG",IF(AND(LEN(C1669)=16,ISNUMBER(--C1669)),"OK","TIDAK VALID")))</f>
        <v/>
      </c>
    </row>
    <row r="1670" customFormat="false" ht="15" hidden="false" customHeight="false" outlineLevel="0" collapsed="false">
      <c r="A1670" s="21"/>
      <c r="B1670" s="22"/>
      <c r="C1670" s="21"/>
      <c r="D1670" s="22"/>
      <c r="E1670" s="22"/>
      <c r="F1670" s="28"/>
      <c r="G1670" s="22"/>
      <c r="H1670" s="21"/>
      <c r="I1670" s="28"/>
      <c r="J1670" s="22"/>
      <c r="K1670" s="22"/>
      <c r="L1670" s="22"/>
      <c r="M1670" s="21"/>
      <c r="N1670" s="22"/>
      <c r="O1670" s="29" t="str">
        <f aca="false">IF(A1670="","",IF(COUNTIF($A$2:$A$2001,A1670)&gt;1,"GANDA","OK"))</f>
        <v/>
      </c>
      <c r="P1670" s="29" t="str">
        <f aca="false">IF(A1670="","",IF(C1670="","KOSONG",IF(AND(LEN(C1670)=16,ISNUMBER(--C1670)),"OK","TIDAK VALID")))</f>
        <v/>
      </c>
    </row>
    <row r="1671" customFormat="false" ht="15" hidden="false" customHeight="false" outlineLevel="0" collapsed="false">
      <c r="A1671" s="21"/>
      <c r="B1671" s="22"/>
      <c r="C1671" s="21"/>
      <c r="D1671" s="22"/>
      <c r="E1671" s="22"/>
      <c r="F1671" s="28"/>
      <c r="G1671" s="22"/>
      <c r="H1671" s="21"/>
      <c r="I1671" s="28"/>
      <c r="J1671" s="22"/>
      <c r="K1671" s="22"/>
      <c r="L1671" s="22"/>
      <c r="M1671" s="21"/>
      <c r="N1671" s="22"/>
      <c r="O1671" s="29" t="str">
        <f aca="false">IF(A1671="","",IF(COUNTIF($A$2:$A$2001,A1671)&gt;1,"GANDA","OK"))</f>
        <v/>
      </c>
      <c r="P1671" s="29" t="str">
        <f aca="false">IF(A1671="","",IF(C1671="","KOSONG",IF(AND(LEN(C1671)=16,ISNUMBER(--C1671)),"OK","TIDAK VALID")))</f>
        <v/>
      </c>
    </row>
    <row r="1672" customFormat="false" ht="15" hidden="false" customHeight="false" outlineLevel="0" collapsed="false">
      <c r="A1672" s="21"/>
      <c r="B1672" s="22"/>
      <c r="C1672" s="21"/>
      <c r="D1672" s="22"/>
      <c r="E1672" s="22"/>
      <c r="F1672" s="28"/>
      <c r="G1672" s="22"/>
      <c r="H1672" s="21"/>
      <c r="I1672" s="28"/>
      <c r="J1672" s="22"/>
      <c r="K1672" s="22"/>
      <c r="L1672" s="22"/>
      <c r="M1672" s="21"/>
      <c r="N1672" s="22"/>
      <c r="O1672" s="29" t="str">
        <f aca="false">IF(A1672="","",IF(COUNTIF($A$2:$A$2001,A1672)&gt;1,"GANDA","OK"))</f>
        <v/>
      </c>
      <c r="P1672" s="29" t="str">
        <f aca="false">IF(A1672="","",IF(C1672="","KOSONG",IF(AND(LEN(C1672)=16,ISNUMBER(--C1672)),"OK","TIDAK VALID")))</f>
        <v/>
      </c>
    </row>
    <row r="1673" customFormat="false" ht="15" hidden="false" customHeight="false" outlineLevel="0" collapsed="false">
      <c r="A1673" s="21"/>
      <c r="B1673" s="22"/>
      <c r="C1673" s="21"/>
      <c r="D1673" s="22"/>
      <c r="E1673" s="22"/>
      <c r="F1673" s="28"/>
      <c r="G1673" s="22"/>
      <c r="H1673" s="21"/>
      <c r="I1673" s="28"/>
      <c r="J1673" s="22"/>
      <c r="K1673" s="22"/>
      <c r="L1673" s="22"/>
      <c r="M1673" s="21"/>
      <c r="N1673" s="22"/>
      <c r="O1673" s="29" t="str">
        <f aca="false">IF(A1673="","",IF(COUNTIF($A$2:$A$2001,A1673)&gt;1,"GANDA","OK"))</f>
        <v/>
      </c>
      <c r="P1673" s="29" t="str">
        <f aca="false">IF(A1673="","",IF(C1673="","KOSONG",IF(AND(LEN(C1673)=16,ISNUMBER(--C1673)),"OK","TIDAK VALID")))</f>
        <v/>
      </c>
    </row>
    <row r="1674" customFormat="false" ht="15" hidden="false" customHeight="false" outlineLevel="0" collapsed="false">
      <c r="A1674" s="21"/>
      <c r="B1674" s="22"/>
      <c r="C1674" s="21"/>
      <c r="D1674" s="22"/>
      <c r="E1674" s="22"/>
      <c r="F1674" s="28"/>
      <c r="G1674" s="22"/>
      <c r="H1674" s="21"/>
      <c r="I1674" s="28"/>
      <c r="J1674" s="22"/>
      <c r="K1674" s="22"/>
      <c r="L1674" s="22"/>
      <c r="M1674" s="21"/>
      <c r="N1674" s="22"/>
      <c r="O1674" s="29" t="str">
        <f aca="false">IF(A1674="","",IF(COUNTIF($A$2:$A$2001,A1674)&gt;1,"GANDA","OK"))</f>
        <v/>
      </c>
      <c r="P1674" s="29" t="str">
        <f aca="false">IF(A1674="","",IF(C1674="","KOSONG",IF(AND(LEN(C1674)=16,ISNUMBER(--C1674)),"OK","TIDAK VALID")))</f>
        <v/>
      </c>
    </row>
    <row r="1675" customFormat="false" ht="15" hidden="false" customHeight="false" outlineLevel="0" collapsed="false">
      <c r="A1675" s="21"/>
      <c r="B1675" s="22"/>
      <c r="C1675" s="21"/>
      <c r="D1675" s="22"/>
      <c r="E1675" s="22"/>
      <c r="F1675" s="28"/>
      <c r="G1675" s="22"/>
      <c r="H1675" s="21"/>
      <c r="I1675" s="28"/>
      <c r="J1675" s="22"/>
      <c r="K1675" s="22"/>
      <c r="L1675" s="22"/>
      <c r="M1675" s="21"/>
      <c r="N1675" s="22"/>
      <c r="O1675" s="29" t="str">
        <f aca="false">IF(A1675="","",IF(COUNTIF($A$2:$A$2001,A1675)&gt;1,"GANDA","OK"))</f>
        <v/>
      </c>
      <c r="P1675" s="29" t="str">
        <f aca="false">IF(A1675="","",IF(C1675="","KOSONG",IF(AND(LEN(C1675)=16,ISNUMBER(--C1675)),"OK","TIDAK VALID")))</f>
        <v/>
      </c>
    </row>
    <row r="1676" customFormat="false" ht="15" hidden="false" customHeight="false" outlineLevel="0" collapsed="false">
      <c r="A1676" s="21"/>
      <c r="B1676" s="22"/>
      <c r="C1676" s="21"/>
      <c r="D1676" s="22"/>
      <c r="E1676" s="22"/>
      <c r="F1676" s="28"/>
      <c r="G1676" s="22"/>
      <c r="H1676" s="21"/>
      <c r="I1676" s="28"/>
      <c r="J1676" s="22"/>
      <c r="K1676" s="22"/>
      <c r="L1676" s="22"/>
      <c r="M1676" s="21"/>
      <c r="N1676" s="22"/>
      <c r="O1676" s="29" t="str">
        <f aca="false">IF(A1676="","",IF(COUNTIF($A$2:$A$2001,A1676)&gt;1,"GANDA","OK"))</f>
        <v/>
      </c>
      <c r="P1676" s="29" t="str">
        <f aca="false">IF(A1676="","",IF(C1676="","KOSONG",IF(AND(LEN(C1676)=16,ISNUMBER(--C1676)),"OK","TIDAK VALID")))</f>
        <v/>
      </c>
    </row>
    <row r="1677" customFormat="false" ht="15" hidden="false" customHeight="false" outlineLevel="0" collapsed="false">
      <c r="A1677" s="21"/>
      <c r="B1677" s="22"/>
      <c r="C1677" s="21"/>
      <c r="D1677" s="22"/>
      <c r="E1677" s="22"/>
      <c r="F1677" s="28"/>
      <c r="G1677" s="22"/>
      <c r="H1677" s="21"/>
      <c r="I1677" s="28"/>
      <c r="J1677" s="22"/>
      <c r="K1677" s="22"/>
      <c r="L1677" s="22"/>
      <c r="M1677" s="21"/>
      <c r="N1677" s="22"/>
      <c r="O1677" s="29" t="str">
        <f aca="false">IF(A1677="","",IF(COUNTIF($A$2:$A$2001,A1677)&gt;1,"GANDA","OK"))</f>
        <v/>
      </c>
      <c r="P1677" s="29" t="str">
        <f aca="false">IF(A1677="","",IF(C1677="","KOSONG",IF(AND(LEN(C1677)=16,ISNUMBER(--C1677)),"OK","TIDAK VALID")))</f>
        <v/>
      </c>
    </row>
    <row r="1678" customFormat="false" ht="15" hidden="false" customHeight="false" outlineLevel="0" collapsed="false">
      <c r="A1678" s="21"/>
      <c r="B1678" s="22"/>
      <c r="C1678" s="21"/>
      <c r="D1678" s="22"/>
      <c r="E1678" s="22"/>
      <c r="F1678" s="28"/>
      <c r="G1678" s="22"/>
      <c r="H1678" s="21"/>
      <c r="I1678" s="28"/>
      <c r="J1678" s="22"/>
      <c r="K1678" s="22"/>
      <c r="L1678" s="22"/>
      <c r="M1678" s="21"/>
      <c r="N1678" s="22"/>
      <c r="O1678" s="29" t="str">
        <f aca="false">IF(A1678="","",IF(COUNTIF($A$2:$A$2001,A1678)&gt;1,"GANDA","OK"))</f>
        <v/>
      </c>
      <c r="P1678" s="29" t="str">
        <f aca="false">IF(A1678="","",IF(C1678="","KOSONG",IF(AND(LEN(C1678)=16,ISNUMBER(--C1678)),"OK","TIDAK VALID")))</f>
        <v/>
      </c>
    </row>
    <row r="1679" customFormat="false" ht="15" hidden="false" customHeight="false" outlineLevel="0" collapsed="false">
      <c r="A1679" s="21"/>
      <c r="B1679" s="22"/>
      <c r="C1679" s="21"/>
      <c r="D1679" s="22"/>
      <c r="E1679" s="22"/>
      <c r="F1679" s="28"/>
      <c r="G1679" s="22"/>
      <c r="H1679" s="21"/>
      <c r="I1679" s="28"/>
      <c r="J1679" s="22"/>
      <c r="K1679" s="22"/>
      <c r="L1679" s="22"/>
      <c r="M1679" s="21"/>
      <c r="N1679" s="22"/>
      <c r="O1679" s="29" t="str">
        <f aca="false">IF(A1679="","",IF(COUNTIF($A$2:$A$2001,A1679)&gt;1,"GANDA","OK"))</f>
        <v/>
      </c>
      <c r="P1679" s="29" t="str">
        <f aca="false">IF(A1679="","",IF(C1679="","KOSONG",IF(AND(LEN(C1679)=16,ISNUMBER(--C1679)),"OK","TIDAK VALID")))</f>
        <v/>
      </c>
    </row>
    <row r="1680" customFormat="false" ht="15" hidden="false" customHeight="false" outlineLevel="0" collapsed="false">
      <c r="A1680" s="21"/>
      <c r="B1680" s="22"/>
      <c r="C1680" s="21"/>
      <c r="D1680" s="22"/>
      <c r="E1680" s="22"/>
      <c r="F1680" s="28"/>
      <c r="G1680" s="22"/>
      <c r="H1680" s="21"/>
      <c r="I1680" s="28"/>
      <c r="J1680" s="22"/>
      <c r="K1680" s="22"/>
      <c r="L1680" s="22"/>
      <c r="M1680" s="21"/>
      <c r="N1680" s="22"/>
      <c r="O1680" s="29" t="str">
        <f aca="false">IF(A1680="","",IF(COUNTIF($A$2:$A$2001,A1680)&gt;1,"GANDA","OK"))</f>
        <v/>
      </c>
      <c r="P1680" s="29" t="str">
        <f aca="false">IF(A1680="","",IF(C1680="","KOSONG",IF(AND(LEN(C1680)=16,ISNUMBER(--C1680)),"OK","TIDAK VALID")))</f>
        <v/>
      </c>
    </row>
    <row r="1681" customFormat="false" ht="15" hidden="false" customHeight="false" outlineLevel="0" collapsed="false">
      <c r="A1681" s="21"/>
      <c r="B1681" s="22"/>
      <c r="C1681" s="21"/>
      <c r="D1681" s="22"/>
      <c r="E1681" s="22"/>
      <c r="F1681" s="28"/>
      <c r="G1681" s="22"/>
      <c r="H1681" s="21"/>
      <c r="I1681" s="28"/>
      <c r="J1681" s="22"/>
      <c r="K1681" s="22"/>
      <c r="L1681" s="22"/>
      <c r="M1681" s="21"/>
      <c r="N1681" s="22"/>
      <c r="O1681" s="29" t="str">
        <f aca="false">IF(A1681="","",IF(COUNTIF($A$2:$A$2001,A1681)&gt;1,"GANDA","OK"))</f>
        <v/>
      </c>
      <c r="P1681" s="29" t="str">
        <f aca="false">IF(A1681="","",IF(C1681="","KOSONG",IF(AND(LEN(C1681)=16,ISNUMBER(--C1681)),"OK","TIDAK VALID")))</f>
        <v/>
      </c>
    </row>
    <row r="1682" customFormat="false" ht="15" hidden="false" customHeight="false" outlineLevel="0" collapsed="false">
      <c r="A1682" s="21"/>
      <c r="B1682" s="22"/>
      <c r="C1682" s="21"/>
      <c r="D1682" s="22"/>
      <c r="E1682" s="22"/>
      <c r="F1682" s="28"/>
      <c r="G1682" s="22"/>
      <c r="H1682" s="21"/>
      <c r="I1682" s="28"/>
      <c r="J1682" s="22"/>
      <c r="K1682" s="22"/>
      <c r="L1682" s="22"/>
      <c r="M1682" s="21"/>
      <c r="N1682" s="22"/>
      <c r="O1682" s="29" t="str">
        <f aca="false">IF(A1682="","",IF(COUNTIF($A$2:$A$2001,A1682)&gt;1,"GANDA","OK"))</f>
        <v/>
      </c>
      <c r="P1682" s="29" t="str">
        <f aca="false">IF(A1682="","",IF(C1682="","KOSONG",IF(AND(LEN(C1682)=16,ISNUMBER(--C1682)),"OK","TIDAK VALID")))</f>
        <v/>
      </c>
    </row>
    <row r="1683" customFormat="false" ht="15" hidden="false" customHeight="false" outlineLevel="0" collapsed="false">
      <c r="A1683" s="21"/>
      <c r="B1683" s="22"/>
      <c r="C1683" s="21"/>
      <c r="D1683" s="22"/>
      <c r="E1683" s="22"/>
      <c r="F1683" s="28"/>
      <c r="G1683" s="22"/>
      <c r="H1683" s="21"/>
      <c r="I1683" s="28"/>
      <c r="J1683" s="22"/>
      <c r="K1683" s="22"/>
      <c r="L1683" s="22"/>
      <c r="M1683" s="21"/>
      <c r="N1683" s="22"/>
      <c r="O1683" s="29" t="str">
        <f aca="false">IF(A1683="","",IF(COUNTIF($A$2:$A$2001,A1683)&gt;1,"GANDA","OK"))</f>
        <v/>
      </c>
      <c r="P1683" s="29" t="str">
        <f aca="false">IF(A1683="","",IF(C1683="","KOSONG",IF(AND(LEN(C1683)=16,ISNUMBER(--C1683)),"OK","TIDAK VALID")))</f>
        <v/>
      </c>
    </row>
    <row r="1684" customFormat="false" ht="15" hidden="false" customHeight="false" outlineLevel="0" collapsed="false">
      <c r="A1684" s="21"/>
      <c r="B1684" s="22"/>
      <c r="C1684" s="21"/>
      <c r="D1684" s="22"/>
      <c r="E1684" s="22"/>
      <c r="F1684" s="28"/>
      <c r="G1684" s="22"/>
      <c r="H1684" s="21"/>
      <c r="I1684" s="28"/>
      <c r="J1684" s="22"/>
      <c r="K1684" s="22"/>
      <c r="L1684" s="22"/>
      <c r="M1684" s="21"/>
      <c r="N1684" s="22"/>
      <c r="O1684" s="29" t="str">
        <f aca="false">IF(A1684="","",IF(COUNTIF($A$2:$A$2001,A1684)&gt;1,"GANDA","OK"))</f>
        <v/>
      </c>
      <c r="P1684" s="29" t="str">
        <f aca="false">IF(A1684="","",IF(C1684="","KOSONG",IF(AND(LEN(C1684)=16,ISNUMBER(--C1684)),"OK","TIDAK VALID")))</f>
        <v/>
      </c>
    </row>
    <row r="1685" customFormat="false" ht="15" hidden="false" customHeight="false" outlineLevel="0" collapsed="false">
      <c r="A1685" s="21"/>
      <c r="B1685" s="22"/>
      <c r="C1685" s="21"/>
      <c r="D1685" s="22"/>
      <c r="E1685" s="22"/>
      <c r="F1685" s="28"/>
      <c r="G1685" s="22"/>
      <c r="H1685" s="21"/>
      <c r="I1685" s="28"/>
      <c r="J1685" s="22"/>
      <c r="K1685" s="22"/>
      <c r="L1685" s="22"/>
      <c r="M1685" s="21"/>
      <c r="N1685" s="22"/>
      <c r="O1685" s="29" t="str">
        <f aca="false">IF(A1685="","",IF(COUNTIF($A$2:$A$2001,A1685)&gt;1,"GANDA","OK"))</f>
        <v/>
      </c>
      <c r="P1685" s="29" t="str">
        <f aca="false">IF(A1685="","",IF(C1685="","KOSONG",IF(AND(LEN(C1685)=16,ISNUMBER(--C1685)),"OK","TIDAK VALID")))</f>
        <v/>
      </c>
    </row>
    <row r="1686" customFormat="false" ht="15" hidden="false" customHeight="false" outlineLevel="0" collapsed="false">
      <c r="A1686" s="21"/>
      <c r="B1686" s="22"/>
      <c r="C1686" s="21"/>
      <c r="D1686" s="22"/>
      <c r="E1686" s="22"/>
      <c r="F1686" s="28"/>
      <c r="G1686" s="22"/>
      <c r="H1686" s="21"/>
      <c r="I1686" s="28"/>
      <c r="J1686" s="22"/>
      <c r="K1686" s="22"/>
      <c r="L1686" s="22"/>
      <c r="M1686" s="21"/>
      <c r="N1686" s="22"/>
      <c r="O1686" s="29" t="str">
        <f aca="false">IF(A1686="","",IF(COUNTIF($A$2:$A$2001,A1686)&gt;1,"GANDA","OK"))</f>
        <v/>
      </c>
      <c r="P1686" s="29" t="str">
        <f aca="false">IF(A1686="","",IF(C1686="","KOSONG",IF(AND(LEN(C1686)=16,ISNUMBER(--C1686)),"OK","TIDAK VALID")))</f>
        <v/>
      </c>
    </row>
    <row r="1687" customFormat="false" ht="15" hidden="false" customHeight="false" outlineLevel="0" collapsed="false">
      <c r="A1687" s="21"/>
      <c r="B1687" s="22"/>
      <c r="C1687" s="21"/>
      <c r="D1687" s="22"/>
      <c r="E1687" s="22"/>
      <c r="F1687" s="28"/>
      <c r="G1687" s="22"/>
      <c r="H1687" s="21"/>
      <c r="I1687" s="28"/>
      <c r="J1687" s="22"/>
      <c r="K1687" s="22"/>
      <c r="L1687" s="22"/>
      <c r="M1687" s="21"/>
      <c r="N1687" s="22"/>
      <c r="O1687" s="29" t="str">
        <f aca="false">IF(A1687="","",IF(COUNTIF($A$2:$A$2001,A1687)&gt;1,"GANDA","OK"))</f>
        <v/>
      </c>
      <c r="P1687" s="29" t="str">
        <f aca="false">IF(A1687="","",IF(C1687="","KOSONG",IF(AND(LEN(C1687)=16,ISNUMBER(--C1687)),"OK","TIDAK VALID")))</f>
        <v/>
      </c>
    </row>
    <row r="1688" customFormat="false" ht="15" hidden="false" customHeight="false" outlineLevel="0" collapsed="false">
      <c r="A1688" s="21"/>
      <c r="B1688" s="22"/>
      <c r="C1688" s="21"/>
      <c r="D1688" s="22"/>
      <c r="E1688" s="22"/>
      <c r="F1688" s="28"/>
      <c r="G1688" s="22"/>
      <c r="H1688" s="21"/>
      <c r="I1688" s="28"/>
      <c r="J1688" s="22"/>
      <c r="K1688" s="22"/>
      <c r="L1688" s="22"/>
      <c r="M1688" s="21"/>
      <c r="N1688" s="22"/>
      <c r="O1688" s="29" t="str">
        <f aca="false">IF(A1688="","",IF(COUNTIF($A$2:$A$2001,A1688)&gt;1,"GANDA","OK"))</f>
        <v/>
      </c>
      <c r="P1688" s="29" t="str">
        <f aca="false">IF(A1688="","",IF(C1688="","KOSONG",IF(AND(LEN(C1688)=16,ISNUMBER(--C1688)),"OK","TIDAK VALID")))</f>
        <v/>
      </c>
    </row>
    <row r="1689" customFormat="false" ht="15" hidden="false" customHeight="false" outlineLevel="0" collapsed="false">
      <c r="A1689" s="21"/>
      <c r="B1689" s="22"/>
      <c r="C1689" s="21"/>
      <c r="D1689" s="22"/>
      <c r="E1689" s="22"/>
      <c r="F1689" s="28"/>
      <c r="G1689" s="22"/>
      <c r="H1689" s="21"/>
      <c r="I1689" s="28"/>
      <c r="J1689" s="22"/>
      <c r="K1689" s="22"/>
      <c r="L1689" s="22"/>
      <c r="M1689" s="21"/>
      <c r="N1689" s="22"/>
      <c r="O1689" s="29" t="str">
        <f aca="false">IF(A1689="","",IF(COUNTIF($A$2:$A$2001,A1689)&gt;1,"GANDA","OK"))</f>
        <v/>
      </c>
      <c r="P1689" s="29" t="str">
        <f aca="false">IF(A1689="","",IF(C1689="","KOSONG",IF(AND(LEN(C1689)=16,ISNUMBER(--C1689)),"OK","TIDAK VALID")))</f>
        <v/>
      </c>
    </row>
    <row r="1690" customFormat="false" ht="15" hidden="false" customHeight="false" outlineLevel="0" collapsed="false">
      <c r="A1690" s="21"/>
      <c r="B1690" s="22"/>
      <c r="C1690" s="21"/>
      <c r="D1690" s="22"/>
      <c r="E1690" s="22"/>
      <c r="F1690" s="28"/>
      <c r="G1690" s="22"/>
      <c r="H1690" s="21"/>
      <c r="I1690" s="28"/>
      <c r="J1690" s="22"/>
      <c r="K1690" s="22"/>
      <c r="L1690" s="22"/>
      <c r="M1690" s="21"/>
      <c r="N1690" s="22"/>
      <c r="O1690" s="29" t="str">
        <f aca="false">IF(A1690="","",IF(COUNTIF($A$2:$A$2001,A1690)&gt;1,"GANDA","OK"))</f>
        <v/>
      </c>
      <c r="P1690" s="29" t="str">
        <f aca="false">IF(A1690="","",IF(C1690="","KOSONG",IF(AND(LEN(C1690)=16,ISNUMBER(--C1690)),"OK","TIDAK VALID")))</f>
        <v/>
      </c>
    </row>
    <row r="1691" customFormat="false" ht="15" hidden="false" customHeight="false" outlineLevel="0" collapsed="false">
      <c r="A1691" s="21"/>
      <c r="B1691" s="22"/>
      <c r="C1691" s="21"/>
      <c r="D1691" s="22"/>
      <c r="E1691" s="22"/>
      <c r="F1691" s="28"/>
      <c r="G1691" s="22"/>
      <c r="H1691" s="21"/>
      <c r="I1691" s="28"/>
      <c r="J1691" s="22"/>
      <c r="K1691" s="22"/>
      <c r="L1691" s="22"/>
      <c r="M1691" s="21"/>
      <c r="N1691" s="22"/>
      <c r="O1691" s="29" t="str">
        <f aca="false">IF(A1691="","",IF(COUNTIF($A$2:$A$2001,A1691)&gt;1,"GANDA","OK"))</f>
        <v/>
      </c>
      <c r="P1691" s="29" t="str">
        <f aca="false">IF(A1691="","",IF(C1691="","KOSONG",IF(AND(LEN(C1691)=16,ISNUMBER(--C1691)),"OK","TIDAK VALID")))</f>
        <v/>
      </c>
    </row>
    <row r="1692" customFormat="false" ht="15" hidden="false" customHeight="false" outlineLevel="0" collapsed="false">
      <c r="A1692" s="21"/>
      <c r="B1692" s="22"/>
      <c r="C1692" s="21"/>
      <c r="D1692" s="22"/>
      <c r="E1692" s="22"/>
      <c r="F1692" s="28"/>
      <c r="G1692" s="22"/>
      <c r="H1692" s="21"/>
      <c r="I1692" s="28"/>
      <c r="J1692" s="22"/>
      <c r="K1692" s="22"/>
      <c r="L1692" s="22"/>
      <c r="M1692" s="21"/>
      <c r="N1692" s="22"/>
      <c r="O1692" s="29" t="str">
        <f aca="false">IF(A1692="","",IF(COUNTIF($A$2:$A$2001,A1692)&gt;1,"GANDA","OK"))</f>
        <v/>
      </c>
      <c r="P1692" s="29" t="str">
        <f aca="false">IF(A1692="","",IF(C1692="","KOSONG",IF(AND(LEN(C1692)=16,ISNUMBER(--C1692)),"OK","TIDAK VALID")))</f>
        <v/>
      </c>
    </row>
    <row r="1693" customFormat="false" ht="15" hidden="false" customHeight="false" outlineLevel="0" collapsed="false">
      <c r="A1693" s="21"/>
      <c r="B1693" s="22"/>
      <c r="C1693" s="21"/>
      <c r="D1693" s="22"/>
      <c r="E1693" s="22"/>
      <c r="F1693" s="28"/>
      <c r="G1693" s="22"/>
      <c r="H1693" s="21"/>
      <c r="I1693" s="28"/>
      <c r="J1693" s="22"/>
      <c r="K1693" s="22"/>
      <c r="L1693" s="22"/>
      <c r="M1693" s="21"/>
      <c r="N1693" s="22"/>
      <c r="O1693" s="29" t="str">
        <f aca="false">IF(A1693="","",IF(COUNTIF($A$2:$A$2001,A1693)&gt;1,"GANDA","OK"))</f>
        <v/>
      </c>
      <c r="P1693" s="29" t="str">
        <f aca="false">IF(A1693="","",IF(C1693="","KOSONG",IF(AND(LEN(C1693)=16,ISNUMBER(--C1693)),"OK","TIDAK VALID")))</f>
        <v/>
      </c>
    </row>
    <row r="1694" customFormat="false" ht="15" hidden="false" customHeight="false" outlineLevel="0" collapsed="false">
      <c r="A1694" s="21"/>
      <c r="B1694" s="22"/>
      <c r="C1694" s="21"/>
      <c r="D1694" s="22"/>
      <c r="E1694" s="22"/>
      <c r="F1694" s="28"/>
      <c r="G1694" s="22"/>
      <c r="H1694" s="21"/>
      <c r="I1694" s="28"/>
      <c r="J1694" s="22"/>
      <c r="K1694" s="22"/>
      <c r="L1694" s="22"/>
      <c r="M1694" s="21"/>
      <c r="N1694" s="22"/>
      <c r="O1694" s="29" t="str">
        <f aca="false">IF(A1694="","",IF(COUNTIF($A$2:$A$2001,A1694)&gt;1,"GANDA","OK"))</f>
        <v/>
      </c>
      <c r="P1694" s="29" t="str">
        <f aca="false">IF(A1694="","",IF(C1694="","KOSONG",IF(AND(LEN(C1694)=16,ISNUMBER(--C1694)),"OK","TIDAK VALID")))</f>
        <v/>
      </c>
    </row>
    <row r="1695" customFormat="false" ht="15" hidden="false" customHeight="false" outlineLevel="0" collapsed="false">
      <c r="A1695" s="21"/>
      <c r="B1695" s="22"/>
      <c r="C1695" s="21"/>
      <c r="D1695" s="22"/>
      <c r="E1695" s="22"/>
      <c r="F1695" s="28"/>
      <c r="G1695" s="22"/>
      <c r="H1695" s="21"/>
      <c r="I1695" s="28"/>
      <c r="J1695" s="22"/>
      <c r="K1695" s="22"/>
      <c r="L1695" s="22"/>
      <c r="M1695" s="21"/>
      <c r="N1695" s="22"/>
      <c r="O1695" s="29" t="str">
        <f aca="false">IF(A1695="","",IF(COUNTIF($A$2:$A$2001,A1695)&gt;1,"GANDA","OK"))</f>
        <v/>
      </c>
      <c r="P1695" s="29" t="str">
        <f aca="false">IF(A1695="","",IF(C1695="","KOSONG",IF(AND(LEN(C1695)=16,ISNUMBER(--C1695)),"OK","TIDAK VALID")))</f>
        <v/>
      </c>
    </row>
    <row r="1696" customFormat="false" ht="15" hidden="false" customHeight="false" outlineLevel="0" collapsed="false">
      <c r="A1696" s="21"/>
      <c r="B1696" s="22"/>
      <c r="C1696" s="21"/>
      <c r="D1696" s="22"/>
      <c r="E1696" s="22"/>
      <c r="F1696" s="28"/>
      <c r="G1696" s="22"/>
      <c r="H1696" s="21"/>
      <c r="I1696" s="28"/>
      <c r="J1696" s="22"/>
      <c r="K1696" s="22"/>
      <c r="L1696" s="22"/>
      <c r="M1696" s="21"/>
      <c r="N1696" s="22"/>
      <c r="O1696" s="29" t="str">
        <f aca="false">IF(A1696="","",IF(COUNTIF($A$2:$A$2001,A1696)&gt;1,"GANDA","OK"))</f>
        <v/>
      </c>
      <c r="P1696" s="29" t="str">
        <f aca="false">IF(A1696="","",IF(C1696="","KOSONG",IF(AND(LEN(C1696)=16,ISNUMBER(--C1696)),"OK","TIDAK VALID")))</f>
        <v/>
      </c>
    </row>
    <row r="1697" customFormat="false" ht="15" hidden="false" customHeight="false" outlineLevel="0" collapsed="false">
      <c r="A1697" s="21"/>
      <c r="B1697" s="22"/>
      <c r="C1697" s="21"/>
      <c r="D1697" s="22"/>
      <c r="E1697" s="22"/>
      <c r="F1697" s="28"/>
      <c r="G1697" s="22"/>
      <c r="H1697" s="21"/>
      <c r="I1697" s="28"/>
      <c r="J1697" s="22"/>
      <c r="K1697" s="22"/>
      <c r="L1697" s="22"/>
      <c r="M1697" s="21"/>
      <c r="N1697" s="22"/>
      <c r="O1697" s="29" t="str">
        <f aca="false">IF(A1697="","",IF(COUNTIF($A$2:$A$2001,A1697)&gt;1,"GANDA","OK"))</f>
        <v/>
      </c>
      <c r="P1697" s="29" t="str">
        <f aca="false">IF(A1697="","",IF(C1697="","KOSONG",IF(AND(LEN(C1697)=16,ISNUMBER(--C1697)),"OK","TIDAK VALID")))</f>
        <v/>
      </c>
    </row>
    <row r="1698" customFormat="false" ht="15" hidden="false" customHeight="false" outlineLevel="0" collapsed="false">
      <c r="A1698" s="21"/>
      <c r="B1698" s="22"/>
      <c r="C1698" s="21"/>
      <c r="D1698" s="22"/>
      <c r="E1698" s="22"/>
      <c r="F1698" s="28"/>
      <c r="G1698" s="22"/>
      <c r="H1698" s="21"/>
      <c r="I1698" s="28"/>
      <c r="J1698" s="22"/>
      <c r="K1698" s="22"/>
      <c r="L1698" s="22"/>
      <c r="M1698" s="21"/>
      <c r="N1698" s="22"/>
      <c r="O1698" s="29" t="str">
        <f aca="false">IF(A1698="","",IF(COUNTIF($A$2:$A$2001,A1698)&gt;1,"GANDA","OK"))</f>
        <v/>
      </c>
      <c r="P1698" s="29" t="str">
        <f aca="false">IF(A1698="","",IF(C1698="","KOSONG",IF(AND(LEN(C1698)=16,ISNUMBER(--C1698)),"OK","TIDAK VALID")))</f>
        <v/>
      </c>
    </row>
    <row r="1699" customFormat="false" ht="15" hidden="false" customHeight="false" outlineLevel="0" collapsed="false">
      <c r="A1699" s="21"/>
      <c r="B1699" s="22"/>
      <c r="C1699" s="21"/>
      <c r="D1699" s="22"/>
      <c r="E1699" s="22"/>
      <c r="F1699" s="28"/>
      <c r="G1699" s="22"/>
      <c r="H1699" s="21"/>
      <c r="I1699" s="28"/>
      <c r="J1699" s="22"/>
      <c r="K1699" s="22"/>
      <c r="L1699" s="22"/>
      <c r="M1699" s="21"/>
      <c r="N1699" s="22"/>
      <c r="O1699" s="29" t="str">
        <f aca="false">IF(A1699="","",IF(COUNTIF($A$2:$A$2001,A1699)&gt;1,"GANDA","OK"))</f>
        <v/>
      </c>
      <c r="P1699" s="29" t="str">
        <f aca="false">IF(A1699="","",IF(C1699="","KOSONG",IF(AND(LEN(C1699)=16,ISNUMBER(--C1699)),"OK","TIDAK VALID")))</f>
        <v/>
      </c>
    </row>
    <row r="1700" customFormat="false" ht="15" hidden="false" customHeight="false" outlineLevel="0" collapsed="false">
      <c r="A1700" s="21"/>
      <c r="B1700" s="22"/>
      <c r="C1700" s="21"/>
      <c r="D1700" s="22"/>
      <c r="E1700" s="22"/>
      <c r="F1700" s="28"/>
      <c r="G1700" s="22"/>
      <c r="H1700" s="21"/>
      <c r="I1700" s="28"/>
      <c r="J1700" s="22"/>
      <c r="K1700" s="22"/>
      <c r="L1700" s="22"/>
      <c r="M1700" s="21"/>
      <c r="N1700" s="22"/>
      <c r="O1700" s="29" t="str">
        <f aca="false">IF(A1700="","",IF(COUNTIF($A$2:$A$2001,A1700)&gt;1,"GANDA","OK"))</f>
        <v/>
      </c>
      <c r="P1700" s="29" t="str">
        <f aca="false">IF(A1700="","",IF(C1700="","KOSONG",IF(AND(LEN(C1700)=16,ISNUMBER(--C1700)),"OK","TIDAK VALID")))</f>
        <v/>
      </c>
    </row>
    <row r="1701" customFormat="false" ht="15" hidden="false" customHeight="false" outlineLevel="0" collapsed="false">
      <c r="A1701" s="21"/>
      <c r="B1701" s="22"/>
      <c r="C1701" s="21"/>
      <c r="D1701" s="22"/>
      <c r="E1701" s="22"/>
      <c r="F1701" s="28"/>
      <c r="G1701" s="22"/>
      <c r="H1701" s="21"/>
      <c r="I1701" s="28"/>
      <c r="J1701" s="22"/>
      <c r="K1701" s="22"/>
      <c r="L1701" s="22"/>
      <c r="M1701" s="21"/>
      <c r="N1701" s="22"/>
      <c r="O1701" s="29" t="str">
        <f aca="false">IF(A1701="","",IF(COUNTIF($A$2:$A$2001,A1701)&gt;1,"GANDA","OK"))</f>
        <v/>
      </c>
      <c r="P1701" s="29" t="str">
        <f aca="false">IF(A1701="","",IF(C1701="","KOSONG",IF(AND(LEN(C1701)=16,ISNUMBER(--C1701)),"OK","TIDAK VALID")))</f>
        <v/>
      </c>
    </row>
    <row r="1702" customFormat="false" ht="15" hidden="false" customHeight="false" outlineLevel="0" collapsed="false">
      <c r="A1702" s="21"/>
      <c r="B1702" s="22"/>
      <c r="C1702" s="21"/>
      <c r="D1702" s="22"/>
      <c r="E1702" s="22"/>
      <c r="F1702" s="28"/>
      <c r="G1702" s="22"/>
      <c r="H1702" s="21"/>
      <c r="I1702" s="28"/>
      <c r="J1702" s="22"/>
      <c r="K1702" s="22"/>
      <c r="L1702" s="22"/>
      <c r="M1702" s="21"/>
      <c r="N1702" s="22"/>
      <c r="O1702" s="29" t="str">
        <f aca="false">IF(A1702="","",IF(COUNTIF($A$2:$A$2001,A1702)&gt;1,"GANDA","OK"))</f>
        <v/>
      </c>
      <c r="P1702" s="29" t="str">
        <f aca="false">IF(A1702="","",IF(C1702="","KOSONG",IF(AND(LEN(C1702)=16,ISNUMBER(--C1702)),"OK","TIDAK VALID")))</f>
        <v/>
      </c>
    </row>
    <row r="1703" customFormat="false" ht="15" hidden="false" customHeight="false" outlineLevel="0" collapsed="false">
      <c r="A1703" s="21"/>
      <c r="B1703" s="22"/>
      <c r="C1703" s="21"/>
      <c r="D1703" s="22"/>
      <c r="E1703" s="22"/>
      <c r="F1703" s="28"/>
      <c r="G1703" s="22"/>
      <c r="H1703" s="21"/>
      <c r="I1703" s="28"/>
      <c r="J1703" s="22"/>
      <c r="K1703" s="22"/>
      <c r="L1703" s="22"/>
      <c r="M1703" s="21"/>
      <c r="N1703" s="22"/>
      <c r="O1703" s="29" t="str">
        <f aca="false">IF(A1703="","",IF(COUNTIF($A$2:$A$2001,A1703)&gt;1,"GANDA","OK"))</f>
        <v/>
      </c>
      <c r="P1703" s="29" t="str">
        <f aca="false">IF(A1703="","",IF(C1703="","KOSONG",IF(AND(LEN(C1703)=16,ISNUMBER(--C1703)),"OK","TIDAK VALID")))</f>
        <v/>
      </c>
    </row>
    <row r="1704" customFormat="false" ht="15" hidden="false" customHeight="false" outlineLevel="0" collapsed="false">
      <c r="A1704" s="21"/>
      <c r="B1704" s="22"/>
      <c r="C1704" s="21"/>
      <c r="D1704" s="22"/>
      <c r="E1704" s="22"/>
      <c r="F1704" s="28"/>
      <c r="G1704" s="22"/>
      <c r="H1704" s="21"/>
      <c r="I1704" s="28"/>
      <c r="J1704" s="22"/>
      <c r="K1704" s="22"/>
      <c r="L1704" s="22"/>
      <c r="M1704" s="21"/>
      <c r="N1704" s="22"/>
      <c r="O1704" s="29" t="str">
        <f aca="false">IF(A1704="","",IF(COUNTIF($A$2:$A$2001,A1704)&gt;1,"GANDA","OK"))</f>
        <v/>
      </c>
      <c r="P1704" s="29" t="str">
        <f aca="false">IF(A1704="","",IF(C1704="","KOSONG",IF(AND(LEN(C1704)=16,ISNUMBER(--C1704)),"OK","TIDAK VALID")))</f>
        <v/>
      </c>
    </row>
    <row r="1705" customFormat="false" ht="15" hidden="false" customHeight="false" outlineLevel="0" collapsed="false">
      <c r="A1705" s="21"/>
      <c r="B1705" s="22"/>
      <c r="C1705" s="21"/>
      <c r="D1705" s="22"/>
      <c r="E1705" s="22"/>
      <c r="F1705" s="28"/>
      <c r="G1705" s="22"/>
      <c r="H1705" s="21"/>
      <c r="I1705" s="28"/>
      <c r="J1705" s="22"/>
      <c r="K1705" s="22"/>
      <c r="L1705" s="22"/>
      <c r="M1705" s="21"/>
      <c r="N1705" s="22"/>
      <c r="O1705" s="29" t="str">
        <f aca="false">IF(A1705="","",IF(COUNTIF($A$2:$A$2001,A1705)&gt;1,"GANDA","OK"))</f>
        <v/>
      </c>
      <c r="P1705" s="29" t="str">
        <f aca="false">IF(A1705="","",IF(C1705="","KOSONG",IF(AND(LEN(C1705)=16,ISNUMBER(--C1705)),"OK","TIDAK VALID")))</f>
        <v/>
      </c>
    </row>
    <row r="1706" customFormat="false" ht="15" hidden="false" customHeight="false" outlineLevel="0" collapsed="false">
      <c r="A1706" s="21"/>
      <c r="B1706" s="22"/>
      <c r="C1706" s="21"/>
      <c r="D1706" s="22"/>
      <c r="E1706" s="22"/>
      <c r="F1706" s="28"/>
      <c r="G1706" s="22"/>
      <c r="H1706" s="21"/>
      <c r="I1706" s="28"/>
      <c r="J1706" s="22"/>
      <c r="K1706" s="22"/>
      <c r="L1706" s="22"/>
      <c r="M1706" s="21"/>
      <c r="N1706" s="22"/>
      <c r="O1706" s="29" t="str">
        <f aca="false">IF(A1706="","",IF(COUNTIF($A$2:$A$2001,A1706)&gt;1,"GANDA","OK"))</f>
        <v/>
      </c>
      <c r="P1706" s="29" t="str">
        <f aca="false">IF(A1706="","",IF(C1706="","KOSONG",IF(AND(LEN(C1706)=16,ISNUMBER(--C1706)),"OK","TIDAK VALID")))</f>
        <v/>
      </c>
    </row>
    <row r="1707" customFormat="false" ht="15" hidden="false" customHeight="false" outlineLevel="0" collapsed="false">
      <c r="A1707" s="21"/>
      <c r="B1707" s="22"/>
      <c r="C1707" s="21"/>
      <c r="D1707" s="22"/>
      <c r="E1707" s="22"/>
      <c r="F1707" s="28"/>
      <c r="G1707" s="22"/>
      <c r="H1707" s="21"/>
      <c r="I1707" s="28"/>
      <c r="J1707" s="22"/>
      <c r="K1707" s="22"/>
      <c r="L1707" s="22"/>
      <c r="M1707" s="21"/>
      <c r="N1707" s="22"/>
      <c r="O1707" s="29" t="str">
        <f aca="false">IF(A1707="","",IF(COUNTIF($A$2:$A$2001,A1707)&gt;1,"GANDA","OK"))</f>
        <v/>
      </c>
      <c r="P1707" s="29" t="str">
        <f aca="false">IF(A1707="","",IF(C1707="","KOSONG",IF(AND(LEN(C1707)=16,ISNUMBER(--C1707)),"OK","TIDAK VALID")))</f>
        <v/>
      </c>
    </row>
    <row r="1708" customFormat="false" ht="15" hidden="false" customHeight="false" outlineLevel="0" collapsed="false">
      <c r="A1708" s="21"/>
      <c r="B1708" s="22"/>
      <c r="C1708" s="21"/>
      <c r="D1708" s="22"/>
      <c r="E1708" s="22"/>
      <c r="F1708" s="28"/>
      <c r="G1708" s="22"/>
      <c r="H1708" s="21"/>
      <c r="I1708" s="28"/>
      <c r="J1708" s="22"/>
      <c r="K1708" s="22"/>
      <c r="L1708" s="22"/>
      <c r="M1708" s="21"/>
      <c r="N1708" s="22"/>
      <c r="O1708" s="29" t="str">
        <f aca="false">IF(A1708="","",IF(COUNTIF($A$2:$A$2001,A1708)&gt;1,"GANDA","OK"))</f>
        <v/>
      </c>
      <c r="P1708" s="29" t="str">
        <f aca="false">IF(A1708="","",IF(C1708="","KOSONG",IF(AND(LEN(C1708)=16,ISNUMBER(--C1708)),"OK","TIDAK VALID")))</f>
        <v/>
      </c>
    </row>
    <row r="1709" customFormat="false" ht="15" hidden="false" customHeight="false" outlineLevel="0" collapsed="false">
      <c r="A1709" s="21"/>
      <c r="B1709" s="22"/>
      <c r="C1709" s="21"/>
      <c r="D1709" s="22"/>
      <c r="E1709" s="22"/>
      <c r="F1709" s="28"/>
      <c r="G1709" s="22"/>
      <c r="H1709" s="21"/>
      <c r="I1709" s="28"/>
      <c r="J1709" s="22"/>
      <c r="K1709" s="22"/>
      <c r="L1709" s="22"/>
      <c r="M1709" s="21"/>
      <c r="N1709" s="22"/>
      <c r="O1709" s="29" t="str">
        <f aca="false">IF(A1709="","",IF(COUNTIF($A$2:$A$2001,A1709)&gt;1,"GANDA","OK"))</f>
        <v/>
      </c>
      <c r="P1709" s="29" t="str">
        <f aca="false">IF(A1709="","",IF(C1709="","KOSONG",IF(AND(LEN(C1709)=16,ISNUMBER(--C1709)),"OK","TIDAK VALID")))</f>
        <v/>
      </c>
    </row>
    <row r="1710" customFormat="false" ht="15" hidden="false" customHeight="false" outlineLevel="0" collapsed="false">
      <c r="A1710" s="21"/>
      <c r="B1710" s="22"/>
      <c r="C1710" s="21"/>
      <c r="D1710" s="22"/>
      <c r="E1710" s="22"/>
      <c r="F1710" s="28"/>
      <c r="G1710" s="22"/>
      <c r="H1710" s="21"/>
      <c r="I1710" s="28"/>
      <c r="J1710" s="22"/>
      <c r="K1710" s="22"/>
      <c r="L1710" s="22"/>
      <c r="M1710" s="21"/>
      <c r="N1710" s="22"/>
      <c r="O1710" s="29" t="str">
        <f aca="false">IF(A1710="","",IF(COUNTIF($A$2:$A$2001,A1710)&gt;1,"GANDA","OK"))</f>
        <v/>
      </c>
      <c r="P1710" s="29" t="str">
        <f aca="false">IF(A1710="","",IF(C1710="","KOSONG",IF(AND(LEN(C1710)=16,ISNUMBER(--C1710)),"OK","TIDAK VALID")))</f>
        <v/>
      </c>
    </row>
    <row r="1711" customFormat="false" ht="15" hidden="false" customHeight="false" outlineLevel="0" collapsed="false">
      <c r="A1711" s="21"/>
      <c r="B1711" s="22"/>
      <c r="C1711" s="21"/>
      <c r="D1711" s="22"/>
      <c r="E1711" s="22"/>
      <c r="F1711" s="28"/>
      <c r="G1711" s="22"/>
      <c r="H1711" s="21"/>
      <c r="I1711" s="28"/>
      <c r="J1711" s="22"/>
      <c r="K1711" s="22"/>
      <c r="L1711" s="22"/>
      <c r="M1711" s="21"/>
      <c r="N1711" s="22"/>
      <c r="O1711" s="29" t="str">
        <f aca="false">IF(A1711="","",IF(COUNTIF($A$2:$A$2001,A1711)&gt;1,"GANDA","OK"))</f>
        <v/>
      </c>
      <c r="P1711" s="29" t="str">
        <f aca="false">IF(A1711="","",IF(C1711="","KOSONG",IF(AND(LEN(C1711)=16,ISNUMBER(--C1711)),"OK","TIDAK VALID")))</f>
        <v/>
      </c>
    </row>
    <row r="1712" customFormat="false" ht="15" hidden="false" customHeight="false" outlineLevel="0" collapsed="false">
      <c r="A1712" s="21"/>
      <c r="B1712" s="22"/>
      <c r="C1712" s="21"/>
      <c r="D1712" s="22"/>
      <c r="E1712" s="22"/>
      <c r="F1712" s="28"/>
      <c r="G1712" s="22"/>
      <c r="H1712" s="21"/>
      <c r="I1712" s="28"/>
      <c r="J1712" s="22"/>
      <c r="K1712" s="22"/>
      <c r="L1712" s="22"/>
      <c r="M1712" s="21"/>
      <c r="N1712" s="22"/>
      <c r="O1712" s="29" t="str">
        <f aca="false">IF(A1712="","",IF(COUNTIF($A$2:$A$2001,A1712)&gt;1,"GANDA","OK"))</f>
        <v/>
      </c>
      <c r="P1712" s="29" t="str">
        <f aca="false">IF(A1712="","",IF(C1712="","KOSONG",IF(AND(LEN(C1712)=16,ISNUMBER(--C1712)),"OK","TIDAK VALID")))</f>
        <v/>
      </c>
    </row>
    <row r="1713" customFormat="false" ht="15" hidden="false" customHeight="false" outlineLevel="0" collapsed="false">
      <c r="A1713" s="21"/>
      <c r="B1713" s="22"/>
      <c r="C1713" s="21"/>
      <c r="D1713" s="22"/>
      <c r="E1713" s="22"/>
      <c r="F1713" s="28"/>
      <c r="G1713" s="22"/>
      <c r="H1713" s="21"/>
      <c r="I1713" s="28"/>
      <c r="J1713" s="22"/>
      <c r="K1713" s="22"/>
      <c r="L1713" s="22"/>
      <c r="M1713" s="21"/>
      <c r="N1713" s="22"/>
      <c r="O1713" s="29" t="str">
        <f aca="false">IF(A1713="","",IF(COUNTIF($A$2:$A$2001,A1713)&gt;1,"GANDA","OK"))</f>
        <v/>
      </c>
      <c r="P1713" s="29" t="str">
        <f aca="false">IF(A1713="","",IF(C1713="","KOSONG",IF(AND(LEN(C1713)=16,ISNUMBER(--C1713)),"OK","TIDAK VALID")))</f>
        <v/>
      </c>
    </row>
    <row r="1714" customFormat="false" ht="15" hidden="false" customHeight="false" outlineLevel="0" collapsed="false">
      <c r="A1714" s="21"/>
      <c r="B1714" s="22"/>
      <c r="C1714" s="21"/>
      <c r="D1714" s="22"/>
      <c r="E1714" s="22"/>
      <c r="F1714" s="28"/>
      <c r="G1714" s="22"/>
      <c r="H1714" s="21"/>
      <c r="I1714" s="28"/>
      <c r="J1714" s="22"/>
      <c r="K1714" s="22"/>
      <c r="L1714" s="22"/>
      <c r="M1714" s="21"/>
      <c r="N1714" s="22"/>
      <c r="O1714" s="29" t="str">
        <f aca="false">IF(A1714="","",IF(COUNTIF($A$2:$A$2001,A1714)&gt;1,"GANDA","OK"))</f>
        <v/>
      </c>
      <c r="P1714" s="29" t="str">
        <f aca="false">IF(A1714="","",IF(C1714="","KOSONG",IF(AND(LEN(C1714)=16,ISNUMBER(--C1714)),"OK","TIDAK VALID")))</f>
        <v/>
      </c>
    </row>
    <row r="1715" customFormat="false" ht="15" hidden="false" customHeight="false" outlineLevel="0" collapsed="false">
      <c r="A1715" s="21"/>
      <c r="B1715" s="22"/>
      <c r="C1715" s="21"/>
      <c r="D1715" s="22"/>
      <c r="E1715" s="22"/>
      <c r="F1715" s="28"/>
      <c r="G1715" s="22"/>
      <c r="H1715" s="21"/>
      <c r="I1715" s="28"/>
      <c r="J1715" s="22"/>
      <c r="K1715" s="22"/>
      <c r="L1715" s="22"/>
      <c r="M1715" s="21"/>
      <c r="N1715" s="22"/>
      <c r="O1715" s="29" t="str">
        <f aca="false">IF(A1715="","",IF(COUNTIF($A$2:$A$2001,A1715)&gt;1,"GANDA","OK"))</f>
        <v/>
      </c>
      <c r="P1715" s="29" t="str">
        <f aca="false">IF(A1715="","",IF(C1715="","KOSONG",IF(AND(LEN(C1715)=16,ISNUMBER(--C1715)),"OK","TIDAK VALID")))</f>
        <v/>
      </c>
    </row>
    <row r="1716" customFormat="false" ht="15" hidden="false" customHeight="false" outlineLevel="0" collapsed="false">
      <c r="A1716" s="21"/>
      <c r="B1716" s="22"/>
      <c r="C1716" s="21"/>
      <c r="D1716" s="22"/>
      <c r="E1716" s="22"/>
      <c r="F1716" s="28"/>
      <c r="G1716" s="22"/>
      <c r="H1716" s="21"/>
      <c r="I1716" s="28"/>
      <c r="J1716" s="22"/>
      <c r="K1716" s="22"/>
      <c r="L1716" s="22"/>
      <c r="M1716" s="21"/>
      <c r="N1716" s="22"/>
      <c r="O1716" s="29" t="str">
        <f aca="false">IF(A1716="","",IF(COUNTIF($A$2:$A$2001,A1716)&gt;1,"GANDA","OK"))</f>
        <v/>
      </c>
      <c r="P1716" s="29" t="str">
        <f aca="false">IF(A1716="","",IF(C1716="","KOSONG",IF(AND(LEN(C1716)=16,ISNUMBER(--C1716)),"OK","TIDAK VALID")))</f>
        <v/>
      </c>
    </row>
    <row r="1717" customFormat="false" ht="15" hidden="false" customHeight="false" outlineLevel="0" collapsed="false">
      <c r="A1717" s="21"/>
      <c r="B1717" s="22"/>
      <c r="C1717" s="21"/>
      <c r="D1717" s="22"/>
      <c r="E1717" s="22"/>
      <c r="F1717" s="28"/>
      <c r="G1717" s="22"/>
      <c r="H1717" s="21"/>
      <c r="I1717" s="28"/>
      <c r="J1717" s="22"/>
      <c r="K1717" s="22"/>
      <c r="L1717" s="22"/>
      <c r="M1717" s="21"/>
      <c r="N1717" s="22"/>
      <c r="O1717" s="29" t="str">
        <f aca="false">IF(A1717="","",IF(COUNTIF($A$2:$A$2001,A1717)&gt;1,"GANDA","OK"))</f>
        <v/>
      </c>
      <c r="P1717" s="29" t="str">
        <f aca="false">IF(A1717="","",IF(C1717="","KOSONG",IF(AND(LEN(C1717)=16,ISNUMBER(--C1717)),"OK","TIDAK VALID")))</f>
        <v/>
      </c>
    </row>
    <row r="1718" customFormat="false" ht="15" hidden="false" customHeight="false" outlineLevel="0" collapsed="false">
      <c r="A1718" s="21"/>
      <c r="B1718" s="22"/>
      <c r="C1718" s="21"/>
      <c r="D1718" s="22"/>
      <c r="E1718" s="22"/>
      <c r="F1718" s="28"/>
      <c r="G1718" s="22"/>
      <c r="H1718" s="21"/>
      <c r="I1718" s="28"/>
      <c r="J1718" s="22"/>
      <c r="K1718" s="22"/>
      <c r="L1718" s="22"/>
      <c r="M1718" s="21"/>
      <c r="N1718" s="22"/>
      <c r="O1718" s="29" t="str">
        <f aca="false">IF(A1718="","",IF(COUNTIF($A$2:$A$2001,A1718)&gt;1,"GANDA","OK"))</f>
        <v/>
      </c>
      <c r="P1718" s="29" t="str">
        <f aca="false">IF(A1718="","",IF(C1718="","KOSONG",IF(AND(LEN(C1718)=16,ISNUMBER(--C1718)),"OK","TIDAK VALID")))</f>
        <v/>
      </c>
    </row>
    <row r="1719" customFormat="false" ht="15" hidden="false" customHeight="false" outlineLevel="0" collapsed="false">
      <c r="A1719" s="21"/>
      <c r="B1719" s="22"/>
      <c r="C1719" s="21"/>
      <c r="D1719" s="22"/>
      <c r="E1719" s="22"/>
      <c r="F1719" s="28"/>
      <c r="G1719" s="22"/>
      <c r="H1719" s="21"/>
      <c r="I1719" s="28"/>
      <c r="J1719" s="22"/>
      <c r="K1719" s="22"/>
      <c r="L1719" s="22"/>
      <c r="M1719" s="21"/>
      <c r="N1719" s="22"/>
      <c r="O1719" s="29" t="str">
        <f aca="false">IF(A1719="","",IF(COUNTIF($A$2:$A$2001,A1719)&gt;1,"GANDA","OK"))</f>
        <v/>
      </c>
      <c r="P1719" s="29" t="str">
        <f aca="false">IF(A1719="","",IF(C1719="","KOSONG",IF(AND(LEN(C1719)=16,ISNUMBER(--C1719)),"OK","TIDAK VALID")))</f>
        <v/>
      </c>
    </row>
    <row r="1720" customFormat="false" ht="15" hidden="false" customHeight="false" outlineLevel="0" collapsed="false">
      <c r="A1720" s="21"/>
      <c r="B1720" s="22"/>
      <c r="C1720" s="21"/>
      <c r="D1720" s="22"/>
      <c r="E1720" s="22"/>
      <c r="F1720" s="28"/>
      <c r="G1720" s="22"/>
      <c r="H1720" s="21"/>
      <c r="I1720" s="28"/>
      <c r="J1720" s="22"/>
      <c r="K1720" s="22"/>
      <c r="L1720" s="22"/>
      <c r="M1720" s="21"/>
      <c r="N1720" s="22"/>
      <c r="O1720" s="29" t="str">
        <f aca="false">IF(A1720="","",IF(COUNTIF($A$2:$A$2001,A1720)&gt;1,"GANDA","OK"))</f>
        <v/>
      </c>
      <c r="P1720" s="29" t="str">
        <f aca="false">IF(A1720="","",IF(C1720="","KOSONG",IF(AND(LEN(C1720)=16,ISNUMBER(--C1720)),"OK","TIDAK VALID")))</f>
        <v/>
      </c>
    </row>
    <row r="1721" customFormat="false" ht="15" hidden="false" customHeight="false" outlineLevel="0" collapsed="false">
      <c r="A1721" s="21"/>
      <c r="B1721" s="22"/>
      <c r="C1721" s="21"/>
      <c r="D1721" s="22"/>
      <c r="E1721" s="22"/>
      <c r="F1721" s="28"/>
      <c r="G1721" s="22"/>
      <c r="H1721" s="21"/>
      <c r="I1721" s="28"/>
      <c r="J1721" s="22"/>
      <c r="K1721" s="22"/>
      <c r="L1721" s="22"/>
      <c r="M1721" s="21"/>
      <c r="N1721" s="22"/>
      <c r="O1721" s="29" t="str">
        <f aca="false">IF(A1721="","",IF(COUNTIF($A$2:$A$2001,A1721)&gt;1,"GANDA","OK"))</f>
        <v/>
      </c>
      <c r="P1721" s="29" t="str">
        <f aca="false">IF(A1721="","",IF(C1721="","KOSONG",IF(AND(LEN(C1721)=16,ISNUMBER(--C1721)),"OK","TIDAK VALID")))</f>
        <v/>
      </c>
    </row>
    <row r="1722" customFormat="false" ht="15" hidden="false" customHeight="false" outlineLevel="0" collapsed="false">
      <c r="A1722" s="21"/>
      <c r="B1722" s="22"/>
      <c r="C1722" s="21"/>
      <c r="D1722" s="22"/>
      <c r="E1722" s="22"/>
      <c r="F1722" s="28"/>
      <c r="G1722" s="22"/>
      <c r="H1722" s="21"/>
      <c r="I1722" s="28"/>
      <c r="J1722" s="22"/>
      <c r="K1722" s="22"/>
      <c r="L1722" s="22"/>
      <c r="M1722" s="21"/>
      <c r="N1722" s="22"/>
      <c r="O1722" s="29" t="str">
        <f aca="false">IF(A1722="","",IF(COUNTIF($A$2:$A$2001,A1722)&gt;1,"GANDA","OK"))</f>
        <v/>
      </c>
      <c r="P1722" s="29" t="str">
        <f aca="false">IF(A1722="","",IF(C1722="","KOSONG",IF(AND(LEN(C1722)=16,ISNUMBER(--C1722)),"OK","TIDAK VALID")))</f>
        <v/>
      </c>
    </row>
    <row r="1723" customFormat="false" ht="15" hidden="false" customHeight="false" outlineLevel="0" collapsed="false">
      <c r="A1723" s="21"/>
      <c r="B1723" s="22"/>
      <c r="C1723" s="21"/>
      <c r="D1723" s="22"/>
      <c r="E1723" s="22"/>
      <c r="F1723" s="28"/>
      <c r="G1723" s="22"/>
      <c r="H1723" s="21"/>
      <c r="I1723" s="28"/>
      <c r="J1723" s="22"/>
      <c r="K1723" s="22"/>
      <c r="L1723" s="22"/>
      <c r="M1723" s="21"/>
      <c r="N1723" s="22"/>
      <c r="O1723" s="29" t="str">
        <f aca="false">IF(A1723="","",IF(COUNTIF($A$2:$A$2001,A1723)&gt;1,"GANDA","OK"))</f>
        <v/>
      </c>
      <c r="P1723" s="29" t="str">
        <f aca="false">IF(A1723="","",IF(C1723="","KOSONG",IF(AND(LEN(C1723)=16,ISNUMBER(--C1723)),"OK","TIDAK VALID")))</f>
        <v/>
      </c>
    </row>
    <row r="1724" customFormat="false" ht="15" hidden="false" customHeight="false" outlineLevel="0" collapsed="false">
      <c r="A1724" s="21"/>
      <c r="B1724" s="22"/>
      <c r="C1724" s="21"/>
      <c r="D1724" s="22"/>
      <c r="E1724" s="22"/>
      <c r="F1724" s="28"/>
      <c r="G1724" s="22"/>
      <c r="H1724" s="21"/>
      <c r="I1724" s="28"/>
      <c r="J1724" s="22"/>
      <c r="K1724" s="22"/>
      <c r="L1724" s="22"/>
      <c r="M1724" s="21"/>
      <c r="N1724" s="22"/>
      <c r="O1724" s="29" t="str">
        <f aca="false">IF(A1724="","",IF(COUNTIF($A$2:$A$2001,A1724)&gt;1,"GANDA","OK"))</f>
        <v/>
      </c>
      <c r="P1724" s="29" t="str">
        <f aca="false">IF(A1724="","",IF(C1724="","KOSONG",IF(AND(LEN(C1724)=16,ISNUMBER(--C1724)),"OK","TIDAK VALID")))</f>
        <v/>
      </c>
    </row>
    <row r="1725" customFormat="false" ht="15" hidden="false" customHeight="false" outlineLevel="0" collapsed="false">
      <c r="A1725" s="21"/>
      <c r="B1725" s="22"/>
      <c r="C1725" s="21"/>
      <c r="D1725" s="22"/>
      <c r="E1725" s="22"/>
      <c r="F1725" s="28"/>
      <c r="G1725" s="22"/>
      <c r="H1725" s="21"/>
      <c r="I1725" s="28"/>
      <c r="J1725" s="22"/>
      <c r="K1725" s="22"/>
      <c r="L1725" s="22"/>
      <c r="M1725" s="21"/>
      <c r="N1725" s="22"/>
      <c r="O1725" s="29" t="str">
        <f aca="false">IF(A1725="","",IF(COUNTIF($A$2:$A$2001,A1725)&gt;1,"GANDA","OK"))</f>
        <v/>
      </c>
      <c r="P1725" s="29" t="str">
        <f aca="false">IF(A1725="","",IF(C1725="","KOSONG",IF(AND(LEN(C1725)=16,ISNUMBER(--C1725)),"OK","TIDAK VALID")))</f>
        <v/>
      </c>
    </row>
    <row r="1726" customFormat="false" ht="15" hidden="false" customHeight="false" outlineLevel="0" collapsed="false">
      <c r="A1726" s="21"/>
      <c r="B1726" s="22"/>
      <c r="C1726" s="21"/>
      <c r="D1726" s="22"/>
      <c r="E1726" s="22"/>
      <c r="F1726" s="28"/>
      <c r="G1726" s="22"/>
      <c r="H1726" s="21"/>
      <c r="I1726" s="28"/>
      <c r="J1726" s="22"/>
      <c r="K1726" s="22"/>
      <c r="L1726" s="22"/>
      <c r="M1726" s="21"/>
      <c r="N1726" s="22"/>
      <c r="O1726" s="29" t="str">
        <f aca="false">IF(A1726="","",IF(COUNTIF($A$2:$A$2001,A1726)&gt;1,"GANDA","OK"))</f>
        <v/>
      </c>
      <c r="P1726" s="29" t="str">
        <f aca="false">IF(A1726="","",IF(C1726="","KOSONG",IF(AND(LEN(C1726)=16,ISNUMBER(--C1726)),"OK","TIDAK VALID")))</f>
        <v/>
      </c>
    </row>
    <row r="1727" customFormat="false" ht="15" hidden="false" customHeight="false" outlineLevel="0" collapsed="false">
      <c r="A1727" s="21"/>
      <c r="B1727" s="22"/>
      <c r="C1727" s="21"/>
      <c r="D1727" s="22"/>
      <c r="E1727" s="22"/>
      <c r="F1727" s="28"/>
      <c r="G1727" s="22"/>
      <c r="H1727" s="21"/>
      <c r="I1727" s="28"/>
      <c r="J1727" s="22"/>
      <c r="K1727" s="22"/>
      <c r="L1727" s="22"/>
      <c r="M1727" s="21"/>
      <c r="N1727" s="22"/>
      <c r="O1727" s="29" t="str">
        <f aca="false">IF(A1727="","",IF(COUNTIF($A$2:$A$2001,A1727)&gt;1,"GANDA","OK"))</f>
        <v/>
      </c>
      <c r="P1727" s="29" t="str">
        <f aca="false">IF(A1727="","",IF(C1727="","KOSONG",IF(AND(LEN(C1727)=16,ISNUMBER(--C1727)),"OK","TIDAK VALID")))</f>
        <v/>
      </c>
    </row>
    <row r="1728" customFormat="false" ht="15" hidden="false" customHeight="false" outlineLevel="0" collapsed="false">
      <c r="A1728" s="21"/>
      <c r="B1728" s="22"/>
      <c r="C1728" s="21"/>
      <c r="D1728" s="22"/>
      <c r="E1728" s="22"/>
      <c r="F1728" s="28"/>
      <c r="G1728" s="22"/>
      <c r="H1728" s="21"/>
      <c r="I1728" s="28"/>
      <c r="J1728" s="22"/>
      <c r="K1728" s="22"/>
      <c r="L1728" s="22"/>
      <c r="M1728" s="21"/>
      <c r="N1728" s="22"/>
      <c r="O1728" s="29" t="str">
        <f aca="false">IF(A1728="","",IF(COUNTIF($A$2:$A$2001,A1728)&gt;1,"GANDA","OK"))</f>
        <v/>
      </c>
      <c r="P1728" s="29" t="str">
        <f aca="false">IF(A1728="","",IF(C1728="","KOSONG",IF(AND(LEN(C1728)=16,ISNUMBER(--C1728)),"OK","TIDAK VALID")))</f>
        <v/>
      </c>
    </row>
    <row r="1729" customFormat="false" ht="15" hidden="false" customHeight="false" outlineLevel="0" collapsed="false">
      <c r="A1729" s="21"/>
      <c r="B1729" s="22"/>
      <c r="C1729" s="21"/>
      <c r="D1729" s="22"/>
      <c r="E1729" s="22"/>
      <c r="F1729" s="28"/>
      <c r="G1729" s="22"/>
      <c r="H1729" s="21"/>
      <c r="I1729" s="28"/>
      <c r="J1729" s="22"/>
      <c r="K1729" s="22"/>
      <c r="L1729" s="22"/>
      <c r="M1729" s="21"/>
      <c r="N1729" s="22"/>
      <c r="O1729" s="29" t="str">
        <f aca="false">IF(A1729="","",IF(COUNTIF($A$2:$A$2001,A1729)&gt;1,"GANDA","OK"))</f>
        <v/>
      </c>
      <c r="P1729" s="29" t="str">
        <f aca="false">IF(A1729="","",IF(C1729="","KOSONG",IF(AND(LEN(C1729)=16,ISNUMBER(--C1729)),"OK","TIDAK VALID")))</f>
        <v/>
      </c>
    </row>
    <row r="1730" customFormat="false" ht="15" hidden="false" customHeight="false" outlineLevel="0" collapsed="false">
      <c r="A1730" s="21"/>
      <c r="B1730" s="22"/>
      <c r="C1730" s="21"/>
      <c r="D1730" s="22"/>
      <c r="E1730" s="22"/>
      <c r="F1730" s="28"/>
      <c r="G1730" s="22"/>
      <c r="H1730" s="21"/>
      <c r="I1730" s="28"/>
      <c r="J1730" s="22"/>
      <c r="K1730" s="22"/>
      <c r="L1730" s="22"/>
      <c r="M1730" s="21"/>
      <c r="N1730" s="22"/>
      <c r="O1730" s="29" t="str">
        <f aca="false">IF(A1730="","",IF(COUNTIF($A$2:$A$2001,A1730)&gt;1,"GANDA","OK"))</f>
        <v/>
      </c>
      <c r="P1730" s="29" t="str">
        <f aca="false">IF(A1730="","",IF(C1730="","KOSONG",IF(AND(LEN(C1730)=16,ISNUMBER(--C1730)),"OK","TIDAK VALID")))</f>
        <v/>
      </c>
    </row>
    <row r="1731" customFormat="false" ht="15" hidden="false" customHeight="false" outlineLevel="0" collapsed="false">
      <c r="A1731" s="21"/>
      <c r="B1731" s="22"/>
      <c r="C1731" s="21"/>
      <c r="D1731" s="22"/>
      <c r="E1731" s="22"/>
      <c r="F1731" s="28"/>
      <c r="G1731" s="22"/>
      <c r="H1731" s="21"/>
      <c r="I1731" s="28"/>
      <c r="J1731" s="22"/>
      <c r="K1731" s="22"/>
      <c r="L1731" s="22"/>
      <c r="M1731" s="21"/>
      <c r="N1731" s="22"/>
      <c r="O1731" s="29" t="str">
        <f aca="false">IF(A1731="","",IF(COUNTIF($A$2:$A$2001,A1731)&gt;1,"GANDA","OK"))</f>
        <v/>
      </c>
      <c r="P1731" s="29" t="str">
        <f aca="false">IF(A1731="","",IF(C1731="","KOSONG",IF(AND(LEN(C1731)=16,ISNUMBER(--C1731)),"OK","TIDAK VALID")))</f>
        <v/>
      </c>
    </row>
    <row r="1732" customFormat="false" ht="15" hidden="false" customHeight="false" outlineLevel="0" collapsed="false">
      <c r="A1732" s="21"/>
      <c r="B1732" s="22"/>
      <c r="C1732" s="21"/>
      <c r="D1732" s="22"/>
      <c r="E1732" s="22"/>
      <c r="F1732" s="28"/>
      <c r="G1732" s="22"/>
      <c r="H1732" s="21"/>
      <c r="I1732" s="28"/>
      <c r="J1732" s="22"/>
      <c r="K1732" s="22"/>
      <c r="L1732" s="22"/>
      <c r="M1732" s="21"/>
      <c r="N1732" s="22"/>
      <c r="O1732" s="29" t="str">
        <f aca="false">IF(A1732="","",IF(COUNTIF($A$2:$A$2001,A1732)&gt;1,"GANDA","OK"))</f>
        <v/>
      </c>
      <c r="P1732" s="29" t="str">
        <f aca="false">IF(A1732="","",IF(C1732="","KOSONG",IF(AND(LEN(C1732)=16,ISNUMBER(--C1732)),"OK","TIDAK VALID")))</f>
        <v/>
      </c>
    </row>
    <row r="1733" customFormat="false" ht="15" hidden="false" customHeight="false" outlineLevel="0" collapsed="false">
      <c r="A1733" s="21"/>
      <c r="B1733" s="22"/>
      <c r="C1733" s="21"/>
      <c r="D1733" s="22"/>
      <c r="E1733" s="22"/>
      <c r="F1733" s="28"/>
      <c r="G1733" s="22"/>
      <c r="H1733" s="21"/>
      <c r="I1733" s="28"/>
      <c r="J1733" s="22"/>
      <c r="K1733" s="22"/>
      <c r="L1733" s="22"/>
      <c r="M1733" s="21"/>
      <c r="N1733" s="22"/>
      <c r="O1733" s="29" t="str">
        <f aca="false">IF(A1733="","",IF(COUNTIF($A$2:$A$2001,A1733)&gt;1,"GANDA","OK"))</f>
        <v/>
      </c>
      <c r="P1733" s="29" t="str">
        <f aca="false">IF(A1733="","",IF(C1733="","KOSONG",IF(AND(LEN(C1733)=16,ISNUMBER(--C1733)),"OK","TIDAK VALID")))</f>
        <v/>
      </c>
    </row>
    <row r="1734" customFormat="false" ht="15" hidden="false" customHeight="false" outlineLevel="0" collapsed="false">
      <c r="A1734" s="21"/>
      <c r="B1734" s="22"/>
      <c r="C1734" s="21"/>
      <c r="D1734" s="22"/>
      <c r="E1734" s="22"/>
      <c r="F1734" s="28"/>
      <c r="G1734" s="22"/>
      <c r="H1734" s="21"/>
      <c r="I1734" s="28"/>
      <c r="J1734" s="22"/>
      <c r="K1734" s="22"/>
      <c r="L1734" s="22"/>
      <c r="M1734" s="21"/>
      <c r="N1734" s="22"/>
      <c r="O1734" s="29" t="str">
        <f aca="false">IF(A1734="","",IF(COUNTIF($A$2:$A$2001,A1734)&gt;1,"GANDA","OK"))</f>
        <v/>
      </c>
      <c r="P1734" s="29" t="str">
        <f aca="false">IF(A1734="","",IF(C1734="","KOSONG",IF(AND(LEN(C1734)=16,ISNUMBER(--C1734)),"OK","TIDAK VALID")))</f>
        <v/>
      </c>
    </row>
    <row r="1735" customFormat="false" ht="15" hidden="false" customHeight="false" outlineLevel="0" collapsed="false">
      <c r="A1735" s="21"/>
      <c r="B1735" s="22"/>
      <c r="C1735" s="21"/>
      <c r="D1735" s="22"/>
      <c r="E1735" s="22"/>
      <c r="F1735" s="28"/>
      <c r="G1735" s="22"/>
      <c r="H1735" s="21"/>
      <c r="I1735" s="28"/>
      <c r="J1735" s="22"/>
      <c r="K1735" s="22"/>
      <c r="L1735" s="22"/>
      <c r="M1735" s="21"/>
      <c r="N1735" s="22"/>
      <c r="O1735" s="29" t="str">
        <f aca="false">IF(A1735="","",IF(COUNTIF($A$2:$A$2001,A1735)&gt;1,"GANDA","OK"))</f>
        <v/>
      </c>
      <c r="P1735" s="29" t="str">
        <f aca="false">IF(A1735="","",IF(C1735="","KOSONG",IF(AND(LEN(C1735)=16,ISNUMBER(--C1735)),"OK","TIDAK VALID")))</f>
        <v/>
      </c>
    </row>
    <row r="1736" customFormat="false" ht="15" hidden="false" customHeight="false" outlineLevel="0" collapsed="false">
      <c r="A1736" s="21"/>
      <c r="B1736" s="22"/>
      <c r="C1736" s="21"/>
      <c r="D1736" s="22"/>
      <c r="E1736" s="22"/>
      <c r="F1736" s="28"/>
      <c r="G1736" s="22"/>
      <c r="H1736" s="21"/>
      <c r="I1736" s="28"/>
      <c r="J1736" s="22"/>
      <c r="K1736" s="22"/>
      <c r="L1736" s="22"/>
      <c r="M1736" s="21"/>
      <c r="N1736" s="22"/>
      <c r="O1736" s="29" t="str">
        <f aca="false">IF(A1736="","",IF(COUNTIF($A$2:$A$2001,A1736)&gt;1,"GANDA","OK"))</f>
        <v/>
      </c>
      <c r="P1736" s="29" t="str">
        <f aca="false">IF(A1736="","",IF(C1736="","KOSONG",IF(AND(LEN(C1736)=16,ISNUMBER(--C1736)),"OK","TIDAK VALID")))</f>
        <v/>
      </c>
    </row>
    <row r="1737" customFormat="false" ht="15" hidden="false" customHeight="false" outlineLevel="0" collapsed="false">
      <c r="A1737" s="21"/>
      <c r="B1737" s="22"/>
      <c r="C1737" s="21"/>
      <c r="D1737" s="22"/>
      <c r="E1737" s="22"/>
      <c r="F1737" s="28"/>
      <c r="G1737" s="22"/>
      <c r="H1737" s="21"/>
      <c r="I1737" s="28"/>
      <c r="J1737" s="22"/>
      <c r="K1737" s="22"/>
      <c r="L1737" s="22"/>
      <c r="M1737" s="21"/>
      <c r="N1737" s="22"/>
      <c r="O1737" s="29" t="str">
        <f aca="false">IF(A1737="","",IF(COUNTIF($A$2:$A$2001,A1737)&gt;1,"GANDA","OK"))</f>
        <v/>
      </c>
      <c r="P1737" s="29" t="str">
        <f aca="false">IF(A1737="","",IF(C1737="","KOSONG",IF(AND(LEN(C1737)=16,ISNUMBER(--C1737)),"OK","TIDAK VALID")))</f>
        <v/>
      </c>
    </row>
    <row r="1738" customFormat="false" ht="15" hidden="false" customHeight="false" outlineLevel="0" collapsed="false">
      <c r="A1738" s="21"/>
      <c r="B1738" s="22"/>
      <c r="C1738" s="21"/>
      <c r="D1738" s="22"/>
      <c r="E1738" s="22"/>
      <c r="F1738" s="28"/>
      <c r="G1738" s="22"/>
      <c r="H1738" s="21"/>
      <c r="I1738" s="28"/>
      <c r="J1738" s="22"/>
      <c r="K1738" s="22"/>
      <c r="L1738" s="22"/>
      <c r="M1738" s="21"/>
      <c r="N1738" s="22"/>
      <c r="O1738" s="29" t="str">
        <f aca="false">IF(A1738="","",IF(COUNTIF($A$2:$A$2001,A1738)&gt;1,"GANDA","OK"))</f>
        <v/>
      </c>
      <c r="P1738" s="29" t="str">
        <f aca="false">IF(A1738="","",IF(C1738="","KOSONG",IF(AND(LEN(C1738)=16,ISNUMBER(--C1738)),"OK","TIDAK VALID")))</f>
        <v/>
      </c>
    </row>
    <row r="1739" customFormat="false" ht="15" hidden="false" customHeight="false" outlineLevel="0" collapsed="false">
      <c r="A1739" s="21"/>
      <c r="B1739" s="22"/>
      <c r="C1739" s="21"/>
      <c r="D1739" s="22"/>
      <c r="E1739" s="22"/>
      <c r="F1739" s="28"/>
      <c r="G1739" s="22"/>
      <c r="H1739" s="21"/>
      <c r="I1739" s="28"/>
      <c r="J1739" s="22"/>
      <c r="K1739" s="22"/>
      <c r="L1739" s="22"/>
      <c r="M1739" s="21"/>
      <c r="N1739" s="22"/>
      <c r="O1739" s="29" t="str">
        <f aca="false">IF(A1739="","",IF(COUNTIF($A$2:$A$2001,A1739)&gt;1,"GANDA","OK"))</f>
        <v/>
      </c>
      <c r="P1739" s="29" t="str">
        <f aca="false">IF(A1739="","",IF(C1739="","KOSONG",IF(AND(LEN(C1739)=16,ISNUMBER(--C1739)),"OK","TIDAK VALID")))</f>
        <v/>
      </c>
    </row>
    <row r="1740" customFormat="false" ht="15" hidden="false" customHeight="false" outlineLevel="0" collapsed="false">
      <c r="A1740" s="21"/>
      <c r="B1740" s="22"/>
      <c r="C1740" s="21"/>
      <c r="D1740" s="22"/>
      <c r="E1740" s="22"/>
      <c r="F1740" s="28"/>
      <c r="G1740" s="22"/>
      <c r="H1740" s="21"/>
      <c r="I1740" s="28"/>
      <c r="J1740" s="22"/>
      <c r="K1740" s="22"/>
      <c r="L1740" s="22"/>
      <c r="M1740" s="21"/>
      <c r="N1740" s="22"/>
      <c r="O1740" s="29" t="str">
        <f aca="false">IF(A1740="","",IF(COUNTIF($A$2:$A$2001,A1740)&gt;1,"GANDA","OK"))</f>
        <v/>
      </c>
      <c r="P1740" s="29" t="str">
        <f aca="false">IF(A1740="","",IF(C1740="","KOSONG",IF(AND(LEN(C1740)=16,ISNUMBER(--C1740)),"OK","TIDAK VALID")))</f>
        <v/>
      </c>
    </row>
    <row r="1741" customFormat="false" ht="15" hidden="false" customHeight="false" outlineLevel="0" collapsed="false">
      <c r="A1741" s="21"/>
      <c r="B1741" s="22"/>
      <c r="C1741" s="21"/>
      <c r="D1741" s="22"/>
      <c r="E1741" s="22"/>
      <c r="F1741" s="28"/>
      <c r="G1741" s="22"/>
      <c r="H1741" s="21"/>
      <c r="I1741" s="28"/>
      <c r="J1741" s="22"/>
      <c r="K1741" s="22"/>
      <c r="L1741" s="22"/>
      <c r="M1741" s="21"/>
      <c r="N1741" s="22"/>
      <c r="O1741" s="29" t="str">
        <f aca="false">IF(A1741="","",IF(COUNTIF($A$2:$A$2001,A1741)&gt;1,"GANDA","OK"))</f>
        <v/>
      </c>
      <c r="P1741" s="29" t="str">
        <f aca="false">IF(A1741="","",IF(C1741="","KOSONG",IF(AND(LEN(C1741)=16,ISNUMBER(--C1741)),"OK","TIDAK VALID")))</f>
        <v/>
      </c>
    </row>
    <row r="1742" customFormat="false" ht="15" hidden="false" customHeight="false" outlineLevel="0" collapsed="false">
      <c r="A1742" s="21"/>
      <c r="B1742" s="22"/>
      <c r="C1742" s="21"/>
      <c r="D1742" s="22"/>
      <c r="E1742" s="22"/>
      <c r="F1742" s="28"/>
      <c r="G1742" s="22"/>
      <c r="H1742" s="21"/>
      <c r="I1742" s="28"/>
      <c r="J1742" s="22"/>
      <c r="K1742" s="22"/>
      <c r="L1742" s="22"/>
      <c r="M1742" s="21"/>
      <c r="N1742" s="22"/>
      <c r="O1742" s="29" t="str">
        <f aca="false">IF(A1742="","",IF(COUNTIF($A$2:$A$2001,A1742)&gt;1,"GANDA","OK"))</f>
        <v/>
      </c>
      <c r="P1742" s="29" t="str">
        <f aca="false">IF(A1742="","",IF(C1742="","KOSONG",IF(AND(LEN(C1742)=16,ISNUMBER(--C1742)),"OK","TIDAK VALID")))</f>
        <v/>
      </c>
    </row>
    <row r="1743" customFormat="false" ht="15" hidden="false" customHeight="false" outlineLevel="0" collapsed="false">
      <c r="A1743" s="21"/>
      <c r="B1743" s="22"/>
      <c r="C1743" s="21"/>
      <c r="D1743" s="22"/>
      <c r="E1743" s="22"/>
      <c r="F1743" s="28"/>
      <c r="G1743" s="22"/>
      <c r="H1743" s="21"/>
      <c r="I1743" s="28"/>
      <c r="J1743" s="22"/>
      <c r="K1743" s="22"/>
      <c r="L1743" s="22"/>
      <c r="M1743" s="21"/>
      <c r="N1743" s="22"/>
      <c r="O1743" s="29" t="str">
        <f aca="false">IF(A1743="","",IF(COUNTIF($A$2:$A$2001,A1743)&gt;1,"GANDA","OK"))</f>
        <v/>
      </c>
      <c r="P1743" s="29" t="str">
        <f aca="false">IF(A1743="","",IF(C1743="","KOSONG",IF(AND(LEN(C1743)=16,ISNUMBER(--C1743)),"OK","TIDAK VALID")))</f>
        <v/>
      </c>
    </row>
    <row r="1744" customFormat="false" ht="15" hidden="false" customHeight="false" outlineLevel="0" collapsed="false">
      <c r="A1744" s="21"/>
      <c r="B1744" s="22"/>
      <c r="C1744" s="21"/>
      <c r="D1744" s="22"/>
      <c r="E1744" s="22"/>
      <c r="F1744" s="28"/>
      <c r="G1744" s="22"/>
      <c r="H1744" s="21"/>
      <c r="I1744" s="28"/>
      <c r="J1744" s="22"/>
      <c r="K1744" s="22"/>
      <c r="L1744" s="22"/>
      <c r="M1744" s="21"/>
      <c r="N1744" s="22"/>
      <c r="O1744" s="29" t="str">
        <f aca="false">IF(A1744="","",IF(COUNTIF($A$2:$A$2001,A1744)&gt;1,"GANDA","OK"))</f>
        <v/>
      </c>
      <c r="P1744" s="29" t="str">
        <f aca="false">IF(A1744="","",IF(C1744="","KOSONG",IF(AND(LEN(C1744)=16,ISNUMBER(--C1744)),"OK","TIDAK VALID")))</f>
        <v/>
      </c>
    </row>
    <row r="1745" customFormat="false" ht="15" hidden="false" customHeight="false" outlineLevel="0" collapsed="false">
      <c r="A1745" s="21"/>
      <c r="B1745" s="22"/>
      <c r="C1745" s="21"/>
      <c r="D1745" s="22"/>
      <c r="E1745" s="22"/>
      <c r="F1745" s="28"/>
      <c r="G1745" s="22"/>
      <c r="H1745" s="21"/>
      <c r="I1745" s="28"/>
      <c r="J1745" s="22"/>
      <c r="K1745" s="22"/>
      <c r="L1745" s="22"/>
      <c r="M1745" s="21"/>
      <c r="N1745" s="22"/>
      <c r="O1745" s="29" t="str">
        <f aca="false">IF(A1745="","",IF(COUNTIF($A$2:$A$2001,A1745)&gt;1,"GANDA","OK"))</f>
        <v/>
      </c>
      <c r="P1745" s="29" t="str">
        <f aca="false">IF(A1745="","",IF(C1745="","KOSONG",IF(AND(LEN(C1745)=16,ISNUMBER(--C1745)),"OK","TIDAK VALID")))</f>
        <v/>
      </c>
    </row>
    <row r="1746" customFormat="false" ht="15" hidden="false" customHeight="false" outlineLevel="0" collapsed="false">
      <c r="A1746" s="21"/>
      <c r="B1746" s="22"/>
      <c r="C1746" s="21"/>
      <c r="D1746" s="22"/>
      <c r="E1746" s="22"/>
      <c r="F1746" s="28"/>
      <c r="G1746" s="22"/>
      <c r="H1746" s="21"/>
      <c r="I1746" s="28"/>
      <c r="J1746" s="22"/>
      <c r="K1746" s="22"/>
      <c r="L1746" s="22"/>
      <c r="M1746" s="21"/>
      <c r="N1746" s="22"/>
      <c r="O1746" s="29" t="str">
        <f aca="false">IF(A1746="","",IF(COUNTIF($A$2:$A$2001,A1746)&gt;1,"GANDA","OK"))</f>
        <v/>
      </c>
      <c r="P1746" s="29" t="str">
        <f aca="false">IF(A1746="","",IF(C1746="","KOSONG",IF(AND(LEN(C1746)=16,ISNUMBER(--C1746)),"OK","TIDAK VALID")))</f>
        <v/>
      </c>
    </row>
    <row r="1747" customFormat="false" ht="15" hidden="false" customHeight="false" outlineLevel="0" collapsed="false">
      <c r="A1747" s="21"/>
      <c r="B1747" s="22"/>
      <c r="C1747" s="21"/>
      <c r="D1747" s="22"/>
      <c r="E1747" s="22"/>
      <c r="F1747" s="28"/>
      <c r="G1747" s="22"/>
      <c r="H1747" s="21"/>
      <c r="I1747" s="28"/>
      <c r="J1747" s="22"/>
      <c r="K1747" s="22"/>
      <c r="L1747" s="22"/>
      <c r="M1747" s="21"/>
      <c r="N1747" s="22"/>
      <c r="O1747" s="29" t="str">
        <f aca="false">IF(A1747="","",IF(COUNTIF($A$2:$A$2001,A1747)&gt;1,"GANDA","OK"))</f>
        <v/>
      </c>
      <c r="P1747" s="29" t="str">
        <f aca="false">IF(A1747="","",IF(C1747="","KOSONG",IF(AND(LEN(C1747)=16,ISNUMBER(--C1747)),"OK","TIDAK VALID")))</f>
        <v/>
      </c>
    </row>
    <row r="1748" customFormat="false" ht="15" hidden="false" customHeight="false" outlineLevel="0" collapsed="false">
      <c r="A1748" s="21"/>
      <c r="B1748" s="22"/>
      <c r="C1748" s="21"/>
      <c r="D1748" s="22"/>
      <c r="E1748" s="22"/>
      <c r="F1748" s="28"/>
      <c r="G1748" s="22"/>
      <c r="H1748" s="21"/>
      <c r="I1748" s="28"/>
      <c r="J1748" s="22"/>
      <c r="K1748" s="22"/>
      <c r="L1748" s="22"/>
      <c r="M1748" s="21"/>
      <c r="N1748" s="22"/>
      <c r="O1748" s="29" t="str">
        <f aca="false">IF(A1748="","",IF(COUNTIF($A$2:$A$2001,A1748)&gt;1,"GANDA","OK"))</f>
        <v/>
      </c>
      <c r="P1748" s="29" t="str">
        <f aca="false">IF(A1748="","",IF(C1748="","KOSONG",IF(AND(LEN(C1748)=16,ISNUMBER(--C1748)),"OK","TIDAK VALID")))</f>
        <v/>
      </c>
    </row>
    <row r="1749" customFormat="false" ht="15" hidden="false" customHeight="false" outlineLevel="0" collapsed="false">
      <c r="A1749" s="21"/>
      <c r="B1749" s="22"/>
      <c r="C1749" s="21"/>
      <c r="D1749" s="22"/>
      <c r="E1749" s="22"/>
      <c r="F1749" s="28"/>
      <c r="G1749" s="22"/>
      <c r="H1749" s="21"/>
      <c r="I1749" s="28"/>
      <c r="J1749" s="22"/>
      <c r="K1749" s="22"/>
      <c r="L1749" s="22"/>
      <c r="M1749" s="21"/>
      <c r="N1749" s="22"/>
      <c r="O1749" s="29" t="str">
        <f aca="false">IF(A1749="","",IF(COUNTIF($A$2:$A$2001,A1749)&gt;1,"GANDA","OK"))</f>
        <v/>
      </c>
      <c r="P1749" s="29" t="str">
        <f aca="false">IF(A1749="","",IF(C1749="","KOSONG",IF(AND(LEN(C1749)=16,ISNUMBER(--C1749)),"OK","TIDAK VALID")))</f>
        <v/>
      </c>
    </row>
    <row r="1750" customFormat="false" ht="15" hidden="false" customHeight="false" outlineLevel="0" collapsed="false">
      <c r="A1750" s="21"/>
      <c r="B1750" s="22"/>
      <c r="C1750" s="21"/>
      <c r="D1750" s="22"/>
      <c r="E1750" s="22"/>
      <c r="F1750" s="28"/>
      <c r="G1750" s="22"/>
      <c r="H1750" s="21"/>
      <c r="I1750" s="28"/>
      <c r="J1750" s="22"/>
      <c r="K1750" s="22"/>
      <c r="L1750" s="22"/>
      <c r="M1750" s="21"/>
      <c r="N1750" s="22"/>
      <c r="O1750" s="29" t="str">
        <f aca="false">IF(A1750="","",IF(COUNTIF($A$2:$A$2001,A1750)&gt;1,"GANDA","OK"))</f>
        <v/>
      </c>
      <c r="P1750" s="29" t="str">
        <f aca="false">IF(A1750="","",IF(C1750="","KOSONG",IF(AND(LEN(C1750)=16,ISNUMBER(--C1750)),"OK","TIDAK VALID")))</f>
        <v/>
      </c>
    </row>
    <row r="1751" customFormat="false" ht="15" hidden="false" customHeight="false" outlineLevel="0" collapsed="false">
      <c r="A1751" s="21"/>
      <c r="B1751" s="22"/>
      <c r="C1751" s="21"/>
      <c r="D1751" s="22"/>
      <c r="E1751" s="22"/>
      <c r="F1751" s="28"/>
      <c r="G1751" s="22"/>
      <c r="H1751" s="21"/>
      <c r="I1751" s="28"/>
      <c r="J1751" s="22"/>
      <c r="K1751" s="22"/>
      <c r="L1751" s="22"/>
      <c r="M1751" s="21"/>
      <c r="N1751" s="22"/>
      <c r="O1751" s="29" t="str">
        <f aca="false">IF(A1751="","",IF(COUNTIF($A$2:$A$2001,A1751)&gt;1,"GANDA","OK"))</f>
        <v/>
      </c>
      <c r="P1751" s="29" t="str">
        <f aca="false">IF(A1751="","",IF(C1751="","KOSONG",IF(AND(LEN(C1751)=16,ISNUMBER(--C1751)),"OK","TIDAK VALID")))</f>
        <v/>
      </c>
    </row>
    <row r="1752" customFormat="false" ht="15" hidden="false" customHeight="false" outlineLevel="0" collapsed="false">
      <c r="A1752" s="21"/>
      <c r="B1752" s="22"/>
      <c r="C1752" s="21"/>
      <c r="D1752" s="22"/>
      <c r="E1752" s="22"/>
      <c r="F1752" s="28"/>
      <c r="G1752" s="22"/>
      <c r="H1752" s="21"/>
      <c r="I1752" s="28"/>
      <c r="J1752" s="22"/>
      <c r="K1752" s="22"/>
      <c r="L1752" s="22"/>
      <c r="M1752" s="21"/>
      <c r="N1752" s="22"/>
      <c r="O1752" s="29" t="str">
        <f aca="false">IF(A1752="","",IF(COUNTIF($A$2:$A$2001,A1752)&gt;1,"GANDA","OK"))</f>
        <v/>
      </c>
      <c r="P1752" s="29" t="str">
        <f aca="false">IF(A1752="","",IF(C1752="","KOSONG",IF(AND(LEN(C1752)=16,ISNUMBER(--C1752)),"OK","TIDAK VALID")))</f>
        <v/>
      </c>
    </row>
    <row r="1753" customFormat="false" ht="15" hidden="false" customHeight="false" outlineLevel="0" collapsed="false">
      <c r="A1753" s="21"/>
      <c r="B1753" s="22"/>
      <c r="C1753" s="21"/>
      <c r="D1753" s="22"/>
      <c r="E1753" s="22"/>
      <c r="F1753" s="28"/>
      <c r="G1753" s="22"/>
      <c r="H1753" s="21"/>
      <c r="I1753" s="28"/>
      <c r="J1753" s="22"/>
      <c r="K1753" s="22"/>
      <c r="L1753" s="22"/>
      <c r="M1753" s="21"/>
      <c r="N1753" s="22"/>
      <c r="O1753" s="29" t="str">
        <f aca="false">IF(A1753="","",IF(COUNTIF($A$2:$A$2001,A1753)&gt;1,"GANDA","OK"))</f>
        <v/>
      </c>
      <c r="P1753" s="29" t="str">
        <f aca="false">IF(A1753="","",IF(C1753="","KOSONG",IF(AND(LEN(C1753)=16,ISNUMBER(--C1753)),"OK","TIDAK VALID")))</f>
        <v/>
      </c>
    </row>
    <row r="1754" customFormat="false" ht="15" hidden="false" customHeight="false" outlineLevel="0" collapsed="false">
      <c r="A1754" s="21"/>
      <c r="B1754" s="22"/>
      <c r="C1754" s="21"/>
      <c r="D1754" s="22"/>
      <c r="E1754" s="22"/>
      <c r="F1754" s="28"/>
      <c r="G1754" s="22"/>
      <c r="H1754" s="21"/>
      <c r="I1754" s="28"/>
      <c r="J1754" s="22"/>
      <c r="K1754" s="22"/>
      <c r="L1754" s="22"/>
      <c r="M1754" s="21"/>
      <c r="N1754" s="22"/>
      <c r="O1754" s="29" t="str">
        <f aca="false">IF(A1754="","",IF(COUNTIF($A$2:$A$2001,A1754)&gt;1,"GANDA","OK"))</f>
        <v/>
      </c>
      <c r="P1754" s="29" t="str">
        <f aca="false">IF(A1754="","",IF(C1754="","KOSONG",IF(AND(LEN(C1754)=16,ISNUMBER(--C1754)),"OK","TIDAK VALID")))</f>
        <v/>
      </c>
    </row>
    <row r="1755" customFormat="false" ht="15" hidden="false" customHeight="false" outlineLevel="0" collapsed="false">
      <c r="A1755" s="21"/>
      <c r="B1755" s="22"/>
      <c r="C1755" s="21"/>
      <c r="D1755" s="22"/>
      <c r="E1755" s="22"/>
      <c r="F1755" s="28"/>
      <c r="G1755" s="22"/>
      <c r="H1755" s="21"/>
      <c r="I1755" s="28"/>
      <c r="J1755" s="22"/>
      <c r="K1755" s="22"/>
      <c r="L1755" s="22"/>
      <c r="M1755" s="21"/>
      <c r="N1755" s="22"/>
      <c r="O1755" s="29" t="str">
        <f aca="false">IF(A1755="","",IF(COUNTIF($A$2:$A$2001,A1755)&gt;1,"GANDA","OK"))</f>
        <v/>
      </c>
      <c r="P1755" s="29" t="str">
        <f aca="false">IF(A1755="","",IF(C1755="","KOSONG",IF(AND(LEN(C1755)=16,ISNUMBER(--C1755)),"OK","TIDAK VALID")))</f>
        <v/>
      </c>
    </row>
    <row r="1756" customFormat="false" ht="15" hidden="false" customHeight="false" outlineLevel="0" collapsed="false">
      <c r="A1756" s="21"/>
      <c r="B1756" s="22"/>
      <c r="C1756" s="21"/>
      <c r="D1756" s="22"/>
      <c r="E1756" s="22"/>
      <c r="F1756" s="28"/>
      <c r="G1756" s="22"/>
      <c r="H1756" s="21"/>
      <c r="I1756" s="28"/>
      <c r="J1756" s="22"/>
      <c r="K1756" s="22"/>
      <c r="L1756" s="22"/>
      <c r="M1756" s="21"/>
      <c r="N1756" s="22"/>
      <c r="O1756" s="29" t="str">
        <f aca="false">IF(A1756="","",IF(COUNTIF($A$2:$A$2001,A1756)&gt;1,"GANDA","OK"))</f>
        <v/>
      </c>
      <c r="P1756" s="29" t="str">
        <f aca="false">IF(A1756="","",IF(C1756="","KOSONG",IF(AND(LEN(C1756)=16,ISNUMBER(--C1756)),"OK","TIDAK VALID")))</f>
        <v/>
      </c>
    </row>
    <row r="1757" customFormat="false" ht="15" hidden="false" customHeight="false" outlineLevel="0" collapsed="false">
      <c r="A1757" s="21"/>
      <c r="B1757" s="22"/>
      <c r="C1757" s="21"/>
      <c r="D1757" s="22"/>
      <c r="E1757" s="22"/>
      <c r="F1757" s="28"/>
      <c r="G1757" s="22"/>
      <c r="H1757" s="21"/>
      <c r="I1757" s="28"/>
      <c r="J1757" s="22"/>
      <c r="K1757" s="22"/>
      <c r="L1757" s="22"/>
      <c r="M1757" s="21"/>
      <c r="N1757" s="22"/>
      <c r="O1757" s="29" t="str">
        <f aca="false">IF(A1757="","",IF(COUNTIF($A$2:$A$2001,A1757)&gt;1,"GANDA","OK"))</f>
        <v/>
      </c>
      <c r="P1757" s="29" t="str">
        <f aca="false">IF(A1757="","",IF(C1757="","KOSONG",IF(AND(LEN(C1757)=16,ISNUMBER(--C1757)),"OK","TIDAK VALID")))</f>
        <v/>
      </c>
    </row>
    <row r="1758" customFormat="false" ht="15" hidden="false" customHeight="false" outlineLevel="0" collapsed="false">
      <c r="A1758" s="21"/>
      <c r="B1758" s="22"/>
      <c r="C1758" s="21"/>
      <c r="D1758" s="22"/>
      <c r="E1758" s="22"/>
      <c r="F1758" s="28"/>
      <c r="G1758" s="22"/>
      <c r="H1758" s="21"/>
      <c r="I1758" s="28"/>
      <c r="J1758" s="22"/>
      <c r="K1758" s="22"/>
      <c r="L1758" s="22"/>
      <c r="M1758" s="21"/>
      <c r="N1758" s="22"/>
      <c r="O1758" s="29" t="str">
        <f aca="false">IF(A1758="","",IF(COUNTIF($A$2:$A$2001,A1758)&gt;1,"GANDA","OK"))</f>
        <v/>
      </c>
      <c r="P1758" s="29" t="str">
        <f aca="false">IF(A1758="","",IF(C1758="","KOSONG",IF(AND(LEN(C1758)=16,ISNUMBER(--C1758)),"OK","TIDAK VALID")))</f>
        <v/>
      </c>
    </row>
    <row r="1759" customFormat="false" ht="15" hidden="false" customHeight="false" outlineLevel="0" collapsed="false">
      <c r="A1759" s="21"/>
      <c r="B1759" s="22"/>
      <c r="C1759" s="21"/>
      <c r="D1759" s="22"/>
      <c r="E1759" s="22"/>
      <c r="F1759" s="28"/>
      <c r="G1759" s="22"/>
      <c r="H1759" s="21"/>
      <c r="I1759" s="28"/>
      <c r="J1759" s="22"/>
      <c r="K1759" s="22"/>
      <c r="L1759" s="22"/>
      <c r="M1759" s="21"/>
      <c r="N1759" s="22"/>
      <c r="O1759" s="29" t="str">
        <f aca="false">IF(A1759="","",IF(COUNTIF($A$2:$A$2001,A1759)&gt;1,"GANDA","OK"))</f>
        <v/>
      </c>
      <c r="P1759" s="29" t="str">
        <f aca="false">IF(A1759="","",IF(C1759="","KOSONG",IF(AND(LEN(C1759)=16,ISNUMBER(--C1759)),"OK","TIDAK VALID")))</f>
        <v/>
      </c>
    </row>
    <row r="1760" customFormat="false" ht="15" hidden="false" customHeight="false" outlineLevel="0" collapsed="false">
      <c r="A1760" s="21"/>
      <c r="B1760" s="22"/>
      <c r="C1760" s="21"/>
      <c r="D1760" s="22"/>
      <c r="E1760" s="22"/>
      <c r="F1760" s="28"/>
      <c r="G1760" s="22"/>
      <c r="H1760" s="21"/>
      <c r="I1760" s="28"/>
      <c r="J1760" s="22"/>
      <c r="K1760" s="22"/>
      <c r="L1760" s="22"/>
      <c r="M1760" s="21"/>
      <c r="N1760" s="22"/>
      <c r="O1760" s="29" t="str">
        <f aca="false">IF(A1760="","",IF(COUNTIF($A$2:$A$2001,A1760)&gt;1,"GANDA","OK"))</f>
        <v/>
      </c>
      <c r="P1760" s="29" t="str">
        <f aca="false">IF(A1760="","",IF(C1760="","KOSONG",IF(AND(LEN(C1760)=16,ISNUMBER(--C1760)),"OK","TIDAK VALID")))</f>
        <v/>
      </c>
    </row>
    <row r="1761" customFormat="false" ht="15" hidden="false" customHeight="false" outlineLevel="0" collapsed="false">
      <c r="A1761" s="21"/>
      <c r="B1761" s="22"/>
      <c r="C1761" s="21"/>
      <c r="D1761" s="22"/>
      <c r="E1761" s="22"/>
      <c r="F1761" s="28"/>
      <c r="G1761" s="22"/>
      <c r="H1761" s="21"/>
      <c r="I1761" s="28"/>
      <c r="J1761" s="22"/>
      <c r="K1761" s="22"/>
      <c r="L1761" s="22"/>
      <c r="M1761" s="21"/>
      <c r="N1761" s="22"/>
      <c r="O1761" s="29" t="str">
        <f aca="false">IF(A1761="","",IF(COUNTIF($A$2:$A$2001,A1761)&gt;1,"GANDA","OK"))</f>
        <v/>
      </c>
      <c r="P1761" s="29" t="str">
        <f aca="false">IF(A1761="","",IF(C1761="","KOSONG",IF(AND(LEN(C1761)=16,ISNUMBER(--C1761)),"OK","TIDAK VALID")))</f>
        <v/>
      </c>
    </row>
    <row r="1762" customFormat="false" ht="15" hidden="false" customHeight="false" outlineLevel="0" collapsed="false">
      <c r="A1762" s="21"/>
      <c r="B1762" s="22"/>
      <c r="C1762" s="21"/>
      <c r="D1762" s="22"/>
      <c r="E1762" s="22"/>
      <c r="F1762" s="28"/>
      <c r="G1762" s="22"/>
      <c r="H1762" s="21"/>
      <c r="I1762" s="28"/>
      <c r="J1762" s="22"/>
      <c r="K1762" s="22"/>
      <c r="L1762" s="22"/>
      <c r="M1762" s="21"/>
      <c r="N1762" s="22"/>
      <c r="O1762" s="29" t="str">
        <f aca="false">IF(A1762="","",IF(COUNTIF($A$2:$A$2001,A1762)&gt;1,"GANDA","OK"))</f>
        <v/>
      </c>
      <c r="P1762" s="29" t="str">
        <f aca="false">IF(A1762="","",IF(C1762="","KOSONG",IF(AND(LEN(C1762)=16,ISNUMBER(--C1762)),"OK","TIDAK VALID")))</f>
        <v/>
      </c>
    </row>
    <row r="1763" customFormat="false" ht="15" hidden="false" customHeight="false" outlineLevel="0" collapsed="false">
      <c r="A1763" s="21"/>
      <c r="B1763" s="22"/>
      <c r="C1763" s="21"/>
      <c r="D1763" s="22"/>
      <c r="E1763" s="22"/>
      <c r="F1763" s="28"/>
      <c r="G1763" s="22"/>
      <c r="H1763" s="21"/>
      <c r="I1763" s="28"/>
      <c r="J1763" s="22"/>
      <c r="K1763" s="22"/>
      <c r="L1763" s="22"/>
      <c r="M1763" s="21"/>
      <c r="N1763" s="22"/>
      <c r="O1763" s="29" t="str">
        <f aca="false">IF(A1763="","",IF(COUNTIF($A$2:$A$2001,A1763)&gt;1,"GANDA","OK"))</f>
        <v/>
      </c>
      <c r="P1763" s="29" t="str">
        <f aca="false">IF(A1763="","",IF(C1763="","KOSONG",IF(AND(LEN(C1763)=16,ISNUMBER(--C1763)),"OK","TIDAK VALID")))</f>
        <v/>
      </c>
    </row>
    <row r="1764" customFormat="false" ht="15" hidden="false" customHeight="false" outlineLevel="0" collapsed="false">
      <c r="A1764" s="21"/>
      <c r="B1764" s="22"/>
      <c r="C1764" s="21"/>
      <c r="D1764" s="22"/>
      <c r="E1764" s="22"/>
      <c r="F1764" s="28"/>
      <c r="G1764" s="22"/>
      <c r="H1764" s="21"/>
      <c r="I1764" s="28"/>
      <c r="J1764" s="22"/>
      <c r="K1764" s="22"/>
      <c r="L1764" s="22"/>
      <c r="M1764" s="21"/>
      <c r="N1764" s="22"/>
      <c r="O1764" s="29" t="str">
        <f aca="false">IF(A1764="","",IF(COUNTIF($A$2:$A$2001,A1764)&gt;1,"GANDA","OK"))</f>
        <v/>
      </c>
      <c r="P1764" s="29" t="str">
        <f aca="false">IF(A1764="","",IF(C1764="","KOSONG",IF(AND(LEN(C1764)=16,ISNUMBER(--C1764)),"OK","TIDAK VALID")))</f>
        <v/>
      </c>
    </row>
    <row r="1765" customFormat="false" ht="15" hidden="false" customHeight="false" outlineLevel="0" collapsed="false">
      <c r="A1765" s="21"/>
      <c r="B1765" s="22"/>
      <c r="C1765" s="21"/>
      <c r="D1765" s="22"/>
      <c r="E1765" s="22"/>
      <c r="F1765" s="28"/>
      <c r="G1765" s="22"/>
      <c r="H1765" s="21"/>
      <c r="I1765" s="28"/>
      <c r="J1765" s="22"/>
      <c r="K1765" s="22"/>
      <c r="L1765" s="22"/>
      <c r="M1765" s="21"/>
      <c r="N1765" s="22"/>
      <c r="O1765" s="29" t="str">
        <f aca="false">IF(A1765="","",IF(COUNTIF($A$2:$A$2001,A1765)&gt;1,"GANDA","OK"))</f>
        <v/>
      </c>
      <c r="P1765" s="29" t="str">
        <f aca="false">IF(A1765="","",IF(C1765="","KOSONG",IF(AND(LEN(C1765)=16,ISNUMBER(--C1765)),"OK","TIDAK VALID")))</f>
        <v/>
      </c>
    </row>
    <row r="1766" customFormat="false" ht="15" hidden="false" customHeight="false" outlineLevel="0" collapsed="false">
      <c r="A1766" s="21"/>
      <c r="B1766" s="22"/>
      <c r="C1766" s="21"/>
      <c r="D1766" s="22"/>
      <c r="E1766" s="22"/>
      <c r="F1766" s="28"/>
      <c r="G1766" s="22"/>
      <c r="H1766" s="21"/>
      <c r="I1766" s="28"/>
      <c r="J1766" s="22"/>
      <c r="K1766" s="22"/>
      <c r="L1766" s="22"/>
      <c r="M1766" s="21"/>
      <c r="N1766" s="22"/>
      <c r="O1766" s="29" t="str">
        <f aca="false">IF(A1766="","",IF(COUNTIF($A$2:$A$2001,A1766)&gt;1,"GANDA","OK"))</f>
        <v/>
      </c>
      <c r="P1766" s="29" t="str">
        <f aca="false">IF(A1766="","",IF(C1766="","KOSONG",IF(AND(LEN(C1766)=16,ISNUMBER(--C1766)),"OK","TIDAK VALID")))</f>
        <v/>
      </c>
    </row>
    <row r="1767" customFormat="false" ht="15" hidden="false" customHeight="false" outlineLevel="0" collapsed="false">
      <c r="A1767" s="21"/>
      <c r="B1767" s="22"/>
      <c r="C1767" s="21"/>
      <c r="D1767" s="22"/>
      <c r="E1767" s="22"/>
      <c r="F1767" s="28"/>
      <c r="G1767" s="22"/>
      <c r="H1767" s="21"/>
      <c r="I1767" s="28"/>
      <c r="J1767" s="22"/>
      <c r="K1767" s="22"/>
      <c r="L1767" s="22"/>
      <c r="M1767" s="21"/>
      <c r="N1767" s="22"/>
      <c r="O1767" s="29" t="str">
        <f aca="false">IF(A1767="","",IF(COUNTIF($A$2:$A$2001,A1767)&gt;1,"GANDA","OK"))</f>
        <v/>
      </c>
      <c r="P1767" s="29" t="str">
        <f aca="false">IF(A1767="","",IF(C1767="","KOSONG",IF(AND(LEN(C1767)=16,ISNUMBER(--C1767)),"OK","TIDAK VALID")))</f>
        <v/>
      </c>
    </row>
    <row r="1768" customFormat="false" ht="15" hidden="false" customHeight="false" outlineLevel="0" collapsed="false">
      <c r="A1768" s="21"/>
      <c r="B1768" s="22"/>
      <c r="C1768" s="21"/>
      <c r="D1768" s="22"/>
      <c r="E1768" s="22"/>
      <c r="F1768" s="28"/>
      <c r="G1768" s="22"/>
      <c r="H1768" s="21"/>
      <c r="I1768" s="28"/>
      <c r="J1768" s="22"/>
      <c r="K1768" s="22"/>
      <c r="L1768" s="22"/>
      <c r="M1768" s="21"/>
      <c r="N1768" s="22"/>
      <c r="O1768" s="29" t="str">
        <f aca="false">IF(A1768="","",IF(COUNTIF($A$2:$A$2001,A1768)&gt;1,"GANDA","OK"))</f>
        <v/>
      </c>
      <c r="P1768" s="29" t="str">
        <f aca="false">IF(A1768="","",IF(C1768="","KOSONG",IF(AND(LEN(C1768)=16,ISNUMBER(--C1768)),"OK","TIDAK VALID")))</f>
        <v/>
      </c>
    </row>
    <row r="1769" customFormat="false" ht="15" hidden="false" customHeight="false" outlineLevel="0" collapsed="false">
      <c r="A1769" s="21"/>
      <c r="B1769" s="22"/>
      <c r="C1769" s="21"/>
      <c r="D1769" s="22"/>
      <c r="E1769" s="22"/>
      <c r="F1769" s="28"/>
      <c r="G1769" s="22"/>
      <c r="H1769" s="21"/>
      <c r="I1769" s="28"/>
      <c r="J1769" s="22"/>
      <c r="K1769" s="22"/>
      <c r="L1769" s="22"/>
      <c r="M1769" s="21"/>
      <c r="N1769" s="22"/>
      <c r="O1769" s="29" t="str">
        <f aca="false">IF(A1769="","",IF(COUNTIF($A$2:$A$2001,A1769)&gt;1,"GANDA","OK"))</f>
        <v/>
      </c>
      <c r="P1769" s="29" t="str">
        <f aca="false">IF(A1769="","",IF(C1769="","KOSONG",IF(AND(LEN(C1769)=16,ISNUMBER(--C1769)),"OK","TIDAK VALID")))</f>
        <v/>
      </c>
    </row>
    <row r="1770" customFormat="false" ht="15" hidden="false" customHeight="false" outlineLevel="0" collapsed="false">
      <c r="A1770" s="21"/>
      <c r="B1770" s="22"/>
      <c r="C1770" s="21"/>
      <c r="D1770" s="22"/>
      <c r="E1770" s="22"/>
      <c r="F1770" s="28"/>
      <c r="G1770" s="22"/>
      <c r="H1770" s="21"/>
      <c r="I1770" s="28"/>
      <c r="J1770" s="22"/>
      <c r="K1770" s="22"/>
      <c r="L1770" s="22"/>
      <c r="M1770" s="21"/>
      <c r="N1770" s="22"/>
      <c r="O1770" s="29" t="str">
        <f aca="false">IF(A1770="","",IF(COUNTIF($A$2:$A$2001,A1770)&gt;1,"GANDA","OK"))</f>
        <v/>
      </c>
      <c r="P1770" s="29" t="str">
        <f aca="false">IF(A1770="","",IF(C1770="","KOSONG",IF(AND(LEN(C1770)=16,ISNUMBER(--C1770)),"OK","TIDAK VALID")))</f>
        <v/>
      </c>
    </row>
    <row r="1771" customFormat="false" ht="15" hidden="false" customHeight="false" outlineLevel="0" collapsed="false">
      <c r="A1771" s="21"/>
      <c r="B1771" s="22"/>
      <c r="C1771" s="21"/>
      <c r="D1771" s="22"/>
      <c r="E1771" s="22"/>
      <c r="F1771" s="28"/>
      <c r="G1771" s="22"/>
      <c r="H1771" s="21"/>
      <c r="I1771" s="28"/>
      <c r="J1771" s="22"/>
      <c r="K1771" s="22"/>
      <c r="L1771" s="22"/>
      <c r="M1771" s="21"/>
      <c r="N1771" s="22"/>
      <c r="O1771" s="29" t="str">
        <f aca="false">IF(A1771="","",IF(COUNTIF($A$2:$A$2001,A1771)&gt;1,"GANDA","OK"))</f>
        <v/>
      </c>
      <c r="P1771" s="29" t="str">
        <f aca="false">IF(A1771="","",IF(C1771="","KOSONG",IF(AND(LEN(C1771)=16,ISNUMBER(--C1771)),"OK","TIDAK VALID")))</f>
        <v/>
      </c>
    </row>
    <row r="1772" customFormat="false" ht="15" hidden="false" customHeight="false" outlineLevel="0" collapsed="false">
      <c r="A1772" s="21"/>
      <c r="B1772" s="22"/>
      <c r="C1772" s="21"/>
      <c r="D1772" s="22"/>
      <c r="E1772" s="22"/>
      <c r="F1772" s="28"/>
      <c r="G1772" s="22"/>
      <c r="H1772" s="21"/>
      <c r="I1772" s="28"/>
      <c r="J1772" s="22"/>
      <c r="K1772" s="22"/>
      <c r="L1772" s="22"/>
      <c r="M1772" s="21"/>
      <c r="N1772" s="22"/>
      <c r="O1772" s="29" t="str">
        <f aca="false">IF(A1772="","",IF(COUNTIF($A$2:$A$2001,A1772)&gt;1,"GANDA","OK"))</f>
        <v/>
      </c>
      <c r="P1772" s="29" t="str">
        <f aca="false">IF(A1772="","",IF(C1772="","KOSONG",IF(AND(LEN(C1772)=16,ISNUMBER(--C1772)),"OK","TIDAK VALID")))</f>
        <v/>
      </c>
    </row>
    <row r="1773" customFormat="false" ht="15" hidden="false" customHeight="false" outlineLevel="0" collapsed="false">
      <c r="A1773" s="21"/>
      <c r="B1773" s="22"/>
      <c r="C1773" s="21"/>
      <c r="D1773" s="22"/>
      <c r="E1773" s="22"/>
      <c r="F1773" s="28"/>
      <c r="G1773" s="22"/>
      <c r="H1773" s="21"/>
      <c r="I1773" s="28"/>
      <c r="J1773" s="22"/>
      <c r="K1773" s="22"/>
      <c r="L1773" s="22"/>
      <c r="M1773" s="21"/>
      <c r="N1773" s="22"/>
      <c r="O1773" s="29" t="str">
        <f aca="false">IF(A1773="","",IF(COUNTIF($A$2:$A$2001,A1773)&gt;1,"GANDA","OK"))</f>
        <v/>
      </c>
      <c r="P1773" s="29" t="str">
        <f aca="false">IF(A1773="","",IF(C1773="","KOSONG",IF(AND(LEN(C1773)=16,ISNUMBER(--C1773)),"OK","TIDAK VALID")))</f>
        <v/>
      </c>
    </row>
    <row r="1774" customFormat="false" ht="15" hidden="false" customHeight="false" outlineLevel="0" collapsed="false">
      <c r="A1774" s="21"/>
      <c r="B1774" s="22"/>
      <c r="C1774" s="21"/>
      <c r="D1774" s="22"/>
      <c r="E1774" s="22"/>
      <c r="F1774" s="28"/>
      <c r="G1774" s="22"/>
      <c r="H1774" s="21"/>
      <c r="I1774" s="28"/>
      <c r="J1774" s="22"/>
      <c r="K1774" s="22"/>
      <c r="L1774" s="22"/>
      <c r="M1774" s="21"/>
      <c r="N1774" s="22"/>
      <c r="O1774" s="29" t="str">
        <f aca="false">IF(A1774="","",IF(COUNTIF($A$2:$A$2001,A1774)&gt;1,"GANDA","OK"))</f>
        <v/>
      </c>
      <c r="P1774" s="29" t="str">
        <f aca="false">IF(A1774="","",IF(C1774="","KOSONG",IF(AND(LEN(C1774)=16,ISNUMBER(--C1774)),"OK","TIDAK VALID")))</f>
        <v/>
      </c>
    </row>
    <row r="1775" customFormat="false" ht="15" hidden="false" customHeight="false" outlineLevel="0" collapsed="false">
      <c r="A1775" s="21"/>
      <c r="B1775" s="22"/>
      <c r="C1775" s="21"/>
      <c r="D1775" s="22"/>
      <c r="E1775" s="22"/>
      <c r="F1775" s="28"/>
      <c r="G1775" s="22"/>
      <c r="H1775" s="21"/>
      <c r="I1775" s="28"/>
      <c r="J1775" s="22"/>
      <c r="K1775" s="22"/>
      <c r="L1775" s="22"/>
      <c r="M1775" s="21"/>
      <c r="N1775" s="22"/>
      <c r="O1775" s="29" t="str">
        <f aca="false">IF(A1775="","",IF(COUNTIF($A$2:$A$2001,A1775)&gt;1,"GANDA","OK"))</f>
        <v/>
      </c>
      <c r="P1775" s="29" t="str">
        <f aca="false">IF(A1775="","",IF(C1775="","KOSONG",IF(AND(LEN(C1775)=16,ISNUMBER(--C1775)),"OK","TIDAK VALID")))</f>
        <v/>
      </c>
    </row>
    <row r="1776" customFormat="false" ht="15" hidden="false" customHeight="false" outlineLevel="0" collapsed="false">
      <c r="A1776" s="21"/>
      <c r="B1776" s="22"/>
      <c r="C1776" s="21"/>
      <c r="D1776" s="22"/>
      <c r="E1776" s="22"/>
      <c r="F1776" s="28"/>
      <c r="G1776" s="22"/>
      <c r="H1776" s="21"/>
      <c r="I1776" s="28"/>
      <c r="J1776" s="22"/>
      <c r="K1776" s="22"/>
      <c r="L1776" s="22"/>
      <c r="M1776" s="21"/>
      <c r="N1776" s="22"/>
      <c r="O1776" s="29" t="str">
        <f aca="false">IF(A1776="","",IF(COUNTIF($A$2:$A$2001,A1776)&gt;1,"GANDA","OK"))</f>
        <v/>
      </c>
      <c r="P1776" s="29" t="str">
        <f aca="false">IF(A1776="","",IF(C1776="","KOSONG",IF(AND(LEN(C1776)=16,ISNUMBER(--C1776)),"OK","TIDAK VALID")))</f>
        <v/>
      </c>
    </row>
    <row r="1777" customFormat="false" ht="15" hidden="false" customHeight="false" outlineLevel="0" collapsed="false">
      <c r="A1777" s="21"/>
      <c r="B1777" s="22"/>
      <c r="C1777" s="21"/>
      <c r="D1777" s="22"/>
      <c r="E1777" s="22"/>
      <c r="F1777" s="28"/>
      <c r="G1777" s="22"/>
      <c r="H1777" s="21"/>
      <c r="I1777" s="28"/>
      <c r="J1777" s="22"/>
      <c r="K1777" s="22"/>
      <c r="L1777" s="22"/>
      <c r="M1777" s="21"/>
      <c r="N1777" s="22"/>
      <c r="O1777" s="29" t="str">
        <f aca="false">IF(A1777="","",IF(COUNTIF($A$2:$A$2001,A1777)&gt;1,"GANDA","OK"))</f>
        <v/>
      </c>
      <c r="P1777" s="29" t="str">
        <f aca="false">IF(A1777="","",IF(C1777="","KOSONG",IF(AND(LEN(C1777)=16,ISNUMBER(--C1777)),"OK","TIDAK VALID")))</f>
        <v/>
      </c>
    </row>
    <row r="1778" customFormat="false" ht="15" hidden="false" customHeight="false" outlineLevel="0" collapsed="false">
      <c r="A1778" s="21"/>
      <c r="B1778" s="22"/>
      <c r="C1778" s="21"/>
      <c r="D1778" s="22"/>
      <c r="E1778" s="22"/>
      <c r="F1778" s="28"/>
      <c r="G1778" s="22"/>
      <c r="H1778" s="21"/>
      <c r="I1778" s="28"/>
      <c r="J1778" s="22"/>
      <c r="K1778" s="22"/>
      <c r="L1778" s="22"/>
      <c r="M1778" s="21"/>
      <c r="N1778" s="22"/>
      <c r="O1778" s="29" t="str">
        <f aca="false">IF(A1778="","",IF(COUNTIF($A$2:$A$2001,A1778)&gt;1,"GANDA","OK"))</f>
        <v/>
      </c>
      <c r="P1778" s="29" t="str">
        <f aca="false">IF(A1778="","",IF(C1778="","KOSONG",IF(AND(LEN(C1778)=16,ISNUMBER(--C1778)),"OK","TIDAK VALID")))</f>
        <v/>
      </c>
    </row>
    <row r="1779" customFormat="false" ht="15" hidden="false" customHeight="false" outlineLevel="0" collapsed="false">
      <c r="A1779" s="21"/>
      <c r="B1779" s="22"/>
      <c r="C1779" s="21"/>
      <c r="D1779" s="22"/>
      <c r="E1779" s="22"/>
      <c r="F1779" s="28"/>
      <c r="G1779" s="22"/>
      <c r="H1779" s="21"/>
      <c r="I1779" s="28"/>
      <c r="J1779" s="22"/>
      <c r="K1779" s="22"/>
      <c r="L1779" s="22"/>
      <c r="M1779" s="21"/>
      <c r="N1779" s="22"/>
      <c r="O1779" s="29" t="str">
        <f aca="false">IF(A1779="","",IF(COUNTIF($A$2:$A$2001,A1779)&gt;1,"GANDA","OK"))</f>
        <v/>
      </c>
      <c r="P1779" s="29" t="str">
        <f aca="false">IF(A1779="","",IF(C1779="","KOSONG",IF(AND(LEN(C1779)=16,ISNUMBER(--C1779)),"OK","TIDAK VALID")))</f>
        <v/>
      </c>
    </row>
    <row r="1780" customFormat="false" ht="15" hidden="false" customHeight="false" outlineLevel="0" collapsed="false">
      <c r="A1780" s="21"/>
      <c r="B1780" s="22"/>
      <c r="C1780" s="21"/>
      <c r="D1780" s="22"/>
      <c r="E1780" s="22"/>
      <c r="F1780" s="28"/>
      <c r="G1780" s="22"/>
      <c r="H1780" s="21"/>
      <c r="I1780" s="28"/>
      <c r="J1780" s="22"/>
      <c r="K1780" s="22"/>
      <c r="L1780" s="22"/>
      <c r="M1780" s="21"/>
      <c r="N1780" s="22"/>
      <c r="O1780" s="29" t="str">
        <f aca="false">IF(A1780="","",IF(COUNTIF($A$2:$A$2001,A1780)&gt;1,"GANDA","OK"))</f>
        <v/>
      </c>
      <c r="P1780" s="29" t="str">
        <f aca="false">IF(A1780="","",IF(C1780="","KOSONG",IF(AND(LEN(C1780)=16,ISNUMBER(--C1780)),"OK","TIDAK VALID")))</f>
        <v/>
      </c>
    </row>
    <row r="1781" customFormat="false" ht="15" hidden="false" customHeight="false" outlineLevel="0" collapsed="false">
      <c r="A1781" s="21"/>
      <c r="B1781" s="22"/>
      <c r="C1781" s="21"/>
      <c r="D1781" s="22"/>
      <c r="E1781" s="22"/>
      <c r="F1781" s="28"/>
      <c r="G1781" s="22"/>
      <c r="H1781" s="21"/>
      <c r="I1781" s="28"/>
      <c r="J1781" s="22"/>
      <c r="K1781" s="22"/>
      <c r="L1781" s="22"/>
      <c r="M1781" s="21"/>
      <c r="N1781" s="22"/>
      <c r="O1781" s="29" t="str">
        <f aca="false">IF(A1781="","",IF(COUNTIF($A$2:$A$2001,A1781)&gt;1,"GANDA","OK"))</f>
        <v/>
      </c>
      <c r="P1781" s="29" t="str">
        <f aca="false">IF(A1781="","",IF(C1781="","KOSONG",IF(AND(LEN(C1781)=16,ISNUMBER(--C1781)),"OK","TIDAK VALID")))</f>
        <v/>
      </c>
    </row>
    <row r="1782" customFormat="false" ht="15" hidden="false" customHeight="false" outlineLevel="0" collapsed="false">
      <c r="A1782" s="21"/>
      <c r="B1782" s="22"/>
      <c r="C1782" s="21"/>
      <c r="D1782" s="22"/>
      <c r="E1782" s="22"/>
      <c r="F1782" s="28"/>
      <c r="G1782" s="22"/>
      <c r="H1782" s="21"/>
      <c r="I1782" s="28"/>
      <c r="J1782" s="22"/>
      <c r="K1782" s="22"/>
      <c r="L1782" s="22"/>
      <c r="M1782" s="21"/>
      <c r="N1782" s="22"/>
      <c r="O1782" s="29" t="str">
        <f aca="false">IF(A1782="","",IF(COUNTIF($A$2:$A$2001,A1782)&gt;1,"GANDA","OK"))</f>
        <v/>
      </c>
      <c r="P1782" s="29" t="str">
        <f aca="false">IF(A1782="","",IF(C1782="","KOSONG",IF(AND(LEN(C1782)=16,ISNUMBER(--C1782)),"OK","TIDAK VALID")))</f>
        <v/>
      </c>
    </row>
    <row r="1783" customFormat="false" ht="15" hidden="false" customHeight="false" outlineLevel="0" collapsed="false">
      <c r="A1783" s="21"/>
      <c r="B1783" s="22"/>
      <c r="C1783" s="21"/>
      <c r="D1783" s="22"/>
      <c r="E1783" s="22"/>
      <c r="F1783" s="28"/>
      <c r="G1783" s="22"/>
      <c r="H1783" s="21"/>
      <c r="I1783" s="28"/>
      <c r="J1783" s="22"/>
      <c r="K1783" s="22"/>
      <c r="L1783" s="22"/>
      <c r="M1783" s="21"/>
      <c r="N1783" s="22"/>
      <c r="O1783" s="29" t="str">
        <f aca="false">IF(A1783="","",IF(COUNTIF($A$2:$A$2001,A1783)&gt;1,"GANDA","OK"))</f>
        <v/>
      </c>
      <c r="P1783" s="29" t="str">
        <f aca="false">IF(A1783="","",IF(C1783="","KOSONG",IF(AND(LEN(C1783)=16,ISNUMBER(--C1783)),"OK","TIDAK VALID")))</f>
        <v/>
      </c>
    </row>
    <row r="1784" customFormat="false" ht="15" hidden="false" customHeight="false" outlineLevel="0" collapsed="false">
      <c r="A1784" s="21"/>
      <c r="B1784" s="22"/>
      <c r="C1784" s="21"/>
      <c r="D1784" s="22"/>
      <c r="E1784" s="22"/>
      <c r="F1784" s="28"/>
      <c r="G1784" s="22"/>
      <c r="H1784" s="21"/>
      <c r="I1784" s="28"/>
      <c r="J1784" s="22"/>
      <c r="K1784" s="22"/>
      <c r="L1784" s="22"/>
      <c r="M1784" s="21"/>
      <c r="N1784" s="22"/>
      <c r="O1784" s="29" t="str">
        <f aca="false">IF(A1784="","",IF(COUNTIF($A$2:$A$2001,A1784)&gt;1,"GANDA","OK"))</f>
        <v/>
      </c>
      <c r="P1784" s="29" t="str">
        <f aca="false">IF(A1784="","",IF(C1784="","KOSONG",IF(AND(LEN(C1784)=16,ISNUMBER(--C1784)),"OK","TIDAK VALID")))</f>
        <v/>
      </c>
    </row>
    <row r="1785" customFormat="false" ht="15" hidden="false" customHeight="false" outlineLevel="0" collapsed="false">
      <c r="A1785" s="21"/>
      <c r="B1785" s="22"/>
      <c r="C1785" s="21"/>
      <c r="D1785" s="22"/>
      <c r="E1785" s="22"/>
      <c r="F1785" s="28"/>
      <c r="G1785" s="22"/>
      <c r="H1785" s="21"/>
      <c r="I1785" s="28"/>
      <c r="J1785" s="22"/>
      <c r="K1785" s="22"/>
      <c r="L1785" s="22"/>
      <c r="M1785" s="21"/>
      <c r="N1785" s="22"/>
      <c r="O1785" s="29" t="str">
        <f aca="false">IF(A1785="","",IF(COUNTIF($A$2:$A$2001,A1785)&gt;1,"GANDA","OK"))</f>
        <v/>
      </c>
      <c r="P1785" s="29" t="str">
        <f aca="false">IF(A1785="","",IF(C1785="","KOSONG",IF(AND(LEN(C1785)=16,ISNUMBER(--C1785)),"OK","TIDAK VALID")))</f>
        <v/>
      </c>
    </row>
    <row r="1786" customFormat="false" ht="15" hidden="false" customHeight="false" outlineLevel="0" collapsed="false">
      <c r="A1786" s="21"/>
      <c r="B1786" s="22"/>
      <c r="C1786" s="21"/>
      <c r="D1786" s="22"/>
      <c r="E1786" s="22"/>
      <c r="F1786" s="28"/>
      <c r="G1786" s="22"/>
      <c r="H1786" s="21"/>
      <c r="I1786" s="28"/>
      <c r="J1786" s="22"/>
      <c r="K1786" s="22"/>
      <c r="L1786" s="22"/>
      <c r="M1786" s="21"/>
      <c r="N1786" s="22"/>
      <c r="O1786" s="29" t="str">
        <f aca="false">IF(A1786="","",IF(COUNTIF($A$2:$A$2001,A1786)&gt;1,"GANDA","OK"))</f>
        <v/>
      </c>
      <c r="P1786" s="29" t="str">
        <f aca="false">IF(A1786="","",IF(C1786="","KOSONG",IF(AND(LEN(C1786)=16,ISNUMBER(--C1786)),"OK","TIDAK VALID")))</f>
        <v/>
      </c>
    </row>
    <row r="1787" customFormat="false" ht="15" hidden="false" customHeight="false" outlineLevel="0" collapsed="false">
      <c r="A1787" s="21"/>
      <c r="B1787" s="22"/>
      <c r="C1787" s="21"/>
      <c r="D1787" s="22"/>
      <c r="E1787" s="22"/>
      <c r="F1787" s="28"/>
      <c r="G1787" s="22"/>
      <c r="H1787" s="21"/>
      <c r="I1787" s="28"/>
      <c r="J1787" s="22"/>
      <c r="K1787" s="22"/>
      <c r="L1787" s="22"/>
      <c r="M1787" s="21"/>
      <c r="N1787" s="22"/>
      <c r="O1787" s="29" t="str">
        <f aca="false">IF(A1787="","",IF(COUNTIF($A$2:$A$2001,A1787)&gt;1,"GANDA","OK"))</f>
        <v/>
      </c>
      <c r="P1787" s="29" t="str">
        <f aca="false">IF(A1787="","",IF(C1787="","KOSONG",IF(AND(LEN(C1787)=16,ISNUMBER(--C1787)),"OK","TIDAK VALID")))</f>
        <v/>
      </c>
    </row>
    <row r="1788" customFormat="false" ht="15" hidden="false" customHeight="false" outlineLevel="0" collapsed="false">
      <c r="A1788" s="21"/>
      <c r="B1788" s="22"/>
      <c r="C1788" s="21"/>
      <c r="D1788" s="22"/>
      <c r="E1788" s="22"/>
      <c r="F1788" s="28"/>
      <c r="G1788" s="22"/>
      <c r="H1788" s="21"/>
      <c r="I1788" s="28"/>
      <c r="J1788" s="22"/>
      <c r="K1788" s="22"/>
      <c r="L1788" s="22"/>
      <c r="M1788" s="21"/>
      <c r="N1788" s="22"/>
      <c r="O1788" s="29" t="str">
        <f aca="false">IF(A1788="","",IF(COUNTIF($A$2:$A$2001,A1788)&gt;1,"GANDA","OK"))</f>
        <v/>
      </c>
      <c r="P1788" s="29" t="str">
        <f aca="false">IF(A1788="","",IF(C1788="","KOSONG",IF(AND(LEN(C1788)=16,ISNUMBER(--C1788)),"OK","TIDAK VALID")))</f>
        <v/>
      </c>
    </row>
    <row r="1789" customFormat="false" ht="15" hidden="false" customHeight="false" outlineLevel="0" collapsed="false">
      <c r="A1789" s="21"/>
      <c r="B1789" s="22"/>
      <c r="C1789" s="21"/>
      <c r="D1789" s="22"/>
      <c r="E1789" s="22"/>
      <c r="F1789" s="28"/>
      <c r="G1789" s="22"/>
      <c r="H1789" s="21"/>
      <c r="I1789" s="28"/>
      <c r="J1789" s="22"/>
      <c r="K1789" s="22"/>
      <c r="L1789" s="22"/>
      <c r="M1789" s="21"/>
      <c r="N1789" s="22"/>
      <c r="O1789" s="29" t="str">
        <f aca="false">IF(A1789="","",IF(COUNTIF($A$2:$A$2001,A1789)&gt;1,"GANDA","OK"))</f>
        <v/>
      </c>
      <c r="P1789" s="29" t="str">
        <f aca="false">IF(A1789="","",IF(C1789="","KOSONG",IF(AND(LEN(C1789)=16,ISNUMBER(--C1789)),"OK","TIDAK VALID")))</f>
        <v/>
      </c>
    </row>
    <row r="1790" customFormat="false" ht="15" hidden="false" customHeight="false" outlineLevel="0" collapsed="false">
      <c r="A1790" s="21"/>
      <c r="B1790" s="22"/>
      <c r="C1790" s="21"/>
      <c r="D1790" s="22"/>
      <c r="E1790" s="22"/>
      <c r="F1790" s="28"/>
      <c r="G1790" s="22"/>
      <c r="H1790" s="21"/>
      <c r="I1790" s="28"/>
      <c r="J1790" s="22"/>
      <c r="K1790" s="22"/>
      <c r="L1790" s="22"/>
      <c r="M1790" s="21"/>
      <c r="N1790" s="22"/>
      <c r="O1790" s="29" t="str">
        <f aca="false">IF(A1790="","",IF(COUNTIF($A$2:$A$2001,A1790)&gt;1,"GANDA","OK"))</f>
        <v/>
      </c>
      <c r="P1790" s="29" t="str">
        <f aca="false">IF(A1790="","",IF(C1790="","KOSONG",IF(AND(LEN(C1790)=16,ISNUMBER(--C1790)),"OK","TIDAK VALID")))</f>
        <v/>
      </c>
    </row>
    <row r="1791" customFormat="false" ht="15" hidden="false" customHeight="false" outlineLevel="0" collapsed="false">
      <c r="A1791" s="21"/>
      <c r="B1791" s="22"/>
      <c r="C1791" s="21"/>
      <c r="D1791" s="22"/>
      <c r="E1791" s="22"/>
      <c r="F1791" s="28"/>
      <c r="G1791" s="22"/>
      <c r="H1791" s="21"/>
      <c r="I1791" s="28"/>
      <c r="J1791" s="22"/>
      <c r="K1791" s="22"/>
      <c r="L1791" s="22"/>
      <c r="M1791" s="21"/>
      <c r="N1791" s="22"/>
      <c r="O1791" s="29" t="str">
        <f aca="false">IF(A1791="","",IF(COUNTIF($A$2:$A$2001,A1791)&gt;1,"GANDA","OK"))</f>
        <v/>
      </c>
      <c r="P1791" s="29" t="str">
        <f aca="false">IF(A1791="","",IF(C1791="","KOSONG",IF(AND(LEN(C1791)=16,ISNUMBER(--C1791)),"OK","TIDAK VALID")))</f>
        <v/>
      </c>
    </row>
    <row r="1792" customFormat="false" ht="15" hidden="false" customHeight="false" outlineLevel="0" collapsed="false">
      <c r="A1792" s="21"/>
      <c r="B1792" s="22"/>
      <c r="C1792" s="21"/>
      <c r="D1792" s="22"/>
      <c r="E1792" s="22"/>
      <c r="F1792" s="28"/>
      <c r="G1792" s="22"/>
      <c r="H1792" s="21"/>
      <c r="I1792" s="28"/>
      <c r="J1792" s="22"/>
      <c r="K1792" s="22"/>
      <c r="L1792" s="22"/>
      <c r="M1792" s="21"/>
      <c r="N1792" s="22"/>
      <c r="O1792" s="29" t="str">
        <f aca="false">IF(A1792="","",IF(COUNTIF($A$2:$A$2001,A1792)&gt;1,"GANDA","OK"))</f>
        <v/>
      </c>
      <c r="P1792" s="29" t="str">
        <f aca="false">IF(A1792="","",IF(C1792="","KOSONG",IF(AND(LEN(C1792)=16,ISNUMBER(--C1792)),"OK","TIDAK VALID")))</f>
        <v/>
      </c>
    </row>
    <row r="1793" customFormat="false" ht="15" hidden="false" customHeight="false" outlineLevel="0" collapsed="false">
      <c r="A1793" s="21"/>
      <c r="B1793" s="22"/>
      <c r="C1793" s="21"/>
      <c r="D1793" s="22"/>
      <c r="E1793" s="22"/>
      <c r="F1793" s="28"/>
      <c r="G1793" s="22"/>
      <c r="H1793" s="21"/>
      <c r="I1793" s="28"/>
      <c r="J1793" s="22"/>
      <c r="K1793" s="22"/>
      <c r="L1793" s="22"/>
      <c r="M1793" s="21"/>
      <c r="N1793" s="22"/>
      <c r="O1793" s="29" t="str">
        <f aca="false">IF(A1793="","",IF(COUNTIF($A$2:$A$2001,A1793)&gt;1,"GANDA","OK"))</f>
        <v/>
      </c>
      <c r="P1793" s="29" t="str">
        <f aca="false">IF(A1793="","",IF(C1793="","KOSONG",IF(AND(LEN(C1793)=16,ISNUMBER(--C1793)),"OK","TIDAK VALID")))</f>
        <v/>
      </c>
    </row>
    <row r="1794" customFormat="false" ht="15" hidden="false" customHeight="false" outlineLevel="0" collapsed="false">
      <c r="A1794" s="21"/>
      <c r="B1794" s="22"/>
      <c r="C1794" s="21"/>
      <c r="D1794" s="22"/>
      <c r="E1794" s="22"/>
      <c r="F1794" s="28"/>
      <c r="G1794" s="22"/>
      <c r="H1794" s="21"/>
      <c r="I1794" s="28"/>
      <c r="J1794" s="22"/>
      <c r="K1794" s="22"/>
      <c r="L1794" s="22"/>
      <c r="M1794" s="21"/>
      <c r="N1794" s="22"/>
      <c r="O1794" s="29" t="str">
        <f aca="false">IF(A1794="","",IF(COUNTIF($A$2:$A$2001,A1794)&gt;1,"GANDA","OK"))</f>
        <v/>
      </c>
      <c r="P1794" s="29" t="str">
        <f aca="false">IF(A1794="","",IF(C1794="","KOSONG",IF(AND(LEN(C1794)=16,ISNUMBER(--C1794)),"OK","TIDAK VALID")))</f>
        <v/>
      </c>
    </row>
    <row r="1795" customFormat="false" ht="15" hidden="false" customHeight="false" outlineLevel="0" collapsed="false">
      <c r="A1795" s="21"/>
      <c r="B1795" s="22"/>
      <c r="C1795" s="21"/>
      <c r="D1795" s="22"/>
      <c r="E1795" s="22"/>
      <c r="F1795" s="28"/>
      <c r="G1795" s="22"/>
      <c r="H1795" s="21"/>
      <c r="I1795" s="28"/>
      <c r="J1795" s="22"/>
      <c r="K1795" s="22"/>
      <c r="L1795" s="22"/>
      <c r="M1795" s="21"/>
      <c r="N1795" s="22"/>
      <c r="O1795" s="29" t="str">
        <f aca="false">IF(A1795="","",IF(COUNTIF($A$2:$A$2001,A1795)&gt;1,"GANDA","OK"))</f>
        <v/>
      </c>
      <c r="P1795" s="29" t="str">
        <f aca="false">IF(A1795="","",IF(C1795="","KOSONG",IF(AND(LEN(C1795)=16,ISNUMBER(--C1795)),"OK","TIDAK VALID")))</f>
        <v/>
      </c>
    </row>
    <row r="1796" customFormat="false" ht="15" hidden="false" customHeight="false" outlineLevel="0" collapsed="false">
      <c r="A1796" s="21"/>
      <c r="B1796" s="22"/>
      <c r="C1796" s="21"/>
      <c r="D1796" s="22"/>
      <c r="E1796" s="22"/>
      <c r="F1796" s="28"/>
      <c r="G1796" s="22"/>
      <c r="H1796" s="21"/>
      <c r="I1796" s="28"/>
      <c r="J1796" s="22"/>
      <c r="K1796" s="22"/>
      <c r="L1796" s="22"/>
      <c r="M1796" s="21"/>
      <c r="N1796" s="22"/>
      <c r="O1796" s="29" t="str">
        <f aca="false">IF(A1796="","",IF(COUNTIF($A$2:$A$2001,A1796)&gt;1,"GANDA","OK"))</f>
        <v/>
      </c>
      <c r="P1796" s="29" t="str">
        <f aca="false">IF(A1796="","",IF(C1796="","KOSONG",IF(AND(LEN(C1796)=16,ISNUMBER(--C1796)),"OK","TIDAK VALID")))</f>
        <v/>
      </c>
    </row>
    <row r="1797" customFormat="false" ht="15" hidden="false" customHeight="false" outlineLevel="0" collapsed="false">
      <c r="A1797" s="21"/>
      <c r="B1797" s="22"/>
      <c r="C1797" s="21"/>
      <c r="D1797" s="22"/>
      <c r="E1797" s="22"/>
      <c r="F1797" s="28"/>
      <c r="G1797" s="22"/>
      <c r="H1797" s="21"/>
      <c r="I1797" s="28"/>
      <c r="J1797" s="22"/>
      <c r="K1797" s="22"/>
      <c r="L1797" s="22"/>
      <c r="M1797" s="21"/>
      <c r="N1797" s="22"/>
      <c r="O1797" s="29" t="str">
        <f aca="false">IF(A1797="","",IF(COUNTIF($A$2:$A$2001,A1797)&gt;1,"GANDA","OK"))</f>
        <v/>
      </c>
      <c r="P1797" s="29" t="str">
        <f aca="false">IF(A1797="","",IF(C1797="","KOSONG",IF(AND(LEN(C1797)=16,ISNUMBER(--C1797)),"OK","TIDAK VALID")))</f>
        <v/>
      </c>
    </row>
    <row r="1798" customFormat="false" ht="15" hidden="false" customHeight="false" outlineLevel="0" collapsed="false">
      <c r="A1798" s="21"/>
      <c r="B1798" s="22"/>
      <c r="C1798" s="21"/>
      <c r="D1798" s="22"/>
      <c r="E1798" s="22"/>
      <c r="F1798" s="28"/>
      <c r="G1798" s="22"/>
      <c r="H1798" s="21"/>
      <c r="I1798" s="28"/>
      <c r="J1798" s="22"/>
      <c r="K1798" s="22"/>
      <c r="L1798" s="22"/>
      <c r="M1798" s="21"/>
      <c r="N1798" s="22"/>
      <c r="O1798" s="29" t="str">
        <f aca="false">IF(A1798="","",IF(COUNTIF($A$2:$A$2001,A1798)&gt;1,"GANDA","OK"))</f>
        <v/>
      </c>
      <c r="P1798" s="29" t="str">
        <f aca="false">IF(A1798="","",IF(C1798="","KOSONG",IF(AND(LEN(C1798)=16,ISNUMBER(--C1798)),"OK","TIDAK VALID")))</f>
        <v/>
      </c>
    </row>
    <row r="1799" customFormat="false" ht="15" hidden="false" customHeight="false" outlineLevel="0" collapsed="false">
      <c r="A1799" s="21"/>
      <c r="B1799" s="22"/>
      <c r="C1799" s="21"/>
      <c r="D1799" s="22"/>
      <c r="E1799" s="22"/>
      <c r="F1799" s="28"/>
      <c r="G1799" s="22"/>
      <c r="H1799" s="21"/>
      <c r="I1799" s="28"/>
      <c r="J1799" s="22"/>
      <c r="K1799" s="22"/>
      <c r="L1799" s="22"/>
      <c r="M1799" s="21"/>
      <c r="N1799" s="22"/>
      <c r="O1799" s="29" t="str">
        <f aca="false">IF(A1799="","",IF(COUNTIF($A$2:$A$2001,A1799)&gt;1,"GANDA","OK"))</f>
        <v/>
      </c>
      <c r="P1799" s="29" t="str">
        <f aca="false">IF(A1799="","",IF(C1799="","KOSONG",IF(AND(LEN(C1799)=16,ISNUMBER(--C1799)),"OK","TIDAK VALID")))</f>
        <v/>
      </c>
    </row>
    <row r="1800" customFormat="false" ht="15" hidden="false" customHeight="false" outlineLevel="0" collapsed="false">
      <c r="A1800" s="21"/>
      <c r="B1800" s="22"/>
      <c r="C1800" s="21"/>
      <c r="D1800" s="22"/>
      <c r="E1800" s="22"/>
      <c r="F1800" s="28"/>
      <c r="G1800" s="22"/>
      <c r="H1800" s="21"/>
      <c r="I1800" s="28"/>
      <c r="J1800" s="22"/>
      <c r="K1800" s="22"/>
      <c r="L1800" s="22"/>
      <c r="M1800" s="21"/>
      <c r="N1800" s="22"/>
      <c r="O1800" s="29" t="str">
        <f aca="false">IF(A1800="","",IF(COUNTIF($A$2:$A$2001,A1800)&gt;1,"GANDA","OK"))</f>
        <v/>
      </c>
      <c r="P1800" s="29" t="str">
        <f aca="false">IF(A1800="","",IF(C1800="","KOSONG",IF(AND(LEN(C1800)=16,ISNUMBER(--C1800)),"OK","TIDAK VALID")))</f>
        <v/>
      </c>
    </row>
    <row r="1801" customFormat="false" ht="15" hidden="false" customHeight="false" outlineLevel="0" collapsed="false">
      <c r="A1801" s="21"/>
      <c r="B1801" s="22"/>
      <c r="C1801" s="21"/>
      <c r="D1801" s="22"/>
      <c r="E1801" s="22"/>
      <c r="F1801" s="28"/>
      <c r="G1801" s="22"/>
      <c r="H1801" s="21"/>
      <c r="I1801" s="28"/>
      <c r="J1801" s="22"/>
      <c r="K1801" s="22"/>
      <c r="L1801" s="22"/>
      <c r="M1801" s="21"/>
      <c r="N1801" s="22"/>
      <c r="O1801" s="29" t="str">
        <f aca="false">IF(A1801="","",IF(COUNTIF($A$2:$A$2001,A1801)&gt;1,"GANDA","OK"))</f>
        <v/>
      </c>
      <c r="P1801" s="29" t="str">
        <f aca="false">IF(A1801="","",IF(C1801="","KOSONG",IF(AND(LEN(C1801)=16,ISNUMBER(--C1801)),"OK","TIDAK VALID")))</f>
        <v/>
      </c>
    </row>
    <row r="1802" customFormat="false" ht="15" hidden="false" customHeight="false" outlineLevel="0" collapsed="false">
      <c r="A1802" s="21"/>
      <c r="B1802" s="22"/>
      <c r="C1802" s="21"/>
      <c r="D1802" s="22"/>
      <c r="E1802" s="22"/>
      <c r="F1802" s="28"/>
      <c r="G1802" s="22"/>
      <c r="H1802" s="21"/>
      <c r="I1802" s="28"/>
      <c r="J1802" s="22"/>
      <c r="K1802" s="22"/>
      <c r="L1802" s="22"/>
      <c r="M1802" s="21"/>
      <c r="N1802" s="22"/>
      <c r="O1802" s="29" t="str">
        <f aca="false">IF(A1802="","",IF(COUNTIF($A$2:$A$2001,A1802)&gt;1,"GANDA","OK"))</f>
        <v/>
      </c>
      <c r="P1802" s="29" t="str">
        <f aca="false">IF(A1802="","",IF(C1802="","KOSONG",IF(AND(LEN(C1802)=16,ISNUMBER(--C1802)),"OK","TIDAK VALID")))</f>
        <v/>
      </c>
    </row>
    <row r="1803" customFormat="false" ht="15" hidden="false" customHeight="false" outlineLevel="0" collapsed="false">
      <c r="A1803" s="21"/>
      <c r="B1803" s="22"/>
      <c r="C1803" s="21"/>
      <c r="D1803" s="22"/>
      <c r="E1803" s="22"/>
      <c r="F1803" s="28"/>
      <c r="G1803" s="22"/>
      <c r="H1803" s="21"/>
      <c r="I1803" s="28"/>
      <c r="J1803" s="22"/>
      <c r="K1803" s="22"/>
      <c r="L1803" s="22"/>
      <c r="M1803" s="21"/>
      <c r="N1803" s="22"/>
      <c r="O1803" s="29" t="str">
        <f aca="false">IF(A1803="","",IF(COUNTIF($A$2:$A$2001,A1803)&gt;1,"GANDA","OK"))</f>
        <v/>
      </c>
      <c r="P1803" s="29" t="str">
        <f aca="false">IF(A1803="","",IF(C1803="","KOSONG",IF(AND(LEN(C1803)=16,ISNUMBER(--C1803)),"OK","TIDAK VALID")))</f>
        <v/>
      </c>
    </row>
    <row r="1804" customFormat="false" ht="15" hidden="false" customHeight="false" outlineLevel="0" collapsed="false">
      <c r="A1804" s="21"/>
      <c r="B1804" s="22"/>
      <c r="C1804" s="21"/>
      <c r="D1804" s="22"/>
      <c r="E1804" s="22"/>
      <c r="F1804" s="28"/>
      <c r="G1804" s="22"/>
      <c r="H1804" s="21"/>
      <c r="I1804" s="28"/>
      <c r="J1804" s="22"/>
      <c r="K1804" s="22"/>
      <c r="L1804" s="22"/>
      <c r="M1804" s="21"/>
      <c r="N1804" s="22"/>
      <c r="O1804" s="29" t="str">
        <f aca="false">IF(A1804="","",IF(COUNTIF($A$2:$A$2001,A1804)&gt;1,"GANDA","OK"))</f>
        <v/>
      </c>
      <c r="P1804" s="29" t="str">
        <f aca="false">IF(A1804="","",IF(C1804="","KOSONG",IF(AND(LEN(C1804)=16,ISNUMBER(--C1804)),"OK","TIDAK VALID")))</f>
        <v/>
      </c>
    </row>
    <row r="1805" customFormat="false" ht="15" hidden="false" customHeight="false" outlineLevel="0" collapsed="false">
      <c r="A1805" s="21"/>
      <c r="B1805" s="22"/>
      <c r="C1805" s="21"/>
      <c r="D1805" s="22"/>
      <c r="E1805" s="22"/>
      <c r="F1805" s="28"/>
      <c r="G1805" s="22"/>
      <c r="H1805" s="21"/>
      <c r="I1805" s="28"/>
      <c r="J1805" s="22"/>
      <c r="K1805" s="22"/>
      <c r="L1805" s="22"/>
      <c r="M1805" s="21"/>
      <c r="N1805" s="22"/>
      <c r="O1805" s="29" t="str">
        <f aca="false">IF(A1805="","",IF(COUNTIF($A$2:$A$2001,A1805)&gt;1,"GANDA","OK"))</f>
        <v/>
      </c>
      <c r="P1805" s="29" t="str">
        <f aca="false">IF(A1805="","",IF(C1805="","KOSONG",IF(AND(LEN(C1805)=16,ISNUMBER(--C1805)),"OK","TIDAK VALID")))</f>
        <v/>
      </c>
    </row>
    <row r="1806" customFormat="false" ht="15" hidden="false" customHeight="false" outlineLevel="0" collapsed="false">
      <c r="A1806" s="21"/>
      <c r="B1806" s="22"/>
      <c r="C1806" s="21"/>
      <c r="D1806" s="22"/>
      <c r="E1806" s="22"/>
      <c r="F1806" s="28"/>
      <c r="G1806" s="22"/>
      <c r="H1806" s="21"/>
      <c r="I1806" s="28"/>
      <c r="J1806" s="22"/>
      <c r="K1806" s="22"/>
      <c r="L1806" s="22"/>
      <c r="M1806" s="21"/>
      <c r="N1806" s="22"/>
      <c r="O1806" s="29" t="str">
        <f aca="false">IF(A1806="","",IF(COUNTIF($A$2:$A$2001,A1806)&gt;1,"GANDA","OK"))</f>
        <v/>
      </c>
      <c r="P1806" s="29" t="str">
        <f aca="false">IF(A1806="","",IF(C1806="","KOSONG",IF(AND(LEN(C1806)=16,ISNUMBER(--C1806)),"OK","TIDAK VALID")))</f>
        <v/>
      </c>
    </row>
    <row r="1807" customFormat="false" ht="15" hidden="false" customHeight="false" outlineLevel="0" collapsed="false">
      <c r="A1807" s="21"/>
      <c r="B1807" s="22"/>
      <c r="C1807" s="21"/>
      <c r="D1807" s="22"/>
      <c r="E1807" s="22"/>
      <c r="F1807" s="28"/>
      <c r="G1807" s="22"/>
      <c r="H1807" s="21"/>
      <c r="I1807" s="28"/>
      <c r="J1807" s="22"/>
      <c r="K1807" s="22"/>
      <c r="L1807" s="22"/>
      <c r="M1807" s="21"/>
      <c r="N1807" s="22"/>
      <c r="O1807" s="29" t="str">
        <f aca="false">IF(A1807="","",IF(COUNTIF($A$2:$A$2001,A1807)&gt;1,"GANDA","OK"))</f>
        <v/>
      </c>
      <c r="P1807" s="29" t="str">
        <f aca="false">IF(A1807="","",IF(C1807="","KOSONG",IF(AND(LEN(C1807)=16,ISNUMBER(--C1807)),"OK","TIDAK VALID")))</f>
        <v/>
      </c>
    </row>
    <row r="1808" customFormat="false" ht="15" hidden="false" customHeight="false" outlineLevel="0" collapsed="false">
      <c r="A1808" s="21"/>
      <c r="B1808" s="22"/>
      <c r="C1808" s="21"/>
      <c r="D1808" s="22"/>
      <c r="E1808" s="22"/>
      <c r="F1808" s="28"/>
      <c r="G1808" s="22"/>
      <c r="H1808" s="21"/>
      <c r="I1808" s="28"/>
      <c r="J1808" s="22"/>
      <c r="K1808" s="22"/>
      <c r="L1808" s="22"/>
      <c r="M1808" s="21"/>
      <c r="N1808" s="22"/>
      <c r="O1808" s="29" t="str">
        <f aca="false">IF(A1808="","",IF(COUNTIF($A$2:$A$2001,A1808)&gt;1,"GANDA","OK"))</f>
        <v/>
      </c>
      <c r="P1808" s="29" t="str">
        <f aca="false">IF(A1808="","",IF(C1808="","KOSONG",IF(AND(LEN(C1808)=16,ISNUMBER(--C1808)),"OK","TIDAK VALID")))</f>
        <v/>
      </c>
    </row>
    <row r="1809" customFormat="false" ht="15" hidden="false" customHeight="false" outlineLevel="0" collapsed="false">
      <c r="A1809" s="21"/>
      <c r="B1809" s="22"/>
      <c r="C1809" s="21"/>
      <c r="D1809" s="22"/>
      <c r="E1809" s="22"/>
      <c r="F1809" s="28"/>
      <c r="G1809" s="22"/>
      <c r="H1809" s="21"/>
      <c r="I1809" s="28"/>
      <c r="J1809" s="22"/>
      <c r="K1809" s="22"/>
      <c r="L1809" s="22"/>
      <c r="M1809" s="21"/>
      <c r="N1809" s="22"/>
      <c r="O1809" s="29" t="str">
        <f aca="false">IF(A1809="","",IF(COUNTIF($A$2:$A$2001,A1809)&gt;1,"GANDA","OK"))</f>
        <v/>
      </c>
      <c r="P1809" s="29" t="str">
        <f aca="false">IF(A1809="","",IF(C1809="","KOSONG",IF(AND(LEN(C1809)=16,ISNUMBER(--C1809)),"OK","TIDAK VALID")))</f>
        <v/>
      </c>
    </row>
    <row r="1810" customFormat="false" ht="15" hidden="false" customHeight="false" outlineLevel="0" collapsed="false">
      <c r="A1810" s="21"/>
      <c r="B1810" s="22"/>
      <c r="C1810" s="21"/>
      <c r="D1810" s="22"/>
      <c r="E1810" s="22"/>
      <c r="F1810" s="28"/>
      <c r="G1810" s="22"/>
      <c r="H1810" s="21"/>
      <c r="I1810" s="28"/>
      <c r="J1810" s="22"/>
      <c r="K1810" s="22"/>
      <c r="L1810" s="22"/>
      <c r="M1810" s="21"/>
      <c r="N1810" s="22"/>
      <c r="O1810" s="29" t="str">
        <f aca="false">IF(A1810="","",IF(COUNTIF($A$2:$A$2001,A1810)&gt;1,"GANDA","OK"))</f>
        <v/>
      </c>
      <c r="P1810" s="29" t="str">
        <f aca="false">IF(A1810="","",IF(C1810="","KOSONG",IF(AND(LEN(C1810)=16,ISNUMBER(--C1810)),"OK","TIDAK VALID")))</f>
        <v/>
      </c>
    </row>
    <row r="1811" customFormat="false" ht="15" hidden="false" customHeight="false" outlineLevel="0" collapsed="false">
      <c r="A1811" s="21"/>
      <c r="B1811" s="22"/>
      <c r="C1811" s="21"/>
      <c r="D1811" s="22"/>
      <c r="E1811" s="22"/>
      <c r="F1811" s="28"/>
      <c r="G1811" s="22"/>
      <c r="H1811" s="21"/>
      <c r="I1811" s="28"/>
      <c r="J1811" s="22"/>
      <c r="K1811" s="22"/>
      <c r="L1811" s="22"/>
      <c r="M1811" s="21"/>
      <c r="N1811" s="22"/>
      <c r="O1811" s="29" t="str">
        <f aca="false">IF(A1811="","",IF(COUNTIF($A$2:$A$2001,A1811)&gt;1,"GANDA","OK"))</f>
        <v/>
      </c>
      <c r="P1811" s="29" t="str">
        <f aca="false">IF(A1811="","",IF(C1811="","KOSONG",IF(AND(LEN(C1811)=16,ISNUMBER(--C1811)),"OK","TIDAK VALID")))</f>
        <v/>
      </c>
    </row>
    <row r="1812" customFormat="false" ht="15" hidden="false" customHeight="false" outlineLevel="0" collapsed="false">
      <c r="A1812" s="21"/>
      <c r="B1812" s="22"/>
      <c r="C1812" s="21"/>
      <c r="D1812" s="22"/>
      <c r="E1812" s="22"/>
      <c r="F1812" s="28"/>
      <c r="G1812" s="22"/>
      <c r="H1812" s="21"/>
      <c r="I1812" s="28"/>
      <c r="J1812" s="22"/>
      <c r="K1812" s="22"/>
      <c r="L1812" s="22"/>
      <c r="M1812" s="21"/>
      <c r="N1812" s="22"/>
      <c r="O1812" s="29" t="str">
        <f aca="false">IF(A1812="","",IF(COUNTIF($A$2:$A$2001,A1812)&gt;1,"GANDA","OK"))</f>
        <v/>
      </c>
      <c r="P1812" s="29" t="str">
        <f aca="false">IF(A1812="","",IF(C1812="","KOSONG",IF(AND(LEN(C1812)=16,ISNUMBER(--C1812)),"OK","TIDAK VALID")))</f>
        <v/>
      </c>
    </row>
    <row r="1813" customFormat="false" ht="15" hidden="false" customHeight="false" outlineLevel="0" collapsed="false">
      <c r="A1813" s="21"/>
      <c r="B1813" s="22"/>
      <c r="C1813" s="21"/>
      <c r="D1813" s="22"/>
      <c r="E1813" s="22"/>
      <c r="F1813" s="28"/>
      <c r="G1813" s="22"/>
      <c r="H1813" s="21"/>
      <c r="I1813" s="28"/>
      <c r="J1813" s="22"/>
      <c r="K1813" s="22"/>
      <c r="L1813" s="22"/>
      <c r="M1813" s="21"/>
      <c r="N1813" s="22"/>
      <c r="O1813" s="29" t="str">
        <f aca="false">IF(A1813="","",IF(COUNTIF($A$2:$A$2001,A1813)&gt;1,"GANDA","OK"))</f>
        <v/>
      </c>
      <c r="P1813" s="29" t="str">
        <f aca="false">IF(A1813="","",IF(C1813="","KOSONG",IF(AND(LEN(C1813)=16,ISNUMBER(--C1813)),"OK","TIDAK VALID")))</f>
        <v/>
      </c>
    </row>
    <row r="1814" customFormat="false" ht="15" hidden="false" customHeight="false" outlineLevel="0" collapsed="false">
      <c r="A1814" s="21"/>
      <c r="B1814" s="22"/>
      <c r="C1814" s="21"/>
      <c r="D1814" s="22"/>
      <c r="E1814" s="22"/>
      <c r="F1814" s="28"/>
      <c r="G1814" s="22"/>
      <c r="H1814" s="21"/>
      <c r="I1814" s="28"/>
      <c r="J1814" s="22"/>
      <c r="K1814" s="22"/>
      <c r="L1814" s="22"/>
      <c r="M1814" s="21"/>
      <c r="N1814" s="22"/>
      <c r="O1814" s="29" t="str">
        <f aca="false">IF(A1814="","",IF(COUNTIF($A$2:$A$2001,A1814)&gt;1,"GANDA","OK"))</f>
        <v/>
      </c>
      <c r="P1814" s="29" t="str">
        <f aca="false">IF(A1814="","",IF(C1814="","KOSONG",IF(AND(LEN(C1814)=16,ISNUMBER(--C1814)),"OK","TIDAK VALID")))</f>
        <v/>
      </c>
    </row>
    <row r="1815" customFormat="false" ht="15" hidden="false" customHeight="false" outlineLevel="0" collapsed="false">
      <c r="A1815" s="21"/>
      <c r="B1815" s="22"/>
      <c r="C1815" s="21"/>
      <c r="D1815" s="22"/>
      <c r="E1815" s="22"/>
      <c r="F1815" s="28"/>
      <c r="G1815" s="22"/>
      <c r="H1815" s="21"/>
      <c r="I1815" s="28"/>
      <c r="J1815" s="22"/>
      <c r="K1815" s="22"/>
      <c r="L1815" s="22"/>
      <c r="M1815" s="21"/>
      <c r="N1815" s="22"/>
      <c r="O1815" s="29" t="str">
        <f aca="false">IF(A1815="","",IF(COUNTIF($A$2:$A$2001,A1815)&gt;1,"GANDA","OK"))</f>
        <v/>
      </c>
      <c r="P1815" s="29" t="str">
        <f aca="false">IF(A1815="","",IF(C1815="","KOSONG",IF(AND(LEN(C1815)=16,ISNUMBER(--C1815)),"OK","TIDAK VALID")))</f>
        <v/>
      </c>
    </row>
    <row r="1816" customFormat="false" ht="15" hidden="false" customHeight="false" outlineLevel="0" collapsed="false">
      <c r="A1816" s="21"/>
      <c r="B1816" s="22"/>
      <c r="C1816" s="21"/>
      <c r="D1816" s="22"/>
      <c r="E1816" s="22"/>
      <c r="F1816" s="28"/>
      <c r="G1816" s="22"/>
      <c r="H1816" s="21"/>
      <c r="I1816" s="28"/>
      <c r="J1816" s="22"/>
      <c r="K1816" s="22"/>
      <c r="L1816" s="22"/>
      <c r="M1816" s="21"/>
      <c r="N1816" s="22"/>
      <c r="O1816" s="29" t="str">
        <f aca="false">IF(A1816="","",IF(COUNTIF($A$2:$A$2001,A1816)&gt;1,"GANDA","OK"))</f>
        <v/>
      </c>
      <c r="P1816" s="29" t="str">
        <f aca="false">IF(A1816="","",IF(C1816="","KOSONG",IF(AND(LEN(C1816)=16,ISNUMBER(--C1816)),"OK","TIDAK VALID")))</f>
        <v/>
      </c>
    </row>
    <row r="1817" customFormat="false" ht="15" hidden="false" customHeight="false" outlineLevel="0" collapsed="false">
      <c r="A1817" s="21"/>
      <c r="B1817" s="22"/>
      <c r="C1817" s="21"/>
      <c r="D1817" s="22"/>
      <c r="E1817" s="22"/>
      <c r="F1817" s="28"/>
      <c r="G1817" s="22"/>
      <c r="H1817" s="21"/>
      <c r="I1817" s="28"/>
      <c r="J1817" s="22"/>
      <c r="K1817" s="22"/>
      <c r="L1817" s="22"/>
      <c r="M1817" s="21"/>
      <c r="N1817" s="22"/>
      <c r="O1817" s="29" t="str">
        <f aca="false">IF(A1817="","",IF(COUNTIF($A$2:$A$2001,A1817)&gt;1,"GANDA","OK"))</f>
        <v/>
      </c>
      <c r="P1817" s="29" t="str">
        <f aca="false">IF(A1817="","",IF(C1817="","KOSONG",IF(AND(LEN(C1817)=16,ISNUMBER(--C1817)),"OK","TIDAK VALID")))</f>
        <v/>
      </c>
    </row>
    <row r="1818" customFormat="false" ht="15" hidden="false" customHeight="false" outlineLevel="0" collapsed="false">
      <c r="A1818" s="21"/>
      <c r="B1818" s="22"/>
      <c r="C1818" s="21"/>
      <c r="D1818" s="22"/>
      <c r="E1818" s="22"/>
      <c r="F1818" s="28"/>
      <c r="G1818" s="22"/>
      <c r="H1818" s="21"/>
      <c r="I1818" s="28"/>
      <c r="J1818" s="22"/>
      <c r="K1818" s="22"/>
      <c r="L1818" s="22"/>
      <c r="M1818" s="21"/>
      <c r="N1818" s="22"/>
      <c r="O1818" s="29" t="str">
        <f aca="false">IF(A1818="","",IF(COUNTIF($A$2:$A$2001,A1818)&gt;1,"GANDA","OK"))</f>
        <v/>
      </c>
      <c r="P1818" s="29" t="str">
        <f aca="false">IF(A1818="","",IF(C1818="","KOSONG",IF(AND(LEN(C1818)=16,ISNUMBER(--C1818)),"OK","TIDAK VALID")))</f>
        <v/>
      </c>
    </row>
    <row r="1819" customFormat="false" ht="15" hidden="false" customHeight="false" outlineLevel="0" collapsed="false">
      <c r="A1819" s="21"/>
      <c r="B1819" s="22"/>
      <c r="C1819" s="21"/>
      <c r="D1819" s="22"/>
      <c r="E1819" s="22"/>
      <c r="F1819" s="28"/>
      <c r="G1819" s="22"/>
      <c r="H1819" s="21"/>
      <c r="I1819" s="28"/>
      <c r="J1819" s="22"/>
      <c r="K1819" s="22"/>
      <c r="L1819" s="22"/>
      <c r="M1819" s="21"/>
      <c r="N1819" s="22"/>
      <c r="O1819" s="29" t="str">
        <f aca="false">IF(A1819="","",IF(COUNTIF($A$2:$A$2001,A1819)&gt;1,"GANDA","OK"))</f>
        <v/>
      </c>
      <c r="P1819" s="29" t="str">
        <f aca="false">IF(A1819="","",IF(C1819="","KOSONG",IF(AND(LEN(C1819)=16,ISNUMBER(--C1819)),"OK","TIDAK VALID")))</f>
        <v/>
      </c>
    </row>
    <row r="1820" customFormat="false" ht="15" hidden="false" customHeight="false" outlineLevel="0" collapsed="false">
      <c r="A1820" s="21"/>
      <c r="B1820" s="22"/>
      <c r="C1820" s="21"/>
      <c r="D1820" s="22"/>
      <c r="E1820" s="22"/>
      <c r="F1820" s="28"/>
      <c r="G1820" s="22"/>
      <c r="H1820" s="21"/>
      <c r="I1820" s="28"/>
      <c r="J1820" s="22"/>
      <c r="K1820" s="22"/>
      <c r="L1820" s="22"/>
      <c r="M1820" s="21"/>
      <c r="N1820" s="22"/>
      <c r="O1820" s="29" t="str">
        <f aca="false">IF(A1820="","",IF(COUNTIF($A$2:$A$2001,A1820)&gt;1,"GANDA","OK"))</f>
        <v/>
      </c>
      <c r="P1820" s="29" t="str">
        <f aca="false">IF(A1820="","",IF(C1820="","KOSONG",IF(AND(LEN(C1820)=16,ISNUMBER(--C1820)),"OK","TIDAK VALID")))</f>
        <v/>
      </c>
    </row>
    <row r="1821" customFormat="false" ht="15" hidden="false" customHeight="false" outlineLevel="0" collapsed="false">
      <c r="A1821" s="21"/>
      <c r="B1821" s="22"/>
      <c r="C1821" s="21"/>
      <c r="D1821" s="22"/>
      <c r="E1821" s="22"/>
      <c r="F1821" s="28"/>
      <c r="G1821" s="22"/>
      <c r="H1821" s="21"/>
      <c r="I1821" s="28"/>
      <c r="J1821" s="22"/>
      <c r="K1821" s="22"/>
      <c r="L1821" s="22"/>
      <c r="M1821" s="21"/>
      <c r="N1821" s="22"/>
      <c r="O1821" s="29" t="str">
        <f aca="false">IF(A1821="","",IF(COUNTIF($A$2:$A$2001,A1821)&gt;1,"GANDA","OK"))</f>
        <v/>
      </c>
      <c r="P1821" s="29" t="str">
        <f aca="false">IF(A1821="","",IF(C1821="","KOSONG",IF(AND(LEN(C1821)=16,ISNUMBER(--C1821)),"OK","TIDAK VALID")))</f>
        <v/>
      </c>
    </row>
    <row r="1822" customFormat="false" ht="15" hidden="false" customHeight="false" outlineLevel="0" collapsed="false">
      <c r="A1822" s="21"/>
      <c r="B1822" s="22"/>
      <c r="C1822" s="21"/>
      <c r="D1822" s="22"/>
      <c r="E1822" s="22"/>
      <c r="F1822" s="28"/>
      <c r="G1822" s="22"/>
      <c r="H1822" s="21"/>
      <c r="I1822" s="28"/>
      <c r="J1822" s="22"/>
      <c r="K1822" s="22"/>
      <c r="L1822" s="22"/>
      <c r="M1822" s="21"/>
      <c r="N1822" s="22"/>
      <c r="O1822" s="29" t="str">
        <f aca="false">IF(A1822="","",IF(COUNTIF($A$2:$A$2001,A1822)&gt;1,"GANDA","OK"))</f>
        <v/>
      </c>
      <c r="P1822" s="29" t="str">
        <f aca="false">IF(A1822="","",IF(C1822="","KOSONG",IF(AND(LEN(C1822)=16,ISNUMBER(--C1822)),"OK","TIDAK VALID")))</f>
        <v/>
      </c>
    </row>
    <row r="1823" customFormat="false" ht="15" hidden="false" customHeight="false" outlineLevel="0" collapsed="false">
      <c r="A1823" s="21"/>
      <c r="B1823" s="22"/>
      <c r="C1823" s="21"/>
      <c r="D1823" s="22"/>
      <c r="E1823" s="22"/>
      <c r="F1823" s="28"/>
      <c r="G1823" s="22"/>
      <c r="H1823" s="21"/>
      <c r="I1823" s="28"/>
      <c r="J1823" s="22"/>
      <c r="K1823" s="22"/>
      <c r="L1823" s="22"/>
      <c r="M1823" s="21"/>
      <c r="N1823" s="22"/>
      <c r="O1823" s="29" t="str">
        <f aca="false">IF(A1823="","",IF(COUNTIF($A$2:$A$2001,A1823)&gt;1,"GANDA","OK"))</f>
        <v/>
      </c>
      <c r="P1823" s="29" t="str">
        <f aca="false">IF(A1823="","",IF(C1823="","KOSONG",IF(AND(LEN(C1823)=16,ISNUMBER(--C1823)),"OK","TIDAK VALID")))</f>
        <v/>
      </c>
    </row>
    <row r="1824" customFormat="false" ht="15" hidden="false" customHeight="false" outlineLevel="0" collapsed="false">
      <c r="A1824" s="21"/>
      <c r="B1824" s="22"/>
      <c r="C1824" s="21"/>
      <c r="D1824" s="22"/>
      <c r="E1824" s="22"/>
      <c r="F1824" s="28"/>
      <c r="G1824" s="22"/>
      <c r="H1824" s="21"/>
      <c r="I1824" s="28"/>
      <c r="J1824" s="22"/>
      <c r="K1824" s="22"/>
      <c r="L1824" s="22"/>
      <c r="M1824" s="21"/>
      <c r="N1824" s="22"/>
      <c r="O1824" s="29" t="str">
        <f aca="false">IF(A1824="","",IF(COUNTIF($A$2:$A$2001,A1824)&gt;1,"GANDA","OK"))</f>
        <v/>
      </c>
      <c r="P1824" s="29" t="str">
        <f aca="false">IF(A1824="","",IF(C1824="","KOSONG",IF(AND(LEN(C1824)=16,ISNUMBER(--C1824)),"OK","TIDAK VALID")))</f>
        <v/>
      </c>
    </row>
    <row r="1825" customFormat="false" ht="15" hidden="false" customHeight="false" outlineLevel="0" collapsed="false">
      <c r="A1825" s="21"/>
      <c r="B1825" s="22"/>
      <c r="C1825" s="21"/>
      <c r="D1825" s="22"/>
      <c r="E1825" s="22"/>
      <c r="F1825" s="28"/>
      <c r="G1825" s="22"/>
      <c r="H1825" s="21"/>
      <c r="I1825" s="28"/>
      <c r="J1825" s="22"/>
      <c r="K1825" s="22"/>
      <c r="L1825" s="22"/>
      <c r="M1825" s="21"/>
      <c r="N1825" s="22"/>
      <c r="O1825" s="29" t="str">
        <f aca="false">IF(A1825="","",IF(COUNTIF($A$2:$A$2001,A1825)&gt;1,"GANDA","OK"))</f>
        <v/>
      </c>
      <c r="P1825" s="29" t="str">
        <f aca="false">IF(A1825="","",IF(C1825="","KOSONG",IF(AND(LEN(C1825)=16,ISNUMBER(--C1825)),"OK","TIDAK VALID")))</f>
        <v/>
      </c>
    </row>
    <row r="1826" customFormat="false" ht="15" hidden="false" customHeight="false" outlineLevel="0" collapsed="false">
      <c r="A1826" s="21"/>
      <c r="B1826" s="22"/>
      <c r="C1826" s="21"/>
      <c r="D1826" s="22"/>
      <c r="E1826" s="22"/>
      <c r="F1826" s="28"/>
      <c r="G1826" s="22"/>
      <c r="H1826" s="21"/>
      <c r="I1826" s="28"/>
      <c r="J1826" s="22"/>
      <c r="K1826" s="22"/>
      <c r="L1826" s="22"/>
      <c r="M1826" s="21"/>
      <c r="N1826" s="22"/>
      <c r="O1826" s="29" t="str">
        <f aca="false">IF(A1826="","",IF(COUNTIF($A$2:$A$2001,A1826)&gt;1,"GANDA","OK"))</f>
        <v/>
      </c>
      <c r="P1826" s="29" t="str">
        <f aca="false">IF(A1826="","",IF(C1826="","KOSONG",IF(AND(LEN(C1826)=16,ISNUMBER(--C1826)),"OK","TIDAK VALID")))</f>
        <v/>
      </c>
    </row>
    <row r="1827" customFormat="false" ht="15" hidden="false" customHeight="false" outlineLevel="0" collapsed="false">
      <c r="A1827" s="21"/>
      <c r="B1827" s="22"/>
      <c r="C1827" s="21"/>
      <c r="D1827" s="22"/>
      <c r="E1827" s="22"/>
      <c r="F1827" s="28"/>
      <c r="G1827" s="22"/>
      <c r="H1827" s="21"/>
      <c r="I1827" s="28"/>
      <c r="J1827" s="22"/>
      <c r="K1827" s="22"/>
      <c r="L1827" s="22"/>
      <c r="M1827" s="21"/>
      <c r="N1827" s="22"/>
      <c r="O1827" s="29" t="str">
        <f aca="false">IF(A1827="","",IF(COUNTIF($A$2:$A$2001,A1827)&gt;1,"GANDA","OK"))</f>
        <v/>
      </c>
      <c r="P1827" s="29" t="str">
        <f aca="false">IF(A1827="","",IF(C1827="","KOSONG",IF(AND(LEN(C1827)=16,ISNUMBER(--C1827)),"OK","TIDAK VALID")))</f>
        <v/>
      </c>
    </row>
    <row r="1828" customFormat="false" ht="15" hidden="false" customHeight="false" outlineLevel="0" collapsed="false">
      <c r="A1828" s="21"/>
      <c r="B1828" s="22"/>
      <c r="C1828" s="21"/>
      <c r="D1828" s="22"/>
      <c r="E1828" s="22"/>
      <c r="F1828" s="28"/>
      <c r="G1828" s="22"/>
      <c r="H1828" s="21"/>
      <c r="I1828" s="28"/>
      <c r="J1828" s="22"/>
      <c r="K1828" s="22"/>
      <c r="L1828" s="22"/>
      <c r="M1828" s="21"/>
      <c r="N1828" s="22"/>
      <c r="O1828" s="29" t="str">
        <f aca="false">IF(A1828="","",IF(COUNTIF($A$2:$A$2001,A1828)&gt;1,"GANDA","OK"))</f>
        <v/>
      </c>
      <c r="P1828" s="29" t="str">
        <f aca="false">IF(A1828="","",IF(C1828="","KOSONG",IF(AND(LEN(C1828)=16,ISNUMBER(--C1828)),"OK","TIDAK VALID")))</f>
        <v/>
      </c>
    </row>
    <row r="1829" customFormat="false" ht="15" hidden="false" customHeight="false" outlineLevel="0" collapsed="false">
      <c r="A1829" s="21"/>
      <c r="B1829" s="22"/>
      <c r="C1829" s="21"/>
      <c r="D1829" s="22"/>
      <c r="E1829" s="22"/>
      <c r="F1829" s="28"/>
      <c r="G1829" s="22"/>
      <c r="H1829" s="21"/>
      <c r="I1829" s="28"/>
      <c r="J1829" s="22"/>
      <c r="K1829" s="22"/>
      <c r="L1829" s="22"/>
      <c r="M1829" s="21"/>
      <c r="N1829" s="22"/>
      <c r="O1829" s="29" t="str">
        <f aca="false">IF(A1829="","",IF(COUNTIF($A$2:$A$2001,A1829)&gt;1,"GANDA","OK"))</f>
        <v/>
      </c>
      <c r="P1829" s="29" t="str">
        <f aca="false">IF(A1829="","",IF(C1829="","KOSONG",IF(AND(LEN(C1829)=16,ISNUMBER(--C1829)),"OK","TIDAK VALID")))</f>
        <v/>
      </c>
    </row>
    <row r="1830" customFormat="false" ht="15" hidden="false" customHeight="false" outlineLevel="0" collapsed="false">
      <c r="A1830" s="21"/>
      <c r="B1830" s="22"/>
      <c r="C1830" s="21"/>
      <c r="D1830" s="22"/>
      <c r="E1830" s="22"/>
      <c r="F1830" s="28"/>
      <c r="G1830" s="22"/>
      <c r="H1830" s="21"/>
      <c r="I1830" s="28"/>
      <c r="J1830" s="22"/>
      <c r="K1830" s="22"/>
      <c r="L1830" s="22"/>
      <c r="M1830" s="21"/>
      <c r="N1830" s="22"/>
      <c r="O1830" s="29" t="str">
        <f aca="false">IF(A1830="","",IF(COUNTIF($A$2:$A$2001,A1830)&gt;1,"GANDA","OK"))</f>
        <v/>
      </c>
      <c r="P1830" s="29" t="str">
        <f aca="false">IF(A1830="","",IF(C1830="","KOSONG",IF(AND(LEN(C1830)=16,ISNUMBER(--C1830)),"OK","TIDAK VALID")))</f>
        <v/>
      </c>
    </row>
    <row r="1831" customFormat="false" ht="15" hidden="false" customHeight="false" outlineLevel="0" collapsed="false">
      <c r="A1831" s="21"/>
      <c r="B1831" s="22"/>
      <c r="C1831" s="21"/>
      <c r="D1831" s="22"/>
      <c r="E1831" s="22"/>
      <c r="F1831" s="28"/>
      <c r="G1831" s="22"/>
      <c r="H1831" s="21"/>
      <c r="I1831" s="28"/>
      <c r="J1831" s="22"/>
      <c r="K1831" s="22"/>
      <c r="L1831" s="22"/>
      <c r="M1831" s="21"/>
      <c r="N1831" s="22"/>
      <c r="O1831" s="29" t="str">
        <f aca="false">IF(A1831="","",IF(COUNTIF($A$2:$A$2001,A1831)&gt;1,"GANDA","OK"))</f>
        <v/>
      </c>
      <c r="P1831" s="29" t="str">
        <f aca="false">IF(A1831="","",IF(C1831="","KOSONG",IF(AND(LEN(C1831)=16,ISNUMBER(--C1831)),"OK","TIDAK VALID")))</f>
        <v/>
      </c>
    </row>
    <row r="1832" customFormat="false" ht="15" hidden="false" customHeight="false" outlineLevel="0" collapsed="false">
      <c r="A1832" s="21"/>
      <c r="B1832" s="22"/>
      <c r="C1832" s="21"/>
      <c r="D1832" s="22"/>
      <c r="E1832" s="22"/>
      <c r="F1832" s="28"/>
      <c r="G1832" s="22"/>
      <c r="H1832" s="21"/>
      <c r="I1832" s="28"/>
      <c r="J1832" s="22"/>
      <c r="K1832" s="22"/>
      <c r="L1832" s="22"/>
      <c r="M1832" s="21"/>
      <c r="N1832" s="22"/>
      <c r="O1832" s="29" t="str">
        <f aca="false">IF(A1832="","",IF(COUNTIF($A$2:$A$2001,A1832)&gt;1,"GANDA","OK"))</f>
        <v/>
      </c>
      <c r="P1832" s="29" t="str">
        <f aca="false">IF(A1832="","",IF(C1832="","KOSONG",IF(AND(LEN(C1832)=16,ISNUMBER(--C1832)),"OK","TIDAK VALID")))</f>
        <v/>
      </c>
    </row>
    <row r="1833" customFormat="false" ht="15" hidden="false" customHeight="false" outlineLevel="0" collapsed="false">
      <c r="A1833" s="21"/>
      <c r="B1833" s="22"/>
      <c r="C1833" s="21"/>
      <c r="D1833" s="22"/>
      <c r="E1833" s="22"/>
      <c r="F1833" s="28"/>
      <c r="G1833" s="22"/>
      <c r="H1833" s="21"/>
      <c r="I1833" s="28"/>
      <c r="J1833" s="22"/>
      <c r="K1833" s="22"/>
      <c r="L1833" s="22"/>
      <c r="M1833" s="21"/>
      <c r="N1833" s="22"/>
      <c r="O1833" s="29" t="str">
        <f aca="false">IF(A1833="","",IF(COUNTIF($A$2:$A$2001,A1833)&gt;1,"GANDA","OK"))</f>
        <v/>
      </c>
      <c r="P1833" s="29" t="str">
        <f aca="false">IF(A1833="","",IF(C1833="","KOSONG",IF(AND(LEN(C1833)=16,ISNUMBER(--C1833)),"OK","TIDAK VALID")))</f>
        <v/>
      </c>
    </row>
    <row r="1834" customFormat="false" ht="15" hidden="false" customHeight="false" outlineLevel="0" collapsed="false">
      <c r="A1834" s="21"/>
      <c r="B1834" s="22"/>
      <c r="C1834" s="21"/>
      <c r="D1834" s="22"/>
      <c r="E1834" s="22"/>
      <c r="F1834" s="28"/>
      <c r="G1834" s="22"/>
      <c r="H1834" s="21"/>
      <c r="I1834" s="28"/>
      <c r="J1834" s="22"/>
      <c r="K1834" s="22"/>
      <c r="L1834" s="22"/>
      <c r="M1834" s="21"/>
      <c r="N1834" s="22"/>
      <c r="O1834" s="29" t="str">
        <f aca="false">IF(A1834="","",IF(COUNTIF($A$2:$A$2001,A1834)&gt;1,"GANDA","OK"))</f>
        <v/>
      </c>
      <c r="P1834" s="29" t="str">
        <f aca="false">IF(A1834="","",IF(C1834="","KOSONG",IF(AND(LEN(C1834)=16,ISNUMBER(--C1834)),"OK","TIDAK VALID")))</f>
        <v/>
      </c>
    </row>
    <row r="1835" customFormat="false" ht="15" hidden="false" customHeight="false" outlineLevel="0" collapsed="false">
      <c r="A1835" s="21"/>
      <c r="B1835" s="22"/>
      <c r="C1835" s="21"/>
      <c r="D1835" s="22"/>
      <c r="E1835" s="22"/>
      <c r="F1835" s="28"/>
      <c r="G1835" s="22"/>
      <c r="H1835" s="21"/>
      <c r="I1835" s="28"/>
      <c r="J1835" s="22"/>
      <c r="K1835" s="22"/>
      <c r="L1835" s="22"/>
      <c r="M1835" s="21"/>
      <c r="N1835" s="22"/>
      <c r="O1835" s="29" t="str">
        <f aca="false">IF(A1835="","",IF(COUNTIF($A$2:$A$2001,A1835)&gt;1,"GANDA","OK"))</f>
        <v/>
      </c>
      <c r="P1835" s="29" t="str">
        <f aca="false">IF(A1835="","",IF(C1835="","KOSONG",IF(AND(LEN(C1835)=16,ISNUMBER(--C1835)),"OK","TIDAK VALID")))</f>
        <v/>
      </c>
    </row>
    <row r="1836" customFormat="false" ht="15" hidden="false" customHeight="false" outlineLevel="0" collapsed="false">
      <c r="A1836" s="21"/>
      <c r="B1836" s="22"/>
      <c r="C1836" s="21"/>
      <c r="D1836" s="22"/>
      <c r="E1836" s="22"/>
      <c r="F1836" s="28"/>
      <c r="G1836" s="22"/>
      <c r="H1836" s="21"/>
      <c r="I1836" s="28"/>
      <c r="J1836" s="22"/>
      <c r="K1836" s="22"/>
      <c r="L1836" s="22"/>
      <c r="M1836" s="21"/>
      <c r="N1836" s="22"/>
      <c r="O1836" s="29" t="str">
        <f aca="false">IF(A1836="","",IF(COUNTIF($A$2:$A$2001,A1836)&gt;1,"GANDA","OK"))</f>
        <v/>
      </c>
      <c r="P1836" s="29" t="str">
        <f aca="false">IF(A1836="","",IF(C1836="","KOSONG",IF(AND(LEN(C1836)=16,ISNUMBER(--C1836)),"OK","TIDAK VALID")))</f>
        <v/>
      </c>
    </row>
    <row r="1837" customFormat="false" ht="15" hidden="false" customHeight="false" outlineLevel="0" collapsed="false">
      <c r="A1837" s="21"/>
      <c r="B1837" s="22"/>
      <c r="C1837" s="21"/>
      <c r="D1837" s="22"/>
      <c r="E1837" s="22"/>
      <c r="F1837" s="28"/>
      <c r="G1837" s="22"/>
      <c r="H1837" s="21"/>
      <c r="I1837" s="28"/>
      <c r="J1837" s="22"/>
      <c r="K1837" s="22"/>
      <c r="L1837" s="22"/>
      <c r="M1837" s="21"/>
      <c r="N1837" s="22"/>
      <c r="O1837" s="29" t="str">
        <f aca="false">IF(A1837="","",IF(COUNTIF($A$2:$A$2001,A1837)&gt;1,"GANDA","OK"))</f>
        <v/>
      </c>
      <c r="P1837" s="29" t="str">
        <f aca="false">IF(A1837="","",IF(C1837="","KOSONG",IF(AND(LEN(C1837)=16,ISNUMBER(--C1837)),"OK","TIDAK VALID")))</f>
        <v/>
      </c>
    </row>
    <row r="1838" customFormat="false" ht="15" hidden="false" customHeight="false" outlineLevel="0" collapsed="false">
      <c r="A1838" s="21"/>
      <c r="B1838" s="22"/>
      <c r="C1838" s="21"/>
      <c r="D1838" s="22"/>
      <c r="E1838" s="22"/>
      <c r="F1838" s="28"/>
      <c r="G1838" s="22"/>
      <c r="H1838" s="21"/>
      <c r="I1838" s="28"/>
      <c r="J1838" s="22"/>
      <c r="K1838" s="22"/>
      <c r="L1838" s="22"/>
      <c r="M1838" s="21"/>
      <c r="N1838" s="22"/>
      <c r="O1838" s="29" t="str">
        <f aca="false">IF(A1838="","",IF(COUNTIF($A$2:$A$2001,A1838)&gt;1,"GANDA","OK"))</f>
        <v/>
      </c>
      <c r="P1838" s="29" t="str">
        <f aca="false">IF(A1838="","",IF(C1838="","KOSONG",IF(AND(LEN(C1838)=16,ISNUMBER(--C1838)),"OK","TIDAK VALID")))</f>
        <v/>
      </c>
    </row>
    <row r="1839" customFormat="false" ht="15" hidden="false" customHeight="false" outlineLevel="0" collapsed="false">
      <c r="A1839" s="21"/>
      <c r="B1839" s="22"/>
      <c r="C1839" s="21"/>
      <c r="D1839" s="22"/>
      <c r="E1839" s="22"/>
      <c r="F1839" s="28"/>
      <c r="G1839" s="22"/>
      <c r="H1839" s="21"/>
      <c r="I1839" s="28"/>
      <c r="J1839" s="22"/>
      <c r="K1839" s="22"/>
      <c r="L1839" s="22"/>
      <c r="M1839" s="21"/>
      <c r="N1839" s="22"/>
      <c r="O1839" s="29" t="str">
        <f aca="false">IF(A1839="","",IF(COUNTIF($A$2:$A$2001,A1839)&gt;1,"GANDA","OK"))</f>
        <v/>
      </c>
      <c r="P1839" s="29" t="str">
        <f aca="false">IF(A1839="","",IF(C1839="","KOSONG",IF(AND(LEN(C1839)=16,ISNUMBER(--C1839)),"OK","TIDAK VALID")))</f>
        <v/>
      </c>
    </row>
    <row r="1840" customFormat="false" ht="15" hidden="false" customHeight="false" outlineLevel="0" collapsed="false">
      <c r="A1840" s="21"/>
      <c r="B1840" s="22"/>
      <c r="C1840" s="21"/>
      <c r="D1840" s="22"/>
      <c r="E1840" s="22"/>
      <c r="F1840" s="28"/>
      <c r="G1840" s="22"/>
      <c r="H1840" s="21"/>
      <c r="I1840" s="28"/>
      <c r="J1840" s="22"/>
      <c r="K1840" s="22"/>
      <c r="L1840" s="22"/>
      <c r="M1840" s="21"/>
      <c r="N1840" s="22"/>
      <c r="O1840" s="29" t="str">
        <f aca="false">IF(A1840="","",IF(COUNTIF($A$2:$A$2001,A1840)&gt;1,"GANDA","OK"))</f>
        <v/>
      </c>
      <c r="P1840" s="29" t="str">
        <f aca="false">IF(A1840="","",IF(C1840="","KOSONG",IF(AND(LEN(C1840)=16,ISNUMBER(--C1840)),"OK","TIDAK VALID")))</f>
        <v/>
      </c>
    </row>
    <row r="1841" customFormat="false" ht="15" hidden="false" customHeight="false" outlineLevel="0" collapsed="false">
      <c r="A1841" s="21"/>
      <c r="B1841" s="22"/>
      <c r="C1841" s="21"/>
      <c r="D1841" s="22"/>
      <c r="E1841" s="22"/>
      <c r="F1841" s="28"/>
      <c r="G1841" s="22"/>
      <c r="H1841" s="21"/>
      <c r="I1841" s="28"/>
      <c r="J1841" s="22"/>
      <c r="K1841" s="22"/>
      <c r="L1841" s="22"/>
      <c r="M1841" s="21"/>
      <c r="N1841" s="22"/>
      <c r="O1841" s="29" t="str">
        <f aca="false">IF(A1841="","",IF(COUNTIF($A$2:$A$2001,A1841)&gt;1,"GANDA","OK"))</f>
        <v/>
      </c>
      <c r="P1841" s="29" t="str">
        <f aca="false">IF(A1841="","",IF(C1841="","KOSONG",IF(AND(LEN(C1841)=16,ISNUMBER(--C1841)),"OK","TIDAK VALID")))</f>
        <v/>
      </c>
    </row>
    <row r="1842" customFormat="false" ht="15" hidden="false" customHeight="false" outlineLevel="0" collapsed="false">
      <c r="A1842" s="21"/>
      <c r="B1842" s="22"/>
      <c r="C1842" s="21"/>
      <c r="D1842" s="22"/>
      <c r="E1842" s="22"/>
      <c r="F1842" s="28"/>
      <c r="G1842" s="22"/>
      <c r="H1842" s="21"/>
      <c r="I1842" s="28"/>
      <c r="J1842" s="22"/>
      <c r="K1842" s="22"/>
      <c r="L1842" s="22"/>
      <c r="M1842" s="21"/>
      <c r="N1842" s="22"/>
      <c r="O1842" s="29" t="str">
        <f aca="false">IF(A1842="","",IF(COUNTIF($A$2:$A$2001,A1842)&gt;1,"GANDA","OK"))</f>
        <v/>
      </c>
      <c r="P1842" s="29" t="str">
        <f aca="false">IF(A1842="","",IF(C1842="","KOSONG",IF(AND(LEN(C1842)=16,ISNUMBER(--C1842)),"OK","TIDAK VALID")))</f>
        <v/>
      </c>
    </row>
    <row r="1843" customFormat="false" ht="15" hidden="false" customHeight="false" outlineLevel="0" collapsed="false">
      <c r="A1843" s="21"/>
      <c r="B1843" s="22"/>
      <c r="C1843" s="21"/>
      <c r="D1843" s="22"/>
      <c r="E1843" s="22"/>
      <c r="F1843" s="28"/>
      <c r="G1843" s="22"/>
      <c r="H1843" s="21"/>
      <c r="I1843" s="28"/>
      <c r="J1843" s="22"/>
      <c r="K1843" s="22"/>
      <c r="L1843" s="22"/>
      <c r="M1843" s="21"/>
      <c r="N1843" s="22"/>
      <c r="O1843" s="29" t="str">
        <f aca="false">IF(A1843="","",IF(COUNTIF($A$2:$A$2001,A1843)&gt;1,"GANDA","OK"))</f>
        <v/>
      </c>
      <c r="P1843" s="29" t="str">
        <f aca="false">IF(A1843="","",IF(C1843="","KOSONG",IF(AND(LEN(C1843)=16,ISNUMBER(--C1843)),"OK","TIDAK VALID")))</f>
        <v/>
      </c>
    </row>
    <row r="1844" customFormat="false" ht="15" hidden="false" customHeight="false" outlineLevel="0" collapsed="false">
      <c r="A1844" s="21"/>
      <c r="B1844" s="22"/>
      <c r="C1844" s="21"/>
      <c r="D1844" s="22"/>
      <c r="E1844" s="22"/>
      <c r="F1844" s="28"/>
      <c r="G1844" s="22"/>
      <c r="H1844" s="21"/>
      <c r="I1844" s="28"/>
      <c r="J1844" s="22"/>
      <c r="K1844" s="22"/>
      <c r="L1844" s="22"/>
      <c r="M1844" s="21"/>
      <c r="N1844" s="22"/>
      <c r="O1844" s="29" t="str">
        <f aca="false">IF(A1844="","",IF(COUNTIF($A$2:$A$2001,A1844)&gt;1,"GANDA","OK"))</f>
        <v/>
      </c>
      <c r="P1844" s="29" t="str">
        <f aca="false">IF(A1844="","",IF(C1844="","KOSONG",IF(AND(LEN(C1844)=16,ISNUMBER(--C1844)),"OK","TIDAK VALID")))</f>
        <v/>
      </c>
    </row>
    <row r="1845" customFormat="false" ht="15" hidden="false" customHeight="false" outlineLevel="0" collapsed="false">
      <c r="A1845" s="21"/>
      <c r="B1845" s="22"/>
      <c r="C1845" s="21"/>
      <c r="D1845" s="22"/>
      <c r="E1845" s="22"/>
      <c r="F1845" s="28"/>
      <c r="G1845" s="22"/>
      <c r="H1845" s="21"/>
      <c r="I1845" s="28"/>
      <c r="J1845" s="22"/>
      <c r="K1845" s="22"/>
      <c r="L1845" s="22"/>
      <c r="M1845" s="21"/>
      <c r="N1845" s="22"/>
      <c r="O1845" s="29" t="str">
        <f aca="false">IF(A1845="","",IF(COUNTIF($A$2:$A$2001,A1845)&gt;1,"GANDA","OK"))</f>
        <v/>
      </c>
      <c r="P1845" s="29" t="str">
        <f aca="false">IF(A1845="","",IF(C1845="","KOSONG",IF(AND(LEN(C1845)=16,ISNUMBER(--C1845)),"OK","TIDAK VALID")))</f>
        <v/>
      </c>
    </row>
    <row r="1846" customFormat="false" ht="15" hidden="false" customHeight="false" outlineLevel="0" collapsed="false">
      <c r="A1846" s="21"/>
      <c r="B1846" s="22"/>
      <c r="C1846" s="21"/>
      <c r="D1846" s="22"/>
      <c r="E1846" s="22"/>
      <c r="F1846" s="28"/>
      <c r="G1846" s="22"/>
      <c r="H1846" s="21"/>
      <c r="I1846" s="28"/>
      <c r="J1846" s="22"/>
      <c r="K1846" s="22"/>
      <c r="L1846" s="22"/>
      <c r="M1846" s="21"/>
      <c r="N1846" s="22"/>
      <c r="O1846" s="29" t="str">
        <f aca="false">IF(A1846="","",IF(COUNTIF($A$2:$A$2001,A1846)&gt;1,"GANDA","OK"))</f>
        <v/>
      </c>
      <c r="P1846" s="29" t="str">
        <f aca="false">IF(A1846="","",IF(C1846="","KOSONG",IF(AND(LEN(C1846)=16,ISNUMBER(--C1846)),"OK","TIDAK VALID")))</f>
        <v/>
      </c>
    </row>
    <row r="1847" customFormat="false" ht="15" hidden="false" customHeight="false" outlineLevel="0" collapsed="false">
      <c r="A1847" s="21"/>
      <c r="B1847" s="22"/>
      <c r="C1847" s="21"/>
      <c r="D1847" s="22"/>
      <c r="E1847" s="22"/>
      <c r="F1847" s="28"/>
      <c r="G1847" s="22"/>
      <c r="H1847" s="21"/>
      <c r="I1847" s="28"/>
      <c r="J1847" s="22"/>
      <c r="K1847" s="22"/>
      <c r="L1847" s="22"/>
      <c r="M1847" s="21"/>
      <c r="N1847" s="22"/>
      <c r="O1847" s="29" t="str">
        <f aca="false">IF(A1847="","",IF(COUNTIF($A$2:$A$2001,A1847)&gt;1,"GANDA","OK"))</f>
        <v/>
      </c>
      <c r="P1847" s="29" t="str">
        <f aca="false">IF(A1847="","",IF(C1847="","KOSONG",IF(AND(LEN(C1847)=16,ISNUMBER(--C1847)),"OK","TIDAK VALID")))</f>
        <v/>
      </c>
    </row>
    <row r="1848" customFormat="false" ht="15" hidden="false" customHeight="false" outlineLevel="0" collapsed="false">
      <c r="A1848" s="21"/>
      <c r="B1848" s="22"/>
      <c r="C1848" s="21"/>
      <c r="D1848" s="22"/>
      <c r="E1848" s="22"/>
      <c r="F1848" s="28"/>
      <c r="G1848" s="22"/>
      <c r="H1848" s="21"/>
      <c r="I1848" s="28"/>
      <c r="J1848" s="22"/>
      <c r="K1848" s="22"/>
      <c r="L1848" s="22"/>
      <c r="M1848" s="21"/>
      <c r="N1848" s="22"/>
      <c r="O1848" s="29" t="str">
        <f aca="false">IF(A1848="","",IF(COUNTIF($A$2:$A$2001,A1848)&gt;1,"GANDA","OK"))</f>
        <v/>
      </c>
      <c r="P1848" s="29" t="str">
        <f aca="false">IF(A1848="","",IF(C1848="","KOSONG",IF(AND(LEN(C1848)=16,ISNUMBER(--C1848)),"OK","TIDAK VALID")))</f>
        <v/>
      </c>
    </row>
    <row r="1849" customFormat="false" ht="15" hidden="false" customHeight="false" outlineLevel="0" collapsed="false">
      <c r="A1849" s="21"/>
      <c r="B1849" s="22"/>
      <c r="C1849" s="21"/>
      <c r="D1849" s="22"/>
      <c r="E1849" s="22"/>
      <c r="F1849" s="28"/>
      <c r="G1849" s="22"/>
      <c r="H1849" s="21"/>
      <c r="I1849" s="28"/>
      <c r="J1849" s="22"/>
      <c r="K1849" s="22"/>
      <c r="L1849" s="22"/>
      <c r="M1849" s="21"/>
      <c r="N1849" s="22"/>
      <c r="O1849" s="29" t="str">
        <f aca="false">IF(A1849="","",IF(COUNTIF($A$2:$A$2001,A1849)&gt;1,"GANDA","OK"))</f>
        <v/>
      </c>
      <c r="P1849" s="29" t="str">
        <f aca="false">IF(A1849="","",IF(C1849="","KOSONG",IF(AND(LEN(C1849)=16,ISNUMBER(--C1849)),"OK","TIDAK VALID")))</f>
        <v/>
      </c>
    </row>
    <row r="1850" customFormat="false" ht="15" hidden="false" customHeight="false" outlineLevel="0" collapsed="false">
      <c r="A1850" s="21"/>
      <c r="B1850" s="22"/>
      <c r="C1850" s="21"/>
      <c r="D1850" s="22"/>
      <c r="E1850" s="22"/>
      <c r="F1850" s="28"/>
      <c r="G1850" s="22"/>
      <c r="H1850" s="21"/>
      <c r="I1850" s="28"/>
      <c r="J1850" s="22"/>
      <c r="K1850" s="22"/>
      <c r="L1850" s="22"/>
      <c r="M1850" s="21"/>
      <c r="N1850" s="22"/>
      <c r="O1850" s="29" t="str">
        <f aca="false">IF(A1850="","",IF(COUNTIF($A$2:$A$2001,A1850)&gt;1,"GANDA","OK"))</f>
        <v/>
      </c>
      <c r="P1850" s="29" t="str">
        <f aca="false">IF(A1850="","",IF(C1850="","KOSONG",IF(AND(LEN(C1850)=16,ISNUMBER(--C1850)),"OK","TIDAK VALID")))</f>
        <v/>
      </c>
    </row>
    <row r="1851" customFormat="false" ht="15" hidden="false" customHeight="false" outlineLevel="0" collapsed="false">
      <c r="A1851" s="21"/>
      <c r="B1851" s="22"/>
      <c r="C1851" s="21"/>
      <c r="D1851" s="22"/>
      <c r="E1851" s="22"/>
      <c r="F1851" s="28"/>
      <c r="G1851" s="22"/>
      <c r="H1851" s="21"/>
      <c r="I1851" s="28"/>
      <c r="J1851" s="22"/>
      <c r="K1851" s="22"/>
      <c r="L1851" s="22"/>
      <c r="M1851" s="21"/>
      <c r="N1851" s="22"/>
      <c r="O1851" s="29" t="str">
        <f aca="false">IF(A1851="","",IF(COUNTIF($A$2:$A$2001,A1851)&gt;1,"GANDA","OK"))</f>
        <v/>
      </c>
      <c r="P1851" s="29" t="str">
        <f aca="false">IF(A1851="","",IF(C1851="","KOSONG",IF(AND(LEN(C1851)=16,ISNUMBER(--C1851)),"OK","TIDAK VALID")))</f>
        <v/>
      </c>
    </row>
    <row r="1852" customFormat="false" ht="15" hidden="false" customHeight="false" outlineLevel="0" collapsed="false">
      <c r="A1852" s="21"/>
      <c r="B1852" s="22"/>
      <c r="C1852" s="21"/>
      <c r="D1852" s="22"/>
      <c r="E1852" s="22"/>
      <c r="F1852" s="28"/>
      <c r="G1852" s="22"/>
      <c r="H1852" s="21"/>
      <c r="I1852" s="28"/>
      <c r="J1852" s="22"/>
      <c r="K1852" s="22"/>
      <c r="L1852" s="22"/>
      <c r="M1852" s="21"/>
      <c r="N1852" s="22"/>
      <c r="O1852" s="29" t="str">
        <f aca="false">IF(A1852="","",IF(COUNTIF($A$2:$A$2001,A1852)&gt;1,"GANDA","OK"))</f>
        <v/>
      </c>
      <c r="P1852" s="29" t="str">
        <f aca="false">IF(A1852="","",IF(C1852="","KOSONG",IF(AND(LEN(C1852)=16,ISNUMBER(--C1852)),"OK","TIDAK VALID")))</f>
        <v/>
      </c>
    </row>
    <row r="1853" customFormat="false" ht="15" hidden="false" customHeight="false" outlineLevel="0" collapsed="false">
      <c r="A1853" s="21"/>
      <c r="B1853" s="22"/>
      <c r="C1853" s="21"/>
      <c r="D1853" s="22"/>
      <c r="E1853" s="22"/>
      <c r="F1853" s="28"/>
      <c r="G1853" s="22"/>
      <c r="H1853" s="21"/>
      <c r="I1853" s="28"/>
      <c r="J1853" s="22"/>
      <c r="K1853" s="22"/>
      <c r="L1853" s="22"/>
      <c r="M1853" s="21"/>
      <c r="N1853" s="22"/>
      <c r="O1853" s="29" t="str">
        <f aca="false">IF(A1853="","",IF(COUNTIF($A$2:$A$2001,A1853)&gt;1,"GANDA","OK"))</f>
        <v/>
      </c>
      <c r="P1853" s="29" t="str">
        <f aca="false">IF(A1853="","",IF(C1853="","KOSONG",IF(AND(LEN(C1853)=16,ISNUMBER(--C1853)),"OK","TIDAK VALID")))</f>
        <v/>
      </c>
    </row>
    <row r="1854" customFormat="false" ht="15" hidden="false" customHeight="false" outlineLevel="0" collapsed="false">
      <c r="A1854" s="21"/>
      <c r="B1854" s="22"/>
      <c r="C1854" s="21"/>
      <c r="D1854" s="22"/>
      <c r="E1854" s="22"/>
      <c r="F1854" s="28"/>
      <c r="G1854" s="22"/>
      <c r="H1854" s="21"/>
      <c r="I1854" s="28"/>
      <c r="J1854" s="22"/>
      <c r="K1854" s="22"/>
      <c r="L1854" s="22"/>
      <c r="M1854" s="21"/>
      <c r="N1854" s="22"/>
      <c r="O1854" s="29" t="str">
        <f aca="false">IF(A1854="","",IF(COUNTIF($A$2:$A$2001,A1854)&gt;1,"GANDA","OK"))</f>
        <v/>
      </c>
      <c r="P1854" s="29" t="str">
        <f aca="false">IF(A1854="","",IF(C1854="","KOSONG",IF(AND(LEN(C1854)=16,ISNUMBER(--C1854)),"OK","TIDAK VALID")))</f>
        <v/>
      </c>
    </row>
    <row r="1855" customFormat="false" ht="15" hidden="false" customHeight="false" outlineLevel="0" collapsed="false">
      <c r="A1855" s="21"/>
      <c r="B1855" s="22"/>
      <c r="C1855" s="21"/>
      <c r="D1855" s="22"/>
      <c r="E1855" s="22"/>
      <c r="F1855" s="28"/>
      <c r="G1855" s="22"/>
      <c r="H1855" s="21"/>
      <c r="I1855" s="28"/>
      <c r="J1855" s="22"/>
      <c r="K1855" s="22"/>
      <c r="L1855" s="22"/>
      <c r="M1855" s="21"/>
      <c r="N1855" s="22"/>
      <c r="O1855" s="29" t="str">
        <f aca="false">IF(A1855="","",IF(COUNTIF($A$2:$A$2001,A1855)&gt;1,"GANDA","OK"))</f>
        <v/>
      </c>
      <c r="P1855" s="29" t="str">
        <f aca="false">IF(A1855="","",IF(C1855="","KOSONG",IF(AND(LEN(C1855)=16,ISNUMBER(--C1855)),"OK","TIDAK VALID")))</f>
        <v/>
      </c>
    </row>
    <row r="1856" customFormat="false" ht="15" hidden="false" customHeight="false" outlineLevel="0" collapsed="false">
      <c r="A1856" s="21"/>
      <c r="B1856" s="22"/>
      <c r="C1856" s="21"/>
      <c r="D1856" s="22"/>
      <c r="E1856" s="22"/>
      <c r="F1856" s="28"/>
      <c r="G1856" s="22"/>
      <c r="H1856" s="21"/>
      <c r="I1856" s="28"/>
      <c r="J1856" s="22"/>
      <c r="K1856" s="22"/>
      <c r="L1856" s="22"/>
      <c r="M1856" s="21"/>
      <c r="N1856" s="22"/>
      <c r="O1856" s="29" t="str">
        <f aca="false">IF(A1856="","",IF(COUNTIF($A$2:$A$2001,A1856)&gt;1,"GANDA","OK"))</f>
        <v/>
      </c>
      <c r="P1856" s="29" t="str">
        <f aca="false">IF(A1856="","",IF(C1856="","KOSONG",IF(AND(LEN(C1856)=16,ISNUMBER(--C1856)),"OK","TIDAK VALID")))</f>
        <v/>
      </c>
    </row>
    <row r="1857" customFormat="false" ht="15" hidden="false" customHeight="false" outlineLevel="0" collapsed="false">
      <c r="A1857" s="21"/>
      <c r="B1857" s="22"/>
      <c r="C1857" s="21"/>
      <c r="D1857" s="22"/>
      <c r="E1857" s="22"/>
      <c r="F1857" s="28"/>
      <c r="G1857" s="22"/>
      <c r="H1857" s="21"/>
      <c r="I1857" s="28"/>
      <c r="J1857" s="22"/>
      <c r="K1857" s="22"/>
      <c r="L1857" s="22"/>
      <c r="M1857" s="21"/>
      <c r="N1857" s="22"/>
      <c r="O1857" s="29" t="str">
        <f aca="false">IF(A1857="","",IF(COUNTIF($A$2:$A$2001,A1857)&gt;1,"GANDA","OK"))</f>
        <v/>
      </c>
      <c r="P1857" s="29" t="str">
        <f aca="false">IF(A1857="","",IF(C1857="","KOSONG",IF(AND(LEN(C1857)=16,ISNUMBER(--C1857)),"OK","TIDAK VALID")))</f>
        <v/>
      </c>
    </row>
    <row r="1858" customFormat="false" ht="15" hidden="false" customHeight="false" outlineLevel="0" collapsed="false">
      <c r="A1858" s="21"/>
      <c r="B1858" s="22"/>
      <c r="C1858" s="21"/>
      <c r="D1858" s="22"/>
      <c r="E1858" s="22"/>
      <c r="F1858" s="28"/>
      <c r="G1858" s="22"/>
      <c r="H1858" s="21"/>
      <c r="I1858" s="28"/>
      <c r="J1858" s="22"/>
      <c r="K1858" s="22"/>
      <c r="L1858" s="22"/>
      <c r="M1858" s="21"/>
      <c r="N1858" s="22"/>
      <c r="O1858" s="29" t="str">
        <f aca="false">IF(A1858="","",IF(COUNTIF($A$2:$A$2001,A1858)&gt;1,"GANDA","OK"))</f>
        <v/>
      </c>
      <c r="P1858" s="29" t="str">
        <f aca="false">IF(A1858="","",IF(C1858="","KOSONG",IF(AND(LEN(C1858)=16,ISNUMBER(--C1858)),"OK","TIDAK VALID")))</f>
        <v/>
      </c>
    </row>
    <row r="1859" customFormat="false" ht="15" hidden="false" customHeight="false" outlineLevel="0" collapsed="false">
      <c r="A1859" s="21"/>
      <c r="B1859" s="22"/>
      <c r="C1859" s="21"/>
      <c r="D1859" s="22"/>
      <c r="E1859" s="22"/>
      <c r="F1859" s="28"/>
      <c r="G1859" s="22"/>
      <c r="H1859" s="21"/>
      <c r="I1859" s="28"/>
      <c r="J1859" s="22"/>
      <c r="K1859" s="22"/>
      <c r="L1859" s="22"/>
      <c r="M1859" s="21"/>
      <c r="N1859" s="22"/>
      <c r="O1859" s="29" t="str">
        <f aca="false">IF(A1859="","",IF(COUNTIF($A$2:$A$2001,A1859)&gt;1,"GANDA","OK"))</f>
        <v/>
      </c>
      <c r="P1859" s="29" t="str">
        <f aca="false">IF(A1859="","",IF(C1859="","KOSONG",IF(AND(LEN(C1859)=16,ISNUMBER(--C1859)),"OK","TIDAK VALID")))</f>
        <v/>
      </c>
    </row>
    <row r="1860" customFormat="false" ht="15" hidden="false" customHeight="false" outlineLevel="0" collapsed="false">
      <c r="A1860" s="21"/>
      <c r="B1860" s="22"/>
      <c r="C1860" s="21"/>
      <c r="D1860" s="22"/>
      <c r="E1860" s="22"/>
      <c r="F1860" s="28"/>
      <c r="G1860" s="22"/>
      <c r="H1860" s="21"/>
      <c r="I1860" s="28"/>
      <c r="J1860" s="22"/>
      <c r="K1860" s="22"/>
      <c r="L1860" s="22"/>
      <c r="M1860" s="21"/>
      <c r="N1860" s="22"/>
      <c r="O1860" s="29" t="str">
        <f aca="false">IF(A1860="","",IF(COUNTIF($A$2:$A$2001,A1860)&gt;1,"GANDA","OK"))</f>
        <v/>
      </c>
      <c r="P1860" s="29" t="str">
        <f aca="false">IF(A1860="","",IF(C1860="","KOSONG",IF(AND(LEN(C1860)=16,ISNUMBER(--C1860)),"OK","TIDAK VALID")))</f>
        <v/>
      </c>
    </row>
    <row r="1861" customFormat="false" ht="15" hidden="false" customHeight="false" outlineLevel="0" collapsed="false">
      <c r="A1861" s="21"/>
      <c r="B1861" s="22"/>
      <c r="C1861" s="21"/>
      <c r="D1861" s="22"/>
      <c r="E1861" s="22"/>
      <c r="F1861" s="28"/>
      <c r="G1861" s="22"/>
      <c r="H1861" s="21"/>
      <c r="I1861" s="28"/>
      <c r="J1861" s="22"/>
      <c r="K1861" s="22"/>
      <c r="L1861" s="22"/>
      <c r="M1861" s="21"/>
      <c r="N1861" s="22"/>
      <c r="O1861" s="29" t="str">
        <f aca="false">IF(A1861="","",IF(COUNTIF($A$2:$A$2001,A1861)&gt;1,"GANDA","OK"))</f>
        <v/>
      </c>
      <c r="P1861" s="29" t="str">
        <f aca="false">IF(A1861="","",IF(C1861="","KOSONG",IF(AND(LEN(C1861)=16,ISNUMBER(--C1861)),"OK","TIDAK VALID")))</f>
        <v/>
      </c>
    </row>
    <row r="1862" customFormat="false" ht="15" hidden="false" customHeight="false" outlineLevel="0" collapsed="false">
      <c r="A1862" s="21"/>
      <c r="B1862" s="22"/>
      <c r="C1862" s="21"/>
      <c r="D1862" s="22"/>
      <c r="E1862" s="22"/>
      <c r="F1862" s="28"/>
      <c r="G1862" s="22"/>
      <c r="H1862" s="21"/>
      <c r="I1862" s="28"/>
      <c r="J1862" s="22"/>
      <c r="K1862" s="22"/>
      <c r="L1862" s="22"/>
      <c r="M1862" s="21"/>
      <c r="N1862" s="22"/>
      <c r="O1862" s="29" t="str">
        <f aca="false">IF(A1862="","",IF(COUNTIF($A$2:$A$2001,A1862)&gt;1,"GANDA","OK"))</f>
        <v/>
      </c>
      <c r="P1862" s="29" t="str">
        <f aca="false">IF(A1862="","",IF(C1862="","KOSONG",IF(AND(LEN(C1862)=16,ISNUMBER(--C1862)),"OK","TIDAK VALID")))</f>
        <v/>
      </c>
    </row>
    <row r="1863" customFormat="false" ht="15" hidden="false" customHeight="false" outlineLevel="0" collapsed="false">
      <c r="A1863" s="21"/>
      <c r="B1863" s="22"/>
      <c r="C1863" s="21"/>
      <c r="D1863" s="22"/>
      <c r="E1863" s="22"/>
      <c r="F1863" s="28"/>
      <c r="G1863" s="22"/>
      <c r="H1863" s="21"/>
      <c r="I1863" s="28"/>
      <c r="J1863" s="22"/>
      <c r="K1863" s="22"/>
      <c r="L1863" s="22"/>
      <c r="M1863" s="21"/>
      <c r="N1863" s="22"/>
      <c r="O1863" s="29" t="str">
        <f aca="false">IF(A1863="","",IF(COUNTIF($A$2:$A$2001,A1863)&gt;1,"GANDA","OK"))</f>
        <v/>
      </c>
      <c r="P1863" s="29" t="str">
        <f aca="false">IF(A1863="","",IF(C1863="","KOSONG",IF(AND(LEN(C1863)=16,ISNUMBER(--C1863)),"OK","TIDAK VALID")))</f>
        <v/>
      </c>
    </row>
    <row r="1864" customFormat="false" ht="15" hidden="false" customHeight="false" outlineLevel="0" collapsed="false">
      <c r="A1864" s="21"/>
      <c r="B1864" s="22"/>
      <c r="C1864" s="21"/>
      <c r="D1864" s="22"/>
      <c r="E1864" s="22"/>
      <c r="F1864" s="28"/>
      <c r="G1864" s="22"/>
      <c r="H1864" s="21"/>
      <c r="I1864" s="28"/>
      <c r="J1864" s="22"/>
      <c r="K1864" s="22"/>
      <c r="L1864" s="22"/>
      <c r="M1864" s="21"/>
      <c r="N1864" s="22"/>
      <c r="O1864" s="29" t="str">
        <f aca="false">IF(A1864="","",IF(COUNTIF($A$2:$A$2001,A1864)&gt;1,"GANDA","OK"))</f>
        <v/>
      </c>
      <c r="P1864" s="29" t="str">
        <f aca="false">IF(A1864="","",IF(C1864="","KOSONG",IF(AND(LEN(C1864)=16,ISNUMBER(--C1864)),"OK","TIDAK VALID")))</f>
        <v/>
      </c>
    </row>
    <row r="1865" customFormat="false" ht="15" hidden="false" customHeight="false" outlineLevel="0" collapsed="false">
      <c r="A1865" s="21"/>
      <c r="B1865" s="22"/>
      <c r="C1865" s="21"/>
      <c r="D1865" s="22"/>
      <c r="E1865" s="22"/>
      <c r="F1865" s="28"/>
      <c r="G1865" s="22"/>
      <c r="H1865" s="21"/>
      <c r="I1865" s="28"/>
      <c r="J1865" s="22"/>
      <c r="K1865" s="22"/>
      <c r="L1865" s="22"/>
      <c r="M1865" s="21"/>
      <c r="N1865" s="22"/>
      <c r="O1865" s="29" t="str">
        <f aca="false">IF(A1865="","",IF(COUNTIF($A$2:$A$2001,A1865)&gt;1,"GANDA","OK"))</f>
        <v/>
      </c>
      <c r="P1865" s="29" t="str">
        <f aca="false">IF(A1865="","",IF(C1865="","KOSONG",IF(AND(LEN(C1865)=16,ISNUMBER(--C1865)),"OK","TIDAK VALID")))</f>
        <v/>
      </c>
    </row>
    <row r="1866" customFormat="false" ht="15" hidden="false" customHeight="false" outlineLevel="0" collapsed="false">
      <c r="A1866" s="21"/>
      <c r="B1866" s="22"/>
      <c r="C1866" s="21"/>
      <c r="D1866" s="22"/>
      <c r="E1866" s="22"/>
      <c r="F1866" s="28"/>
      <c r="G1866" s="22"/>
      <c r="H1866" s="21"/>
      <c r="I1866" s="28"/>
      <c r="J1866" s="22"/>
      <c r="K1866" s="22"/>
      <c r="L1866" s="22"/>
      <c r="M1866" s="21"/>
      <c r="N1866" s="22"/>
      <c r="O1866" s="29" t="str">
        <f aca="false">IF(A1866="","",IF(COUNTIF($A$2:$A$2001,A1866)&gt;1,"GANDA","OK"))</f>
        <v/>
      </c>
      <c r="P1866" s="29" t="str">
        <f aca="false">IF(A1866="","",IF(C1866="","KOSONG",IF(AND(LEN(C1866)=16,ISNUMBER(--C1866)),"OK","TIDAK VALID")))</f>
        <v/>
      </c>
    </row>
    <row r="1867" customFormat="false" ht="15" hidden="false" customHeight="false" outlineLevel="0" collapsed="false">
      <c r="A1867" s="21"/>
      <c r="B1867" s="22"/>
      <c r="C1867" s="21"/>
      <c r="D1867" s="22"/>
      <c r="E1867" s="22"/>
      <c r="F1867" s="28"/>
      <c r="G1867" s="22"/>
      <c r="H1867" s="21"/>
      <c r="I1867" s="28"/>
      <c r="J1867" s="22"/>
      <c r="K1867" s="22"/>
      <c r="L1867" s="22"/>
      <c r="M1867" s="21"/>
      <c r="N1867" s="22"/>
      <c r="O1867" s="29" t="str">
        <f aca="false">IF(A1867="","",IF(COUNTIF($A$2:$A$2001,A1867)&gt;1,"GANDA","OK"))</f>
        <v/>
      </c>
      <c r="P1867" s="29" t="str">
        <f aca="false">IF(A1867="","",IF(C1867="","KOSONG",IF(AND(LEN(C1867)=16,ISNUMBER(--C1867)),"OK","TIDAK VALID")))</f>
        <v/>
      </c>
    </row>
    <row r="1868" customFormat="false" ht="15" hidden="false" customHeight="false" outlineLevel="0" collapsed="false">
      <c r="A1868" s="21"/>
      <c r="B1868" s="22"/>
      <c r="C1868" s="21"/>
      <c r="D1868" s="22"/>
      <c r="E1868" s="22"/>
      <c r="F1868" s="28"/>
      <c r="G1868" s="22"/>
      <c r="H1868" s="21"/>
      <c r="I1868" s="28"/>
      <c r="J1868" s="22"/>
      <c r="K1868" s="22"/>
      <c r="L1868" s="22"/>
      <c r="M1868" s="21"/>
      <c r="N1868" s="22"/>
      <c r="O1868" s="29" t="str">
        <f aca="false">IF(A1868="","",IF(COUNTIF($A$2:$A$2001,A1868)&gt;1,"GANDA","OK"))</f>
        <v/>
      </c>
      <c r="P1868" s="29" t="str">
        <f aca="false">IF(A1868="","",IF(C1868="","KOSONG",IF(AND(LEN(C1868)=16,ISNUMBER(--C1868)),"OK","TIDAK VALID")))</f>
        <v/>
      </c>
    </row>
    <row r="1869" customFormat="false" ht="15" hidden="false" customHeight="false" outlineLevel="0" collapsed="false">
      <c r="A1869" s="21"/>
      <c r="B1869" s="22"/>
      <c r="C1869" s="21"/>
      <c r="D1869" s="22"/>
      <c r="E1869" s="22"/>
      <c r="F1869" s="28"/>
      <c r="G1869" s="22"/>
      <c r="H1869" s="21"/>
      <c r="I1869" s="28"/>
      <c r="J1869" s="22"/>
      <c r="K1869" s="22"/>
      <c r="L1869" s="22"/>
      <c r="M1869" s="21"/>
      <c r="N1869" s="22"/>
      <c r="O1869" s="29" t="str">
        <f aca="false">IF(A1869="","",IF(COUNTIF($A$2:$A$2001,A1869)&gt;1,"GANDA","OK"))</f>
        <v/>
      </c>
      <c r="P1869" s="29" t="str">
        <f aca="false">IF(A1869="","",IF(C1869="","KOSONG",IF(AND(LEN(C1869)=16,ISNUMBER(--C1869)),"OK","TIDAK VALID")))</f>
        <v/>
      </c>
    </row>
    <row r="1870" customFormat="false" ht="15" hidden="false" customHeight="false" outlineLevel="0" collapsed="false">
      <c r="A1870" s="21"/>
      <c r="B1870" s="22"/>
      <c r="C1870" s="21"/>
      <c r="D1870" s="22"/>
      <c r="E1870" s="22"/>
      <c r="F1870" s="28"/>
      <c r="G1870" s="22"/>
      <c r="H1870" s="21"/>
      <c r="I1870" s="28"/>
      <c r="J1870" s="22"/>
      <c r="K1870" s="22"/>
      <c r="L1870" s="22"/>
      <c r="M1870" s="21"/>
      <c r="N1870" s="22"/>
      <c r="O1870" s="29" t="str">
        <f aca="false">IF(A1870="","",IF(COUNTIF($A$2:$A$2001,A1870)&gt;1,"GANDA","OK"))</f>
        <v/>
      </c>
      <c r="P1870" s="29" t="str">
        <f aca="false">IF(A1870="","",IF(C1870="","KOSONG",IF(AND(LEN(C1870)=16,ISNUMBER(--C1870)),"OK","TIDAK VALID")))</f>
        <v/>
      </c>
    </row>
    <row r="1871" customFormat="false" ht="15" hidden="false" customHeight="false" outlineLevel="0" collapsed="false">
      <c r="A1871" s="21"/>
      <c r="B1871" s="22"/>
      <c r="C1871" s="21"/>
      <c r="D1871" s="22"/>
      <c r="E1871" s="22"/>
      <c r="F1871" s="28"/>
      <c r="G1871" s="22"/>
      <c r="H1871" s="21"/>
      <c r="I1871" s="28"/>
      <c r="J1871" s="22"/>
      <c r="K1871" s="22"/>
      <c r="L1871" s="22"/>
      <c r="M1871" s="21"/>
      <c r="N1871" s="22"/>
      <c r="O1871" s="29" t="str">
        <f aca="false">IF(A1871="","",IF(COUNTIF($A$2:$A$2001,A1871)&gt;1,"GANDA","OK"))</f>
        <v/>
      </c>
      <c r="P1871" s="29" t="str">
        <f aca="false">IF(A1871="","",IF(C1871="","KOSONG",IF(AND(LEN(C1871)=16,ISNUMBER(--C1871)),"OK","TIDAK VALID")))</f>
        <v/>
      </c>
    </row>
    <row r="1872" customFormat="false" ht="15" hidden="false" customHeight="false" outlineLevel="0" collapsed="false">
      <c r="A1872" s="21"/>
      <c r="B1872" s="22"/>
      <c r="C1872" s="21"/>
      <c r="D1872" s="22"/>
      <c r="E1872" s="22"/>
      <c r="F1872" s="28"/>
      <c r="G1872" s="22"/>
      <c r="H1872" s="21"/>
      <c r="I1872" s="28"/>
      <c r="J1872" s="22"/>
      <c r="K1872" s="22"/>
      <c r="L1872" s="22"/>
      <c r="M1872" s="21"/>
      <c r="N1872" s="22"/>
      <c r="O1872" s="29" t="str">
        <f aca="false">IF(A1872="","",IF(COUNTIF($A$2:$A$2001,A1872)&gt;1,"GANDA","OK"))</f>
        <v/>
      </c>
      <c r="P1872" s="29" t="str">
        <f aca="false">IF(A1872="","",IF(C1872="","KOSONG",IF(AND(LEN(C1872)=16,ISNUMBER(--C1872)),"OK","TIDAK VALID")))</f>
        <v/>
      </c>
    </row>
    <row r="1873" customFormat="false" ht="15" hidden="false" customHeight="false" outlineLevel="0" collapsed="false">
      <c r="A1873" s="21"/>
      <c r="B1873" s="22"/>
      <c r="C1873" s="21"/>
      <c r="D1873" s="22"/>
      <c r="E1873" s="22"/>
      <c r="F1873" s="28"/>
      <c r="G1873" s="22"/>
      <c r="H1873" s="21"/>
      <c r="I1873" s="28"/>
      <c r="J1873" s="22"/>
      <c r="K1873" s="22"/>
      <c r="L1873" s="22"/>
      <c r="M1873" s="21"/>
      <c r="N1873" s="22"/>
      <c r="O1873" s="29" t="str">
        <f aca="false">IF(A1873="","",IF(COUNTIF($A$2:$A$2001,A1873)&gt;1,"GANDA","OK"))</f>
        <v/>
      </c>
      <c r="P1873" s="29" t="str">
        <f aca="false">IF(A1873="","",IF(C1873="","KOSONG",IF(AND(LEN(C1873)=16,ISNUMBER(--C1873)),"OK","TIDAK VALID")))</f>
        <v/>
      </c>
    </row>
    <row r="1874" customFormat="false" ht="15" hidden="false" customHeight="false" outlineLevel="0" collapsed="false">
      <c r="A1874" s="21"/>
      <c r="B1874" s="22"/>
      <c r="C1874" s="21"/>
      <c r="D1874" s="22"/>
      <c r="E1874" s="22"/>
      <c r="F1874" s="28"/>
      <c r="G1874" s="22"/>
      <c r="H1874" s="21"/>
      <c r="I1874" s="28"/>
      <c r="J1874" s="22"/>
      <c r="K1874" s="22"/>
      <c r="L1874" s="22"/>
      <c r="M1874" s="21"/>
      <c r="N1874" s="22"/>
      <c r="O1874" s="29" t="str">
        <f aca="false">IF(A1874="","",IF(COUNTIF($A$2:$A$2001,A1874)&gt;1,"GANDA","OK"))</f>
        <v/>
      </c>
      <c r="P1874" s="29" t="str">
        <f aca="false">IF(A1874="","",IF(C1874="","KOSONG",IF(AND(LEN(C1874)=16,ISNUMBER(--C1874)),"OK","TIDAK VALID")))</f>
        <v/>
      </c>
    </row>
    <row r="1875" customFormat="false" ht="15" hidden="false" customHeight="false" outlineLevel="0" collapsed="false">
      <c r="A1875" s="21"/>
      <c r="B1875" s="22"/>
      <c r="C1875" s="21"/>
      <c r="D1875" s="22"/>
      <c r="E1875" s="22"/>
      <c r="F1875" s="28"/>
      <c r="G1875" s="22"/>
      <c r="H1875" s="21"/>
      <c r="I1875" s="28"/>
      <c r="J1875" s="22"/>
      <c r="K1875" s="22"/>
      <c r="L1875" s="22"/>
      <c r="M1875" s="21"/>
      <c r="N1875" s="22"/>
      <c r="O1875" s="29" t="str">
        <f aca="false">IF(A1875="","",IF(COUNTIF($A$2:$A$2001,A1875)&gt;1,"GANDA","OK"))</f>
        <v/>
      </c>
      <c r="P1875" s="29" t="str">
        <f aca="false">IF(A1875="","",IF(C1875="","KOSONG",IF(AND(LEN(C1875)=16,ISNUMBER(--C1875)),"OK","TIDAK VALID")))</f>
        <v/>
      </c>
    </row>
    <row r="1876" customFormat="false" ht="15" hidden="false" customHeight="false" outlineLevel="0" collapsed="false">
      <c r="A1876" s="21"/>
      <c r="B1876" s="22"/>
      <c r="C1876" s="21"/>
      <c r="D1876" s="22"/>
      <c r="E1876" s="22"/>
      <c r="F1876" s="28"/>
      <c r="G1876" s="22"/>
      <c r="H1876" s="21"/>
      <c r="I1876" s="28"/>
      <c r="J1876" s="22"/>
      <c r="K1876" s="22"/>
      <c r="L1876" s="22"/>
      <c r="M1876" s="21"/>
      <c r="N1876" s="22"/>
      <c r="O1876" s="29" t="str">
        <f aca="false">IF(A1876="","",IF(COUNTIF($A$2:$A$2001,A1876)&gt;1,"GANDA","OK"))</f>
        <v/>
      </c>
      <c r="P1876" s="29" t="str">
        <f aca="false">IF(A1876="","",IF(C1876="","KOSONG",IF(AND(LEN(C1876)=16,ISNUMBER(--C1876)),"OK","TIDAK VALID")))</f>
        <v/>
      </c>
    </row>
    <row r="1877" customFormat="false" ht="15" hidden="false" customHeight="false" outlineLevel="0" collapsed="false">
      <c r="A1877" s="21"/>
      <c r="B1877" s="22"/>
      <c r="C1877" s="21"/>
      <c r="D1877" s="22"/>
      <c r="E1877" s="22"/>
      <c r="F1877" s="28"/>
      <c r="G1877" s="22"/>
      <c r="H1877" s="21"/>
      <c r="I1877" s="28"/>
      <c r="J1877" s="22"/>
      <c r="K1877" s="22"/>
      <c r="L1877" s="22"/>
      <c r="M1877" s="21"/>
      <c r="N1877" s="22"/>
      <c r="O1877" s="29" t="str">
        <f aca="false">IF(A1877="","",IF(COUNTIF($A$2:$A$2001,A1877)&gt;1,"GANDA","OK"))</f>
        <v/>
      </c>
      <c r="P1877" s="29" t="str">
        <f aca="false">IF(A1877="","",IF(C1877="","KOSONG",IF(AND(LEN(C1877)=16,ISNUMBER(--C1877)),"OK","TIDAK VALID")))</f>
        <v/>
      </c>
    </row>
    <row r="1878" customFormat="false" ht="15" hidden="false" customHeight="false" outlineLevel="0" collapsed="false">
      <c r="A1878" s="21"/>
      <c r="B1878" s="22"/>
      <c r="C1878" s="21"/>
      <c r="D1878" s="22"/>
      <c r="E1878" s="22"/>
      <c r="F1878" s="28"/>
      <c r="G1878" s="22"/>
      <c r="H1878" s="21"/>
      <c r="I1878" s="28"/>
      <c r="J1878" s="22"/>
      <c r="K1878" s="22"/>
      <c r="L1878" s="22"/>
      <c r="M1878" s="21"/>
      <c r="N1878" s="22"/>
      <c r="O1878" s="29" t="str">
        <f aca="false">IF(A1878="","",IF(COUNTIF($A$2:$A$2001,A1878)&gt;1,"GANDA","OK"))</f>
        <v/>
      </c>
      <c r="P1878" s="29" t="str">
        <f aca="false">IF(A1878="","",IF(C1878="","KOSONG",IF(AND(LEN(C1878)=16,ISNUMBER(--C1878)),"OK","TIDAK VALID")))</f>
        <v/>
      </c>
    </row>
    <row r="1879" customFormat="false" ht="15" hidden="false" customHeight="false" outlineLevel="0" collapsed="false">
      <c r="A1879" s="21"/>
      <c r="B1879" s="22"/>
      <c r="C1879" s="21"/>
      <c r="D1879" s="22"/>
      <c r="E1879" s="22"/>
      <c r="F1879" s="28"/>
      <c r="G1879" s="22"/>
      <c r="H1879" s="21"/>
      <c r="I1879" s="28"/>
      <c r="J1879" s="22"/>
      <c r="K1879" s="22"/>
      <c r="L1879" s="22"/>
      <c r="M1879" s="21"/>
      <c r="N1879" s="22"/>
      <c r="O1879" s="29" t="str">
        <f aca="false">IF(A1879="","",IF(COUNTIF($A$2:$A$2001,A1879)&gt;1,"GANDA","OK"))</f>
        <v/>
      </c>
      <c r="P1879" s="29" t="str">
        <f aca="false">IF(A1879="","",IF(C1879="","KOSONG",IF(AND(LEN(C1879)=16,ISNUMBER(--C1879)),"OK","TIDAK VALID")))</f>
        <v/>
      </c>
    </row>
    <row r="1880" customFormat="false" ht="15" hidden="false" customHeight="false" outlineLevel="0" collapsed="false">
      <c r="A1880" s="21"/>
      <c r="B1880" s="22"/>
      <c r="C1880" s="21"/>
      <c r="D1880" s="22"/>
      <c r="E1880" s="22"/>
      <c r="F1880" s="28"/>
      <c r="G1880" s="22"/>
      <c r="H1880" s="21"/>
      <c r="I1880" s="28"/>
      <c r="J1880" s="22"/>
      <c r="K1880" s="22"/>
      <c r="L1880" s="22"/>
      <c r="M1880" s="21"/>
      <c r="N1880" s="22"/>
      <c r="O1880" s="29" t="str">
        <f aca="false">IF(A1880="","",IF(COUNTIF($A$2:$A$2001,A1880)&gt;1,"GANDA","OK"))</f>
        <v/>
      </c>
      <c r="P1880" s="29" t="str">
        <f aca="false">IF(A1880="","",IF(C1880="","KOSONG",IF(AND(LEN(C1880)=16,ISNUMBER(--C1880)),"OK","TIDAK VALID")))</f>
        <v/>
      </c>
    </row>
    <row r="1881" customFormat="false" ht="15" hidden="false" customHeight="false" outlineLevel="0" collapsed="false">
      <c r="A1881" s="21"/>
      <c r="B1881" s="22"/>
      <c r="C1881" s="21"/>
      <c r="D1881" s="22"/>
      <c r="E1881" s="22"/>
      <c r="F1881" s="28"/>
      <c r="G1881" s="22"/>
      <c r="H1881" s="21"/>
      <c r="I1881" s="28"/>
      <c r="J1881" s="22"/>
      <c r="K1881" s="22"/>
      <c r="L1881" s="22"/>
      <c r="M1881" s="21"/>
      <c r="N1881" s="22"/>
      <c r="O1881" s="29" t="str">
        <f aca="false">IF(A1881="","",IF(COUNTIF($A$2:$A$2001,A1881)&gt;1,"GANDA","OK"))</f>
        <v/>
      </c>
      <c r="P1881" s="29" t="str">
        <f aca="false">IF(A1881="","",IF(C1881="","KOSONG",IF(AND(LEN(C1881)=16,ISNUMBER(--C1881)),"OK","TIDAK VALID")))</f>
        <v/>
      </c>
    </row>
    <row r="1882" customFormat="false" ht="15" hidden="false" customHeight="false" outlineLevel="0" collapsed="false">
      <c r="A1882" s="21"/>
      <c r="B1882" s="22"/>
      <c r="C1882" s="21"/>
      <c r="D1882" s="22"/>
      <c r="E1882" s="22"/>
      <c r="F1882" s="28"/>
      <c r="G1882" s="22"/>
      <c r="H1882" s="21"/>
      <c r="I1882" s="28"/>
      <c r="J1882" s="22"/>
      <c r="K1882" s="22"/>
      <c r="L1882" s="22"/>
      <c r="M1882" s="21"/>
      <c r="N1882" s="22"/>
      <c r="O1882" s="29" t="str">
        <f aca="false">IF(A1882="","",IF(COUNTIF($A$2:$A$2001,A1882)&gt;1,"GANDA","OK"))</f>
        <v/>
      </c>
      <c r="P1882" s="29" t="str">
        <f aca="false">IF(A1882="","",IF(C1882="","KOSONG",IF(AND(LEN(C1882)=16,ISNUMBER(--C1882)),"OK","TIDAK VALID")))</f>
        <v/>
      </c>
    </row>
    <row r="1883" customFormat="false" ht="15" hidden="false" customHeight="false" outlineLevel="0" collapsed="false">
      <c r="A1883" s="21"/>
      <c r="B1883" s="22"/>
      <c r="C1883" s="21"/>
      <c r="D1883" s="22"/>
      <c r="E1883" s="22"/>
      <c r="F1883" s="28"/>
      <c r="G1883" s="22"/>
      <c r="H1883" s="21"/>
      <c r="I1883" s="28"/>
      <c r="J1883" s="22"/>
      <c r="K1883" s="22"/>
      <c r="L1883" s="22"/>
      <c r="M1883" s="21"/>
      <c r="N1883" s="22"/>
      <c r="O1883" s="29" t="str">
        <f aca="false">IF(A1883="","",IF(COUNTIF($A$2:$A$2001,A1883)&gt;1,"GANDA","OK"))</f>
        <v/>
      </c>
      <c r="P1883" s="29" t="str">
        <f aca="false">IF(A1883="","",IF(C1883="","KOSONG",IF(AND(LEN(C1883)=16,ISNUMBER(--C1883)),"OK","TIDAK VALID")))</f>
        <v/>
      </c>
    </row>
    <row r="1884" customFormat="false" ht="15" hidden="false" customHeight="false" outlineLevel="0" collapsed="false">
      <c r="A1884" s="21"/>
      <c r="B1884" s="22"/>
      <c r="C1884" s="21"/>
      <c r="D1884" s="22"/>
      <c r="E1884" s="22"/>
      <c r="F1884" s="28"/>
      <c r="G1884" s="22"/>
      <c r="H1884" s="21"/>
      <c r="I1884" s="28"/>
      <c r="J1884" s="22"/>
      <c r="K1884" s="22"/>
      <c r="L1884" s="22"/>
      <c r="M1884" s="21"/>
      <c r="N1884" s="22"/>
      <c r="O1884" s="29" t="str">
        <f aca="false">IF(A1884="","",IF(COUNTIF($A$2:$A$2001,A1884)&gt;1,"GANDA","OK"))</f>
        <v/>
      </c>
      <c r="P1884" s="29" t="str">
        <f aca="false">IF(A1884="","",IF(C1884="","KOSONG",IF(AND(LEN(C1884)=16,ISNUMBER(--C1884)),"OK","TIDAK VALID")))</f>
        <v/>
      </c>
    </row>
    <row r="1885" customFormat="false" ht="15" hidden="false" customHeight="false" outlineLevel="0" collapsed="false">
      <c r="A1885" s="21"/>
      <c r="B1885" s="22"/>
      <c r="C1885" s="21"/>
      <c r="D1885" s="22"/>
      <c r="E1885" s="22"/>
      <c r="F1885" s="28"/>
      <c r="G1885" s="22"/>
      <c r="H1885" s="21"/>
      <c r="I1885" s="28"/>
      <c r="J1885" s="22"/>
      <c r="K1885" s="22"/>
      <c r="L1885" s="22"/>
      <c r="M1885" s="21"/>
      <c r="N1885" s="22"/>
      <c r="O1885" s="29" t="str">
        <f aca="false">IF(A1885="","",IF(COUNTIF($A$2:$A$2001,A1885)&gt;1,"GANDA","OK"))</f>
        <v/>
      </c>
      <c r="P1885" s="29" t="str">
        <f aca="false">IF(A1885="","",IF(C1885="","KOSONG",IF(AND(LEN(C1885)=16,ISNUMBER(--C1885)),"OK","TIDAK VALID")))</f>
        <v/>
      </c>
    </row>
    <row r="1886" customFormat="false" ht="15" hidden="false" customHeight="false" outlineLevel="0" collapsed="false">
      <c r="A1886" s="21"/>
      <c r="B1886" s="22"/>
      <c r="C1886" s="21"/>
      <c r="D1886" s="22"/>
      <c r="E1886" s="22"/>
      <c r="F1886" s="28"/>
      <c r="G1886" s="22"/>
      <c r="H1886" s="21"/>
      <c r="I1886" s="28"/>
      <c r="J1886" s="22"/>
      <c r="K1886" s="22"/>
      <c r="L1886" s="22"/>
      <c r="M1886" s="21"/>
      <c r="N1886" s="22"/>
      <c r="O1886" s="29" t="str">
        <f aca="false">IF(A1886="","",IF(COUNTIF($A$2:$A$2001,A1886)&gt;1,"GANDA","OK"))</f>
        <v/>
      </c>
      <c r="P1886" s="29" t="str">
        <f aca="false">IF(A1886="","",IF(C1886="","KOSONG",IF(AND(LEN(C1886)=16,ISNUMBER(--C1886)),"OK","TIDAK VALID")))</f>
        <v/>
      </c>
    </row>
    <row r="1887" customFormat="false" ht="15" hidden="false" customHeight="false" outlineLevel="0" collapsed="false">
      <c r="A1887" s="21"/>
      <c r="B1887" s="22"/>
      <c r="C1887" s="21"/>
      <c r="D1887" s="22"/>
      <c r="E1887" s="22"/>
      <c r="F1887" s="28"/>
      <c r="G1887" s="22"/>
      <c r="H1887" s="21"/>
      <c r="I1887" s="28"/>
      <c r="J1887" s="22"/>
      <c r="K1887" s="22"/>
      <c r="L1887" s="22"/>
      <c r="M1887" s="21"/>
      <c r="N1887" s="22"/>
      <c r="O1887" s="29" t="str">
        <f aca="false">IF(A1887="","",IF(COUNTIF($A$2:$A$2001,A1887)&gt;1,"GANDA","OK"))</f>
        <v/>
      </c>
      <c r="P1887" s="29" t="str">
        <f aca="false">IF(A1887="","",IF(C1887="","KOSONG",IF(AND(LEN(C1887)=16,ISNUMBER(--C1887)),"OK","TIDAK VALID")))</f>
        <v/>
      </c>
    </row>
    <row r="1888" customFormat="false" ht="15" hidden="false" customHeight="false" outlineLevel="0" collapsed="false">
      <c r="A1888" s="21"/>
      <c r="B1888" s="22"/>
      <c r="C1888" s="21"/>
      <c r="D1888" s="22"/>
      <c r="E1888" s="22"/>
      <c r="F1888" s="28"/>
      <c r="G1888" s="22"/>
      <c r="H1888" s="21"/>
      <c r="I1888" s="28"/>
      <c r="J1888" s="22"/>
      <c r="K1888" s="22"/>
      <c r="L1888" s="22"/>
      <c r="M1888" s="21"/>
      <c r="N1888" s="22"/>
      <c r="O1888" s="29" t="str">
        <f aca="false">IF(A1888="","",IF(COUNTIF($A$2:$A$2001,A1888)&gt;1,"GANDA","OK"))</f>
        <v/>
      </c>
      <c r="P1888" s="29" t="str">
        <f aca="false">IF(A1888="","",IF(C1888="","KOSONG",IF(AND(LEN(C1888)=16,ISNUMBER(--C1888)),"OK","TIDAK VALID")))</f>
        <v/>
      </c>
    </row>
    <row r="1889" customFormat="false" ht="15" hidden="false" customHeight="false" outlineLevel="0" collapsed="false">
      <c r="A1889" s="21"/>
      <c r="B1889" s="22"/>
      <c r="C1889" s="21"/>
      <c r="D1889" s="22"/>
      <c r="E1889" s="22"/>
      <c r="F1889" s="28"/>
      <c r="G1889" s="22"/>
      <c r="H1889" s="21"/>
      <c r="I1889" s="28"/>
      <c r="J1889" s="22"/>
      <c r="K1889" s="22"/>
      <c r="L1889" s="22"/>
      <c r="M1889" s="21"/>
      <c r="N1889" s="22"/>
      <c r="O1889" s="29" t="str">
        <f aca="false">IF(A1889="","",IF(COUNTIF($A$2:$A$2001,A1889)&gt;1,"GANDA","OK"))</f>
        <v/>
      </c>
      <c r="P1889" s="29" t="str">
        <f aca="false">IF(A1889="","",IF(C1889="","KOSONG",IF(AND(LEN(C1889)=16,ISNUMBER(--C1889)),"OK","TIDAK VALID")))</f>
        <v/>
      </c>
    </row>
    <row r="1890" customFormat="false" ht="15" hidden="false" customHeight="false" outlineLevel="0" collapsed="false">
      <c r="A1890" s="21"/>
      <c r="B1890" s="22"/>
      <c r="C1890" s="21"/>
      <c r="D1890" s="22"/>
      <c r="E1890" s="22"/>
      <c r="F1890" s="28"/>
      <c r="G1890" s="22"/>
      <c r="H1890" s="21"/>
      <c r="I1890" s="28"/>
      <c r="J1890" s="22"/>
      <c r="K1890" s="22"/>
      <c r="L1890" s="22"/>
      <c r="M1890" s="21"/>
      <c r="N1890" s="22"/>
      <c r="O1890" s="29" t="str">
        <f aca="false">IF(A1890="","",IF(COUNTIF($A$2:$A$2001,A1890)&gt;1,"GANDA","OK"))</f>
        <v/>
      </c>
      <c r="P1890" s="29" t="str">
        <f aca="false">IF(A1890="","",IF(C1890="","KOSONG",IF(AND(LEN(C1890)=16,ISNUMBER(--C1890)),"OK","TIDAK VALID")))</f>
        <v/>
      </c>
    </row>
    <row r="1891" customFormat="false" ht="15" hidden="false" customHeight="false" outlineLevel="0" collapsed="false">
      <c r="A1891" s="21"/>
      <c r="B1891" s="22"/>
      <c r="C1891" s="21"/>
      <c r="D1891" s="22"/>
      <c r="E1891" s="22"/>
      <c r="F1891" s="28"/>
      <c r="G1891" s="22"/>
      <c r="H1891" s="21"/>
      <c r="I1891" s="28"/>
      <c r="J1891" s="22"/>
      <c r="K1891" s="22"/>
      <c r="L1891" s="22"/>
      <c r="M1891" s="21"/>
      <c r="N1891" s="22"/>
      <c r="O1891" s="29" t="str">
        <f aca="false">IF(A1891="","",IF(COUNTIF($A$2:$A$2001,A1891)&gt;1,"GANDA","OK"))</f>
        <v/>
      </c>
      <c r="P1891" s="29" t="str">
        <f aca="false">IF(A1891="","",IF(C1891="","KOSONG",IF(AND(LEN(C1891)=16,ISNUMBER(--C1891)),"OK","TIDAK VALID")))</f>
        <v/>
      </c>
    </row>
    <row r="1892" customFormat="false" ht="15" hidden="false" customHeight="false" outlineLevel="0" collapsed="false">
      <c r="A1892" s="21"/>
      <c r="B1892" s="22"/>
      <c r="C1892" s="21"/>
      <c r="D1892" s="22"/>
      <c r="E1892" s="22"/>
      <c r="F1892" s="28"/>
      <c r="G1892" s="22"/>
      <c r="H1892" s="21"/>
      <c r="I1892" s="28"/>
      <c r="J1892" s="22"/>
      <c r="K1892" s="22"/>
      <c r="L1892" s="22"/>
      <c r="M1892" s="21"/>
      <c r="N1892" s="22"/>
      <c r="O1892" s="29" t="str">
        <f aca="false">IF(A1892="","",IF(COUNTIF($A$2:$A$2001,A1892)&gt;1,"GANDA","OK"))</f>
        <v/>
      </c>
      <c r="P1892" s="29" t="str">
        <f aca="false">IF(A1892="","",IF(C1892="","KOSONG",IF(AND(LEN(C1892)=16,ISNUMBER(--C1892)),"OK","TIDAK VALID")))</f>
        <v/>
      </c>
    </row>
    <row r="1893" customFormat="false" ht="15" hidden="false" customHeight="false" outlineLevel="0" collapsed="false">
      <c r="A1893" s="21"/>
      <c r="B1893" s="22"/>
      <c r="C1893" s="21"/>
      <c r="D1893" s="22"/>
      <c r="E1893" s="22"/>
      <c r="F1893" s="28"/>
      <c r="G1893" s="22"/>
      <c r="H1893" s="21"/>
      <c r="I1893" s="28"/>
      <c r="J1893" s="22"/>
      <c r="K1893" s="22"/>
      <c r="L1893" s="22"/>
      <c r="M1893" s="21"/>
      <c r="N1893" s="22"/>
      <c r="O1893" s="29" t="str">
        <f aca="false">IF(A1893="","",IF(COUNTIF($A$2:$A$2001,A1893)&gt;1,"GANDA","OK"))</f>
        <v/>
      </c>
      <c r="P1893" s="29" t="str">
        <f aca="false">IF(A1893="","",IF(C1893="","KOSONG",IF(AND(LEN(C1893)=16,ISNUMBER(--C1893)),"OK","TIDAK VALID")))</f>
        <v/>
      </c>
    </row>
    <row r="1894" customFormat="false" ht="15" hidden="false" customHeight="false" outlineLevel="0" collapsed="false">
      <c r="A1894" s="21"/>
      <c r="B1894" s="22"/>
      <c r="C1894" s="21"/>
      <c r="D1894" s="22"/>
      <c r="E1894" s="22"/>
      <c r="F1894" s="28"/>
      <c r="G1894" s="22"/>
      <c r="H1894" s="21"/>
      <c r="I1894" s="28"/>
      <c r="J1894" s="22"/>
      <c r="K1894" s="22"/>
      <c r="L1894" s="22"/>
      <c r="M1894" s="21"/>
      <c r="N1894" s="22"/>
      <c r="O1894" s="29" t="str">
        <f aca="false">IF(A1894="","",IF(COUNTIF($A$2:$A$2001,A1894)&gt;1,"GANDA","OK"))</f>
        <v/>
      </c>
      <c r="P1894" s="29" t="str">
        <f aca="false">IF(A1894="","",IF(C1894="","KOSONG",IF(AND(LEN(C1894)=16,ISNUMBER(--C1894)),"OK","TIDAK VALID")))</f>
        <v/>
      </c>
    </row>
    <row r="1895" customFormat="false" ht="15" hidden="false" customHeight="false" outlineLevel="0" collapsed="false">
      <c r="A1895" s="21"/>
      <c r="B1895" s="22"/>
      <c r="C1895" s="21"/>
      <c r="D1895" s="22"/>
      <c r="E1895" s="22"/>
      <c r="F1895" s="28"/>
      <c r="G1895" s="22"/>
      <c r="H1895" s="21"/>
      <c r="I1895" s="28"/>
      <c r="J1895" s="22"/>
      <c r="K1895" s="22"/>
      <c r="L1895" s="22"/>
      <c r="M1895" s="21"/>
      <c r="N1895" s="22"/>
      <c r="O1895" s="29" t="str">
        <f aca="false">IF(A1895="","",IF(COUNTIF($A$2:$A$2001,A1895)&gt;1,"GANDA","OK"))</f>
        <v/>
      </c>
      <c r="P1895" s="29" t="str">
        <f aca="false">IF(A1895="","",IF(C1895="","KOSONG",IF(AND(LEN(C1895)=16,ISNUMBER(--C1895)),"OK","TIDAK VALID")))</f>
        <v/>
      </c>
    </row>
    <row r="1896" customFormat="false" ht="15" hidden="false" customHeight="false" outlineLevel="0" collapsed="false">
      <c r="A1896" s="21"/>
      <c r="B1896" s="22"/>
      <c r="C1896" s="21"/>
      <c r="D1896" s="22"/>
      <c r="E1896" s="22"/>
      <c r="F1896" s="28"/>
      <c r="G1896" s="22"/>
      <c r="H1896" s="21"/>
      <c r="I1896" s="28"/>
      <c r="J1896" s="22"/>
      <c r="K1896" s="22"/>
      <c r="L1896" s="22"/>
      <c r="M1896" s="21"/>
      <c r="N1896" s="22"/>
      <c r="O1896" s="29" t="str">
        <f aca="false">IF(A1896="","",IF(COUNTIF($A$2:$A$2001,A1896)&gt;1,"GANDA","OK"))</f>
        <v/>
      </c>
      <c r="P1896" s="29" t="str">
        <f aca="false">IF(A1896="","",IF(C1896="","KOSONG",IF(AND(LEN(C1896)=16,ISNUMBER(--C1896)),"OK","TIDAK VALID")))</f>
        <v/>
      </c>
    </row>
    <row r="1897" customFormat="false" ht="15" hidden="false" customHeight="false" outlineLevel="0" collapsed="false">
      <c r="A1897" s="21"/>
      <c r="B1897" s="22"/>
      <c r="C1897" s="21"/>
      <c r="D1897" s="22"/>
      <c r="E1897" s="22"/>
      <c r="F1897" s="28"/>
      <c r="G1897" s="22"/>
      <c r="H1897" s="21"/>
      <c r="I1897" s="28"/>
      <c r="J1897" s="22"/>
      <c r="K1897" s="22"/>
      <c r="L1897" s="22"/>
      <c r="M1897" s="21"/>
      <c r="N1897" s="22"/>
      <c r="O1897" s="29" t="str">
        <f aca="false">IF(A1897="","",IF(COUNTIF($A$2:$A$2001,A1897)&gt;1,"GANDA","OK"))</f>
        <v/>
      </c>
      <c r="P1897" s="29" t="str">
        <f aca="false">IF(A1897="","",IF(C1897="","KOSONG",IF(AND(LEN(C1897)=16,ISNUMBER(--C1897)),"OK","TIDAK VALID")))</f>
        <v/>
      </c>
    </row>
    <row r="1898" customFormat="false" ht="15" hidden="false" customHeight="false" outlineLevel="0" collapsed="false">
      <c r="A1898" s="21"/>
      <c r="B1898" s="22"/>
      <c r="C1898" s="21"/>
      <c r="D1898" s="22"/>
      <c r="E1898" s="22"/>
      <c r="F1898" s="28"/>
      <c r="G1898" s="22"/>
      <c r="H1898" s="21"/>
      <c r="I1898" s="28"/>
      <c r="J1898" s="22"/>
      <c r="K1898" s="22"/>
      <c r="L1898" s="22"/>
      <c r="M1898" s="21"/>
      <c r="N1898" s="22"/>
      <c r="O1898" s="29" t="str">
        <f aca="false">IF(A1898="","",IF(COUNTIF($A$2:$A$2001,A1898)&gt;1,"GANDA","OK"))</f>
        <v/>
      </c>
      <c r="P1898" s="29" t="str">
        <f aca="false">IF(A1898="","",IF(C1898="","KOSONG",IF(AND(LEN(C1898)=16,ISNUMBER(--C1898)),"OK","TIDAK VALID")))</f>
        <v/>
      </c>
    </row>
    <row r="1899" customFormat="false" ht="15" hidden="false" customHeight="false" outlineLevel="0" collapsed="false">
      <c r="A1899" s="21"/>
      <c r="B1899" s="22"/>
      <c r="C1899" s="21"/>
      <c r="D1899" s="22"/>
      <c r="E1899" s="22"/>
      <c r="F1899" s="28"/>
      <c r="G1899" s="22"/>
      <c r="H1899" s="21"/>
      <c r="I1899" s="28"/>
      <c r="J1899" s="22"/>
      <c r="K1899" s="22"/>
      <c r="L1899" s="22"/>
      <c r="M1899" s="21"/>
      <c r="N1899" s="22"/>
      <c r="O1899" s="29" t="str">
        <f aca="false">IF(A1899="","",IF(COUNTIF($A$2:$A$2001,A1899)&gt;1,"GANDA","OK"))</f>
        <v/>
      </c>
      <c r="P1899" s="29" t="str">
        <f aca="false">IF(A1899="","",IF(C1899="","KOSONG",IF(AND(LEN(C1899)=16,ISNUMBER(--C1899)),"OK","TIDAK VALID")))</f>
        <v/>
      </c>
    </row>
    <row r="1900" customFormat="false" ht="15" hidden="false" customHeight="false" outlineLevel="0" collapsed="false">
      <c r="A1900" s="21"/>
      <c r="B1900" s="22"/>
      <c r="C1900" s="21"/>
      <c r="D1900" s="22"/>
      <c r="E1900" s="22"/>
      <c r="F1900" s="28"/>
      <c r="G1900" s="22"/>
      <c r="H1900" s="21"/>
      <c r="I1900" s="28"/>
      <c r="J1900" s="22"/>
      <c r="K1900" s="22"/>
      <c r="L1900" s="22"/>
      <c r="M1900" s="21"/>
      <c r="N1900" s="22"/>
      <c r="O1900" s="29" t="str">
        <f aca="false">IF(A1900="","",IF(COUNTIF($A$2:$A$2001,A1900)&gt;1,"GANDA","OK"))</f>
        <v/>
      </c>
      <c r="P1900" s="29" t="str">
        <f aca="false">IF(A1900="","",IF(C1900="","KOSONG",IF(AND(LEN(C1900)=16,ISNUMBER(--C1900)),"OK","TIDAK VALID")))</f>
        <v/>
      </c>
    </row>
    <row r="1901" customFormat="false" ht="15" hidden="false" customHeight="false" outlineLevel="0" collapsed="false">
      <c r="A1901" s="21"/>
      <c r="B1901" s="22"/>
      <c r="C1901" s="21"/>
      <c r="D1901" s="22"/>
      <c r="E1901" s="22"/>
      <c r="F1901" s="28"/>
      <c r="G1901" s="22"/>
      <c r="H1901" s="21"/>
      <c r="I1901" s="28"/>
      <c r="J1901" s="22"/>
      <c r="K1901" s="22"/>
      <c r="L1901" s="22"/>
      <c r="M1901" s="21"/>
      <c r="N1901" s="22"/>
      <c r="O1901" s="29" t="str">
        <f aca="false">IF(A1901="","",IF(COUNTIF($A$2:$A$2001,A1901)&gt;1,"GANDA","OK"))</f>
        <v/>
      </c>
      <c r="P1901" s="29" t="str">
        <f aca="false">IF(A1901="","",IF(C1901="","KOSONG",IF(AND(LEN(C1901)=16,ISNUMBER(--C1901)),"OK","TIDAK VALID")))</f>
        <v/>
      </c>
    </row>
    <row r="1902" customFormat="false" ht="15" hidden="false" customHeight="false" outlineLevel="0" collapsed="false">
      <c r="A1902" s="21"/>
      <c r="B1902" s="22"/>
      <c r="C1902" s="21"/>
      <c r="D1902" s="22"/>
      <c r="E1902" s="22"/>
      <c r="F1902" s="28"/>
      <c r="G1902" s="22"/>
      <c r="H1902" s="21"/>
      <c r="I1902" s="28"/>
      <c r="J1902" s="22"/>
      <c r="K1902" s="22"/>
      <c r="L1902" s="22"/>
      <c r="M1902" s="21"/>
      <c r="N1902" s="22"/>
      <c r="O1902" s="29" t="str">
        <f aca="false">IF(A1902="","",IF(COUNTIF($A$2:$A$2001,A1902)&gt;1,"GANDA","OK"))</f>
        <v/>
      </c>
      <c r="P1902" s="29" t="str">
        <f aca="false">IF(A1902="","",IF(C1902="","KOSONG",IF(AND(LEN(C1902)=16,ISNUMBER(--C1902)),"OK","TIDAK VALID")))</f>
        <v/>
      </c>
    </row>
    <row r="1903" customFormat="false" ht="15" hidden="false" customHeight="false" outlineLevel="0" collapsed="false">
      <c r="A1903" s="21"/>
      <c r="B1903" s="22"/>
      <c r="C1903" s="21"/>
      <c r="D1903" s="22"/>
      <c r="E1903" s="22"/>
      <c r="F1903" s="28"/>
      <c r="G1903" s="22"/>
      <c r="H1903" s="21"/>
      <c r="I1903" s="28"/>
      <c r="J1903" s="22"/>
      <c r="K1903" s="22"/>
      <c r="L1903" s="22"/>
      <c r="M1903" s="21"/>
      <c r="N1903" s="22"/>
      <c r="O1903" s="29" t="str">
        <f aca="false">IF(A1903="","",IF(COUNTIF($A$2:$A$2001,A1903)&gt;1,"GANDA","OK"))</f>
        <v/>
      </c>
      <c r="P1903" s="29" t="str">
        <f aca="false">IF(A1903="","",IF(C1903="","KOSONG",IF(AND(LEN(C1903)=16,ISNUMBER(--C1903)),"OK","TIDAK VALID")))</f>
        <v/>
      </c>
    </row>
    <row r="1904" customFormat="false" ht="15" hidden="false" customHeight="false" outlineLevel="0" collapsed="false">
      <c r="A1904" s="21"/>
      <c r="B1904" s="22"/>
      <c r="C1904" s="21"/>
      <c r="D1904" s="22"/>
      <c r="E1904" s="22"/>
      <c r="F1904" s="28"/>
      <c r="G1904" s="22"/>
      <c r="H1904" s="21"/>
      <c r="I1904" s="28"/>
      <c r="J1904" s="22"/>
      <c r="K1904" s="22"/>
      <c r="L1904" s="22"/>
      <c r="M1904" s="21"/>
      <c r="N1904" s="22"/>
      <c r="O1904" s="29" t="str">
        <f aca="false">IF(A1904="","",IF(COUNTIF($A$2:$A$2001,A1904)&gt;1,"GANDA","OK"))</f>
        <v/>
      </c>
      <c r="P1904" s="29" t="str">
        <f aca="false">IF(A1904="","",IF(C1904="","KOSONG",IF(AND(LEN(C1904)=16,ISNUMBER(--C1904)),"OK","TIDAK VALID")))</f>
        <v/>
      </c>
    </row>
    <row r="1905" customFormat="false" ht="15" hidden="false" customHeight="false" outlineLevel="0" collapsed="false">
      <c r="A1905" s="21"/>
      <c r="B1905" s="22"/>
      <c r="C1905" s="21"/>
      <c r="D1905" s="22"/>
      <c r="E1905" s="22"/>
      <c r="F1905" s="28"/>
      <c r="G1905" s="22"/>
      <c r="H1905" s="21"/>
      <c r="I1905" s="28"/>
      <c r="J1905" s="22"/>
      <c r="K1905" s="22"/>
      <c r="L1905" s="22"/>
      <c r="M1905" s="21"/>
      <c r="N1905" s="22"/>
      <c r="O1905" s="29" t="str">
        <f aca="false">IF(A1905="","",IF(COUNTIF($A$2:$A$2001,A1905)&gt;1,"GANDA","OK"))</f>
        <v/>
      </c>
      <c r="P1905" s="29" t="str">
        <f aca="false">IF(A1905="","",IF(C1905="","KOSONG",IF(AND(LEN(C1905)=16,ISNUMBER(--C1905)),"OK","TIDAK VALID")))</f>
        <v/>
      </c>
    </row>
    <row r="1906" customFormat="false" ht="15" hidden="false" customHeight="false" outlineLevel="0" collapsed="false">
      <c r="A1906" s="21"/>
      <c r="B1906" s="22"/>
      <c r="C1906" s="21"/>
      <c r="D1906" s="22"/>
      <c r="E1906" s="22"/>
      <c r="F1906" s="28"/>
      <c r="G1906" s="22"/>
      <c r="H1906" s="21"/>
      <c r="I1906" s="28"/>
      <c r="J1906" s="22"/>
      <c r="K1906" s="22"/>
      <c r="L1906" s="22"/>
      <c r="M1906" s="21"/>
      <c r="N1906" s="22"/>
      <c r="O1906" s="29" t="str">
        <f aca="false">IF(A1906="","",IF(COUNTIF($A$2:$A$2001,A1906)&gt;1,"GANDA","OK"))</f>
        <v/>
      </c>
      <c r="P1906" s="29" t="str">
        <f aca="false">IF(A1906="","",IF(C1906="","KOSONG",IF(AND(LEN(C1906)=16,ISNUMBER(--C1906)),"OK","TIDAK VALID")))</f>
        <v/>
      </c>
    </row>
    <row r="1907" customFormat="false" ht="15" hidden="false" customHeight="false" outlineLevel="0" collapsed="false">
      <c r="A1907" s="21"/>
      <c r="B1907" s="22"/>
      <c r="C1907" s="21"/>
      <c r="D1907" s="22"/>
      <c r="E1907" s="22"/>
      <c r="F1907" s="28"/>
      <c r="G1907" s="22"/>
      <c r="H1907" s="21"/>
      <c r="I1907" s="28"/>
      <c r="J1907" s="22"/>
      <c r="K1907" s="22"/>
      <c r="L1907" s="22"/>
      <c r="M1907" s="21"/>
      <c r="N1907" s="22"/>
      <c r="O1907" s="29" t="str">
        <f aca="false">IF(A1907="","",IF(COUNTIF($A$2:$A$2001,A1907)&gt;1,"GANDA","OK"))</f>
        <v/>
      </c>
      <c r="P1907" s="29" t="str">
        <f aca="false">IF(A1907="","",IF(C1907="","KOSONG",IF(AND(LEN(C1907)=16,ISNUMBER(--C1907)),"OK","TIDAK VALID")))</f>
        <v/>
      </c>
    </row>
    <row r="1908" customFormat="false" ht="15" hidden="false" customHeight="false" outlineLevel="0" collapsed="false">
      <c r="A1908" s="21"/>
      <c r="B1908" s="22"/>
      <c r="C1908" s="21"/>
      <c r="D1908" s="22"/>
      <c r="E1908" s="22"/>
      <c r="F1908" s="28"/>
      <c r="G1908" s="22"/>
      <c r="H1908" s="21"/>
      <c r="I1908" s="28"/>
      <c r="J1908" s="22"/>
      <c r="K1908" s="22"/>
      <c r="L1908" s="22"/>
      <c r="M1908" s="21"/>
      <c r="N1908" s="22"/>
      <c r="O1908" s="29" t="str">
        <f aca="false">IF(A1908="","",IF(COUNTIF($A$2:$A$2001,A1908)&gt;1,"GANDA","OK"))</f>
        <v/>
      </c>
      <c r="P1908" s="29" t="str">
        <f aca="false">IF(A1908="","",IF(C1908="","KOSONG",IF(AND(LEN(C1908)=16,ISNUMBER(--C1908)),"OK","TIDAK VALID")))</f>
        <v/>
      </c>
    </row>
    <row r="1909" customFormat="false" ht="15" hidden="false" customHeight="false" outlineLevel="0" collapsed="false">
      <c r="A1909" s="21"/>
      <c r="B1909" s="22"/>
      <c r="C1909" s="21"/>
      <c r="D1909" s="22"/>
      <c r="E1909" s="22"/>
      <c r="F1909" s="28"/>
      <c r="G1909" s="22"/>
      <c r="H1909" s="21"/>
      <c r="I1909" s="28"/>
      <c r="J1909" s="22"/>
      <c r="K1909" s="22"/>
      <c r="L1909" s="22"/>
      <c r="M1909" s="21"/>
      <c r="N1909" s="22"/>
      <c r="O1909" s="29" t="str">
        <f aca="false">IF(A1909="","",IF(COUNTIF($A$2:$A$2001,A1909)&gt;1,"GANDA","OK"))</f>
        <v/>
      </c>
      <c r="P1909" s="29" t="str">
        <f aca="false">IF(A1909="","",IF(C1909="","KOSONG",IF(AND(LEN(C1909)=16,ISNUMBER(--C1909)),"OK","TIDAK VALID")))</f>
        <v/>
      </c>
    </row>
    <row r="1910" customFormat="false" ht="15" hidden="false" customHeight="false" outlineLevel="0" collapsed="false">
      <c r="A1910" s="21"/>
      <c r="B1910" s="22"/>
      <c r="C1910" s="21"/>
      <c r="D1910" s="22"/>
      <c r="E1910" s="22"/>
      <c r="F1910" s="28"/>
      <c r="G1910" s="22"/>
      <c r="H1910" s="21"/>
      <c r="I1910" s="28"/>
      <c r="J1910" s="22"/>
      <c r="K1910" s="22"/>
      <c r="L1910" s="22"/>
      <c r="M1910" s="21"/>
      <c r="N1910" s="22"/>
      <c r="O1910" s="29" t="str">
        <f aca="false">IF(A1910="","",IF(COUNTIF($A$2:$A$2001,A1910)&gt;1,"GANDA","OK"))</f>
        <v/>
      </c>
      <c r="P1910" s="29" t="str">
        <f aca="false">IF(A1910="","",IF(C1910="","KOSONG",IF(AND(LEN(C1910)=16,ISNUMBER(--C1910)),"OK","TIDAK VALID")))</f>
        <v/>
      </c>
    </row>
    <row r="1911" customFormat="false" ht="15" hidden="false" customHeight="false" outlineLevel="0" collapsed="false">
      <c r="A1911" s="21"/>
      <c r="B1911" s="22"/>
      <c r="C1911" s="21"/>
      <c r="D1911" s="22"/>
      <c r="E1911" s="22"/>
      <c r="F1911" s="28"/>
      <c r="G1911" s="22"/>
      <c r="H1911" s="21"/>
      <c r="I1911" s="28"/>
      <c r="J1911" s="22"/>
      <c r="K1911" s="22"/>
      <c r="L1911" s="22"/>
      <c r="M1911" s="21"/>
      <c r="N1911" s="22"/>
      <c r="O1911" s="29" t="str">
        <f aca="false">IF(A1911="","",IF(COUNTIF($A$2:$A$2001,A1911)&gt;1,"GANDA","OK"))</f>
        <v/>
      </c>
      <c r="P1911" s="29" t="str">
        <f aca="false">IF(A1911="","",IF(C1911="","KOSONG",IF(AND(LEN(C1911)=16,ISNUMBER(--C1911)),"OK","TIDAK VALID")))</f>
        <v/>
      </c>
    </row>
    <row r="1912" customFormat="false" ht="15" hidden="false" customHeight="false" outlineLevel="0" collapsed="false">
      <c r="A1912" s="21"/>
      <c r="B1912" s="22"/>
      <c r="C1912" s="21"/>
      <c r="D1912" s="22"/>
      <c r="E1912" s="22"/>
      <c r="F1912" s="28"/>
      <c r="G1912" s="22"/>
      <c r="H1912" s="21"/>
      <c r="I1912" s="28"/>
      <c r="J1912" s="22"/>
      <c r="K1912" s="22"/>
      <c r="L1912" s="22"/>
      <c r="M1912" s="21"/>
      <c r="N1912" s="22"/>
      <c r="O1912" s="29" t="str">
        <f aca="false">IF(A1912="","",IF(COUNTIF($A$2:$A$2001,A1912)&gt;1,"GANDA","OK"))</f>
        <v/>
      </c>
      <c r="P1912" s="29" t="str">
        <f aca="false">IF(A1912="","",IF(C1912="","KOSONG",IF(AND(LEN(C1912)=16,ISNUMBER(--C1912)),"OK","TIDAK VALID")))</f>
        <v/>
      </c>
    </row>
    <row r="1913" customFormat="false" ht="15" hidden="false" customHeight="false" outlineLevel="0" collapsed="false">
      <c r="A1913" s="21"/>
      <c r="B1913" s="22"/>
      <c r="C1913" s="21"/>
      <c r="D1913" s="22"/>
      <c r="E1913" s="22"/>
      <c r="F1913" s="28"/>
      <c r="G1913" s="22"/>
      <c r="H1913" s="21"/>
      <c r="I1913" s="28"/>
      <c r="J1913" s="22"/>
      <c r="K1913" s="22"/>
      <c r="L1913" s="22"/>
      <c r="M1913" s="21"/>
      <c r="N1913" s="22"/>
      <c r="O1913" s="29" t="str">
        <f aca="false">IF(A1913="","",IF(COUNTIF($A$2:$A$2001,A1913)&gt;1,"GANDA","OK"))</f>
        <v/>
      </c>
      <c r="P1913" s="29" t="str">
        <f aca="false">IF(A1913="","",IF(C1913="","KOSONG",IF(AND(LEN(C1913)=16,ISNUMBER(--C1913)),"OK","TIDAK VALID")))</f>
        <v/>
      </c>
    </row>
    <row r="1914" customFormat="false" ht="15" hidden="false" customHeight="false" outlineLevel="0" collapsed="false">
      <c r="A1914" s="21"/>
      <c r="B1914" s="22"/>
      <c r="C1914" s="21"/>
      <c r="D1914" s="22"/>
      <c r="E1914" s="22"/>
      <c r="F1914" s="28"/>
      <c r="G1914" s="22"/>
      <c r="H1914" s="21"/>
      <c r="I1914" s="28"/>
      <c r="J1914" s="22"/>
      <c r="K1914" s="22"/>
      <c r="L1914" s="22"/>
      <c r="M1914" s="21"/>
      <c r="N1914" s="22"/>
      <c r="O1914" s="29" t="str">
        <f aca="false">IF(A1914="","",IF(COUNTIF($A$2:$A$2001,A1914)&gt;1,"GANDA","OK"))</f>
        <v/>
      </c>
      <c r="P1914" s="29" t="str">
        <f aca="false">IF(A1914="","",IF(C1914="","KOSONG",IF(AND(LEN(C1914)=16,ISNUMBER(--C1914)),"OK","TIDAK VALID")))</f>
        <v/>
      </c>
    </row>
    <row r="1915" customFormat="false" ht="15" hidden="false" customHeight="false" outlineLevel="0" collapsed="false">
      <c r="A1915" s="21"/>
      <c r="B1915" s="22"/>
      <c r="C1915" s="21"/>
      <c r="D1915" s="22"/>
      <c r="E1915" s="22"/>
      <c r="F1915" s="28"/>
      <c r="G1915" s="22"/>
      <c r="H1915" s="21"/>
      <c r="I1915" s="28"/>
      <c r="J1915" s="22"/>
      <c r="K1915" s="22"/>
      <c r="L1915" s="22"/>
      <c r="M1915" s="21"/>
      <c r="N1915" s="22"/>
      <c r="O1915" s="29" t="str">
        <f aca="false">IF(A1915="","",IF(COUNTIF($A$2:$A$2001,A1915)&gt;1,"GANDA","OK"))</f>
        <v/>
      </c>
      <c r="P1915" s="29" t="str">
        <f aca="false">IF(A1915="","",IF(C1915="","KOSONG",IF(AND(LEN(C1915)=16,ISNUMBER(--C1915)),"OK","TIDAK VALID")))</f>
        <v/>
      </c>
    </row>
    <row r="1916" customFormat="false" ht="15" hidden="false" customHeight="false" outlineLevel="0" collapsed="false">
      <c r="A1916" s="21"/>
      <c r="B1916" s="22"/>
      <c r="C1916" s="21"/>
      <c r="D1916" s="22"/>
      <c r="E1916" s="22"/>
      <c r="F1916" s="28"/>
      <c r="G1916" s="22"/>
      <c r="H1916" s="21"/>
      <c r="I1916" s="28"/>
      <c r="J1916" s="22"/>
      <c r="K1916" s="22"/>
      <c r="L1916" s="22"/>
      <c r="M1916" s="21"/>
      <c r="N1916" s="22"/>
      <c r="O1916" s="29" t="str">
        <f aca="false">IF(A1916="","",IF(COUNTIF($A$2:$A$2001,A1916)&gt;1,"GANDA","OK"))</f>
        <v/>
      </c>
      <c r="P1916" s="29" t="str">
        <f aca="false">IF(A1916="","",IF(C1916="","KOSONG",IF(AND(LEN(C1916)=16,ISNUMBER(--C1916)),"OK","TIDAK VALID")))</f>
        <v/>
      </c>
    </row>
    <row r="1917" customFormat="false" ht="15" hidden="false" customHeight="false" outlineLevel="0" collapsed="false">
      <c r="A1917" s="21"/>
      <c r="B1917" s="22"/>
      <c r="C1917" s="21"/>
      <c r="D1917" s="22"/>
      <c r="E1917" s="22"/>
      <c r="F1917" s="28"/>
      <c r="G1917" s="22"/>
      <c r="H1917" s="21"/>
      <c r="I1917" s="28"/>
      <c r="J1917" s="22"/>
      <c r="K1917" s="22"/>
      <c r="L1917" s="22"/>
      <c r="M1917" s="21"/>
      <c r="N1917" s="22"/>
      <c r="O1917" s="29" t="str">
        <f aca="false">IF(A1917="","",IF(COUNTIF($A$2:$A$2001,A1917)&gt;1,"GANDA","OK"))</f>
        <v/>
      </c>
      <c r="P1917" s="29" t="str">
        <f aca="false">IF(A1917="","",IF(C1917="","KOSONG",IF(AND(LEN(C1917)=16,ISNUMBER(--C1917)),"OK","TIDAK VALID")))</f>
        <v/>
      </c>
    </row>
    <row r="1918" customFormat="false" ht="15" hidden="false" customHeight="false" outlineLevel="0" collapsed="false">
      <c r="A1918" s="21"/>
      <c r="B1918" s="22"/>
      <c r="C1918" s="21"/>
      <c r="D1918" s="22"/>
      <c r="E1918" s="22"/>
      <c r="F1918" s="28"/>
      <c r="G1918" s="22"/>
      <c r="H1918" s="21"/>
      <c r="I1918" s="28"/>
      <c r="J1918" s="22"/>
      <c r="K1918" s="22"/>
      <c r="L1918" s="22"/>
      <c r="M1918" s="21"/>
      <c r="N1918" s="22"/>
      <c r="O1918" s="29" t="str">
        <f aca="false">IF(A1918="","",IF(COUNTIF($A$2:$A$2001,A1918)&gt;1,"GANDA","OK"))</f>
        <v/>
      </c>
      <c r="P1918" s="29" t="str">
        <f aca="false">IF(A1918="","",IF(C1918="","KOSONG",IF(AND(LEN(C1918)=16,ISNUMBER(--C1918)),"OK","TIDAK VALID")))</f>
        <v/>
      </c>
    </row>
    <row r="1919" customFormat="false" ht="15" hidden="false" customHeight="false" outlineLevel="0" collapsed="false">
      <c r="A1919" s="21"/>
      <c r="B1919" s="22"/>
      <c r="C1919" s="21"/>
      <c r="D1919" s="22"/>
      <c r="E1919" s="22"/>
      <c r="F1919" s="28"/>
      <c r="G1919" s="22"/>
      <c r="H1919" s="21"/>
      <c r="I1919" s="28"/>
      <c r="J1919" s="22"/>
      <c r="K1919" s="22"/>
      <c r="L1919" s="22"/>
      <c r="M1919" s="21"/>
      <c r="N1919" s="22"/>
      <c r="O1919" s="29" t="str">
        <f aca="false">IF(A1919="","",IF(COUNTIF($A$2:$A$2001,A1919)&gt;1,"GANDA","OK"))</f>
        <v/>
      </c>
      <c r="P1919" s="29" t="str">
        <f aca="false">IF(A1919="","",IF(C1919="","KOSONG",IF(AND(LEN(C1919)=16,ISNUMBER(--C1919)),"OK","TIDAK VALID")))</f>
        <v/>
      </c>
    </row>
    <row r="1920" customFormat="false" ht="15" hidden="false" customHeight="false" outlineLevel="0" collapsed="false">
      <c r="A1920" s="21"/>
      <c r="B1920" s="22"/>
      <c r="C1920" s="21"/>
      <c r="D1920" s="22"/>
      <c r="E1920" s="22"/>
      <c r="F1920" s="28"/>
      <c r="G1920" s="22"/>
      <c r="H1920" s="21"/>
      <c r="I1920" s="28"/>
      <c r="J1920" s="22"/>
      <c r="K1920" s="22"/>
      <c r="L1920" s="22"/>
      <c r="M1920" s="21"/>
      <c r="N1920" s="22"/>
      <c r="O1920" s="29" t="str">
        <f aca="false">IF(A1920="","",IF(COUNTIF($A$2:$A$2001,A1920)&gt;1,"GANDA","OK"))</f>
        <v/>
      </c>
      <c r="P1920" s="29" t="str">
        <f aca="false">IF(A1920="","",IF(C1920="","KOSONG",IF(AND(LEN(C1920)=16,ISNUMBER(--C1920)),"OK","TIDAK VALID")))</f>
        <v/>
      </c>
    </row>
    <row r="1921" customFormat="false" ht="15" hidden="false" customHeight="false" outlineLevel="0" collapsed="false">
      <c r="A1921" s="21"/>
      <c r="B1921" s="22"/>
      <c r="C1921" s="21"/>
      <c r="D1921" s="22"/>
      <c r="E1921" s="22"/>
      <c r="F1921" s="28"/>
      <c r="G1921" s="22"/>
      <c r="H1921" s="21"/>
      <c r="I1921" s="28"/>
      <c r="J1921" s="22"/>
      <c r="K1921" s="22"/>
      <c r="L1921" s="22"/>
      <c r="M1921" s="21"/>
      <c r="N1921" s="22"/>
      <c r="O1921" s="29" t="str">
        <f aca="false">IF(A1921="","",IF(COUNTIF($A$2:$A$2001,A1921)&gt;1,"GANDA","OK"))</f>
        <v/>
      </c>
      <c r="P1921" s="29" t="str">
        <f aca="false">IF(A1921="","",IF(C1921="","KOSONG",IF(AND(LEN(C1921)=16,ISNUMBER(--C1921)),"OK","TIDAK VALID")))</f>
        <v/>
      </c>
    </row>
    <row r="1922" customFormat="false" ht="15" hidden="false" customHeight="false" outlineLevel="0" collapsed="false">
      <c r="A1922" s="21"/>
      <c r="B1922" s="22"/>
      <c r="C1922" s="21"/>
      <c r="D1922" s="22"/>
      <c r="E1922" s="22"/>
      <c r="F1922" s="28"/>
      <c r="G1922" s="22"/>
      <c r="H1922" s="21"/>
      <c r="I1922" s="28"/>
      <c r="J1922" s="22"/>
      <c r="K1922" s="22"/>
      <c r="L1922" s="22"/>
      <c r="M1922" s="21"/>
      <c r="N1922" s="22"/>
      <c r="O1922" s="29" t="str">
        <f aca="false">IF(A1922="","",IF(COUNTIF($A$2:$A$2001,A1922)&gt;1,"GANDA","OK"))</f>
        <v/>
      </c>
      <c r="P1922" s="29" t="str">
        <f aca="false">IF(A1922="","",IF(C1922="","KOSONG",IF(AND(LEN(C1922)=16,ISNUMBER(--C1922)),"OK","TIDAK VALID")))</f>
        <v/>
      </c>
    </row>
    <row r="1923" customFormat="false" ht="15" hidden="false" customHeight="false" outlineLevel="0" collapsed="false">
      <c r="A1923" s="21"/>
      <c r="B1923" s="22"/>
      <c r="C1923" s="21"/>
      <c r="D1923" s="22"/>
      <c r="E1923" s="22"/>
      <c r="F1923" s="28"/>
      <c r="G1923" s="22"/>
      <c r="H1923" s="21"/>
      <c r="I1923" s="28"/>
      <c r="J1923" s="22"/>
      <c r="K1923" s="22"/>
      <c r="L1923" s="22"/>
      <c r="M1923" s="21"/>
      <c r="N1923" s="22"/>
      <c r="O1923" s="29" t="str">
        <f aca="false">IF(A1923="","",IF(COUNTIF($A$2:$A$2001,A1923)&gt;1,"GANDA","OK"))</f>
        <v/>
      </c>
      <c r="P1923" s="29" t="str">
        <f aca="false">IF(A1923="","",IF(C1923="","KOSONG",IF(AND(LEN(C1923)=16,ISNUMBER(--C1923)),"OK","TIDAK VALID")))</f>
        <v/>
      </c>
    </row>
    <row r="1924" customFormat="false" ht="15" hidden="false" customHeight="false" outlineLevel="0" collapsed="false">
      <c r="A1924" s="21"/>
      <c r="B1924" s="22"/>
      <c r="C1924" s="21"/>
      <c r="D1924" s="22"/>
      <c r="E1924" s="22"/>
      <c r="F1924" s="28"/>
      <c r="G1924" s="22"/>
      <c r="H1924" s="21"/>
      <c r="I1924" s="28"/>
      <c r="J1924" s="22"/>
      <c r="K1924" s="22"/>
      <c r="L1924" s="22"/>
      <c r="M1924" s="21"/>
      <c r="N1924" s="22"/>
      <c r="O1924" s="29" t="str">
        <f aca="false">IF(A1924="","",IF(COUNTIF($A$2:$A$2001,A1924)&gt;1,"GANDA","OK"))</f>
        <v/>
      </c>
      <c r="P1924" s="29" t="str">
        <f aca="false">IF(A1924="","",IF(C1924="","KOSONG",IF(AND(LEN(C1924)=16,ISNUMBER(--C1924)),"OK","TIDAK VALID")))</f>
        <v/>
      </c>
    </row>
    <row r="1925" customFormat="false" ht="15" hidden="false" customHeight="false" outlineLevel="0" collapsed="false">
      <c r="A1925" s="21"/>
      <c r="B1925" s="22"/>
      <c r="C1925" s="21"/>
      <c r="D1925" s="22"/>
      <c r="E1925" s="22"/>
      <c r="F1925" s="28"/>
      <c r="G1925" s="22"/>
      <c r="H1925" s="21"/>
      <c r="I1925" s="28"/>
      <c r="J1925" s="22"/>
      <c r="K1925" s="22"/>
      <c r="L1925" s="22"/>
      <c r="M1925" s="21"/>
      <c r="N1925" s="22"/>
      <c r="O1925" s="29" t="str">
        <f aca="false">IF(A1925="","",IF(COUNTIF($A$2:$A$2001,A1925)&gt;1,"GANDA","OK"))</f>
        <v/>
      </c>
      <c r="P1925" s="29" t="str">
        <f aca="false">IF(A1925="","",IF(C1925="","KOSONG",IF(AND(LEN(C1925)=16,ISNUMBER(--C1925)),"OK","TIDAK VALID")))</f>
        <v/>
      </c>
    </row>
    <row r="1926" customFormat="false" ht="15" hidden="false" customHeight="false" outlineLevel="0" collapsed="false">
      <c r="A1926" s="21"/>
      <c r="B1926" s="22"/>
      <c r="C1926" s="21"/>
      <c r="D1926" s="22"/>
      <c r="E1926" s="22"/>
      <c r="F1926" s="28"/>
      <c r="G1926" s="22"/>
      <c r="H1926" s="21"/>
      <c r="I1926" s="28"/>
      <c r="J1926" s="22"/>
      <c r="K1926" s="22"/>
      <c r="L1926" s="22"/>
      <c r="M1926" s="21"/>
      <c r="N1926" s="22"/>
      <c r="O1926" s="29" t="str">
        <f aca="false">IF(A1926="","",IF(COUNTIF($A$2:$A$2001,A1926)&gt;1,"GANDA","OK"))</f>
        <v/>
      </c>
      <c r="P1926" s="29" t="str">
        <f aca="false">IF(A1926="","",IF(C1926="","KOSONG",IF(AND(LEN(C1926)=16,ISNUMBER(--C1926)),"OK","TIDAK VALID")))</f>
        <v/>
      </c>
    </row>
    <row r="1927" customFormat="false" ht="15" hidden="false" customHeight="false" outlineLevel="0" collapsed="false">
      <c r="A1927" s="21"/>
      <c r="B1927" s="22"/>
      <c r="C1927" s="21"/>
      <c r="D1927" s="22"/>
      <c r="E1927" s="22"/>
      <c r="F1927" s="28"/>
      <c r="G1927" s="22"/>
      <c r="H1927" s="21"/>
      <c r="I1927" s="28"/>
      <c r="J1927" s="22"/>
      <c r="K1927" s="22"/>
      <c r="L1927" s="22"/>
      <c r="M1927" s="21"/>
      <c r="N1927" s="22"/>
      <c r="O1927" s="29" t="str">
        <f aca="false">IF(A1927="","",IF(COUNTIF($A$2:$A$2001,A1927)&gt;1,"GANDA","OK"))</f>
        <v/>
      </c>
      <c r="P1927" s="29" t="str">
        <f aca="false">IF(A1927="","",IF(C1927="","KOSONG",IF(AND(LEN(C1927)=16,ISNUMBER(--C1927)),"OK","TIDAK VALID")))</f>
        <v/>
      </c>
    </row>
    <row r="1928" customFormat="false" ht="15" hidden="false" customHeight="false" outlineLevel="0" collapsed="false">
      <c r="A1928" s="21"/>
      <c r="B1928" s="22"/>
      <c r="C1928" s="21"/>
      <c r="D1928" s="22"/>
      <c r="E1928" s="22"/>
      <c r="F1928" s="28"/>
      <c r="G1928" s="22"/>
      <c r="H1928" s="21"/>
      <c r="I1928" s="28"/>
      <c r="J1928" s="22"/>
      <c r="K1928" s="22"/>
      <c r="L1928" s="22"/>
      <c r="M1928" s="21"/>
      <c r="N1928" s="22"/>
      <c r="O1928" s="29" t="str">
        <f aca="false">IF(A1928="","",IF(COUNTIF($A$2:$A$2001,A1928)&gt;1,"GANDA","OK"))</f>
        <v/>
      </c>
      <c r="P1928" s="29" t="str">
        <f aca="false">IF(A1928="","",IF(C1928="","KOSONG",IF(AND(LEN(C1928)=16,ISNUMBER(--C1928)),"OK","TIDAK VALID")))</f>
        <v/>
      </c>
    </row>
    <row r="1929" customFormat="false" ht="15" hidden="false" customHeight="false" outlineLevel="0" collapsed="false">
      <c r="A1929" s="21"/>
      <c r="B1929" s="22"/>
      <c r="C1929" s="21"/>
      <c r="D1929" s="22"/>
      <c r="E1929" s="22"/>
      <c r="F1929" s="28"/>
      <c r="G1929" s="22"/>
      <c r="H1929" s="21"/>
      <c r="I1929" s="28"/>
      <c r="J1929" s="22"/>
      <c r="K1929" s="22"/>
      <c r="L1929" s="22"/>
      <c r="M1929" s="21"/>
      <c r="N1929" s="22"/>
      <c r="O1929" s="29" t="str">
        <f aca="false">IF(A1929="","",IF(COUNTIF($A$2:$A$2001,A1929)&gt;1,"GANDA","OK"))</f>
        <v/>
      </c>
      <c r="P1929" s="29" t="str">
        <f aca="false">IF(A1929="","",IF(C1929="","KOSONG",IF(AND(LEN(C1929)=16,ISNUMBER(--C1929)),"OK","TIDAK VALID")))</f>
        <v/>
      </c>
    </row>
    <row r="1930" customFormat="false" ht="15" hidden="false" customHeight="false" outlineLevel="0" collapsed="false">
      <c r="A1930" s="21"/>
      <c r="B1930" s="22"/>
      <c r="C1930" s="21"/>
      <c r="D1930" s="22"/>
      <c r="E1930" s="22"/>
      <c r="F1930" s="28"/>
      <c r="G1930" s="22"/>
      <c r="H1930" s="21"/>
      <c r="I1930" s="28"/>
      <c r="J1930" s="22"/>
      <c r="K1930" s="22"/>
      <c r="L1930" s="22"/>
      <c r="M1930" s="21"/>
      <c r="N1930" s="22"/>
      <c r="O1930" s="29" t="str">
        <f aca="false">IF(A1930="","",IF(COUNTIF($A$2:$A$2001,A1930)&gt;1,"GANDA","OK"))</f>
        <v/>
      </c>
      <c r="P1930" s="29" t="str">
        <f aca="false">IF(A1930="","",IF(C1930="","KOSONG",IF(AND(LEN(C1930)=16,ISNUMBER(--C1930)),"OK","TIDAK VALID")))</f>
        <v/>
      </c>
    </row>
    <row r="1931" customFormat="false" ht="15" hidden="false" customHeight="false" outlineLevel="0" collapsed="false">
      <c r="A1931" s="21"/>
      <c r="B1931" s="22"/>
      <c r="C1931" s="21"/>
      <c r="D1931" s="22"/>
      <c r="E1931" s="22"/>
      <c r="F1931" s="28"/>
      <c r="G1931" s="22"/>
      <c r="H1931" s="21"/>
      <c r="I1931" s="28"/>
      <c r="J1931" s="22"/>
      <c r="K1931" s="22"/>
      <c r="L1931" s="22"/>
      <c r="M1931" s="21"/>
      <c r="N1931" s="22"/>
      <c r="O1931" s="29" t="str">
        <f aca="false">IF(A1931="","",IF(COUNTIF($A$2:$A$2001,A1931)&gt;1,"GANDA","OK"))</f>
        <v/>
      </c>
      <c r="P1931" s="29" t="str">
        <f aca="false">IF(A1931="","",IF(C1931="","KOSONG",IF(AND(LEN(C1931)=16,ISNUMBER(--C1931)),"OK","TIDAK VALID")))</f>
        <v/>
      </c>
    </row>
    <row r="1932" customFormat="false" ht="15" hidden="false" customHeight="false" outlineLevel="0" collapsed="false">
      <c r="A1932" s="21"/>
      <c r="B1932" s="22"/>
      <c r="C1932" s="21"/>
      <c r="D1932" s="22"/>
      <c r="E1932" s="22"/>
      <c r="F1932" s="28"/>
      <c r="G1932" s="22"/>
      <c r="H1932" s="21"/>
      <c r="I1932" s="28"/>
      <c r="J1932" s="22"/>
      <c r="K1932" s="22"/>
      <c r="L1932" s="22"/>
      <c r="M1932" s="21"/>
      <c r="N1932" s="22"/>
      <c r="O1932" s="29" t="str">
        <f aca="false">IF(A1932="","",IF(COUNTIF($A$2:$A$2001,A1932)&gt;1,"GANDA","OK"))</f>
        <v/>
      </c>
      <c r="P1932" s="29" t="str">
        <f aca="false">IF(A1932="","",IF(C1932="","KOSONG",IF(AND(LEN(C1932)=16,ISNUMBER(--C1932)),"OK","TIDAK VALID")))</f>
        <v/>
      </c>
    </row>
    <row r="1933" customFormat="false" ht="15" hidden="false" customHeight="false" outlineLevel="0" collapsed="false">
      <c r="A1933" s="21"/>
      <c r="B1933" s="22"/>
      <c r="C1933" s="21"/>
      <c r="D1933" s="22"/>
      <c r="E1933" s="22"/>
      <c r="F1933" s="28"/>
      <c r="G1933" s="22"/>
      <c r="H1933" s="21"/>
      <c r="I1933" s="28"/>
      <c r="J1933" s="22"/>
      <c r="K1933" s="22"/>
      <c r="L1933" s="22"/>
      <c r="M1933" s="21"/>
      <c r="N1933" s="22"/>
      <c r="O1933" s="29" t="str">
        <f aca="false">IF(A1933="","",IF(COUNTIF($A$2:$A$2001,A1933)&gt;1,"GANDA","OK"))</f>
        <v/>
      </c>
      <c r="P1933" s="29" t="str">
        <f aca="false">IF(A1933="","",IF(C1933="","KOSONG",IF(AND(LEN(C1933)=16,ISNUMBER(--C1933)),"OK","TIDAK VALID")))</f>
        <v/>
      </c>
    </row>
    <row r="1934" customFormat="false" ht="15" hidden="false" customHeight="false" outlineLevel="0" collapsed="false">
      <c r="A1934" s="21"/>
      <c r="B1934" s="22"/>
      <c r="C1934" s="21"/>
      <c r="D1934" s="22"/>
      <c r="E1934" s="22"/>
      <c r="F1934" s="28"/>
      <c r="G1934" s="22"/>
      <c r="H1934" s="21"/>
      <c r="I1934" s="28"/>
      <c r="J1934" s="22"/>
      <c r="K1934" s="22"/>
      <c r="L1934" s="22"/>
      <c r="M1934" s="21"/>
      <c r="N1934" s="22"/>
      <c r="O1934" s="29" t="str">
        <f aca="false">IF(A1934="","",IF(COUNTIF($A$2:$A$2001,A1934)&gt;1,"GANDA","OK"))</f>
        <v/>
      </c>
      <c r="P1934" s="29" t="str">
        <f aca="false">IF(A1934="","",IF(C1934="","KOSONG",IF(AND(LEN(C1934)=16,ISNUMBER(--C1934)),"OK","TIDAK VALID")))</f>
        <v/>
      </c>
    </row>
    <row r="1935" customFormat="false" ht="15" hidden="false" customHeight="false" outlineLevel="0" collapsed="false">
      <c r="A1935" s="21"/>
      <c r="B1935" s="22"/>
      <c r="C1935" s="21"/>
      <c r="D1935" s="22"/>
      <c r="E1935" s="22"/>
      <c r="F1935" s="28"/>
      <c r="G1935" s="22"/>
      <c r="H1935" s="21"/>
      <c r="I1935" s="28"/>
      <c r="J1935" s="22"/>
      <c r="K1935" s="22"/>
      <c r="L1935" s="22"/>
      <c r="M1935" s="21"/>
      <c r="N1935" s="22"/>
      <c r="O1935" s="29" t="str">
        <f aca="false">IF(A1935="","",IF(COUNTIF($A$2:$A$2001,A1935)&gt;1,"GANDA","OK"))</f>
        <v/>
      </c>
      <c r="P1935" s="29" t="str">
        <f aca="false">IF(A1935="","",IF(C1935="","KOSONG",IF(AND(LEN(C1935)=16,ISNUMBER(--C1935)),"OK","TIDAK VALID")))</f>
        <v/>
      </c>
    </row>
    <row r="1936" customFormat="false" ht="15" hidden="false" customHeight="false" outlineLevel="0" collapsed="false">
      <c r="A1936" s="21"/>
      <c r="B1936" s="22"/>
      <c r="C1936" s="21"/>
      <c r="D1936" s="22"/>
      <c r="E1936" s="22"/>
      <c r="F1936" s="28"/>
      <c r="G1936" s="22"/>
      <c r="H1936" s="21"/>
      <c r="I1936" s="28"/>
      <c r="J1936" s="22"/>
      <c r="K1936" s="22"/>
      <c r="L1936" s="22"/>
      <c r="M1936" s="21"/>
      <c r="N1936" s="22"/>
      <c r="O1936" s="29" t="str">
        <f aca="false">IF(A1936="","",IF(COUNTIF($A$2:$A$2001,A1936)&gt;1,"GANDA","OK"))</f>
        <v/>
      </c>
      <c r="P1936" s="29" t="str">
        <f aca="false">IF(A1936="","",IF(C1936="","KOSONG",IF(AND(LEN(C1936)=16,ISNUMBER(--C1936)),"OK","TIDAK VALID")))</f>
        <v/>
      </c>
    </row>
    <row r="1937" customFormat="false" ht="15" hidden="false" customHeight="false" outlineLevel="0" collapsed="false">
      <c r="A1937" s="21"/>
      <c r="B1937" s="22"/>
      <c r="C1937" s="21"/>
      <c r="D1937" s="22"/>
      <c r="E1937" s="22"/>
      <c r="F1937" s="28"/>
      <c r="G1937" s="22"/>
      <c r="H1937" s="21"/>
      <c r="I1937" s="28"/>
      <c r="J1937" s="22"/>
      <c r="K1937" s="22"/>
      <c r="L1937" s="22"/>
      <c r="M1937" s="21"/>
      <c r="N1937" s="22"/>
      <c r="O1937" s="29" t="str">
        <f aca="false">IF(A1937="","",IF(COUNTIF($A$2:$A$2001,A1937)&gt;1,"GANDA","OK"))</f>
        <v/>
      </c>
      <c r="P1937" s="29" t="str">
        <f aca="false">IF(A1937="","",IF(C1937="","KOSONG",IF(AND(LEN(C1937)=16,ISNUMBER(--C1937)),"OK","TIDAK VALID")))</f>
        <v/>
      </c>
    </row>
    <row r="1938" customFormat="false" ht="15" hidden="false" customHeight="false" outlineLevel="0" collapsed="false">
      <c r="A1938" s="21"/>
      <c r="B1938" s="22"/>
      <c r="C1938" s="21"/>
      <c r="D1938" s="22"/>
      <c r="E1938" s="22"/>
      <c r="F1938" s="28"/>
      <c r="G1938" s="22"/>
      <c r="H1938" s="21"/>
      <c r="I1938" s="28"/>
      <c r="J1938" s="22"/>
      <c r="K1938" s="22"/>
      <c r="L1938" s="22"/>
      <c r="M1938" s="21"/>
      <c r="N1938" s="22"/>
      <c r="O1938" s="29" t="str">
        <f aca="false">IF(A1938="","",IF(COUNTIF($A$2:$A$2001,A1938)&gt;1,"GANDA","OK"))</f>
        <v/>
      </c>
      <c r="P1938" s="29" t="str">
        <f aca="false">IF(A1938="","",IF(C1938="","KOSONG",IF(AND(LEN(C1938)=16,ISNUMBER(--C1938)),"OK","TIDAK VALID")))</f>
        <v/>
      </c>
    </row>
    <row r="1939" customFormat="false" ht="15" hidden="false" customHeight="false" outlineLevel="0" collapsed="false">
      <c r="A1939" s="21"/>
      <c r="B1939" s="22"/>
      <c r="C1939" s="21"/>
      <c r="D1939" s="22"/>
      <c r="E1939" s="22"/>
      <c r="F1939" s="28"/>
      <c r="G1939" s="22"/>
      <c r="H1939" s="21"/>
      <c r="I1939" s="28"/>
      <c r="J1939" s="22"/>
      <c r="K1939" s="22"/>
      <c r="L1939" s="22"/>
      <c r="M1939" s="21"/>
      <c r="N1939" s="22"/>
      <c r="O1939" s="29" t="str">
        <f aca="false">IF(A1939="","",IF(COUNTIF($A$2:$A$2001,A1939)&gt;1,"GANDA","OK"))</f>
        <v/>
      </c>
      <c r="P1939" s="29" t="str">
        <f aca="false">IF(A1939="","",IF(C1939="","KOSONG",IF(AND(LEN(C1939)=16,ISNUMBER(--C1939)),"OK","TIDAK VALID")))</f>
        <v/>
      </c>
    </row>
    <row r="1940" customFormat="false" ht="15" hidden="false" customHeight="false" outlineLevel="0" collapsed="false">
      <c r="A1940" s="21"/>
      <c r="B1940" s="22"/>
      <c r="C1940" s="21"/>
      <c r="D1940" s="22"/>
      <c r="E1940" s="22"/>
      <c r="F1940" s="28"/>
      <c r="G1940" s="22"/>
      <c r="H1940" s="21"/>
      <c r="I1940" s="28"/>
      <c r="J1940" s="22"/>
      <c r="K1940" s="22"/>
      <c r="L1940" s="22"/>
      <c r="M1940" s="21"/>
      <c r="N1940" s="22"/>
      <c r="O1940" s="29" t="str">
        <f aca="false">IF(A1940="","",IF(COUNTIF($A$2:$A$2001,A1940)&gt;1,"GANDA","OK"))</f>
        <v/>
      </c>
      <c r="P1940" s="29" t="str">
        <f aca="false">IF(A1940="","",IF(C1940="","KOSONG",IF(AND(LEN(C1940)=16,ISNUMBER(--C1940)),"OK","TIDAK VALID")))</f>
        <v/>
      </c>
    </row>
    <row r="1941" customFormat="false" ht="15" hidden="false" customHeight="false" outlineLevel="0" collapsed="false">
      <c r="A1941" s="21"/>
      <c r="B1941" s="22"/>
      <c r="C1941" s="21"/>
      <c r="D1941" s="22"/>
      <c r="E1941" s="22"/>
      <c r="F1941" s="28"/>
      <c r="G1941" s="22"/>
      <c r="H1941" s="21"/>
      <c r="I1941" s="28"/>
      <c r="J1941" s="22"/>
      <c r="K1941" s="22"/>
      <c r="L1941" s="22"/>
      <c r="M1941" s="21"/>
      <c r="N1941" s="22"/>
      <c r="O1941" s="29" t="str">
        <f aca="false">IF(A1941="","",IF(COUNTIF($A$2:$A$2001,A1941)&gt;1,"GANDA","OK"))</f>
        <v/>
      </c>
      <c r="P1941" s="29" t="str">
        <f aca="false">IF(A1941="","",IF(C1941="","KOSONG",IF(AND(LEN(C1941)=16,ISNUMBER(--C1941)),"OK","TIDAK VALID")))</f>
        <v/>
      </c>
    </row>
    <row r="1942" customFormat="false" ht="15" hidden="false" customHeight="false" outlineLevel="0" collapsed="false">
      <c r="A1942" s="21"/>
      <c r="B1942" s="22"/>
      <c r="C1942" s="21"/>
      <c r="D1942" s="22"/>
      <c r="E1942" s="22"/>
      <c r="F1942" s="28"/>
      <c r="G1942" s="22"/>
      <c r="H1942" s="21"/>
      <c r="I1942" s="28"/>
      <c r="J1942" s="22"/>
      <c r="K1942" s="22"/>
      <c r="L1942" s="22"/>
      <c r="M1942" s="21"/>
      <c r="N1942" s="22"/>
      <c r="O1942" s="29" t="str">
        <f aca="false">IF(A1942="","",IF(COUNTIF($A$2:$A$2001,A1942)&gt;1,"GANDA","OK"))</f>
        <v/>
      </c>
      <c r="P1942" s="29" t="str">
        <f aca="false">IF(A1942="","",IF(C1942="","KOSONG",IF(AND(LEN(C1942)=16,ISNUMBER(--C1942)),"OK","TIDAK VALID")))</f>
        <v/>
      </c>
    </row>
    <row r="1943" customFormat="false" ht="15" hidden="false" customHeight="false" outlineLevel="0" collapsed="false">
      <c r="A1943" s="21"/>
      <c r="B1943" s="22"/>
      <c r="C1943" s="21"/>
      <c r="D1943" s="22"/>
      <c r="E1943" s="22"/>
      <c r="F1943" s="28"/>
      <c r="G1943" s="22"/>
      <c r="H1943" s="21"/>
      <c r="I1943" s="28"/>
      <c r="J1943" s="22"/>
      <c r="K1943" s="22"/>
      <c r="L1943" s="22"/>
      <c r="M1943" s="21"/>
      <c r="N1943" s="22"/>
      <c r="O1943" s="29" t="str">
        <f aca="false">IF(A1943="","",IF(COUNTIF($A$2:$A$2001,A1943)&gt;1,"GANDA","OK"))</f>
        <v/>
      </c>
      <c r="P1943" s="29" t="str">
        <f aca="false">IF(A1943="","",IF(C1943="","KOSONG",IF(AND(LEN(C1943)=16,ISNUMBER(--C1943)),"OK","TIDAK VALID")))</f>
        <v/>
      </c>
    </row>
    <row r="1944" customFormat="false" ht="15" hidden="false" customHeight="false" outlineLevel="0" collapsed="false">
      <c r="A1944" s="21"/>
      <c r="B1944" s="22"/>
      <c r="C1944" s="21"/>
      <c r="D1944" s="22"/>
      <c r="E1944" s="22"/>
      <c r="F1944" s="28"/>
      <c r="G1944" s="22"/>
      <c r="H1944" s="21"/>
      <c r="I1944" s="28"/>
      <c r="J1944" s="22"/>
      <c r="K1944" s="22"/>
      <c r="L1944" s="22"/>
      <c r="M1944" s="21"/>
      <c r="N1944" s="22"/>
      <c r="O1944" s="29" t="str">
        <f aca="false">IF(A1944="","",IF(COUNTIF($A$2:$A$2001,A1944)&gt;1,"GANDA","OK"))</f>
        <v/>
      </c>
      <c r="P1944" s="29" t="str">
        <f aca="false">IF(A1944="","",IF(C1944="","KOSONG",IF(AND(LEN(C1944)=16,ISNUMBER(--C1944)),"OK","TIDAK VALID")))</f>
        <v/>
      </c>
    </row>
    <row r="1945" customFormat="false" ht="15" hidden="false" customHeight="false" outlineLevel="0" collapsed="false">
      <c r="A1945" s="21"/>
      <c r="B1945" s="22"/>
      <c r="C1945" s="21"/>
      <c r="D1945" s="22"/>
      <c r="E1945" s="22"/>
      <c r="F1945" s="28"/>
      <c r="G1945" s="22"/>
      <c r="H1945" s="21"/>
      <c r="I1945" s="28"/>
      <c r="J1945" s="22"/>
      <c r="K1945" s="22"/>
      <c r="L1945" s="22"/>
      <c r="M1945" s="21"/>
      <c r="N1945" s="22"/>
      <c r="O1945" s="29" t="str">
        <f aca="false">IF(A1945="","",IF(COUNTIF($A$2:$A$2001,A1945)&gt;1,"GANDA","OK"))</f>
        <v/>
      </c>
      <c r="P1945" s="29" t="str">
        <f aca="false">IF(A1945="","",IF(C1945="","KOSONG",IF(AND(LEN(C1945)=16,ISNUMBER(--C1945)),"OK","TIDAK VALID")))</f>
        <v/>
      </c>
    </row>
    <row r="1946" customFormat="false" ht="15" hidden="false" customHeight="false" outlineLevel="0" collapsed="false">
      <c r="A1946" s="21"/>
      <c r="B1946" s="22"/>
      <c r="C1946" s="21"/>
      <c r="D1946" s="22"/>
      <c r="E1946" s="22"/>
      <c r="F1946" s="28"/>
      <c r="G1946" s="22"/>
      <c r="H1946" s="21"/>
      <c r="I1946" s="28"/>
      <c r="J1946" s="22"/>
      <c r="K1946" s="22"/>
      <c r="L1946" s="22"/>
      <c r="M1946" s="21"/>
      <c r="N1946" s="22"/>
      <c r="O1946" s="29" t="str">
        <f aca="false">IF(A1946="","",IF(COUNTIF($A$2:$A$2001,A1946)&gt;1,"GANDA","OK"))</f>
        <v/>
      </c>
      <c r="P1946" s="29" t="str">
        <f aca="false">IF(A1946="","",IF(C1946="","KOSONG",IF(AND(LEN(C1946)=16,ISNUMBER(--C1946)),"OK","TIDAK VALID")))</f>
        <v/>
      </c>
    </row>
    <row r="1947" customFormat="false" ht="15" hidden="false" customHeight="false" outlineLevel="0" collapsed="false">
      <c r="A1947" s="21"/>
      <c r="B1947" s="22"/>
      <c r="C1947" s="21"/>
      <c r="D1947" s="22"/>
      <c r="E1947" s="22"/>
      <c r="F1947" s="28"/>
      <c r="G1947" s="22"/>
      <c r="H1947" s="21"/>
      <c r="I1947" s="28"/>
      <c r="J1947" s="22"/>
      <c r="K1947" s="22"/>
      <c r="L1947" s="22"/>
      <c r="M1947" s="21"/>
      <c r="N1947" s="22"/>
      <c r="O1947" s="29" t="str">
        <f aca="false">IF(A1947="","",IF(COUNTIF($A$2:$A$2001,A1947)&gt;1,"GANDA","OK"))</f>
        <v/>
      </c>
      <c r="P1947" s="29" t="str">
        <f aca="false">IF(A1947="","",IF(C1947="","KOSONG",IF(AND(LEN(C1947)=16,ISNUMBER(--C1947)),"OK","TIDAK VALID")))</f>
        <v/>
      </c>
    </row>
    <row r="1948" customFormat="false" ht="15" hidden="false" customHeight="false" outlineLevel="0" collapsed="false">
      <c r="A1948" s="21"/>
      <c r="B1948" s="22"/>
      <c r="C1948" s="21"/>
      <c r="D1948" s="22"/>
      <c r="E1948" s="22"/>
      <c r="F1948" s="28"/>
      <c r="G1948" s="22"/>
      <c r="H1948" s="21"/>
      <c r="I1948" s="28"/>
      <c r="J1948" s="22"/>
      <c r="K1948" s="22"/>
      <c r="L1948" s="22"/>
      <c r="M1948" s="21"/>
      <c r="N1948" s="22"/>
      <c r="O1948" s="29" t="str">
        <f aca="false">IF(A1948="","",IF(COUNTIF($A$2:$A$2001,A1948)&gt;1,"GANDA","OK"))</f>
        <v/>
      </c>
      <c r="P1948" s="29" t="str">
        <f aca="false">IF(A1948="","",IF(C1948="","KOSONG",IF(AND(LEN(C1948)=16,ISNUMBER(--C1948)),"OK","TIDAK VALID")))</f>
        <v/>
      </c>
    </row>
    <row r="1949" customFormat="false" ht="15" hidden="false" customHeight="false" outlineLevel="0" collapsed="false">
      <c r="A1949" s="21"/>
      <c r="B1949" s="22"/>
      <c r="C1949" s="21"/>
      <c r="D1949" s="22"/>
      <c r="E1949" s="22"/>
      <c r="F1949" s="28"/>
      <c r="G1949" s="22"/>
      <c r="H1949" s="21"/>
      <c r="I1949" s="28"/>
      <c r="J1949" s="22"/>
      <c r="K1949" s="22"/>
      <c r="L1949" s="22"/>
      <c r="M1949" s="21"/>
      <c r="N1949" s="22"/>
      <c r="O1949" s="29" t="str">
        <f aca="false">IF(A1949="","",IF(COUNTIF($A$2:$A$2001,A1949)&gt;1,"GANDA","OK"))</f>
        <v/>
      </c>
      <c r="P1949" s="29" t="str">
        <f aca="false">IF(A1949="","",IF(C1949="","KOSONG",IF(AND(LEN(C1949)=16,ISNUMBER(--C1949)),"OK","TIDAK VALID")))</f>
        <v/>
      </c>
    </row>
    <row r="1950" customFormat="false" ht="15" hidden="false" customHeight="false" outlineLevel="0" collapsed="false">
      <c r="A1950" s="21"/>
      <c r="B1950" s="22"/>
      <c r="C1950" s="21"/>
      <c r="D1950" s="22"/>
      <c r="E1950" s="22"/>
      <c r="F1950" s="28"/>
      <c r="G1950" s="22"/>
      <c r="H1950" s="21"/>
      <c r="I1950" s="28"/>
      <c r="J1950" s="22"/>
      <c r="K1950" s="22"/>
      <c r="L1950" s="22"/>
      <c r="M1950" s="21"/>
      <c r="N1950" s="22"/>
      <c r="O1950" s="29" t="str">
        <f aca="false">IF(A1950="","",IF(COUNTIF($A$2:$A$2001,A1950)&gt;1,"GANDA","OK"))</f>
        <v/>
      </c>
      <c r="P1950" s="29" t="str">
        <f aca="false">IF(A1950="","",IF(C1950="","KOSONG",IF(AND(LEN(C1950)=16,ISNUMBER(--C1950)),"OK","TIDAK VALID")))</f>
        <v/>
      </c>
    </row>
    <row r="1951" customFormat="false" ht="15" hidden="false" customHeight="false" outlineLevel="0" collapsed="false">
      <c r="A1951" s="21"/>
      <c r="B1951" s="22"/>
      <c r="C1951" s="21"/>
      <c r="D1951" s="22"/>
      <c r="E1951" s="22"/>
      <c r="F1951" s="28"/>
      <c r="G1951" s="22"/>
      <c r="H1951" s="21"/>
      <c r="I1951" s="28"/>
      <c r="J1951" s="22"/>
      <c r="K1951" s="22"/>
      <c r="L1951" s="22"/>
      <c r="M1951" s="21"/>
      <c r="N1951" s="22"/>
      <c r="O1951" s="29" t="str">
        <f aca="false">IF(A1951="","",IF(COUNTIF($A$2:$A$2001,A1951)&gt;1,"GANDA","OK"))</f>
        <v/>
      </c>
      <c r="P1951" s="29" t="str">
        <f aca="false">IF(A1951="","",IF(C1951="","KOSONG",IF(AND(LEN(C1951)=16,ISNUMBER(--C1951)),"OK","TIDAK VALID")))</f>
        <v/>
      </c>
    </row>
    <row r="1952" customFormat="false" ht="15" hidden="false" customHeight="false" outlineLevel="0" collapsed="false">
      <c r="A1952" s="21"/>
      <c r="B1952" s="22"/>
      <c r="C1952" s="21"/>
      <c r="D1952" s="22"/>
      <c r="E1952" s="22"/>
      <c r="F1952" s="28"/>
      <c r="G1952" s="22"/>
      <c r="H1952" s="21"/>
      <c r="I1952" s="28"/>
      <c r="J1952" s="22"/>
      <c r="K1952" s="22"/>
      <c r="L1952" s="22"/>
      <c r="M1952" s="21"/>
      <c r="N1952" s="22"/>
      <c r="O1952" s="29" t="str">
        <f aca="false">IF(A1952="","",IF(COUNTIF($A$2:$A$2001,A1952)&gt;1,"GANDA","OK"))</f>
        <v/>
      </c>
      <c r="P1952" s="29" t="str">
        <f aca="false">IF(A1952="","",IF(C1952="","KOSONG",IF(AND(LEN(C1952)=16,ISNUMBER(--C1952)),"OK","TIDAK VALID")))</f>
        <v/>
      </c>
    </row>
    <row r="1953" customFormat="false" ht="15" hidden="false" customHeight="false" outlineLevel="0" collapsed="false">
      <c r="A1953" s="21"/>
      <c r="B1953" s="22"/>
      <c r="C1953" s="21"/>
      <c r="D1953" s="22"/>
      <c r="E1953" s="22"/>
      <c r="F1953" s="28"/>
      <c r="G1953" s="22"/>
      <c r="H1953" s="21"/>
      <c r="I1953" s="28"/>
      <c r="J1953" s="22"/>
      <c r="K1953" s="22"/>
      <c r="L1953" s="22"/>
      <c r="M1953" s="21"/>
      <c r="N1953" s="22"/>
      <c r="O1953" s="29" t="str">
        <f aca="false">IF(A1953="","",IF(COUNTIF($A$2:$A$2001,A1953)&gt;1,"GANDA","OK"))</f>
        <v/>
      </c>
      <c r="P1953" s="29" t="str">
        <f aca="false">IF(A1953="","",IF(C1953="","KOSONG",IF(AND(LEN(C1953)=16,ISNUMBER(--C1953)),"OK","TIDAK VALID")))</f>
        <v/>
      </c>
    </row>
    <row r="1954" customFormat="false" ht="15" hidden="false" customHeight="false" outlineLevel="0" collapsed="false">
      <c r="A1954" s="21"/>
      <c r="B1954" s="22"/>
      <c r="C1954" s="21"/>
      <c r="D1954" s="22"/>
      <c r="E1954" s="22"/>
      <c r="F1954" s="28"/>
      <c r="G1954" s="22"/>
      <c r="H1954" s="21"/>
      <c r="I1954" s="28"/>
      <c r="J1954" s="22"/>
      <c r="K1954" s="22"/>
      <c r="L1954" s="22"/>
      <c r="M1954" s="21"/>
      <c r="N1954" s="22"/>
      <c r="O1954" s="29" t="str">
        <f aca="false">IF(A1954="","",IF(COUNTIF($A$2:$A$2001,A1954)&gt;1,"GANDA","OK"))</f>
        <v/>
      </c>
      <c r="P1954" s="29" t="str">
        <f aca="false">IF(A1954="","",IF(C1954="","KOSONG",IF(AND(LEN(C1954)=16,ISNUMBER(--C1954)),"OK","TIDAK VALID")))</f>
        <v/>
      </c>
    </row>
    <row r="1955" customFormat="false" ht="15" hidden="false" customHeight="false" outlineLevel="0" collapsed="false">
      <c r="A1955" s="21"/>
      <c r="B1955" s="22"/>
      <c r="C1955" s="21"/>
      <c r="D1955" s="22"/>
      <c r="E1955" s="22"/>
      <c r="F1955" s="28"/>
      <c r="G1955" s="22"/>
      <c r="H1955" s="21"/>
      <c r="I1955" s="28"/>
      <c r="J1955" s="22"/>
      <c r="K1955" s="22"/>
      <c r="L1955" s="22"/>
      <c r="M1955" s="21"/>
      <c r="N1955" s="22"/>
      <c r="O1955" s="29" t="str">
        <f aca="false">IF(A1955="","",IF(COUNTIF($A$2:$A$2001,A1955)&gt;1,"GANDA","OK"))</f>
        <v/>
      </c>
      <c r="P1955" s="29" t="str">
        <f aca="false">IF(A1955="","",IF(C1955="","KOSONG",IF(AND(LEN(C1955)=16,ISNUMBER(--C1955)),"OK","TIDAK VALID")))</f>
        <v/>
      </c>
    </row>
    <row r="1956" customFormat="false" ht="15" hidden="false" customHeight="false" outlineLevel="0" collapsed="false">
      <c r="A1956" s="21"/>
      <c r="B1956" s="22"/>
      <c r="C1956" s="21"/>
      <c r="D1956" s="22"/>
      <c r="E1956" s="22"/>
      <c r="F1956" s="28"/>
      <c r="G1956" s="22"/>
      <c r="H1956" s="21"/>
      <c r="I1956" s="28"/>
      <c r="J1956" s="22"/>
      <c r="K1956" s="22"/>
      <c r="L1956" s="22"/>
      <c r="M1956" s="21"/>
      <c r="N1956" s="22"/>
      <c r="O1956" s="29" t="str">
        <f aca="false">IF(A1956="","",IF(COUNTIF($A$2:$A$2001,A1956)&gt;1,"GANDA","OK"))</f>
        <v/>
      </c>
      <c r="P1956" s="29" t="str">
        <f aca="false">IF(A1956="","",IF(C1956="","KOSONG",IF(AND(LEN(C1956)=16,ISNUMBER(--C1956)),"OK","TIDAK VALID")))</f>
        <v/>
      </c>
    </row>
    <row r="1957" customFormat="false" ht="15" hidden="false" customHeight="false" outlineLevel="0" collapsed="false">
      <c r="A1957" s="21"/>
      <c r="B1957" s="22"/>
      <c r="C1957" s="21"/>
      <c r="D1957" s="22"/>
      <c r="E1957" s="22"/>
      <c r="F1957" s="28"/>
      <c r="G1957" s="22"/>
      <c r="H1957" s="21"/>
      <c r="I1957" s="28"/>
      <c r="J1957" s="22"/>
      <c r="K1957" s="22"/>
      <c r="L1957" s="22"/>
      <c r="M1957" s="21"/>
      <c r="N1957" s="22"/>
      <c r="O1957" s="29" t="str">
        <f aca="false">IF(A1957="","",IF(COUNTIF($A$2:$A$2001,A1957)&gt;1,"GANDA","OK"))</f>
        <v/>
      </c>
      <c r="P1957" s="29" t="str">
        <f aca="false">IF(A1957="","",IF(C1957="","KOSONG",IF(AND(LEN(C1957)=16,ISNUMBER(--C1957)),"OK","TIDAK VALID")))</f>
        <v/>
      </c>
    </row>
    <row r="1958" customFormat="false" ht="15" hidden="false" customHeight="false" outlineLevel="0" collapsed="false">
      <c r="A1958" s="21"/>
      <c r="B1958" s="22"/>
      <c r="C1958" s="21"/>
      <c r="D1958" s="22"/>
      <c r="E1958" s="22"/>
      <c r="F1958" s="28"/>
      <c r="G1958" s="22"/>
      <c r="H1958" s="21"/>
      <c r="I1958" s="28"/>
      <c r="J1958" s="22"/>
      <c r="K1958" s="22"/>
      <c r="L1958" s="22"/>
      <c r="M1958" s="21"/>
      <c r="N1958" s="22"/>
      <c r="O1958" s="29" t="str">
        <f aca="false">IF(A1958="","",IF(COUNTIF($A$2:$A$2001,A1958)&gt;1,"GANDA","OK"))</f>
        <v/>
      </c>
      <c r="P1958" s="29" t="str">
        <f aca="false">IF(A1958="","",IF(C1958="","KOSONG",IF(AND(LEN(C1958)=16,ISNUMBER(--C1958)),"OK","TIDAK VALID")))</f>
        <v/>
      </c>
    </row>
    <row r="1959" customFormat="false" ht="15" hidden="false" customHeight="false" outlineLevel="0" collapsed="false">
      <c r="A1959" s="21"/>
      <c r="B1959" s="22"/>
      <c r="C1959" s="21"/>
      <c r="D1959" s="22"/>
      <c r="E1959" s="22"/>
      <c r="F1959" s="28"/>
      <c r="G1959" s="22"/>
      <c r="H1959" s="21"/>
      <c r="I1959" s="28"/>
      <c r="J1959" s="22"/>
      <c r="K1959" s="22"/>
      <c r="L1959" s="22"/>
      <c r="M1959" s="21"/>
      <c r="N1959" s="22"/>
      <c r="O1959" s="29" t="str">
        <f aca="false">IF(A1959="","",IF(COUNTIF($A$2:$A$2001,A1959)&gt;1,"GANDA","OK"))</f>
        <v/>
      </c>
      <c r="P1959" s="29" t="str">
        <f aca="false">IF(A1959="","",IF(C1959="","KOSONG",IF(AND(LEN(C1959)=16,ISNUMBER(--C1959)),"OK","TIDAK VALID")))</f>
        <v/>
      </c>
    </row>
    <row r="1960" customFormat="false" ht="15" hidden="false" customHeight="false" outlineLevel="0" collapsed="false">
      <c r="A1960" s="21"/>
      <c r="B1960" s="22"/>
      <c r="C1960" s="21"/>
      <c r="D1960" s="22"/>
      <c r="E1960" s="22"/>
      <c r="F1960" s="28"/>
      <c r="G1960" s="22"/>
      <c r="H1960" s="21"/>
      <c r="I1960" s="28"/>
      <c r="J1960" s="22"/>
      <c r="K1960" s="22"/>
      <c r="L1960" s="22"/>
      <c r="M1960" s="21"/>
      <c r="N1960" s="22"/>
      <c r="O1960" s="29" t="str">
        <f aca="false">IF(A1960="","",IF(COUNTIF($A$2:$A$2001,A1960)&gt;1,"GANDA","OK"))</f>
        <v/>
      </c>
      <c r="P1960" s="29" t="str">
        <f aca="false">IF(A1960="","",IF(C1960="","KOSONG",IF(AND(LEN(C1960)=16,ISNUMBER(--C1960)),"OK","TIDAK VALID")))</f>
        <v/>
      </c>
    </row>
    <row r="1961" customFormat="false" ht="15" hidden="false" customHeight="false" outlineLevel="0" collapsed="false">
      <c r="A1961" s="21"/>
      <c r="B1961" s="22"/>
      <c r="C1961" s="21"/>
      <c r="D1961" s="22"/>
      <c r="E1961" s="22"/>
      <c r="F1961" s="28"/>
      <c r="G1961" s="22"/>
      <c r="H1961" s="21"/>
      <c r="I1961" s="28"/>
      <c r="J1961" s="22"/>
      <c r="K1961" s="22"/>
      <c r="L1961" s="22"/>
      <c r="M1961" s="21"/>
      <c r="N1961" s="22"/>
      <c r="O1961" s="29" t="str">
        <f aca="false">IF(A1961="","",IF(COUNTIF($A$2:$A$2001,A1961)&gt;1,"GANDA","OK"))</f>
        <v/>
      </c>
      <c r="P1961" s="29" t="str">
        <f aca="false">IF(A1961="","",IF(C1961="","KOSONG",IF(AND(LEN(C1961)=16,ISNUMBER(--C1961)),"OK","TIDAK VALID")))</f>
        <v/>
      </c>
    </row>
    <row r="1962" customFormat="false" ht="15" hidden="false" customHeight="false" outlineLevel="0" collapsed="false">
      <c r="A1962" s="21"/>
      <c r="B1962" s="22"/>
      <c r="C1962" s="21"/>
      <c r="D1962" s="22"/>
      <c r="E1962" s="22"/>
      <c r="F1962" s="28"/>
      <c r="G1962" s="22"/>
      <c r="H1962" s="21"/>
      <c r="I1962" s="28"/>
      <c r="J1962" s="22"/>
      <c r="K1962" s="22"/>
      <c r="L1962" s="22"/>
      <c r="M1962" s="21"/>
      <c r="N1962" s="22"/>
      <c r="O1962" s="29" t="str">
        <f aca="false">IF(A1962="","",IF(COUNTIF($A$2:$A$2001,A1962)&gt;1,"GANDA","OK"))</f>
        <v/>
      </c>
      <c r="P1962" s="29" t="str">
        <f aca="false">IF(A1962="","",IF(C1962="","KOSONG",IF(AND(LEN(C1962)=16,ISNUMBER(--C1962)),"OK","TIDAK VALID")))</f>
        <v/>
      </c>
    </row>
    <row r="1963" customFormat="false" ht="15" hidden="false" customHeight="false" outlineLevel="0" collapsed="false">
      <c r="A1963" s="21"/>
      <c r="B1963" s="22"/>
      <c r="C1963" s="21"/>
      <c r="D1963" s="22"/>
      <c r="E1963" s="22"/>
      <c r="F1963" s="28"/>
      <c r="G1963" s="22"/>
      <c r="H1963" s="21"/>
      <c r="I1963" s="28"/>
      <c r="J1963" s="22"/>
      <c r="K1963" s="22"/>
      <c r="L1963" s="22"/>
      <c r="M1963" s="21"/>
      <c r="N1963" s="22"/>
      <c r="O1963" s="29" t="str">
        <f aca="false">IF(A1963="","",IF(COUNTIF($A$2:$A$2001,A1963)&gt;1,"GANDA","OK"))</f>
        <v/>
      </c>
      <c r="P1963" s="29" t="str">
        <f aca="false">IF(A1963="","",IF(C1963="","KOSONG",IF(AND(LEN(C1963)=16,ISNUMBER(--C1963)),"OK","TIDAK VALID")))</f>
        <v/>
      </c>
    </row>
    <row r="1964" customFormat="false" ht="15" hidden="false" customHeight="false" outlineLevel="0" collapsed="false">
      <c r="A1964" s="21"/>
      <c r="B1964" s="22"/>
      <c r="C1964" s="21"/>
      <c r="D1964" s="22"/>
      <c r="E1964" s="22"/>
      <c r="F1964" s="28"/>
      <c r="G1964" s="22"/>
      <c r="H1964" s="21"/>
      <c r="I1964" s="28"/>
      <c r="J1964" s="22"/>
      <c r="K1964" s="22"/>
      <c r="L1964" s="22"/>
      <c r="M1964" s="21"/>
      <c r="N1964" s="22"/>
      <c r="O1964" s="29" t="str">
        <f aca="false">IF(A1964="","",IF(COUNTIF($A$2:$A$2001,A1964)&gt;1,"GANDA","OK"))</f>
        <v/>
      </c>
      <c r="P1964" s="29" t="str">
        <f aca="false">IF(A1964="","",IF(C1964="","KOSONG",IF(AND(LEN(C1964)=16,ISNUMBER(--C1964)),"OK","TIDAK VALID")))</f>
        <v/>
      </c>
    </row>
    <row r="1965" customFormat="false" ht="15" hidden="false" customHeight="false" outlineLevel="0" collapsed="false">
      <c r="A1965" s="21"/>
      <c r="B1965" s="22"/>
      <c r="C1965" s="21"/>
      <c r="D1965" s="22"/>
      <c r="E1965" s="22"/>
      <c r="F1965" s="28"/>
      <c r="G1965" s="22"/>
      <c r="H1965" s="21"/>
      <c r="I1965" s="28"/>
      <c r="J1965" s="22"/>
      <c r="K1965" s="22"/>
      <c r="L1965" s="22"/>
      <c r="M1965" s="21"/>
      <c r="N1965" s="22"/>
      <c r="O1965" s="29" t="str">
        <f aca="false">IF(A1965="","",IF(COUNTIF($A$2:$A$2001,A1965)&gt;1,"GANDA","OK"))</f>
        <v/>
      </c>
      <c r="P1965" s="29" t="str">
        <f aca="false">IF(A1965="","",IF(C1965="","KOSONG",IF(AND(LEN(C1965)=16,ISNUMBER(--C1965)),"OK","TIDAK VALID")))</f>
        <v/>
      </c>
    </row>
    <row r="1966" customFormat="false" ht="15" hidden="false" customHeight="false" outlineLevel="0" collapsed="false">
      <c r="A1966" s="21"/>
      <c r="B1966" s="22"/>
      <c r="C1966" s="21"/>
      <c r="D1966" s="22"/>
      <c r="E1966" s="22"/>
      <c r="F1966" s="28"/>
      <c r="G1966" s="22"/>
      <c r="H1966" s="21"/>
      <c r="I1966" s="28"/>
      <c r="J1966" s="22"/>
      <c r="K1966" s="22"/>
      <c r="L1966" s="22"/>
      <c r="M1966" s="21"/>
      <c r="N1966" s="22"/>
      <c r="O1966" s="29" t="str">
        <f aca="false">IF(A1966="","",IF(COUNTIF($A$2:$A$2001,A1966)&gt;1,"GANDA","OK"))</f>
        <v/>
      </c>
      <c r="P1966" s="29" t="str">
        <f aca="false">IF(A1966="","",IF(C1966="","KOSONG",IF(AND(LEN(C1966)=16,ISNUMBER(--C1966)),"OK","TIDAK VALID")))</f>
        <v/>
      </c>
    </row>
    <row r="1967" customFormat="false" ht="15" hidden="false" customHeight="false" outlineLevel="0" collapsed="false">
      <c r="A1967" s="21"/>
      <c r="B1967" s="22"/>
      <c r="C1967" s="21"/>
      <c r="D1967" s="22"/>
      <c r="E1967" s="22"/>
      <c r="F1967" s="28"/>
      <c r="G1967" s="22"/>
      <c r="H1967" s="21"/>
      <c r="I1967" s="28"/>
      <c r="J1967" s="22"/>
      <c r="K1967" s="22"/>
      <c r="L1967" s="22"/>
      <c r="M1967" s="21"/>
      <c r="N1967" s="22"/>
      <c r="O1967" s="29" t="str">
        <f aca="false">IF(A1967="","",IF(COUNTIF($A$2:$A$2001,A1967)&gt;1,"GANDA","OK"))</f>
        <v/>
      </c>
      <c r="P1967" s="29" t="str">
        <f aca="false">IF(A1967="","",IF(C1967="","KOSONG",IF(AND(LEN(C1967)=16,ISNUMBER(--C1967)),"OK","TIDAK VALID")))</f>
        <v/>
      </c>
    </row>
    <row r="1968" customFormat="false" ht="15" hidden="false" customHeight="false" outlineLevel="0" collapsed="false">
      <c r="A1968" s="21"/>
      <c r="B1968" s="22"/>
      <c r="C1968" s="21"/>
      <c r="D1968" s="22"/>
      <c r="E1968" s="22"/>
      <c r="F1968" s="28"/>
      <c r="G1968" s="22"/>
      <c r="H1968" s="21"/>
      <c r="I1968" s="28"/>
      <c r="J1968" s="22"/>
      <c r="K1968" s="22"/>
      <c r="L1968" s="22"/>
      <c r="M1968" s="21"/>
      <c r="N1968" s="22"/>
      <c r="O1968" s="29" t="str">
        <f aca="false">IF(A1968="","",IF(COUNTIF($A$2:$A$2001,A1968)&gt;1,"GANDA","OK"))</f>
        <v/>
      </c>
      <c r="P1968" s="29" t="str">
        <f aca="false">IF(A1968="","",IF(C1968="","KOSONG",IF(AND(LEN(C1968)=16,ISNUMBER(--C1968)),"OK","TIDAK VALID")))</f>
        <v/>
      </c>
    </row>
    <row r="1969" customFormat="false" ht="15" hidden="false" customHeight="false" outlineLevel="0" collapsed="false">
      <c r="A1969" s="21"/>
      <c r="B1969" s="22"/>
      <c r="C1969" s="21"/>
      <c r="D1969" s="22"/>
      <c r="E1969" s="22"/>
      <c r="F1969" s="28"/>
      <c r="G1969" s="22"/>
      <c r="H1969" s="21"/>
      <c r="I1969" s="28"/>
      <c r="J1969" s="22"/>
      <c r="K1969" s="22"/>
      <c r="L1969" s="22"/>
      <c r="M1969" s="21"/>
      <c r="N1969" s="22"/>
      <c r="O1969" s="29" t="str">
        <f aca="false">IF(A1969="","",IF(COUNTIF($A$2:$A$2001,A1969)&gt;1,"GANDA","OK"))</f>
        <v/>
      </c>
      <c r="P1969" s="29" t="str">
        <f aca="false">IF(A1969="","",IF(C1969="","KOSONG",IF(AND(LEN(C1969)=16,ISNUMBER(--C1969)),"OK","TIDAK VALID")))</f>
        <v/>
      </c>
    </row>
    <row r="1970" customFormat="false" ht="15" hidden="false" customHeight="false" outlineLevel="0" collapsed="false">
      <c r="A1970" s="21"/>
      <c r="B1970" s="22"/>
      <c r="C1970" s="21"/>
      <c r="D1970" s="22"/>
      <c r="E1970" s="22"/>
      <c r="F1970" s="28"/>
      <c r="G1970" s="22"/>
      <c r="H1970" s="21"/>
      <c r="I1970" s="28"/>
      <c r="J1970" s="22"/>
      <c r="K1970" s="22"/>
      <c r="L1970" s="22"/>
      <c r="M1970" s="21"/>
      <c r="N1970" s="22"/>
      <c r="O1970" s="29" t="str">
        <f aca="false">IF(A1970="","",IF(COUNTIF($A$2:$A$2001,A1970)&gt;1,"GANDA","OK"))</f>
        <v/>
      </c>
      <c r="P1970" s="29" t="str">
        <f aca="false">IF(A1970="","",IF(C1970="","KOSONG",IF(AND(LEN(C1970)=16,ISNUMBER(--C1970)),"OK","TIDAK VALID")))</f>
        <v/>
      </c>
    </row>
    <row r="1971" customFormat="false" ht="15" hidden="false" customHeight="false" outlineLevel="0" collapsed="false">
      <c r="A1971" s="21"/>
      <c r="B1971" s="22"/>
      <c r="C1971" s="21"/>
      <c r="D1971" s="22"/>
      <c r="E1971" s="22"/>
      <c r="F1971" s="28"/>
      <c r="G1971" s="22"/>
      <c r="H1971" s="21"/>
      <c r="I1971" s="28"/>
      <c r="J1971" s="22"/>
      <c r="K1971" s="22"/>
      <c r="L1971" s="22"/>
      <c r="M1971" s="21"/>
      <c r="N1971" s="22"/>
      <c r="O1971" s="29" t="str">
        <f aca="false">IF(A1971="","",IF(COUNTIF($A$2:$A$2001,A1971)&gt;1,"GANDA","OK"))</f>
        <v/>
      </c>
      <c r="P1971" s="29" t="str">
        <f aca="false">IF(A1971="","",IF(C1971="","KOSONG",IF(AND(LEN(C1971)=16,ISNUMBER(--C1971)),"OK","TIDAK VALID")))</f>
        <v/>
      </c>
    </row>
    <row r="1972" customFormat="false" ht="15" hidden="false" customHeight="false" outlineLevel="0" collapsed="false">
      <c r="A1972" s="21"/>
      <c r="B1972" s="22"/>
      <c r="C1972" s="21"/>
      <c r="D1972" s="22"/>
      <c r="E1972" s="22"/>
      <c r="F1972" s="28"/>
      <c r="G1972" s="22"/>
      <c r="H1972" s="21"/>
      <c r="I1972" s="28"/>
      <c r="J1972" s="22"/>
      <c r="K1972" s="22"/>
      <c r="L1972" s="22"/>
      <c r="M1972" s="21"/>
      <c r="N1972" s="22"/>
      <c r="O1972" s="29" t="str">
        <f aca="false">IF(A1972="","",IF(COUNTIF($A$2:$A$2001,A1972)&gt;1,"GANDA","OK"))</f>
        <v/>
      </c>
      <c r="P1972" s="29" t="str">
        <f aca="false">IF(A1972="","",IF(C1972="","KOSONG",IF(AND(LEN(C1972)=16,ISNUMBER(--C1972)),"OK","TIDAK VALID")))</f>
        <v/>
      </c>
    </row>
    <row r="1973" customFormat="false" ht="15" hidden="false" customHeight="false" outlineLevel="0" collapsed="false">
      <c r="A1973" s="21"/>
      <c r="B1973" s="22"/>
      <c r="C1973" s="21"/>
      <c r="D1973" s="22"/>
      <c r="E1973" s="22"/>
      <c r="F1973" s="28"/>
      <c r="G1973" s="22"/>
      <c r="H1973" s="21"/>
      <c r="I1973" s="28"/>
      <c r="J1973" s="22"/>
      <c r="K1973" s="22"/>
      <c r="L1973" s="22"/>
      <c r="M1973" s="21"/>
      <c r="N1973" s="22"/>
      <c r="O1973" s="29" t="str">
        <f aca="false">IF(A1973="","",IF(COUNTIF($A$2:$A$2001,A1973)&gt;1,"GANDA","OK"))</f>
        <v/>
      </c>
      <c r="P1973" s="29" t="str">
        <f aca="false">IF(A1973="","",IF(C1973="","KOSONG",IF(AND(LEN(C1973)=16,ISNUMBER(--C1973)),"OK","TIDAK VALID")))</f>
        <v/>
      </c>
    </row>
    <row r="1974" customFormat="false" ht="15" hidden="false" customHeight="false" outlineLevel="0" collapsed="false">
      <c r="A1974" s="21"/>
      <c r="B1974" s="22"/>
      <c r="C1974" s="21"/>
      <c r="D1974" s="22"/>
      <c r="E1974" s="22"/>
      <c r="F1974" s="28"/>
      <c r="G1974" s="22"/>
      <c r="H1974" s="21"/>
      <c r="I1974" s="28"/>
      <c r="J1974" s="22"/>
      <c r="K1974" s="22"/>
      <c r="L1974" s="22"/>
      <c r="M1974" s="21"/>
      <c r="N1974" s="22"/>
      <c r="O1974" s="29" t="str">
        <f aca="false">IF(A1974="","",IF(COUNTIF($A$2:$A$2001,A1974)&gt;1,"GANDA","OK"))</f>
        <v/>
      </c>
      <c r="P1974" s="29" t="str">
        <f aca="false">IF(A1974="","",IF(C1974="","KOSONG",IF(AND(LEN(C1974)=16,ISNUMBER(--C1974)),"OK","TIDAK VALID")))</f>
        <v/>
      </c>
    </row>
    <row r="1975" customFormat="false" ht="15" hidden="false" customHeight="false" outlineLevel="0" collapsed="false">
      <c r="A1975" s="21"/>
      <c r="B1975" s="22"/>
      <c r="C1975" s="21"/>
      <c r="D1975" s="22"/>
      <c r="E1975" s="22"/>
      <c r="F1975" s="28"/>
      <c r="G1975" s="22"/>
      <c r="H1975" s="21"/>
      <c r="I1975" s="28"/>
      <c r="J1975" s="22"/>
      <c r="K1975" s="22"/>
      <c r="L1975" s="22"/>
      <c r="M1975" s="21"/>
      <c r="N1975" s="22"/>
      <c r="O1975" s="29" t="str">
        <f aca="false">IF(A1975="","",IF(COUNTIF($A$2:$A$2001,A1975)&gt;1,"GANDA","OK"))</f>
        <v/>
      </c>
      <c r="P1975" s="29" t="str">
        <f aca="false">IF(A1975="","",IF(C1975="","KOSONG",IF(AND(LEN(C1975)=16,ISNUMBER(--C1975)),"OK","TIDAK VALID")))</f>
        <v/>
      </c>
    </row>
    <row r="1976" customFormat="false" ht="15" hidden="false" customHeight="false" outlineLevel="0" collapsed="false">
      <c r="A1976" s="21"/>
      <c r="B1976" s="22"/>
      <c r="C1976" s="21"/>
      <c r="D1976" s="22"/>
      <c r="E1976" s="22"/>
      <c r="F1976" s="28"/>
      <c r="G1976" s="22"/>
      <c r="H1976" s="21"/>
      <c r="I1976" s="28"/>
      <c r="J1976" s="22"/>
      <c r="K1976" s="22"/>
      <c r="L1976" s="22"/>
      <c r="M1976" s="21"/>
      <c r="N1976" s="22"/>
      <c r="O1976" s="29" t="str">
        <f aca="false">IF(A1976="","",IF(COUNTIF($A$2:$A$2001,A1976)&gt;1,"GANDA","OK"))</f>
        <v/>
      </c>
      <c r="P1976" s="29" t="str">
        <f aca="false">IF(A1976="","",IF(C1976="","KOSONG",IF(AND(LEN(C1976)=16,ISNUMBER(--C1976)),"OK","TIDAK VALID")))</f>
        <v/>
      </c>
    </row>
    <row r="1977" customFormat="false" ht="15" hidden="false" customHeight="false" outlineLevel="0" collapsed="false">
      <c r="A1977" s="21"/>
      <c r="B1977" s="22"/>
      <c r="C1977" s="21"/>
      <c r="D1977" s="22"/>
      <c r="E1977" s="22"/>
      <c r="F1977" s="28"/>
      <c r="G1977" s="22"/>
      <c r="H1977" s="21"/>
      <c r="I1977" s="28"/>
      <c r="J1977" s="22"/>
      <c r="K1977" s="22"/>
      <c r="L1977" s="22"/>
      <c r="M1977" s="21"/>
      <c r="N1977" s="22"/>
      <c r="O1977" s="29" t="str">
        <f aca="false">IF(A1977="","",IF(COUNTIF($A$2:$A$2001,A1977)&gt;1,"GANDA","OK"))</f>
        <v/>
      </c>
      <c r="P1977" s="29" t="str">
        <f aca="false">IF(A1977="","",IF(C1977="","KOSONG",IF(AND(LEN(C1977)=16,ISNUMBER(--C1977)),"OK","TIDAK VALID")))</f>
        <v/>
      </c>
    </row>
    <row r="1978" customFormat="false" ht="15" hidden="false" customHeight="false" outlineLevel="0" collapsed="false">
      <c r="A1978" s="21"/>
      <c r="B1978" s="22"/>
      <c r="C1978" s="21"/>
      <c r="D1978" s="22"/>
      <c r="E1978" s="22"/>
      <c r="F1978" s="28"/>
      <c r="G1978" s="22"/>
      <c r="H1978" s="21"/>
      <c r="I1978" s="28"/>
      <c r="J1978" s="22"/>
      <c r="K1978" s="22"/>
      <c r="L1978" s="22"/>
      <c r="M1978" s="21"/>
      <c r="N1978" s="22"/>
      <c r="O1978" s="29" t="str">
        <f aca="false">IF(A1978="","",IF(COUNTIF($A$2:$A$2001,A1978)&gt;1,"GANDA","OK"))</f>
        <v/>
      </c>
      <c r="P1978" s="29" t="str">
        <f aca="false">IF(A1978="","",IF(C1978="","KOSONG",IF(AND(LEN(C1978)=16,ISNUMBER(--C1978)),"OK","TIDAK VALID")))</f>
        <v/>
      </c>
    </row>
    <row r="1979" customFormat="false" ht="15" hidden="false" customHeight="false" outlineLevel="0" collapsed="false">
      <c r="A1979" s="21"/>
      <c r="B1979" s="22"/>
      <c r="C1979" s="21"/>
      <c r="D1979" s="22"/>
      <c r="E1979" s="22"/>
      <c r="F1979" s="28"/>
      <c r="G1979" s="22"/>
      <c r="H1979" s="21"/>
      <c r="I1979" s="28"/>
      <c r="J1979" s="22"/>
      <c r="K1979" s="22"/>
      <c r="L1979" s="22"/>
      <c r="M1979" s="21"/>
      <c r="N1979" s="22"/>
      <c r="O1979" s="29" t="str">
        <f aca="false">IF(A1979="","",IF(COUNTIF($A$2:$A$2001,A1979)&gt;1,"GANDA","OK"))</f>
        <v/>
      </c>
      <c r="P1979" s="29" t="str">
        <f aca="false">IF(A1979="","",IF(C1979="","KOSONG",IF(AND(LEN(C1979)=16,ISNUMBER(--C1979)),"OK","TIDAK VALID")))</f>
        <v/>
      </c>
    </row>
    <row r="1980" customFormat="false" ht="15" hidden="false" customHeight="false" outlineLevel="0" collapsed="false">
      <c r="A1980" s="21"/>
      <c r="B1980" s="22"/>
      <c r="C1980" s="21"/>
      <c r="D1980" s="22"/>
      <c r="E1980" s="22"/>
      <c r="F1980" s="28"/>
      <c r="G1980" s="22"/>
      <c r="H1980" s="21"/>
      <c r="I1980" s="28"/>
      <c r="J1980" s="22"/>
      <c r="K1980" s="22"/>
      <c r="L1980" s="22"/>
      <c r="M1980" s="21"/>
      <c r="N1980" s="22"/>
      <c r="O1980" s="29" t="str">
        <f aca="false">IF(A1980="","",IF(COUNTIF($A$2:$A$2001,A1980)&gt;1,"GANDA","OK"))</f>
        <v/>
      </c>
      <c r="P1980" s="29" t="str">
        <f aca="false">IF(A1980="","",IF(C1980="","KOSONG",IF(AND(LEN(C1980)=16,ISNUMBER(--C1980)),"OK","TIDAK VALID")))</f>
        <v/>
      </c>
    </row>
    <row r="1981" customFormat="false" ht="15" hidden="false" customHeight="false" outlineLevel="0" collapsed="false">
      <c r="A1981" s="21"/>
      <c r="B1981" s="22"/>
      <c r="C1981" s="21"/>
      <c r="D1981" s="22"/>
      <c r="E1981" s="22"/>
      <c r="F1981" s="28"/>
      <c r="G1981" s="22"/>
      <c r="H1981" s="21"/>
      <c r="I1981" s="28"/>
      <c r="J1981" s="22"/>
      <c r="K1981" s="22"/>
      <c r="L1981" s="22"/>
      <c r="M1981" s="21"/>
      <c r="N1981" s="22"/>
      <c r="O1981" s="29" t="str">
        <f aca="false">IF(A1981="","",IF(COUNTIF($A$2:$A$2001,A1981)&gt;1,"GANDA","OK"))</f>
        <v/>
      </c>
      <c r="P1981" s="29" t="str">
        <f aca="false">IF(A1981="","",IF(C1981="","KOSONG",IF(AND(LEN(C1981)=16,ISNUMBER(--C1981)),"OK","TIDAK VALID")))</f>
        <v/>
      </c>
    </row>
    <row r="1982" customFormat="false" ht="15" hidden="false" customHeight="false" outlineLevel="0" collapsed="false">
      <c r="A1982" s="21"/>
      <c r="B1982" s="22"/>
      <c r="C1982" s="21"/>
      <c r="D1982" s="22"/>
      <c r="E1982" s="22"/>
      <c r="F1982" s="28"/>
      <c r="G1982" s="22"/>
      <c r="H1982" s="21"/>
      <c r="I1982" s="28"/>
      <c r="J1982" s="22"/>
      <c r="K1982" s="22"/>
      <c r="L1982" s="22"/>
      <c r="M1982" s="21"/>
      <c r="N1982" s="22"/>
      <c r="O1982" s="29" t="str">
        <f aca="false">IF(A1982="","",IF(COUNTIF($A$2:$A$2001,A1982)&gt;1,"GANDA","OK"))</f>
        <v/>
      </c>
      <c r="P1982" s="29" t="str">
        <f aca="false">IF(A1982="","",IF(C1982="","KOSONG",IF(AND(LEN(C1982)=16,ISNUMBER(--C1982)),"OK","TIDAK VALID")))</f>
        <v/>
      </c>
    </row>
    <row r="1983" customFormat="false" ht="15" hidden="false" customHeight="false" outlineLevel="0" collapsed="false">
      <c r="A1983" s="21"/>
      <c r="B1983" s="22"/>
      <c r="C1983" s="21"/>
      <c r="D1983" s="22"/>
      <c r="E1983" s="22"/>
      <c r="F1983" s="28"/>
      <c r="G1983" s="22"/>
      <c r="H1983" s="21"/>
      <c r="I1983" s="28"/>
      <c r="J1983" s="22"/>
      <c r="K1983" s="22"/>
      <c r="L1983" s="22"/>
      <c r="M1983" s="21"/>
      <c r="N1983" s="22"/>
      <c r="O1983" s="29" t="str">
        <f aca="false">IF(A1983="","",IF(COUNTIF($A$2:$A$2001,A1983)&gt;1,"GANDA","OK"))</f>
        <v/>
      </c>
      <c r="P1983" s="29" t="str">
        <f aca="false">IF(A1983="","",IF(C1983="","KOSONG",IF(AND(LEN(C1983)=16,ISNUMBER(--C1983)),"OK","TIDAK VALID")))</f>
        <v/>
      </c>
    </row>
    <row r="1984" customFormat="false" ht="15" hidden="false" customHeight="false" outlineLevel="0" collapsed="false">
      <c r="A1984" s="21"/>
      <c r="B1984" s="22"/>
      <c r="C1984" s="21"/>
      <c r="D1984" s="22"/>
      <c r="E1984" s="22"/>
      <c r="F1984" s="28"/>
      <c r="G1984" s="22"/>
      <c r="H1984" s="21"/>
      <c r="I1984" s="28"/>
      <c r="J1984" s="22"/>
      <c r="K1984" s="22"/>
      <c r="L1984" s="22"/>
      <c r="M1984" s="21"/>
      <c r="N1984" s="22"/>
      <c r="O1984" s="29" t="str">
        <f aca="false">IF(A1984="","",IF(COUNTIF($A$2:$A$2001,A1984)&gt;1,"GANDA","OK"))</f>
        <v/>
      </c>
      <c r="P1984" s="29" t="str">
        <f aca="false">IF(A1984="","",IF(C1984="","KOSONG",IF(AND(LEN(C1984)=16,ISNUMBER(--C1984)),"OK","TIDAK VALID")))</f>
        <v/>
      </c>
    </row>
    <row r="1985" customFormat="false" ht="15" hidden="false" customHeight="false" outlineLevel="0" collapsed="false">
      <c r="A1985" s="21"/>
      <c r="B1985" s="22"/>
      <c r="C1985" s="21"/>
      <c r="D1985" s="22"/>
      <c r="E1985" s="22"/>
      <c r="F1985" s="28"/>
      <c r="G1985" s="22"/>
      <c r="H1985" s="21"/>
      <c r="I1985" s="28"/>
      <c r="J1985" s="22"/>
      <c r="K1985" s="22"/>
      <c r="L1985" s="22"/>
      <c r="M1985" s="21"/>
      <c r="N1985" s="22"/>
      <c r="O1985" s="29" t="str">
        <f aca="false">IF(A1985="","",IF(COUNTIF($A$2:$A$2001,A1985)&gt;1,"GANDA","OK"))</f>
        <v/>
      </c>
      <c r="P1985" s="29" t="str">
        <f aca="false">IF(A1985="","",IF(C1985="","KOSONG",IF(AND(LEN(C1985)=16,ISNUMBER(--C1985)),"OK","TIDAK VALID")))</f>
        <v/>
      </c>
    </row>
    <row r="1986" customFormat="false" ht="15" hidden="false" customHeight="false" outlineLevel="0" collapsed="false">
      <c r="A1986" s="21"/>
      <c r="B1986" s="22"/>
      <c r="C1986" s="21"/>
      <c r="D1986" s="22"/>
      <c r="E1986" s="22"/>
      <c r="F1986" s="28"/>
      <c r="G1986" s="22"/>
      <c r="H1986" s="21"/>
      <c r="I1986" s="28"/>
      <c r="J1986" s="22"/>
      <c r="K1986" s="22"/>
      <c r="L1986" s="22"/>
      <c r="M1986" s="21"/>
      <c r="N1986" s="22"/>
      <c r="O1986" s="29" t="str">
        <f aca="false">IF(A1986="","",IF(COUNTIF($A$2:$A$2001,A1986)&gt;1,"GANDA","OK"))</f>
        <v/>
      </c>
      <c r="P1986" s="29" t="str">
        <f aca="false">IF(A1986="","",IF(C1986="","KOSONG",IF(AND(LEN(C1986)=16,ISNUMBER(--C1986)),"OK","TIDAK VALID")))</f>
        <v/>
      </c>
    </row>
    <row r="1987" customFormat="false" ht="15" hidden="false" customHeight="false" outlineLevel="0" collapsed="false">
      <c r="A1987" s="21"/>
      <c r="B1987" s="22"/>
      <c r="C1987" s="21"/>
      <c r="D1987" s="22"/>
      <c r="E1987" s="22"/>
      <c r="F1987" s="28"/>
      <c r="G1987" s="22"/>
      <c r="H1987" s="21"/>
      <c r="I1987" s="28"/>
      <c r="J1987" s="22"/>
      <c r="K1987" s="22"/>
      <c r="L1987" s="22"/>
      <c r="M1987" s="21"/>
      <c r="N1987" s="22"/>
      <c r="O1987" s="29" t="str">
        <f aca="false">IF(A1987="","",IF(COUNTIF($A$2:$A$2001,A1987)&gt;1,"GANDA","OK"))</f>
        <v/>
      </c>
      <c r="P1987" s="29" t="str">
        <f aca="false">IF(A1987="","",IF(C1987="","KOSONG",IF(AND(LEN(C1987)=16,ISNUMBER(--C1987)),"OK","TIDAK VALID")))</f>
        <v/>
      </c>
    </row>
    <row r="1988" customFormat="false" ht="15" hidden="false" customHeight="false" outlineLevel="0" collapsed="false">
      <c r="A1988" s="21"/>
      <c r="B1988" s="22"/>
      <c r="C1988" s="21"/>
      <c r="D1988" s="22"/>
      <c r="E1988" s="22"/>
      <c r="F1988" s="28"/>
      <c r="G1988" s="22"/>
      <c r="H1988" s="21"/>
      <c r="I1988" s="28"/>
      <c r="J1988" s="22"/>
      <c r="K1988" s="22"/>
      <c r="L1988" s="22"/>
      <c r="M1988" s="21"/>
      <c r="N1988" s="22"/>
      <c r="O1988" s="29" t="str">
        <f aca="false">IF(A1988="","",IF(COUNTIF($A$2:$A$2001,A1988)&gt;1,"GANDA","OK"))</f>
        <v/>
      </c>
      <c r="P1988" s="29" t="str">
        <f aca="false">IF(A1988="","",IF(C1988="","KOSONG",IF(AND(LEN(C1988)=16,ISNUMBER(--C1988)),"OK","TIDAK VALID")))</f>
        <v/>
      </c>
    </row>
    <row r="1989" customFormat="false" ht="15" hidden="false" customHeight="false" outlineLevel="0" collapsed="false">
      <c r="A1989" s="21"/>
      <c r="B1989" s="22"/>
      <c r="C1989" s="21"/>
      <c r="D1989" s="22"/>
      <c r="E1989" s="22"/>
      <c r="F1989" s="28"/>
      <c r="G1989" s="22"/>
      <c r="H1989" s="21"/>
      <c r="I1989" s="28"/>
      <c r="J1989" s="22"/>
      <c r="K1989" s="22"/>
      <c r="L1989" s="22"/>
      <c r="M1989" s="21"/>
      <c r="N1989" s="22"/>
      <c r="O1989" s="29" t="str">
        <f aca="false">IF(A1989="","",IF(COUNTIF($A$2:$A$2001,A1989)&gt;1,"GANDA","OK"))</f>
        <v/>
      </c>
      <c r="P1989" s="29" t="str">
        <f aca="false">IF(A1989="","",IF(C1989="","KOSONG",IF(AND(LEN(C1989)=16,ISNUMBER(--C1989)),"OK","TIDAK VALID")))</f>
        <v/>
      </c>
    </row>
    <row r="1990" customFormat="false" ht="15" hidden="false" customHeight="false" outlineLevel="0" collapsed="false">
      <c r="A1990" s="21"/>
      <c r="B1990" s="22"/>
      <c r="C1990" s="21"/>
      <c r="D1990" s="22"/>
      <c r="E1990" s="22"/>
      <c r="F1990" s="28"/>
      <c r="G1990" s="22"/>
      <c r="H1990" s="21"/>
      <c r="I1990" s="28"/>
      <c r="J1990" s="22"/>
      <c r="K1990" s="22"/>
      <c r="L1990" s="22"/>
      <c r="M1990" s="21"/>
      <c r="N1990" s="22"/>
      <c r="O1990" s="29" t="str">
        <f aca="false">IF(A1990="","",IF(COUNTIF($A$2:$A$2001,A1990)&gt;1,"GANDA","OK"))</f>
        <v/>
      </c>
      <c r="P1990" s="29" t="str">
        <f aca="false">IF(A1990="","",IF(C1990="","KOSONG",IF(AND(LEN(C1990)=16,ISNUMBER(--C1990)),"OK","TIDAK VALID")))</f>
        <v/>
      </c>
    </row>
    <row r="1991" customFormat="false" ht="15" hidden="false" customHeight="false" outlineLevel="0" collapsed="false">
      <c r="A1991" s="21"/>
      <c r="B1991" s="22"/>
      <c r="C1991" s="21"/>
      <c r="D1991" s="22"/>
      <c r="E1991" s="22"/>
      <c r="F1991" s="28"/>
      <c r="G1991" s="22"/>
      <c r="H1991" s="21"/>
      <c r="I1991" s="28"/>
      <c r="J1991" s="22"/>
      <c r="K1991" s="22"/>
      <c r="L1991" s="22"/>
      <c r="M1991" s="21"/>
      <c r="N1991" s="22"/>
      <c r="O1991" s="29" t="str">
        <f aca="false">IF(A1991="","",IF(COUNTIF($A$2:$A$2001,A1991)&gt;1,"GANDA","OK"))</f>
        <v/>
      </c>
      <c r="P1991" s="29" t="str">
        <f aca="false">IF(A1991="","",IF(C1991="","KOSONG",IF(AND(LEN(C1991)=16,ISNUMBER(--C1991)),"OK","TIDAK VALID")))</f>
        <v/>
      </c>
    </row>
    <row r="1992" customFormat="false" ht="15" hidden="false" customHeight="false" outlineLevel="0" collapsed="false">
      <c r="A1992" s="21"/>
      <c r="B1992" s="22"/>
      <c r="C1992" s="21"/>
      <c r="D1992" s="22"/>
      <c r="E1992" s="22"/>
      <c r="F1992" s="28"/>
      <c r="G1992" s="22"/>
      <c r="H1992" s="21"/>
      <c r="I1992" s="28"/>
      <c r="J1992" s="22"/>
      <c r="K1992" s="22"/>
      <c r="L1992" s="22"/>
      <c r="M1992" s="21"/>
      <c r="N1992" s="22"/>
      <c r="O1992" s="29" t="str">
        <f aca="false">IF(A1992="","",IF(COUNTIF($A$2:$A$2001,A1992)&gt;1,"GANDA","OK"))</f>
        <v/>
      </c>
      <c r="P1992" s="29" t="str">
        <f aca="false">IF(A1992="","",IF(C1992="","KOSONG",IF(AND(LEN(C1992)=16,ISNUMBER(--C1992)),"OK","TIDAK VALID")))</f>
        <v/>
      </c>
    </row>
    <row r="1993" customFormat="false" ht="15" hidden="false" customHeight="false" outlineLevel="0" collapsed="false">
      <c r="A1993" s="21"/>
      <c r="B1993" s="22"/>
      <c r="C1993" s="21"/>
      <c r="D1993" s="22"/>
      <c r="E1993" s="22"/>
      <c r="F1993" s="28"/>
      <c r="G1993" s="22"/>
      <c r="H1993" s="21"/>
      <c r="I1993" s="28"/>
      <c r="J1993" s="22"/>
      <c r="K1993" s="22"/>
      <c r="L1993" s="22"/>
      <c r="M1993" s="21"/>
      <c r="N1993" s="22"/>
      <c r="O1993" s="29" t="str">
        <f aca="false">IF(A1993="","",IF(COUNTIF($A$2:$A$2001,A1993)&gt;1,"GANDA","OK"))</f>
        <v/>
      </c>
      <c r="P1993" s="29" t="str">
        <f aca="false">IF(A1993="","",IF(C1993="","KOSONG",IF(AND(LEN(C1993)=16,ISNUMBER(--C1993)),"OK","TIDAK VALID")))</f>
        <v/>
      </c>
    </row>
    <row r="1994" customFormat="false" ht="15" hidden="false" customHeight="false" outlineLevel="0" collapsed="false">
      <c r="A1994" s="21"/>
      <c r="B1994" s="22"/>
      <c r="C1994" s="21"/>
      <c r="D1994" s="22"/>
      <c r="E1994" s="22"/>
      <c r="F1994" s="28"/>
      <c r="G1994" s="22"/>
      <c r="H1994" s="21"/>
      <c r="I1994" s="28"/>
      <c r="J1994" s="22"/>
      <c r="K1994" s="22"/>
      <c r="L1994" s="22"/>
      <c r="M1994" s="21"/>
      <c r="N1994" s="22"/>
      <c r="O1994" s="29" t="str">
        <f aca="false">IF(A1994="","",IF(COUNTIF($A$2:$A$2001,A1994)&gt;1,"GANDA","OK"))</f>
        <v/>
      </c>
      <c r="P1994" s="29" t="str">
        <f aca="false">IF(A1994="","",IF(C1994="","KOSONG",IF(AND(LEN(C1994)=16,ISNUMBER(--C1994)),"OK","TIDAK VALID")))</f>
        <v/>
      </c>
    </row>
    <row r="1995" customFormat="false" ht="15" hidden="false" customHeight="false" outlineLevel="0" collapsed="false">
      <c r="A1995" s="21"/>
      <c r="B1995" s="22"/>
      <c r="C1995" s="21"/>
      <c r="D1995" s="22"/>
      <c r="E1995" s="22"/>
      <c r="F1995" s="28"/>
      <c r="G1995" s="22"/>
      <c r="H1995" s="21"/>
      <c r="I1995" s="28"/>
      <c r="J1995" s="22"/>
      <c r="K1995" s="22"/>
      <c r="L1995" s="22"/>
      <c r="M1995" s="21"/>
      <c r="N1995" s="22"/>
      <c r="O1995" s="29" t="str">
        <f aca="false">IF(A1995="","",IF(COUNTIF($A$2:$A$2001,A1995)&gt;1,"GANDA","OK"))</f>
        <v/>
      </c>
      <c r="P1995" s="29" t="str">
        <f aca="false">IF(A1995="","",IF(C1995="","KOSONG",IF(AND(LEN(C1995)=16,ISNUMBER(--C1995)),"OK","TIDAK VALID")))</f>
        <v/>
      </c>
    </row>
    <row r="1996" customFormat="false" ht="15" hidden="false" customHeight="false" outlineLevel="0" collapsed="false">
      <c r="A1996" s="21"/>
      <c r="B1996" s="22"/>
      <c r="C1996" s="21"/>
      <c r="D1996" s="22"/>
      <c r="E1996" s="22"/>
      <c r="F1996" s="28"/>
      <c r="G1996" s="22"/>
      <c r="H1996" s="21"/>
      <c r="I1996" s="28"/>
      <c r="J1996" s="22"/>
      <c r="K1996" s="22"/>
      <c r="L1996" s="22"/>
      <c r="M1996" s="21"/>
      <c r="N1996" s="22"/>
      <c r="O1996" s="29" t="str">
        <f aca="false">IF(A1996="","",IF(COUNTIF($A$2:$A$2001,A1996)&gt;1,"GANDA","OK"))</f>
        <v/>
      </c>
      <c r="P1996" s="29" t="str">
        <f aca="false">IF(A1996="","",IF(C1996="","KOSONG",IF(AND(LEN(C1996)=16,ISNUMBER(--C1996)),"OK","TIDAK VALID")))</f>
        <v/>
      </c>
    </row>
    <row r="1997" customFormat="false" ht="15" hidden="false" customHeight="false" outlineLevel="0" collapsed="false">
      <c r="A1997" s="21"/>
      <c r="B1997" s="22"/>
      <c r="C1997" s="21"/>
      <c r="D1997" s="22"/>
      <c r="E1997" s="22"/>
      <c r="F1997" s="28"/>
      <c r="G1997" s="22"/>
      <c r="H1997" s="21"/>
      <c r="I1997" s="28"/>
      <c r="J1997" s="22"/>
      <c r="K1997" s="22"/>
      <c r="L1997" s="22"/>
      <c r="M1997" s="21"/>
      <c r="N1997" s="22"/>
      <c r="O1997" s="29" t="str">
        <f aca="false">IF(A1997="","",IF(COUNTIF($A$2:$A$2001,A1997)&gt;1,"GANDA","OK"))</f>
        <v/>
      </c>
      <c r="P1997" s="29" t="str">
        <f aca="false">IF(A1997="","",IF(C1997="","KOSONG",IF(AND(LEN(C1997)=16,ISNUMBER(--C1997)),"OK","TIDAK VALID")))</f>
        <v/>
      </c>
    </row>
    <row r="1998" customFormat="false" ht="15" hidden="false" customHeight="false" outlineLevel="0" collapsed="false">
      <c r="A1998" s="21"/>
      <c r="B1998" s="22"/>
      <c r="C1998" s="21"/>
      <c r="D1998" s="22"/>
      <c r="E1998" s="22"/>
      <c r="F1998" s="28"/>
      <c r="G1998" s="22"/>
      <c r="H1998" s="21"/>
      <c r="I1998" s="28"/>
      <c r="J1998" s="22"/>
      <c r="K1998" s="22"/>
      <c r="L1998" s="22"/>
      <c r="M1998" s="21"/>
      <c r="N1998" s="22"/>
      <c r="O1998" s="29" t="str">
        <f aca="false">IF(A1998="","",IF(COUNTIF($A$2:$A$2001,A1998)&gt;1,"GANDA","OK"))</f>
        <v/>
      </c>
      <c r="P1998" s="29" t="str">
        <f aca="false">IF(A1998="","",IF(C1998="","KOSONG",IF(AND(LEN(C1998)=16,ISNUMBER(--C1998)),"OK","TIDAK VALID")))</f>
        <v/>
      </c>
    </row>
    <row r="1999" customFormat="false" ht="15" hidden="false" customHeight="false" outlineLevel="0" collapsed="false">
      <c r="A1999" s="21"/>
      <c r="B1999" s="22"/>
      <c r="C1999" s="21"/>
      <c r="D1999" s="22"/>
      <c r="E1999" s="22"/>
      <c r="F1999" s="28"/>
      <c r="G1999" s="22"/>
      <c r="H1999" s="21"/>
      <c r="I1999" s="28"/>
      <c r="J1999" s="22"/>
      <c r="K1999" s="22"/>
      <c r="L1999" s="22"/>
      <c r="M1999" s="21"/>
      <c r="N1999" s="22"/>
      <c r="O1999" s="29" t="str">
        <f aca="false">IF(A1999="","",IF(COUNTIF($A$2:$A$2001,A1999)&gt;1,"GANDA","OK"))</f>
        <v/>
      </c>
      <c r="P1999" s="29" t="str">
        <f aca="false">IF(A1999="","",IF(C1999="","KOSONG",IF(AND(LEN(C1999)=16,ISNUMBER(--C1999)),"OK","TIDAK VALID")))</f>
        <v/>
      </c>
    </row>
    <row r="2000" customFormat="false" ht="15" hidden="false" customHeight="false" outlineLevel="0" collapsed="false">
      <c r="A2000" s="21"/>
      <c r="B2000" s="22"/>
      <c r="C2000" s="21"/>
      <c r="D2000" s="22"/>
      <c r="E2000" s="22"/>
      <c r="F2000" s="28"/>
      <c r="G2000" s="22"/>
      <c r="H2000" s="21"/>
      <c r="I2000" s="28"/>
      <c r="J2000" s="22"/>
      <c r="K2000" s="22"/>
      <c r="L2000" s="22"/>
      <c r="M2000" s="21"/>
      <c r="N2000" s="22"/>
      <c r="O2000" s="29" t="str">
        <f aca="false">IF(A2000="","",IF(COUNTIF($A$2:$A$2001,A2000)&gt;1,"GANDA","OK"))</f>
        <v/>
      </c>
      <c r="P2000" s="29" t="str">
        <f aca="false">IF(A2000="","",IF(C2000="","KOSONG",IF(AND(LEN(C2000)=16,ISNUMBER(--C2000)),"OK","TIDAK VALID")))</f>
        <v/>
      </c>
    </row>
    <row r="2001" customFormat="false" ht="15" hidden="false" customHeight="false" outlineLevel="0" collapsed="false">
      <c r="A2001" s="21"/>
      <c r="B2001" s="22"/>
      <c r="C2001" s="21"/>
      <c r="D2001" s="22"/>
      <c r="E2001" s="22"/>
      <c r="F2001" s="28"/>
      <c r="G2001" s="22"/>
      <c r="H2001" s="21"/>
      <c r="I2001" s="28"/>
      <c r="J2001" s="22"/>
      <c r="K2001" s="22"/>
      <c r="L2001" s="22"/>
      <c r="M2001" s="21"/>
      <c r="N2001" s="22"/>
      <c r="O2001" s="29" t="str">
        <f aca="false">IF(A2001="","",IF(COUNTIF($A$2:$A$2001,A2001)&gt;1,"GANDA","OK"))</f>
        <v/>
      </c>
      <c r="P2001" s="29" t="str">
        <f aca="false">IF(A2001="","",IF(C2001="","KOSONG",IF(AND(LEN(C2001)=16,ISNUMBER(--C2001)),"OK","TIDAK VALID")))</f>
        <v/>
      </c>
    </row>
  </sheetData>
  <conditionalFormatting sqref="O2:P2001">
    <cfRule type="cellIs" priority="2" operator="equal" aboveAverage="0" equalAverage="0" bottom="0" percent="0" rank="0" text="" dxfId="0">
      <formula>"GANDA"</formula>
    </cfRule>
    <cfRule type="cellIs" priority="3" operator="equal" aboveAverage="0" equalAverage="0" bottom="0" percent="0" rank="0" text="" dxfId="0">
      <formula>"TIDAK VALID"</formula>
    </cfRule>
    <cfRule type="cellIs" priority="4" operator="equal" aboveAverage="0" equalAverage="0" bottom="0" percent="0" rank="0" text="" dxfId="0">
      <formula>"TIDAK ADA"</formula>
    </cfRule>
    <cfRule type="cellIs" priority="5" operator="equal" aboveAverage="0" equalAverage="0" bottom="0" percent="0" rank="0" text="" dxfId="0">
      <formula>"PRODUK?"</formula>
    </cfRule>
    <cfRule type="cellIs" priority="6" operator="equal" aboveAverage="0" equalAverage="0" bottom="0" percent="0" rank="0" text="" dxfId="0">
      <formula>"SELISIH"</formula>
    </cfRule>
  </conditionalFormatting>
  <dataValidations count="3">
    <dataValidation allowBlank="true" error="Pilih dari daftar." errorStyle="stop" errorTitle="Nilai tidak valid" operator="between" showDropDown="false" showErrorMessage="true" showInputMessage="false" sqref="J2:J2001" type="list">
      <formula1>Daftar!$C$2:$C$3</formula1>
      <formula2>0</formula2>
    </dataValidation>
    <dataValidation allowBlank="true" error="Pilih dari daftar." errorStyle="stop" errorTitle="Nilai tidak valid" operator="between" showDropDown="false" showErrorMessage="true" showInputMessage="false" sqref="K2:L2001" type="list">
      <formula1>Daftar!$D$2:$D$3</formula1>
      <formula2>0</formula2>
    </dataValidation>
    <dataValidation allowBlank="true" error="Pilih dari daftar." errorStyle="stop" errorTitle="Nilai tidak valid" operator="between" showDropDown="false" showErrorMessage="true" showInputMessage="false" sqref="M2:M2001" type="list">
      <formula1>Unit!$A$2:$A$50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0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30"/>
    <col collapsed="false" customWidth="true" hidden="false" outlineLevel="0" max="3" min="3" style="0" width="12"/>
    <col collapsed="false" customWidth="true" hidden="false" outlineLevel="0" max="4" min="4" style="0" width="18"/>
    <col collapsed="false" customWidth="true" hidden="false" outlineLevel="0" max="5" min="5" style="0" width="30"/>
    <col collapsed="false" customWidth="true" hidden="false" outlineLevel="0" max="6" min="6" style="0" width="11"/>
    <col collapsed="false" customWidth="true" hidden="false" outlineLevel="0" max="7" min="7" style="0" width="13"/>
  </cols>
  <sheetData>
    <row r="1" customFormat="false" ht="30" hidden="false" customHeight="true" outlineLevel="0" collapsed="false">
      <c r="A1" s="20" t="s">
        <v>98</v>
      </c>
      <c r="B1" s="23" t="s">
        <v>143</v>
      </c>
      <c r="C1" s="20" t="s">
        <v>67</v>
      </c>
      <c r="D1" s="20" t="s">
        <v>59</v>
      </c>
      <c r="E1" s="23" t="s">
        <v>133</v>
      </c>
      <c r="F1" s="27" t="s">
        <v>149</v>
      </c>
      <c r="G1" s="27" t="s">
        <v>151</v>
      </c>
    </row>
    <row r="2" customFormat="false" ht="15" hidden="false" customHeight="false" outlineLevel="0" collapsed="false">
      <c r="A2" s="21"/>
      <c r="B2" s="22"/>
      <c r="C2" s="21"/>
      <c r="D2" s="24"/>
      <c r="E2" s="22"/>
      <c r="F2" s="29" t="str">
        <f aca="false">IF(C2="","",IFERROR(INDEX(Produk!$J$2:$J$100,MATCH(C2,Produk!$A$2:$A$100,0)),"PRODUK?"))</f>
        <v/>
      </c>
      <c r="G2" s="29" t="str">
        <f aca="false">IF(A2="","",IF(COUNTIF(Anggota!$A$2:$A$2001,A2)=0,"TIDAK ADA","OK"))</f>
        <v/>
      </c>
    </row>
    <row r="3" customFormat="false" ht="15" hidden="false" customHeight="false" outlineLevel="0" collapsed="false">
      <c r="A3" s="21"/>
      <c r="B3" s="22"/>
      <c r="C3" s="21"/>
      <c r="D3" s="24"/>
      <c r="E3" s="22"/>
      <c r="F3" s="29" t="str">
        <f aca="false">IF(C3="","",IFERROR(INDEX(Produk!$J$2:$J$100,MATCH(C3,Produk!$A$2:$A$100,0)),"PRODUK?"))</f>
        <v/>
      </c>
      <c r="G3" s="29" t="str">
        <f aca="false">IF(A3="","",IF(COUNTIF(Anggota!$A$2:$A$2001,A3)=0,"TIDAK ADA","OK"))</f>
        <v/>
      </c>
    </row>
    <row r="4" customFormat="false" ht="15" hidden="false" customHeight="false" outlineLevel="0" collapsed="false">
      <c r="A4" s="21"/>
      <c r="B4" s="22"/>
      <c r="C4" s="21"/>
      <c r="D4" s="24"/>
      <c r="E4" s="22"/>
      <c r="F4" s="29" t="str">
        <f aca="false">IF(C4="","",IFERROR(INDEX(Produk!$J$2:$J$100,MATCH(C4,Produk!$A$2:$A$100,0)),"PRODUK?"))</f>
        <v/>
      </c>
      <c r="G4" s="29" t="str">
        <f aca="false">IF(A4="","",IF(COUNTIF(Anggota!$A$2:$A$2001,A4)=0,"TIDAK ADA","OK"))</f>
        <v/>
      </c>
    </row>
    <row r="5" customFormat="false" ht="15" hidden="false" customHeight="false" outlineLevel="0" collapsed="false">
      <c r="A5" s="21"/>
      <c r="B5" s="22"/>
      <c r="C5" s="21"/>
      <c r="D5" s="24"/>
      <c r="E5" s="22"/>
      <c r="F5" s="29" t="str">
        <f aca="false">IF(C5="","",IFERROR(INDEX(Produk!$J$2:$J$100,MATCH(C5,Produk!$A$2:$A$100,0)),"PRODUK?"))</f>
        <v/>
      </c>
      <c r="G5" s="29" t="str">
        <f aca="false">IF(A5="","",IF(COUNTIF(Anggota!$A$2:$A$2001,A5)=0,"TIDAK ADA","OK"))</f>
        <v/>
      </c>
    </row>
    <row r="6" customFormat="false" ht="15" hidden="false" customHeight="false" outlineLevel="0" collapsed="false">
      <c r="A6" s="21"/>
      <c r="B6" s="22"/>
      <c r="C6" s="21"/>
      <c r="D6" s="24"/>
      <c r="E6" s="22"/>
      <c r="F6" s="29" t="str">
        <f aca="false">IF(C6="","",IFERROR(INDEX(Produk!$J$2:$J$100,MATCH(C6,Produk!$A$2:$A$100,0)),"PRODUK?"))</f>
        <v/>
      </c>
      <c r="G6" s="29" t="str">
        <f aca="false">IF(A6="","",IF(COUNTIF(Anggota!$A$2:$A$2001,A6)=0,"TIDAK ADA","OK"))</f>
        <v/>
      </c>
    </row>
    <row r="7" customFormat="false" ht="15" hidden="false" customHeight="false" outlineLevel="0" collapsed="false">
      <c r="A7" s="21"/>
      <c r="B7" s="22"/>
      <c r="C7" s="21"/>
      <c r="D7" s="24"/>
      <c r="E7" s="22"/>
      <c r="F7" s="29" t="str">
        <f aca="false">IF(C7="","",IFERROR(INDEX(Produk!$J$2:$J$100,MATCH(C7,Produk!$A$2:$A$100,0)),"PRODUK?"))</f>
        <v/>
      </c>
      <c r="G7" s="29" t="str">
        <f aca="false">IF(A7="","",IF(COUNTIF(Anggota!$A$2:$A$2001,A7)=0,"TIDAK ADA","OK"))</f>
        <v/>
      </c>
    </row>
    <row r="8" customFormat="false" ht="15" hidden="false" customHeight="false" outlineLevel="0" collapsed="false">
      <c r="A8" s="21"/>
      <c r="B8" s="22"/>
      <c r="C8" s="21"/>
      <c r="D8" s="24"/>
      <c r="E8" s="22"/>
      <c r="F8" s="29" t="str">
        <f aca="false">IF(C8="","",IFERROR(INDEX(Produk!$J$2:$J$100,MATCH(C8,Produk!$A$2:$A$100,0)),"PRODUK?"))</f>
        <v/>
      </c>
      <c r="G8" s="29" t="str">
        <f aca="false">IF(A8="","",IF(COUNTIF(Anggota!$A$2:$A$2001,A8)=0,"TIDAK ADA","OK"))</f>
        <v/>
      </c>
    </row>
    <row r="9" customFormat="false" ht="15" hidden="false" customHeight="false" outlineLevel="0" collapsed="false">
      <c r="A9" s="21"/>
      <c r="B9" s="22"/>
      <c r="C9" s="21"/>
      <c r="D9" s="24"/>
      <c r="E9" s="22"/>
      <c r="F9" s="29" t="str">
        <f aca="false">IF(C9="","",IFERROR(INDEX(Produk!$J$2:$J$100,MATCH(C9,Produk!$A$2:$A$100,0)),"PRODUK?"))</f>
        <v/>
      </c>
      <c r="G9" s="29" t="str">
        <f aca="false">IF(A9="","",IF(COUNTIF(Anggota!$A$2:$A$2001,A9)=0,"TIDAK ADA","OK"))</f>
        <v/>
      </c>
    </row>
    <row r="10" customFormat="false" ht="15" hidden="false" customHeight="false" outlineLevel="0" collapsed="false">
      <c r="A10" s="21"/>
      <c r="B10" s="22"/>
      <c r="C10" s="21"/>
      <c r="D10" s="24"/>
      <c r="E10" s="22"/>
      <c r="F10" s="29" t="str">
        <f aca="false">IF(C10="","",IFERROR(INDEX(Produk!$J$2:$J$100,MATCH(C10,Produk!$A$2:$A$100,0)),"PRODUK?"))</f>
        <v/>
      </c>
      <c r="G10" s="29" t="str">
        <f aca="false">IF(A10="","",IF(COUNTIF(Anggota!$A$2:$A$2001,A10)=0,"TIDAK ADA","OK"))</f>
        <v/>
      </c>
    </row>
    <row r="11" customFormat="false" ht="15" hidden="false" customHeight="false" outlineLevel="0" collapsed="false">
      <c r="A11" s="21"/>
      <c r="B11" s="22"/>
      <c r="C11" s="21"/>
      <c r="D11" s="24"/>
      <c r="E11" s="22"/>
      <c r="F11" s="29" t="str">
        <f aca="false">IF(C11="","",IFERROR(INDEX(Produk!$J$2:$J$100,MATCH(C11,Produk!$A$2:$A$100,0)),"PRODUK?"))</f>
        <v/>
      </c>
      <c r="G11" s="29" t="str">
        <f aca="false">IF(A11="","",IF(COUNTIF(Anggota!$A$2:$A$2001,A11)=0,"TIDAK ADA","OK"))</f>
        <v/>
      </c>
    </row>
    <row r="12" customFormat="false" ht="15" hidden="false" customHeight="false" outlineLevel="0" collapsed="false">
      <c r="A12" s="21"/>
      <c r="B12" s="22"/>
      <c r="C12" s="21"/>
      <c r="D12" s="24"/>
      <c r="E12" s="22"/>
      <c r="F12" s="29" t="str">
        <f aca="false">IF(C12="","",IFERROR(INDEX(Produk!$J$2:$J$100,MATCH(C12,Produk!$A$2:$A$100,0)),"PRODUK?"))</f>
        <v/>
      </c>
      <c r="G12" s="29" t="str">
        <f aca="false">IF(A12="","",IF(COUNTIF(Anggota!$A$2:$A$2001,A12)=0,"TIDAK ADA","OK"))</f>
        <v/>
      </c>
    </row>
    <row r="13" customFormat="false" ht="15" hidden="false" customHeight="false" outlineLevel="0" collapsed="false">
      <c r="A13" s="21"/>
      <c r="B13" s="22"/>
      <c r="C13" s="21"/>
      <c r="D13" s="24"/>
      <c r="E13" s="22"/>
      <c r="F13" s="29" t="str">
        <f aca="false">IF(C13="","",IFERROR(INDEX(Produk!$J$2:$J$100,MATCH(C13,Produk!$A$2:$A$100,0)),"PRODUK?"))</f>
        <v/>
      </c>
      <c r="G13" s="29" t="str">
        <f aca="false">IF(A13="","",IF(COUNTIF(Anggota!$A$2:$A$2001,A13)=0,"TIDAK ADA","OK"))</f>
        <v/>
      </c>
    </row>
    <row r="14" customFormat="false" ht="15" hidden="false" customHeight="false" outlineLevel="0" collapsed="false">
      <c r="A14" s="21"/>
      <c r="B14" s="22"/>
      <c r="C14" s="21"/>
      <c r="D14" s="24"/>
      <c r="E14" s="22"/>
      <c r="F14" s="29" t="str">
        <f aca="false">IF(C14="","",IFERROR(INDEX(Produk!$J$2:$J$100,MATCH(C14,Produk!$A$2:$A$100,0)),"PRODUK?"))</f>
        <v/>
      </c>
      <c r="G14" s="29" t="str">
        <f aca="false">IF(A14="","",IF(COUNTIF(Anggota!$A$2:$A$2001,A14)=0,"TIDAK ADA","OK"))</f>
        <v/>
      </c>
    </row>
    <row r="15" customFormat="false" ht="15" hidden="false" customHeight="false" outlineLevel="0" collapsed="false">
      <c r="A15" s="21"/>
      <c r="B15" s="22"/>
      <c r="C15" s="21"/>
      <c r="D15" s="24"/>
      <c r="E15" s="22"/>
      <c r="F15" s="29" t="str">
        <f aca="false">IF(C15="","",IFERROR(INDEX(Produk!$J$2:$J$100,MATCH(C15,Produk!$A$2:$A$100,0)),"PRODUK?"))</f>
        <v/>
      </c>
      <c r="G15" s="29" t="str">
        <f aca="false">IF(A15="","",IF(COUNTIF(Anggota!$A$2:$A$2001,A15)=0,"TIDAK ADA","OK"))</f>
        <v/>
      </c>
    </row>
    <row r="16" customFormat="false" ht="15" hidden="false" customHeight="false" outlineLevel="0" collapsed="false">
      <c r="A16" s="21"/>
      <c r="B16" s="22"/>
      <c r="C16" s="21"/>
      <c r="D16" s="24"/>
      <c r="E16" s="22"/>
      <c r="F16" s="29" t="str">
        <f aca="false">IF(C16="","",IFERROR(INDEX(Produk!$J$2:$J$100,MATCH(C16,Produk!$A$2:$A$100,0)),"PRODUK?"))</f>
        <v/>
      </c>
      <c r="G16" s="29" t="str">
        <f aca="false">IF(A16="","",IF(COUNTIF(Anggota!$A$2:$A$2001,A16)=0,"TIDAK ADA","OK"))</f>
        <v/>
      </c>
    </row>
    <row r="17" customFormat="false" ht="15" hidden="false" customHeight="false" outlineLevel="0" collapsed="false">
      <c r="A17" s="21"/>
      <c r="B17" s="22"/>
      <c r="C17" s="21"/>
      <c r="D17" s="24"/>
      <c r="E17" s="22"/>
      <c r="F17" s="29" t="str">
        <f aca="false">IF(C17="","",IFERROR(INDEX(Produk!$J$2:$J$100,MATCH(C17,Produk!$A$2:$A$100,0)),"PRODUK?"))</f>
        <v/>
      </c>
      <c r="G17" s="29" t="str">
        <f aca="false">IF(A17="","",IF(COUNTIF(Anggota!$A$2:$A$2001,A17)=0,"TIDAK ADA","OK"))</f>
        <v/>
      </c>
    </row>
    <row r="18" customFormat="false" ht="15" hidden="false" customHeight="false" outlineLevel="0" collapsed="false">
      <c r="A18" s="21"/>
      <c r="B18" s="22"/>
      <c r="C18" s="21"/>
      <c r="D18" s="24"/>
      <c r="E18" s="22"/>
      <c r="F18" s="29" t="str">
        <f aca="false">IF(C18="","",IFERROR(INDEX(Produk!$J$2:$J$100,MATCH(C18,Produk!$A$2:$A$100,0)),"PRODUK?"))</f>
        <v/>
      </c>
      <c r="G18" s="29" t="str">
        <f aca="false">IF(A18="","",IF(COUNTIF(Anggota!$A$2:$A$2001,A18)=0,"TIDAK ADA","OK"))</f>
        <v/>
      </c>
    </row>
    <row r="19" customFormat="false" ht="15" hidden="false" customHeight="false" outlineLevel="0" collapsed="false">
      <c r="A19" s="21"/>
      <c r="B19" s="22"/>
      <c r="C19" s="21"/>
      <c r="D19" s="24"/>
      <c r="E19" s="22"/>
      <c r="F19" s="29" t="str">
        <f aca="false">IF(C19="","",IFERROR(INDEX(Produk!$J$2:$J$100,MATCH(C19,Produk!$A$2:$A$100,0)),"PRODUK?"))</f>
        <v/>
      </c>
      <c r="G19" s="29" t="str">
        <f aca="false">IF(A19="","",IF(COUNTIF(Anggota!$A$2:$A$2001,A19)=0,"TIDAK ADA","OK"))</f>
        <v/>
      </c>
    </row>
    <row r="20" customFormat="false" ht="15" hidden="false" customHeight="false" outlineLevel="0" collapsed="false">
      <c r="A20" s="21"/>
      <c r="B20" s="22"/>
      <c r="C20" s="21"/>
      <c r="D20" s="24"/>
      <c r="E20" s="22"/>
      <c r="F20" s="29" t="str">
        <f aca="false">IF(C20="","",IFERROR(INDEX(Produk!$J$2:$J$100,MATCH(C20,Produk!$A$2:$A$100,0)),"PRODUK?"))</f>
        <v/>
      </c>
      <c r="G20" s="29" t="str">
        <f aca="false">IF(A20="","",IF(COUNTIF(Anggota!$A$2:$A$2001,A20)=0,"TIDAK ADA","OK"))</f>
        <v/>
      </c>
    </row>
    <row r="21" customFormat="false" ht="15" hidden="false" customHeight="false" outlineLevel="0" collapsed="false">
      <c r="A21" s="21"/>
      <c r="B21" s="22"/>
      <c r="C21" s="21"/>
      <c r="D21" s="24"/>
      <c r="E21" s="22"/>
      <c r="F21" s="29" t="str">
        <f aca="false">IF(C21="","",IFERROR(INDEX(Produk!$J$2:$J$100,MATCH(C21,Produk!$A$2:$A$100,0)),"PRODUK?"))</f>
        <v/>
      </c>
      <c r="G21" s="29" t="str">
        <f aca="false">IF(A21="","",IF(COUNTIF(Anggota!$A$2:$A$2001,A21)=0,"TIDAK ADA","OK"))</f>
        <v/>
      </c>
    </row>
    <row r="22" customFormat="false" ht="15" hidden="false" customHeight="false" outlineLevel="0" collapsed="false">
      <c r="A22" s="21"/>
      <c r="B22" s="22"/>
      <c r="C22" s="21"/>
      <c r="D22" s="24"/>
      <c r="E22" s="22"/>
      <c r="F22" s="29" t="str">
        <f aca="false">IF(C22="","",IFERROR(INDEX(Produk!$J$2:$J$100,MATCH(C22,Produk!$A$2:$A$100,0)),"PRODUK?"))</f>
        <v/>
      </c>
      <c r="G22" s="29" t="str">
        <f aca="false">IF(A22="","",IF(COUNTIF(Anggota!$A$2:$A$2001,A22)=0,"TIDAK ADA","OK"))</f>
        <v/>
      </c>
    </row>
    <row r="23" customFormat="false" ht="15" hidden="false" customHeight="false" outlineLevel="0" collapsed="false">
      <c r="A23" s="21"/>
      <c r="B23" s="22"/>
      <c r="C23" s="21"/>
      <c r="D23" s="24"/>
      <c r="E23" s="22"/>
      <c r="F23" s="29" t="str">
        <f aca="false">IF(C23="","",IFERROR(INDEX(Produk!$J$2:$J$100,MATCH(C23,Produk!$A$2:$A$100,0)),"PRODUK?"))</f>
        <v/>
      </c>
      <c r="G23" s="29" t="str">
        <f aca="false">IF(A23="","",IF(COUNTIF(Anggota!$A$2:$A$2001,A23)=0,"TIDAK ADA","OK"))</f>
        <v/>
      </c>
    </row>
    <row r="24" customFormat="false" ht="15" hidden="false" customHeight="false" outlineLevel="0" collapsed="false">
      <c r="A24" s="21"/>
      <c r="B24" s="22"/>
      <c r="C24" s="21"/>
      <c r="D24" s="24"/>
      <c r="E24" s="22"/>
      <c r="F24" s="29" t="str">
        <f aca="false">IF(C24="","",IFERROR(INDEX(Produk!$J$2:$J$100,MATCH(C24,Produk!$A$2:$A$100,0)),"PRODUK?"))</f>
        <v/>
      </c>
      <c r="G24" s="29" t="str">
        <f aca="false">IF(A24="","",IF(COUNTIF(Anggota!$A$2:$A$2001,A24)=0,"TIDAK ADA","OK"))</f>
        <v/>
      </c>
    </row>
    <row r="25" customFormat="false" ht="15" hidden="false" customHeight="false" outlineLevel="0" collapsed="false">
      <c r="A25" s="21"/>
      <c r="B25" s="22"/>
      <c r="C25" s="21"/>
      <c r="D25" s="24"/>
      <c r="E25" s="22"/>
      <c r="F25" s="29" t="str">
        <f aca="false">IF(C25="","",IFERROR(INDEX(Produk!$J$2:$J$100,MATCH(C25,Produk!$A$2:$A$100,0)),"PRODUK?"))</f>
        <v/>
      </c>
      <c r="G25" s="29" t="str">
        <f aca="false">IF(A25="","",IF(COUNTIF(Anggota!$A$2:$A$2001,A25)=0,"TIDAK ADA","OK"))</f>
        <v/>
      </c>
    </row>
    <row r="26" customFormat="false" ht="15" hidden="false" customHeight="false" outlineLevel="0" collapsed="false">
      <c r="A26" s="21"/>
      <c r="B26" s="22"/>
      <c r="C26" s="21"/>
      <c r="D26" s="24"/>
      <c r="E26" s="22"/>
      <c r="F26" s="29" t="str">
        <f aca="false">IF(C26="","",IFERROR(INDEX(Produk!$J$2:$J$100,MATCH(C26,Produk!$A$2:$A$100,0)),"PRODUK?"))</f>
        <v/>
      </c>
      <c r="G26" s="29" t="str">
        <f aca="false">IF(A26="","",IF(COUNTIF(Anggota!$A$2:$A$2001,A26)=0,"TIDAK ADA","OK"))</f>
        <v/>
      </c>
    </row>
    <row r="27" customFormat="false" ht="15" hidden="false" customHeight="false" outlineLevel="0" collapsed="false">
      <c r="A27" s="21"/>
      <c r="B27" s="22"/>
      <c r="C27" s="21"/>
      <c r="D27" s="24"/>
      <c r="E27" s="22"/>
      <c r="F27" s="29" t="str">
        <f aca="false">IF(C27="","",IFERROR(INDEX(Produk!$J$2:$J$100,MATCH(C27,Produk!$A$2:$A$100,0)),"PRODUK?"))</f>
        <v/>
      </c>
      <c r="G27" s="29" t="str">
        <f aca="false">IF(A27="","",IF(COUNTIF(Anggota!$A$2:$A$2001,A27)=0,"TIDAK ADA","OK"))</f>
        <v/>
      </c>
    </row>
    <row r="28" customFormat="false" ht="15" hidden="false" customHeight="false" outlineLevel="0" collapsed="false">
      <c r="A28" s="21"/>
      <c r="B28" s="22"/>
      <c r="C28" s="21"/>
      <c r="D28" s="24"/>
      <c r="E28" s="22"/>
      <c r="F28" s="29" t="str">
        <f aca="false">IF(C28="","",IFERROR(INDEX(Produk!$J$2:$J$100,MATCH(C28,Produk!$A$2:$A$100,0)),"PRODUK?"))</f>
        <v/>
      </c>
      <c r="G28" s="29" t="str">
        <f aca="false">IF(A28="","",IF(COUNTIF(Anggota!$A$2:$A$2001,A28)=0,"TIDAK ADA","OK"))</f>
        <v/>
      </c>
    </row>
    <row r="29" customFormat="false" ht="15" hidden="false" customHeight="false" outlineLevel="0" collapsed="false">
      <c r="A29" s="21"/>
      <c r="B29" s="22"/>
      <c r="C29" s="21"/>
      <c r="D29" s="24"/>
      <c r="E29" s="22"/>
      <c r="F29" s="29" t="str">
        <f aca="false">IF(C29="","",IFERROR(INDEX(Produk!$J$2:$J$100,MATCH(C29,Produk!$A$2:$A$100,0)),"PRODUK?"))</f>
        <v/>
      </c>
      <c r="G29" s="29" t="str">
        <f aca="false">IF(A29="","",IF(COUNTIF(Anggota!$A$2:$A$2001,A29)=0,"TIDAK ADA","OK"))</f>
        <v/>
      </c>
    </row>
    <row r="30" customFormat="false" ht="15" hidden="false" customHeight="false" outlineLevel="0" collapsed="false">
      <c r="A30" s="21"/>
      <c r="B30" s="22"/>
      <c r="C30" s="21"/>
      <c r="D30" s="24"/>
      <c r="E30" s="22"/>
      <c r="F30" s="29" t="str">
        <f aca="false">IF(C30="","",IFERROR(INDEX(Produk!$J$2:$J$100,MATCH(C30,Produk!$A$2:$A$100,0)),"PRODUK?"))</f>
        <v/>
      </c>
      <c r="G30" s="29" t="str">
        <f aca="false">IF(A30="","",IF(COUNTIF(Anggota!$A$2:$A$2001,A30)=0,"TIDAK ADA","OK"))</f>
        <v/>
      </c>
    </row>
    <row r="31" customFormat="false" ht="15" hidden="false" customHeight="false" outlineLevel="0" collapsed="false">
      <c r="A31" s="21"/>
      <c r="B31" s="22"/>
      <c r="C31" s="21"/>
      <c r="D31" s="24"/>
      <c r="E31" s="22"/>
      <c r="F31" s="29" t="str">
        <f aca="false">IF(C31="","",IFERROR(INDEX(Produk!$J$2:$J$100,MATCH(C31,Produk!$A$2:$A$100,0)),"PRODUK?"))</f>
        <v/>
      </c>
      <c r="G31" s="29" t="str">
        <f aca="false">IF(A31="","",IF(COUNTIF(Anggota!$A$2:$A$2001,A31)=0,"TIDAK ADA","OK"))</f>
        <v/>
      </c>
    </row>
    <row r="32" customFormat="false" ht="15" hidden="false" customHeight="false" outlineLevel="0" collapsed="false">
      <c r="A32" s="21"/>
      <c r="B32" s="22"/>
      <c r="C32" s="21"/>
      <c r="D32" s="24"/>
      <c r="E32" s="22"/>
      <c r="F32" s="29" t="str">
        <f aca="false">IF(C32="","",IFERROR(INDEX(Produk!$J$2:$J$100,MATCH(C32,Produk!$A$2:$A$100,0)),"PRODUK?"))</f>
        <v/>
      </c>
      <c r="G32" s="29" t="str">
        <f aca="false">IF(A32="","",IF(COUNTIF(Anggota!$A$2:$A$2001,A32)=0,"TIDAK ADA","OK"))</f>
        <v/>
      </c>
    </row>
    <row r="33" customFormat="false" ht="15" hidden="false" customHeight="false" outlineLevel="0" collapsed="false">
      <c r="A33" s="21"/>
      <c r="B33" s="22"/>
      <c r="C33" s="21"/>
      <c r="D33" s="24"/>
      <c r="E33" s="22"/>
      <c r="F33" s="29" t="str">
        <f aca="false">IF(C33="","",IFERROR(INDEX(Produk!$J$2:$J$100,MATCH(C33,Produk!$A$2:$A$100,0)),"PRODUK?"))</f>
        <v/>
      </c>
      <c r="G33" s="29" t="str">
        <f aca="false">IF(A33="","",IF(COUNTIF(Anggota!$A$2:$A$2001,A33)=0,"TIDAK ADA","OK"))</f>
        <v/>
      </c>
    </row>
    <row r="34" customFormat="false" ht="15" hidden="false" customHeight="false" outlineLevel="0" collapsed="false">
      <c r="A34" s="21"/>
      <c r="B34" s="22"/>
      <c r="C34" s="21"/>
      <c r="D34" s="24"/>
      <c r="E34" s="22"/>
      <c r="F34" s="29" t="str">
        <f aca="false">IF(C34="","",IFERROR(INDEX(Produk!$J$2:$J$100,MATCH(C34,Produk!$A$2:$A$100,0)),"PRODUK?"))</f>
        <v/>
      </c>
      <c r="G34" s="29" t="str">
        <f aca="false">IF(A34="","",IF(COUNTIF(Anggota!$A$2:$A$2001,A34)=0,"TIDAK ADA","OK"))</f>
        <v/>
      </c>
    </row>
    <row r="35" customFormat="false" ht="15" hidden="false" customHeight="false" outlineLevel="0" collapsed="false">
      <c r="A35" s="21"/>
      <c r="B35" s="22"/>
      <c r="C35" s="21"/>
      <c r="D35" s="24"/>
      <c r="E35" s="22"/>
      <c r="F35" s="29" t="str">
        <f aca="false">IF(C35="","",IFERROR(INDEX(Produk!$J$2:$J$100,MATCH(C35,Produk!$A$2:$A$100,0)),"PRODUK?"))</f>
        <v/>
      </c>
      <c r="G35" s="29" t="str">
        <f aca="false">IF(A35="","",IF(COUNTIF(Anggota!$A$2:$A$2001,A35)=0,"TIDAK ADA","OK"))</f>
        <v/>
      </c>
    </row>
    <row r="36" customFormat="false" ht="15" hidden="false" customHeight="false" outlineLevel="0" collapsed="false">
      <c r="A36" s="21"/>
      <c r="B36" s="22"/>
      <c r="C36" s="21"/>
      <c r="D36" s="24"/>
      <c r="E36" s="22"/>
      <c r="F36" s="29" t="str">
        <f aca="false">IF(C36="","",IFERROR(INDEX(Produk!$J$2:$J$100,MATCH(C36,Produk!$A$2:$A$100,0)),"PRODUK?"))</f>
        <v/>
      </c>
      <c r="G36" s="29" t="str">
        <f aca="false">IF(A36="","",IF(COUNTIF(Anggota!$A$2:$A$2001,A36)=0,"TIDAK ADA","OK"))</f>
        <v/>
      </c>
    </row>
    <row r="37" customFormat="false" ht="15" hidden="false" customHeight="false" outlineLevel="0" collapsed="false">
      <c r="A37" s="21"/>
      <c r="B37" s="22"/>
      <c r="C37" s="21"/>
      <c r="D37" s="24"/>
      <c r="E37" s="22"/>
      <c r="F37" s="29" t="str">
        <f aca="false">IF(C37="","",IFERROR(INDEX(Produk!$J$2:$J$100,MATCH(C37,Produk!$A$2:$A$100,0)),"PRODUK?"))</f>
        <v/>
      </c>
      <c r="G37" s="29" t="str">
        <f aca="false">IF(A37="","",IF(COUNTIF(Anggota!$A$2:$A$2001,A37)=0,"TIDAK ADA","OK"))</f>
        <v/>
      </c>
    </row>
    <row r="38" customFormat="false" ht="15" hidden="false" customHeight="false" outlineLevel="0" collapsed="false">
      <c r="A38" s="21"/>
      <c r="B38" s="22"/>
      <c r="C38" s="21"/>
      <c r="D38" s="24"/>
      <c r="E38" s="22"/>
      <c r="F38" s="29" t="str">
        <f aca="false">IF(C38="","",IFERROR(INDEX(Produk!$J$2:$J$100,MATCH(C38,Produk!$A$2:$A$100,0)),"PRODUK?"))</f>
        <v/>
      </c>
      <c r="G38" s="29" t="str">
        <f aca="false">IF(A38="","",IF(COUNTIF(Anggota!$A$2:$A$2001,A38)=0,"TIDAK ADA","OK"))</f>
        <v/>
      </c>
    </row>
    <row r="39" customFormat="false" ht="15" hidden="false" customHeight="false" outlineLevel="0" collapsed="false">
      <c r="A39" s="21"/>
      <c r="B39" s="22"/>
      <c r="C39" s="21"/>
      <c r="D39" s="24"/>
      <c r="E39" s="22"/>
      <c r="F39" s="29" t="str">
        <f aca="false">IF(C39="","",IFERROR(INDEX(Produk!$J$2:$J$100,MATCH(C39,Produk!$A$2:$A$100,0)),"PRODUK?"))</f>
        <v/>
      </c>
      <c r="G39" s="29" t="str">
        <f aca="false">IF(A39="","",IF(COUNTIF(Anggota!$A$2:$A$2001,A39)=0,"TIDAK ADA","OK"))</f>
        <v/>
      </c>
    </row>
    <row r="40" customFormat="false" ht="15" hidden="false" customHeight="false" outlineLevel="0" collapsed="false">
      <c r="A40" s="21"/>
      <c r="B40" s="22"/>
      <c r="C40" s="21"/>
      <c r="D40" s="24"/>
      <c r="E40" s="22"/>
      <c r="F40" s="29" t="str">
        <f aca="false">IF(C40="","",IFERROR(INDEX(Produk!$J$2:$J$100,MATCH(C40,Produk!$A$2:$A$100,0)),"PRODUK?"))</f>
        <v/>
      </c>
      <c r="G40" s="29" t="str">
        <f aca="false">IF(A40="","",IF(COUNTIF(Anggota!$A$2:$A$2001,A40)=0,"TIDAK ADA","OK"))</f>
        <v/>
      </c>
    </row>
    <row r="41" customFormat="false" ht="15" hidden="false" customHeight="false" outlineLevel="0" collapsed="false">
      <c r="A41" s="21"/>
      <c r="B41" s="22"/>
      <c r="C41" s="21"/>
      <c r="D41" s="24"/>
      <c r="E41" s="22"/>
      <c r="F41" s="29" t="str">
        <f aca="false">IF(C41="","",IFERROR(INDEX(Produk!$J$2:$J$100,MATCH(C41,Produk!$A$2:$A$100,0)),"PRODUK?"))</f>
        <v/>
      </c>
      <c r="G41" s="29" t="str">
        <f aca="false">IF(A41="","",IF(COUNTIF(Anggota!$A$2:$A$2001,A41)=0,"TIDAK ADA","OK"))</f>
        <v/>
      </c>
    </row>
    <row r="42" customFormat="false" ht="15" hidden="false" customHeight="false" outlineLevel="0" collapsed="false">
      <c r="A42" s="21"/>
      <c r="B42" s="22"/>
      <c r="C42" s="21"/>
      <c r="D42" s="24"/>
      <c r="E42" s="22"/>
      <c r="F42" s="29" t="str">
        <f aca="false">IF(C42="","",IFERROR(INDEX(Produk!$J$2:$J$100,MATCH(C42,Produk!$A$2:$A$100,0)),"PRODUK?"))</f>
        <v/>
      </c>
      <c r="G42" s="29" t="str">
        <f aca="false">IF(A42="","",IF(COUNTIF(Anggota!$A$2:$A$2001,A42)=0,"TIDAK ADA","OK"))</f>
        <v/>
      </c>
    </row>
    <row r="43" customFormat="false" ht="15" hidden="false" customHeight="false" outlineLevel="0" collapsed="false">
      <c r="A43" s="21"/>
      <c r="B43" s="22"/>
      <c r="C43" s="21"/>
      <c r="D43" s="24"/>
      <c r="E43" s="22"/>
      <c r="F43" s="29" t="str">
        <f aca="false">IF(C43="","",IFERROR(INDEX(Produk!$J$2:$J$100,MATCH(C43,Produk!$A$2:$A$100,0)),"PRODUK?"))</f>
        <v/>
      </c>
      <c r="G43" s="29" t="str">
        <f aca="false">IF(A43="","",IF(COUNTIF(Anggota!$A$2:$A$2001,A43)=0,"TIDAK ADA","OK"))</f>
        <v/>
      </c>
    </row>
    <row r="44" customFormat="false" ht="15" hidden="false" customHeight="false" outlineLevel="0" collapsed="false">
      <c r="A44" s="21"/>
      <c r="B44" s="22"/>
      <c r="C44" s="21"/>
      <c r="D44" s="24"/>
      <c r="E44" s="22"/>
      <c r="F44" s="29" t="str">
        <f aca="false">IF(C44="","",IFERROR(INDEX(Produk!$J$2:$J$100,MATCH(C44,Produk!$A$2:$A$100,0)),"PRODUK?"))</f>
        <v/>
      </c>
      <c r="G44" s="29" t="str">
        <f aca="false">IF(A44="","",IF(COUNTIF(Anggota!$A$2:$A$2001,A44)=0,"TIDAK ADA","OK"))</f>
        <v/>
      </c>
    </row>
    <row r="45" customFormat="false" ht="15" hidden="false" customHeight="false" outlineLevel="0" collapsed="false">
      <c r="A45" s="21"/>
      <c r="B45" s="22"/>
      <c r="C45" s="21"/>
      <c r="D45" s="24"/>
      <c r="E45" s="22"/>
      <c r="F45" s="29" t="str">
        <f aca="false">IF(C45="","",IFERROR(INDEX(Produk!$J$2:$J$100,MATCH(C45,Produk!$A$2:$A$100,0)),"PRODUK?"))</f>
        <v/>
      </c>
      <c r="G45" s="29" t="str">
        <f aca="false">IF(A45="","",IF(COUNTIF(Anggota!$A$2:$A$2001,A45)=0,"TIDAK ADA","OK"))</f>
        <v/>
      </c>
    </row>
    <row r="46" customFormat="false" ht="15" hidden="false" customHeight="false" outlineLevel="0" collapsed="false">
      <c r="A46" s="21"/>
      <c r="B46" s="22"/>
      <c r="C46" s="21"/>
      <c r="D46" s="24"/>
      <c r="E46" s="22"/>
      <c r="F46" s="29" t="str">
        <f aca="false">IF(C46="","",IFERROR(INDEX(Produk!$J$2:$J$100,MATCH(C46,Produk!$A$2:$A$100,0)),"PRODUK?"))</f>
        <v/>
      </c>
      <c r="G46" s="29" t="str">
        <f aca="false">IF(A46="","",IF(COUNTIF(Anggota!$A$2:$A$2001,A46)=0,"TIDAK ADA","OK"))</f>
        <v/>
      </c>
    </row>
    <row r="47" customFormat="false" ht="15" hidden="false" customHeight="false" outlineLevel="0" collapsed="false">
      <c r="A47" s="21"/>
      <c r="B47" s="22"/>
      <c r="C47" s="21"/>
      <c r="D47" s="24"/>
      <c r="E47" s="22"/>
      <c r="F47" s="29" t="str">
        <f aca="false">IF(C47="","",IFERROR(INDEX(Produk!$J$2:$J$100,MATCH(C47,Produk!$A$2:$A$100,0)),"PRODUK?"))</f>
        <v/>
      </c>
      <c r="G47" s="29" t="str">
        <f aca="false">IF(A47="","",IF(COUNTIF(Anggota!$A$2:$A$2001,A47)=0,"TIDAK ADA","OK"))</f>
        <v/>
      </c>
    </row>
    <row r="48" customFormat="false" ht="15" hidden="false" customHeight="false" outlineLevel="0" collapsed="false">
      <c r="A48" s="21"/>
      <c r="B48" s="22"/>
      <c r="C48" s="21"/>
      <c r="D48" s="24"/>
      <c r="E48" s="22"/>
      <c r="F48" s="29" t="str">
        <f aca="false">IF(C48="","",IFERROR(INDEX(Produk!$J$2:$J$100,MATCH(C48,Produk!$A$2:$A$100,0)),"PRODUK?"))</f>
        <v/>
      </c>
      <c r="G48" s="29" t="str">
        <f aca="false">IF(A48="","",IF(COUNTIF(Anggota!$A$2:$A$2001,A48)=0,"TIDAK ADA","OK"))</f>
        <v/>
      </c>
    </row>
    <row r="49" customFormat="false" ht="15" hidden="false" customHeight="false" outlineLevel="0" collapsed="false">
      <c r="A49" s="21"/>
      <c r="B49" s="22"/>
      <c r="C49" s="21"/>
      <c r="D49" s="24"/>
      <c r="E49" s="22"/>
      <c r="F49" s="29" t="str">
        <f aca="false">IF(C49="","",IFERROR(INDEX(Produk!$J$2:$J$100,MATCH(C49,Produk!$A$2:$A$100,0)),"PRODUK?"))</f>
        <v/>
      </c>
      <c r="G49" s="29" t="str">
        <f aca="false">IF(A49="","",IF(COUNTIF(Anggota!$A$2:$A$2001,A49)=0,"TIDAK ADA","OK"))</f>
        <v/>
      </c>
    </row>
    <row r="50" customFormat="false" ht="15" hidden="false" customHeight="false" outlineLevel="0" collapsed="false">
      <c r="A50" s="21"/>
      <c r="B50" s="22"/>
      <c r="C50" s="21"/>
      <c r="D50" s="24"/>
      <c r="E50" s="22"/>
      <c r="F50" s="29" t="str">
        <f aca="false">IF(C50="","",IFERROR(INDEX(Produk!$J$2:$J$100,MATCH(C50,Produk!$A$2:$A$100,0)),"PRODUK?"))</f>
        <v/>
      </c>
      <c r="G50" s="29" t="str">
        <f aca="false">IF(A50="","",IF(COUNTIF(Anggota!$A$2:$A$2001,A50)=0,"TIDAK ADA","OK"))</f>
        <v/>
      </c>
    </row>
    <row r="51" customFormat="false" ht="15" hidden="false" customHeight="false" outlineLevel="0" collapsed="false">
      <c r="A51" s="21"/>
      <c r="B51" s="22"/>
      <c r="C51" s="21"/>
      <c r="D51" s="24"/>
      <c r="E51" s="22"/>
      <c r="F51" s="29" t="str">
        <f aca="false">IF(C51="","",IFERROR(INDEX(Produk!$J$2:$J$100,MATCH(C51,Produk!$A$2:$A$100,0)),"PRODUK?"))</f>
        <v/>
      </c>
      <c r="G51" s="29" t="str">
        <f aca="false">IF(A51="","",IF(COUNTIF(Anggota!$A$2:$A$2001,A51)=0,"TIDAK ADA","OK"))</f>
        <v/>
      </c>
    </row>
    <row r="52" customFormat="false" ht="15" hidden="false" customHeight="false" outlineLevel="0" collapsed="false">
      <c r="A52" s="21"/>
      <c r="B52" s="22"/>
      <c r="C52" s="21"/>
      <c r="D52" s="24"/>
      <c r="E52" s="22"/>
      <c r="F52" s="29" t="str">
        <f aca="false">IF(C52="","",IFERROR(INDEX(Produk!$J$2:$J$100,MATCH(C52,Produk!$A$2:$A$100,0)),"PRODUK?"))</f>
        <v/>
      </c>
      <c r="G52" s="29" t="str">
        <f aca="false">IF(A52="","",IF(COUNTIF(Anggota!$A$2:$A$2001,A52)=0,"TIDAK ADA","OK"))</f>
        <v/>
      </c>
    </row>
    <row r="53" customFormat="false" ht="15" hidden="false" customHeight="false" outlineLevel="0" collapsed="false">
      <c r="A53" s="21"/>
      <c r="B53" s="22"/>
      <c r="C53" s="21"/>
      <c r="D53" s="24"/>
      <c r="E53" s="22"/>
      <c r="F53" s="29" t="str">
        <f aca="false">IF(C53="","",IFERROR(INDEX(Produk!$J$2:$J$100,MATCH(C53,Produk!$A$2:$A$100,0)),"PRODUK?"))</f>
        <v/>
      </c>
      <c r="G53" s="29" t="str">
        <f aca="false">IF(A53="","",IF(COUNTIF(Anggota!$A$2:$A$2001,A53)=0,"TIDAK ADA","OK"))</f>
        <v/>
      </c>
    </row>
    <row r="54" customFormat="false" ht="15" hidden="false" customHeight="false" outlineLevel="0" collapsed="false">
      <c r="A54" s="21"/>
      <c r="B54" s="22"/>
      <c r="C54" s="21"/>
      <c r="D54" s="24"/>
      <c r="E54" s="22"/>
      <c r="F54" s="29" t="str">
        <f aca="false">IF(C54="","",IFERROR(INDEX(Produk!$J$2:$J$100,MATCH(C54,Produk!$A$2:$A$100,0)),"PRODUK?"))</f>
        <v/>
      </c>
      <c r="G54" s="29" t="str">
        <f aca="false">IF(A54="","",IF(COUNTIF(Anggota!$A$2:$A$2001,A54)=0,"TIDAK ADA","OK"))</f>
        <v/>
      </c>
    </row>
    <row r="55" customFormat="false" ht="15" hidden="false" customHeight="false" outlineLevel="0" collapsed="false">
      <c r="A55" s="21"/>
      <c r="B55" s="22"/>
      <c r="C55" s="21"/>
      <c r="D55" s="24"/>
      <c r="E55" s="22"/>
      <c r="F55" s="29" t="str">
        <f aca="false">IF(C55="","",IFERROR(INDEX(Produk!$J$2:$J$100,MATCH(C55,Produk!$A$2:$A$100,0)),"PRODUK?"))</f>
        <v/>
      </c>
      <c r="G55" s="29" t="str">
        <f aca="false">IF(A55="","",IF(COUNTIF(Anggota!$A$2:$A$2001,A55)=0,"TIDAK ADA","OK"))</f>
        <v/>
      </c>
    </row>
    <row r="56" customFormat="false" ht="15" hidden="false" customHeight="false" outlineLevel="0" collapsed="false">
      <c r="A56" s="21"/>
      <c r="B56" s="22"/>
      <c r="C56" s="21"/>
      <c r="D56" s="24"/>
      <c r="E56" s="22"/>
      <c r="F56" s="29" t="str">
        <f aca="false">IF(C56="","",IFERROR(INDEX(Produk!$J$2:$J$100,MATCH(C56,Produk!$A$2:$A$100,0)),"PRODUK?"))</f>
        <v/>
      </c>
      <c r="G56" s="29" t="str">
        <f aca="false">IF(A56="","",IF(COUNTIF(Anggota!$A$2:$A$2001,A56)=0,"TIDAK ADA","OK"))</f>
        <v/>
      </c>
    </row>
    <row r="57" customFormat="false" ht="15" hidden="false" customHeight="false" outlineLevel="0" collapsed="false">
      <c r="A57" s="21"/>
      <c r="B57" s="22"/>
      <c r="C57" s="21"/>
      <c r="D57" s="24"/>
      <c r="E57" s="22"/>
      <c r="F57" s="29" t="str">
        <f aca="false">IF(C57="","",IFERROR(INDEX(Produk!$J$2:$J$100,MATCH(C57,Produk!$A$2:$A$100,0)),"PRODUK?"))</f>
        <v/>
      </c>
      <c r="G57" s="29" t="str">
        <f aca="false">IF(A57="","",IF(COUNTIF(Anggota!$A$2:$A$2001,A57)=0,"TIDAK ADA","OK"))</f>
        <v/>
      </c>
    </row>
    <row r="58" customFormat="false" ht="15" hidden="false" customHeight="false" outlineLevel="0" collapsed="false">
      <c r="A58" s="21"/>
      <c r="B58" s="22"/>
      <c r="C58" s="21"/>
      <c r="D58" s="24"/>
      <c r="E58" s="22"/>
      <c r="F58" s="29" t="str">
        <f aca="false">IF(C58="","",IFERROR(INDEX(Produk!$J$2:$J$100,MATCH(C58,Produk!$A$2:$A$100,0)),"PRODUK?"))</f>
        <v/>
      </c>
      <c r="G58" s="29" t="str">
        <f aca="false">IF(A58="","",IF(COUNTIF(Anggota!$A$2:$A$2001,A58)=0,"TIDAK ADA","OK"))</f>
        <v/>
      </c>
    </row>
    <row r="59" customFormat="false" ht="15" hidden="false" customHeight="false" outlineLevel="0" collapsed="false">
      <c r="A59" s="21"/>
      <c r="B59" s="22"/>
      <c r="C59" s="21"/>
      <c r="D59" s="24"/>
      <c r="E59" s="22"/>
      <c r="F59" s="29" t="str">
        <f aca="false">IF(C59="","",IFERROR(INDEX(Produk!$J$2:$J$100,MATCH(C59,Produk!$A$2:$A$100,0)),"PRODUK?"))</f>
        <v/>
      </c>
      <c r="G59" s="29" t="str">
        <f aca="false">IF(A59="","",IF(COUNTIF(Anggota!$A$2:$A$2001,A59)=0,"TIDAK ADA","OK"))</f>
        <v/>
      </c>
    </row>
    <row r="60" customFormat="false" ht="15" hidden="false" customHeight="false" outlineLevel="0" collapsed="false">
      <c r="A60" s="21"/>
      <c r="B60" s="22"/>
      <c r="C60" s="21"/>
      <c r="D60" s="24"/>
      <c r="E60" s="22"/>
      <c r="F60" s="29" t="str">
        <f aca="false">IF(C60="","",IFERROR(INDEX(Produk!$J$2:$J$100,MATCH(C60,Produk!$A$2:$A$100,0)),"PRODUK?"))</f>
        <v/>
      </c>
      <c r="G60" s="29" t="str">
        <f aca="false">IF(A60="","",IF(COUNTIF(Anggota!$A$2:$A$2001,A60)=0,"TIDAK ADA","OK"))</f>
        <v/>
      </c>
    </row>
    <row r="61" customFormat="false" ht="15" hidden="false" customHeight="false" outlineLevel="0" collapsed="false">
      <c r="A61" s="21"/>
      <c r="B61" s="22"/>
      <c r="C61" s="21"/>
      <c r="D61" s="24"/>
      <c r="E61" s="22"/>
      <c r="F61" s="29" t="str">
        <f aca="false">IF(C61="","",IFERROR(INDEX(Produk!$J$2:$J$100,MATCH(C61,Produk!$A$2:$A$100,0)),"PRODUK?"))</f>
        <v/>
      </c>
      <c r="G61" s="29" t="str">
        <f aca="false">IF(A61="","",IF(COUNTIF(Anggota!$A$2:$A$2001,A61)=0,"TIDAK ADA","OK"))</f>
        <v/>
      </c>
    </row>
    <row r="62" customFormat="false" ht="15" hidden="false" customHeight="false" outlineLevel="0" collapsed="false">
      <c r="A62" s="21"/>
      <c r="B62" s="22"/>
      <c r="C62" s="21"/>
      <c r="D62" s="24"/>
      <c r="E62" s="22"/>
      <c r="F62" s="29" t="str">
        <f aca="false">IF(C62="","",IFERROR(INDEX(Produk!$J$2:$J$100,MATCH(C62,Produk!$A$2:$A$100,0)),"PRODUK?"))</f>
        <v/>
      </c>
      <c r="G62" s="29" t="str">
        <f aca="false">IF(A62="","",IF(COUNTIF(Anggota!$A$2:$A$2001,A62)=0,"TIDAK ADA","OK"))</f>
        <v/>
      </c>
    </row>
    <row r="63" customFormat="false" ht="15" hidden="false" customHeight="false" outlineLevel="0" collapsed="false">
      <c r="A63" s="21"/>
      <c r="B63" s="22"/>
      <c r="C63" s="21"/>
      <c r="D63" s="24"/>
      <c r="E63" s="22"/>
      <c r="F63" s="29" t="str">
        <f aca="false">IF(C63="","",IFERROR(INDEX(Produk!$J$2:$J$100,MATCH(C63,Produk!$A$2:$A$100,0)),"PRODUK?"))</f>
        <v/>
      </c>
      <c r="G63" s="29" t="str">
        <f aca="false">IF(A63="","",IF(COUNTIF(Anggota!$A$2:$A$2001,A63)=0,"TIDAK ADA","OK"))</f>
        <v/>
      </c>
    </row>
    <row r="64" customFormat="false" ht="15" hidden="false" customHeight="false" outlineLevel="0" collapsed="false">
      <c r="A64" s="21"/>
      <c r="B64" s="22"/>
      <c r="C64" s="21"/>
      <c r="D64" s="24"/>
      <c r="E64" s="22"/>
      <c r="F64" s="29" t="str">
        <f aca="false">IF(C64="","",IFERROR(INDEX(Produk!$J$2:$J$100,MATCH(C64,Produk!$A$2:$A$100,0)),"PRODUK?"))</f>
        <v/>
      </c>
      <c r="G64" s="29" t="str">
        <f aca="false">IF(A64="","",IF(COUNTIF(Anggota!$A$2:$A$2001,A64)=0,"TIDAK ADA","OK"))</f>
        <v/>
      </c>
    </row>
    <row r="65" customFormat="false" ht="15" hidden="false" customHeight="false" outlineLevel="0" collapsed="false">
      <c r="A65" s="21"/>
      <c r="B65" s="22"/>
      <c r="C65" s="21"/>
      <c r="D65" s="24"/>
      <c r="E65" s="22"/>
      <c r="F65" s="29" t="str">
        <f aca="false">IF(C65="","",IFERROR(INDEX(Produk!$J$2:$J$100,MATCH(C65,Produk!$A$2:$A$100,0)),"PRODUK?"))</f>
        <v/>
      </c>
      <c r="G65" s="29" t="str">
        <f aca="false">IF(A65="","",IF(COUNTIF(Anggota!$A$2:$A$2001,A65)=0,"TIDAK ADA","OK"))</f>
        <v/>
      </c>
    </row>
    <row r="66" customFormat="false" ht="15" hidden="false" customHeight="false" outlineLevel="0" collapsed="false">
      <c r="A66" s="21"/>
      <c r="B66" s="22"/>
      <c r="C66" s="21"/>
      <c r="D66" s="24"/>
      <c r="E66" s="22"/>
      <c r="F66" s="29" t="str">
        <f aca="false">IF(C66="","",IFERROR(INDEX(Produk!$J$2:$J$100,MATCH(C66,Produk!$A$2:$A$100,0)),"PRODUK?"))</f>
        <v/>
      </c>
      <c r="G66" s="29" t="str">
        <f aca="false">IF(A66="","",IF(COUNTIF(Anggota!$A$2:$A$2001,A66)=0,"TIDAK ADA","OK"))</f>
        <v/>
      </c>
    </row>
    <row r="67" customFormat="false" ht="15" hidden="false" customHeight="false" outlineLevel="0" collapsed="false">
      <c r="A67" s="21"/>
      <c r="B67" s="22"/>
      <c r="C67" s="21"/>
      <c r="D67" s="24"/>
      <c r="E67" s="22"/>
      <c r="F67" s="29" t="str">
        <f aca="false">IF(C67="","",IFERROR(INDEX(Produk!$J$2:$J$100,MATCH(C67,Produk!$A$2:$A$100,0)),"PRODUK?"))</f>
        <v/>
      </c>
      <c r="G67" s="29" t="str">
        <f aca="false">IF(A67="","",IF(COUNTIF(Anggota!$A$2:$A$2001,A67)=0,"TIDAK ADA","OK"))</f>
        <v/>
      </c>
    </row>
    <row r="68" customFormat="false" ht="15" hidden="false" customHeight="false" outlineLevel="0" collapsed="false">
      <c r="A68" s="21"/>
      <c r="B68" s="22"/>
      <c r="C68" s="21"/>
      <c r="D68" s="24"/>
      <c r="E68" s="22"/>
      <c r="F68" s="29" t="str">
        <f aca="false">IF(C68="","",IFERROR(INDEX(Produk!$J$2:$J$100,MATCH(C68,Produk!$A$2:$A$100,0)),"PRODUK?"))</f>
        <v/>
      </c>
      <c r="G68" s="29" t="str">
        <f aca="false">IF(A68="","",IF(COUNTIF(Anggota!$A$2:$A$2001,A68)=0,"TIDAK ADA","OK"))</f>
        <v/>
      </c>
    </row>
    <row r="69" customFormat="false" ht="15" hidden="false" customHeight="false" outlineLevel="0" collapsed="false">
      <c r="A69" s="21"/>
      <c r="B69" s="22"/>
      <c r="C69" s="21"/>
      <c r="D69" s="24"/>
      <c r="E69" s="22"/>
      <c r="F69" s="29" t="str">
        <f aca="false">IF(C69="","",IFERROR(INDEX(Produk!$J$2:$J$100,MATCH(C69,Produk!$A$2:$A$100,0)),"PRODUK?"))</f>
        <v/>
      </c>
      <c r="G69" s="29" t="str">
        <f aca="false">IF(A69="","",IF(COUNTIF(Anggota!$A$2:$A$2001,A69)=0,"TIDAK ADA","OK"))</f>
        <v/>
      </c>
    </row>
    <row r="70" customFormat="false" ht="15" hidden="false" customHeight="false" outlineLevel="0" collapsed="false">
      <c r="A70" s="21"/>
      <c r="B70" s="22"/>
      <c r="C70" s="21"/>
      <c r="D70" s="24"/>
      <c r="E70" s="22"/>
      <c r="F70" s="29" t="str">
        <f aca="false">IF(C70="","",IFERROR(INDEX(Produk!$J$2:$J$100,MATCH(C70,Produk!$A$2:$A$100,0)),"PRODUK?"))</f>
        <v/>
      </c>
      <c r="G70" s="29" t="str">
        <f aca="false">IF(A70="","",IF(COUNTIF(Anggota!$A$2:$A$2001,A70)=0,"TIDAK ADA","OK"))</f>
        <v/>
      </c>
    </row>
    <row r="71" customFormat="false" ht="15" hidden="false" customHeight="false" outlineLevel="0" collapsed="false">
      <c r="A71" s="21"/>
      <c r="B71" s="22"/>
      <c r="C71" s="21"/>
      <c r="D71" s="24"/>
      <c r="E71" s="22"/>
      <c r="F71" s="29" t="str">
        <f aca="false">IF(C71="","",IFERROR(INDEX(Produk!$J$2:$J$100,MATCH(C71,Produk!$A$2:$A$100,0)),"PRODUK?"))</f>
        <v/>
      </c>
      <c r="G71" s="29" t="str">
        <f aca="false">IF(A71="","",IF(COUNTIF(Anggota!$A$2:$A$2001,A71)=0,"TIDAK ADA","OK"))</f>
        <v/>
      </c>
    </row>
    <row r="72" customFormat="false" ht="15" hidden="false" customHeight="false" outlineLevel="0" collapsed="false">
      <c r="A72" s="21"/>
      <c r="B72" s="22"/>
      <c r="C72" s="21"/>
      <c r="D72" s="24"/>
      <c r="E72" s="22"/>
      <c r="F72" s="29" t="str">
        <f aca="false">IF(C72="","",IFERROR(INDEX(Produk!$J$2:$J$100,MATCH(C72,Produk!$A$2:$A$100,0)),"PRODUK?"))</f>
        <v/>
      </c>
      <c r="G72" s="29" t="str">
        <f aca="false">IF(A72="","",IF(COUNTIF(Anggota!$A$2:$A$2001,A72)=0,"TIDAK ADA","OK"))</f>
        <v/>
      </c>
    </row>
    <row r="73" customFormat="false" ht="15" hidden="false" customHeight="false" outlineLevel="0" collapsed="false">
      <c r="A73" s="21"/>
      <c r="B73" s="22"/>
      <c r="C73" s="21"/>
      <c r="D73" s="24"/>
      <c r="E73" s="22"/>
      <c r="F73" s="29" t="str">
        <f aca="false">IF(C73="","",IFERROR(INDEX(Produk!$J$2:$J$100,MATCH(C73,Produk!$A$2:$A$100,0)),"PRODUK?"))</f>
        <v/>
      </c>
      <c r="G73" s="29" t="str">
        <f aca="false">IF(A73="","",IF(COUNTIF(Anggota!$A$2:$A$2001,A73)=0,"TIDAK ADA","OK"))</f>
        <v/>
      </c>
    </row>
    <row r="74" customFormat="false" ht="15" hidden="false" customHeight="false" outlineLevel="0" collapsed="false">
      <c r="A74" s="21"/>
      <c r="B74" s="22"/>
      <c r="C74" s="21"/>
      <c r="D74" s="24"/>
      <c r="E74" s="22"/>
      <c r="F74" s="29" t="str">
        <f aca="false">IF(C74="","",IFERROR(INDEX(Produk!$J$2:$J$100,MATCH(C74,Produk!$A$2:$A$100,0)),"PRODUK?"))</f>
        <v/>
      </c>
      <c r="G74" s="29" t="str">
        <f aca="false">IF(A74="","",IF(COUNTIF(Anggota!$A$2:$A$2001,A74)=0,"TIDAK ADA","OK"))</f>
        <v/>
      </c>
    </row>
    <row r="75" customFormat="false" ht="15" hidden="false" customHeight="false" outlineLevel="0" collapsed="false">
      <c r="A75" s="21"/>
      <c r="B75" s="22"/>
      <c r="C75" s="21"/>
      <c r="D75" s="24"/>
      <c r="E75" s="22"/>
      <c r="F75" s="29" t="str">
        <f aca="false">IF(C75="","",IFERROR(INDEX(Produk!$J$2:$J$100,MATCH(C75,Produk!$A$2:$A$100,0)),"PRODUK?"))</f>
        <v/>
      </c>
      <c r="G75" s="29" t="str">
        <f aca="false">IF(A75="","",IF(COUNTIF(Anggota!$A$2:$A$2001,A75)=0,"TIDAK ADA","OK"))</f>
        <v/>
      </c>
    </row>
    <row r="76" customFormat="false" ht="15" hidden="false" customHeight="false" outlineLevel="0" collapsed="false">
      <c r="A76" s="21"/>
      <c r="B76" s="22"/>
      <c r="C76" s="21"/>
      <c r="D76" s="24"/>
      <c r="E76" s="22"/>
      <c r="F76" s="29" t="str">
        <f aca="false">IF(C76="","",IFERROR(INDEX(Produk!$J$2:$J$100,MATCH(C76,Produk!$A$2:$A$100,0)),"PRODUK?"))</f>
        <v/>
      </c>
      <c r="G76" s="29" t="str">
        <f aca="false">IF(A76="","",IF(COUNTIF(Anggota!$A$2:$A$2001,A76)=0,"TIDAK ADA","OK"))</f>
        <v/>
      </c>
    </row>
    <row r="77" customFormat="false" ht="15" hidden="false" customHeight="false" outlineLevel="0" collapsed="false">
      <c r="A77" s="21"/>
      <c r="B77" s="22"/>
      <c r="C77" s="21"/>
      <c r="D77" s="24"/>
      <c r="E77" s="22"/>
      <c r="F77" s="29" t="str">
        <f aca="false">IF(C77="","",IFERROR(INDEX(Produk!$J$2:$J$100,MATCH(C77,Produk!$A$2:$A$100,0)),"PRODUK?"))</f>
        <v/>
      </c>
      <c r="G77" s="29" t="str">
        <f aca="false">IF(A77="","",IF(COUNTIF(Anggota!$A$2:$A$2001,A77)=0,"TIDAK ADA","OK"))</f>
        <v/>
      </c>
    </row>
    <row r="78" customFormat="false" ht="15" hidden="false" customHeight="false" outlineLevel="0" collapsed="false">
      <c r="A78" s="21"/>
      <c r="B78" s="22"/>
      <c r="C78" s="21"/>
      <c r="D78" s="24"/>
      <c r="E78" s="22"/>
      <c r="F78" s="29" t="str">
        <f aca="false">IF(C78="","",IFERROR(INDEX(Produk!$J$2:$J$100,MATCH(C78,Produk!$A$2:$A$100,0)),"PRODUK?"))</f>
        <v/>
      </c>
      <c r="G78" s="29" t="str">
        <f aca="false">IF(A78="","",IF(COUNTIF(Anggota!$A$2:$A$2001,A78)=0,"TIDAK ADA","OK"))</f>
        <v/>
      </c>
    </row>
    <row r="79" customFormat="false" ht="15" hidden="false" customHeight="false" outlineLevel="0" collapsed="false">
      <c r="A79" s="21"/>
      <c r="B79" s="22"/>
      <c r="C79" s="21"/>
      <c r="D79" s="24"/>
      <c r="E79" s="22"/>
      <c r="F79" s="29" t="str">
        <f aca="false">IF(C79="","",IFERROR(INDEX(Produk!$J$2:$J$100,MATCH(C79,Produk!$A$2:$A$100,0)),"PRODUK?"))</f>
        <v/>
      </c>
      <c r="G79" s="29" t="str">
        <f aca="false">IF(A79="","",IF(COUNTIF(Anggota!$A$2:$A$2001,A79)=0,"TIDAK ADA","OK"))</f>
        <v/>
      </c>
    </row>
    <row r="80" customFormat="false" ht="15" hidden="false" customHeight="false" outlineLevel="0" collapsed="false">
      <c r="A80" s="21"/>
      <c r="B80" s="22"/>
      <c r="C80" s="21"/>
      <c r="D80" s="24"/>
      <c r="E80" s="22"/>
      <c r="F80" s="29" t="str">
        <f aca="false">IF(C80="","",IFERROR(INDEX(Produk!$J$2:$J$100,MATCH(C80,Produk!$A$2:$A$100,0)),"PRODUK?"))</f>
        <v/>
      </c>
      <c r="G80" s="29" t="str">
        <f aca="false">IF(A80="","",IF(COUNTIF(Anggota!$A$2:$A$2001,A80)=0,"TIDAK ADA","OK"))</f>
        <v/>
      </c>
    </row>
    <row r="81" customFormat="false" ht="15" hidden="false" customHeight="false" outlineLevel="0" collapsed="false">
      <c r="A81" s="21"/>
      <c r="B81" s="22"/>
      <c r="C81" s="21"/>
      <c r="D81" s="24"/>
      <c r="E81" s="22"/>
      <c r="F81" s="29" t="str">
        <f aca="false">IF(C81="","",IFERROR(INDEX(Produk!$J$2:$J$100,MATCH(C81,Produk!$A$2:$A$100,0)),"PRODUK?"))</f>
        <v/>
      </c>
      <c r="G81" s="29" t="str">
        <f aca="false">IF(A81="","",IF(COUNTIF(Anggota!$A$2:$A$2001,A81)=0,"TIDAK ADA","OK"))</f>
        <v/>
      </c>
    </row>
    <row r="82" customFormat="false" ht="15" hidden="false" customHeight="false" outlineLevel="0" collapsed="false">
      <c r="A82" s="21"/>
      <c r="B82" s="22"/>
      <c r="C82" s="21"/>
      <c r="D82" s="24"/>
      <c r="E82" s="22"/>
      <c r="F82" s="29" t="str">
        <f aca="false">IF(C82="","",IFERROR(INDEX(Produk!$J$2:$J$100,MATCH(C82,Produk!$A$2:$A$100,0)),"PRODUK?"))</f>
        <v/>
      </c>
      <c r="G82" s="29" t="str">
        <f aca="false">IF(A82="","",IF(COUNTIF(Anggota!$A$2:$A$2001,A82)=0,"TIDAK ADA","OK"))</f>
        <v/>
      </c>
    </row>
    <row r="83" customFormat="false" ht="15" hidden="false" customHeight="false" outlineLevel="0" collapsed="false">
      <c r="A83" s="21"/>
      <c r="B83" s="22"/>
      <c r="C83" s="21"/>
      <c r="D83" s="24"/>
      <c r="E83" s="22"/>
      <c r="F83" s="29" t="str">
        <f aca="false">IF(C83="","",IFERROR(INDEX(Produk!$J$2:$J$100,MATCH(C83,Produk!$A$2:$A$100,0)),"PRODUK?"))</f>
        <v/>
      </c>
      <c r="G83" s="29" t="str">
        <f aca="false">IF(A83="","",IF(COUNTIF(Anggota!$A$2:$A$2001,A83)=0,"TIDAK ADA","OK"))</f>
        <v/>
      </c>
    </row>
    <row r="84" customFormat="false" ht="15" hidden="false" customHeight="false" outlineLevel="0" collapsed="false">
      <c r="A84" s="21"/>
      <c r="B84" s="22"/>
      <c r="C84" s="21"/>
      <c r="D84" s="24"/>
      <c r="E84" s="22"/>
      <c r="F84" s="29" t="str">
        <f aca="false">IF(C84="","",IFERROR(INDEX(Produk!$J$2:$J$100,MATCH(C84,Produk!$A$2:$A$100,0)),"PRODUK?"))</f>
        <v/>
      </c>
      <c r="G84" s="29" t="str">
        <f aca="false">IF(A84="","",IF(COUNTIF(Anggota!$A$2:$A$2001,A84)=0,"TIDAK ADA","OK"))</f>
        <v/>
      </c>
    </row>
    <row r="85" customFormat="false" ht="15" hidden="false" customHeight="false" outlineLevel="0" collapsed="false">
      <c r="A85" s="21"/>
      <c r="B85" s="22"/>
      <c r="C85" s="21"/>
      <c r="D85" s="24"/>
      <c r="E85" s="22"/>
      <c r="F85" s="29" t="str">
        <f aca="false">IF(C85="","",IFERROR(INDEX(Produk!$J$2:$J$100,MATCH(C85,Produk!$A$2:$A$100,0)),"PRODUK?"))</f>
        <v/>
      </c>
      <c r="G85" s="29" t="str">
        <f aca="false">IF(A85="","",IF(COUNTIF(Anggota!$A$2:$A$2001,A85)=0,"TIDAK ADA","OK"))</f>
        <v/>
      </c>
    </row>
    <row r="86" customFormat="false" ht="15" hidden="false" customHeight="false" outlineLevel="0" collapsed="false">
      <c r="A86" s="21"/>
      <c r="B86" s="22"/>
      <c r="C86" s="21"/>
      <c r="D86" s="24"/>
      <c r="E86" s="22"/>
      <c r="F86" s="29" t="str">
        <f aca="false">IF(C86="","",IFERROR(INDEX(Produk!$J$2:$J$100,MATCH(C86,Produk!$A$2:$A$100,0)),"PRODUK?"))</f>
        <v/>
      </c>
      <c r="G86" s="29" t="str">
        <f aca="false">IF(A86="","",IF(COUNTIF(Anggota!$A$2:$A$2001,A86)=0,"TIDAK ADA","OK"))</f>
        <v/>
      </c>
    </row>
    <row r="87" customFormat="false" ht="15" hidden="false" customHeight="false" outlineLevel="0" collapsed="false">
      <c r="A87" s="21"/>
      <c r="B87" s="22"/>
      <c r="C87" s="21"/>
      <c r="D87" s="24"/>
      <c r="E87" s="22"/>
      <c r="F87" s="29" t="str">
        <f aca="false">IF(C87="","",IFERROR(INDEX(Produk!$J$2:$J$100,MATCH(C87,Produk!$A$2:$A$100,0)),"PRODUK?"))</f>
        <v/>
      </c>
      <c r="G87" s="29" t="str">
        <f aca="false">IF(A87="","",IF(COUNTIF(Anggota!$A$2:$A$2001,A87)=0,"TIDAK ADA","OK"))</f>
        <v/>
      </c>
    </row>
    <row r="88" customFormat="false" ht="15" hidden="false" customHeight="false" outlineLevel="0" collapsed="false">
      <c r="A88" s="21"/>
      <c r="B88" s="22"/>
      <c r="C88" s="21"/>
      <c r="D88" s="24"/>
      <c r="E88" s="22"/>
      <c r="F88" s="29" t="str">
        <f aca="false">IF(C88="","",IFERROR(INDEX(Produk!$J$2:$J$100,MATCH(C88,Produk!$A$2:$A$100,0)),"PRODUK?"))</f>
        <v/>
      </c>
      <c r="G88" s="29" t="str">
        <f aca="false">IF(A88="","",IF(COUNTIF(Anggota!$A$2:$A$2001,A88)=0,"TIDAK ADA","OK"))</f>
        <v/>
      </c>
    </row>
    <row r="89" customFormat="false" ht="15" hidden="false" customHeight="false" outlineLevel="0" collapsed="false">
      <c r="A89" s="21"/>
      <c r="B89" s="22"/>
      <c r="C89" s="21"/>
      <c r="D89" s="24"/>
      <c r="E89" s="22"/>
      <c r="F89" s="29" t="str">
        <f aca="false">IF(C89="","",IFERROR(INDEX(Produk!$J$2:$J$100,MATCH(C89,Produk!$A$2:$A$100,0)),"PRODUK?"))</f>
        <v/>
      </c>
      <c r="G89" s="29" t="str">
        <f aca="false">IF(A89="","",IF(COUNTIF(Anggota!$A$2:$A$2001,A89)=0,"TIDAK ADA","OK"))</f>
        <v/>
      </c>
    </row>
    <row r="90" customFormat="false" ht="15" hidden="false" customHeight="false" outlineLevel="0" collapsed="false">
      <c r="A90" s="21"/>
      <c r="B90" s="22"/>
      <c r="C90" s="21"/>
      <c r="D90" s="24"/>
      <c r="E90" s="22"/>
      <c r="F90" s="29" t="str">
        <f aca="false">IF(C90="","",IFERROR(INDEX(Produk!$J$2:$J$100,MATCH(C90,Produk!$A$2:$A$100,0)),"PRODUK?"))</f>
        <v/>
      </c>
      <c r="G90" s="29" t="str">
        <f aca="false">IF(A90="","",IF(COUNTIF(Anggota!$A$2:$A$2001,A90)=0,"TIDAK ADA","OK"))</f>
        <v/>
      </c>
    </row>
    <row r="91" customFormat="false" ht="15" hidden="false" customHeight="false" outlineLevel="0" collapsed="false">
      <c r="A91" s="21"/>
      <c r="B91" s="22"/>
      <c r="C91" s="21"/>
      <c r="D91" s="24"/>
      <c r="E91" s="22"/>
      <c r="F91" s="29" t="str">
        <f aca="false">IF(C91="","",IFERROR(INDEX(Produk!$J$2:$J$100,MATCH(C91,Produk!$A$2:$A$100,0)),"PRODUK?"))</f>
        <v/>
      </c>
      <c r="G91" s="29" t="str">
        <f aca="false">IF(A91="","",IF(COUNTIF(Anggota!$A$2:$A$2001,A91)=0,"TIDAK ADA","OK"))</f>
        <v/>
      </c>
    </row>
    <row r="92" customFormat="false" ht="15" hidden="false" customHeight="false" outlineLevel="0" collapsed="false">
      <c r="A92" s="21"/>
      <c r="B92" s="22"/>
      <c r="C92" s="21"/>
      <c r="D92" s="24"/>
      <c r="E92" s="22"/>
      <c r="F92" s="29" t="str">
        <f aca="false">IF(C92="","",IFERROR(INDEX(Produk!$J$2:$J$100,MATCH(C92,Produk!$A$2:$A$100,0)),"PRODUK?"))</f>
        <v/>
      </c>
      <c r="G92" s="29" t="str">
        <f aca="false">IF(A92="","",IF(COUNTIF(Anggota!$A$2:$A$2001,A92)=0,"TIDAK ADA","OK"))</f>
        <v/>
      </c>
    </row>
    <row r="93" customFormat="false" ht="15" hidden="false" customHeight="false" outlineLevel="0" collapsed="false">
      <c r="A93" s="21"/>
      <c r="B93" s="22"/>
      <c r="C93" s="21"/>
      <c r="D93" s="24"/>
      <c r="E93" s="22"/>
      <c r="F93" s="29" t="str">
        <f aca="false">IF(C93="","",IFERROR(INDEX(Produk!$J$2:$J$100,MATCH(C93,Produk!$A$2:$A$100,0)),"PRODUK?"))</f>
        <v/>
      </c>
      <c r="G93" s="29" t="str">
        <f aca="false">IF(A93="","",IF(COUNTIF(Anggota!$A$2:$A$2001,A93)=0,"TIDAK ADA","OK"))</f>
        <v/>
      </c>
    </row>
    <row r="94" customFormat="false" ht="15" hidden="false" customHeight="false" outlineLevel="0" collapsed="false">
      <c r="A94" s="21"/>
      <c r="B94" s="22"/>
      <c r="C94" s="21"/>
      <c r="D94" s="24"/>
      <c r="E94" s="22"/>
      <c r="F94" s="29" t="str">
        <f aca="false">IF(C94="","",IFERROR(INDEX(Produk!$J$2:$J$100,MATCH(C94,Produk!$A$2:$A$100,0)),"PRODUK?"))</f>
        <v/>
      </c>
      <c r="G94" s="29" t="str">
        <f aca="false">IF(A94="","",IF(COUNTIF(Anggota!$A$2:$A$2001,A94)=0,"TIDAK ADA","OK"))</f>
        <v/>
      </c>
    </row>
    <row r="95" customFormat="false" ht="15" hidden="false" customHeight="false" outlineLevel="0" collapsed="false">
      <c r="A95" s="21"/>
      <c r="B95" s="22"/>
      <c r="C95" s="21"/>
      <c r="D95" s="24"/>
      <c r="E95" s="22"/>
      <c r="F95" s="29" t="str">
        <f aca="false">IF(C95="","",IFERROR(INDEX(Produk!$J$2:$J$100,MATCH(C95,Produk!$A$2:$A$100,0)),"PRODUK?"))</f>
        <v/>
      </c>
      <c r="G95" s="29" t="str">
        <f aca="false">IF(A95="","",IF(COUNTIF(Anggota!$A$2:$A$2001,A95)=0,"TIDAK ADA","OK"))</f>
        <v/>
      </c>
    </row>
    <row r="96" customFormat="false" ht="15" hidden="false" customHeight="false" outlineLevel="0" collapsed="false">
      <c r="A96" s="21"/>
      <c r="B96" s="22"/>
      <c r="C96" s="21"/>
      <c r="D96" s="24"/>
      <c r="E96" s="22"/>
      <c r="F96" s="29" t="str">
        <f aca="false">IF(C96="","",IFERROR(INDEX(Produk!$J$2:$J$100,MATCH(C96,Produk!$A$2:$A$100,0)),"PRODUK?"))</f>
        <v/>
      </c>
      <c r="G96" s="29" t="str">
        <f aca="false">IF(A96="","",IF(COUNTIF(Anggota!$A$2:$A$2001,A96)=0,"TIDAK ADA","OK"))</f>
        <v/>
      </c>
    </row>
    <row r="97" customFormat="false" ht="15" hidden="false" customHeight="false" outlineLevel="0" collapsed="false">
      <c r="A97" s="21"/>
      <c r="B97" s="22"/>
      <c r="C97" s="21"/>
      <c r="D97" s="24"/>
      <c r="E97" s="22"/>
      <c r="F97" s="29" t="str">
        <f aca="false">IF(C97="","",IFERROR(INDEX(Produk!$J$2:$J$100,MATCH(C97,Produk!$A$2:$A$100,0)),"PRODUK?"))</f>
        <v/>
      </c>
      <c r="G97" s="29" t="str">
        <f aca="false">IF(A97="","",IF(COUNTIF(Anggota!$A$2:$A$2001,A97)=0,"TIDAK ADA","OK"))</f>
        <v/>
      </c>
    </row>
    <row r="98" customFormat="false" ht="15" hidden="false" customHeight="false" outlineLevel="0" collapsed="false">
      <c r="A98" s="21"/>
      <c r="B98" s="22"/>
      <c r="C98" s="21"/>
      <c r="D98" s="24"/>
      <c r="E98" s="22"/>
      <c r="F98" s="29" t="str">
        <f aca="false">IF(C98="","",IFERROR(INDEX(Produk!$J$2:$J$100,MATCH(C98,Produk!$A$2:$A$100,0)),"PRODUK?"))</f>
        <v/>
      </c>
      <c r="G98" s="29" t="str">
        <f aca="false">IF(A98="","",IF(COUNTIF(Anggota!$A$2:$A$2001,A98)=0,"TIDAK ADA","OK"))</f>
        <v/>
      </c>
    </row>
    <row r="99" customFormat="false" ht="15" hidden="false" customHeight="false" outlineLevel="0" collapsed="false">
      <c r="A99" s="21"/>
      <c r="B99" s="22"/>
      <c r="C99" s="21"/>
      <c r="D99" s="24"/>
      <c r="E99" s="22"/>
      <c r="F99" s="29" t="str">
        <f aca="false">IF(C99="","",IFERROR(INDEX(Produk!$J$2:$J$100,MATCH(C99,Produk!$A$2:$A$100,0)),"PRODUK?"))</f>
        <v/>
      </c>
      <c r="G99" s="29" t="str">
        <f aca="false">IF(A99="","",IF(COUNTIF(Anggota!$A$2:$A$2001,A99)=0,"TIDAK ADA","OK"))</f>
        <v/>
      </c>
    </row>
    <row r="100" customFormat="false" ht="15" hidden="false" customHeight="false" outlineLevel="0" collapsed="false">
      <c r="A100" s="21"/>
      <c r="B100" s="22"/>
      <c r="C100" s="21"/>
      <c r="D100" s="24"/>
      <c r="E100" s="22"/>
      <c r="F100" s="29" t="str">
        <f aca="false">IF(C100="","",IFERROR(INDEX(Produk!$J$2:$J$100,MATCH(C100,Produk!$A$2:$A$100,0)),"PRODUK?"))</f>
        <v/>
      </c>
      <c r="G100" s="29" t="str">
        <f aca="false">IF(A100="","",IF(COUNTIF(Anggota!$A$2:$A$2001,A100)=0,"TIDAK ADA","OK"))</f>
        <v/>
      </c>
    </row>
    <row r="101" customFormat="false" ht="15" hidden="false" customHeight="false" outlineLevel="0" collapsed="false">
      <c r="A101" s="21"/>
      <c r="B101" s="22"/>
      <c r="C101" s="21"/>
      <c r="D101" s="24"/>
      <c r="E101" s="22"/>
      <c r="F101" s="29" t="str">
        <f aca="false">IF(C101="","",IFERROR(INDEX(Produk!$J$2:$J$100,MATCH(C101,Produk!$A$2:$A$100,0)),"PRODUK?"))</f>
        <v/>
      </c>
      <c r="G101" s="29" t="str">
        <f aca="false">IF(A101="","",IF(COUNTIF(Anggota!$A$2:$A$2001,A101)=0,"TIDAK ADA","OK"))</f>
        <v/>
      </c>
    </row>
    <row r="102" customFormat="false" ht="15" hidden="false" customHeight="false" outlineLevel="0" collapsed="false">
      <c r="A102" s="21"/>
      <c r="B102" s="22"/>
      <c r="C102" s="21"/>
      <c r="D102" s="24"/>
      <c r="E102" s="22"/>
      <c r="F102" s="29" t="str">
        <f aca="false">IF(C102="","",IFERROR(INDEX(Produk!$J$2:$J$100,MATCH(C102,Produk!$A$2:$A$100,0)),"PRODUK?"))</f>
        <v/>
      </c>
      <c r="G102" s="29" t="str">
        <f aca="false">IF(A102="","",IF(COUNTIF(Anggota!$A$2:$A$2001,A102)=0,"TIDAK ADA","OK"))</f>
        <v/>
      </c>
    </row>
    <row r="103" customFormat="false" ht="15" hidden="false" customHeight="false" outlineLevel="0" collapsed="false">
      <c r="A103" s="21"/>
      <c r="B103" s="22"/>
      <c r="C103" s="21"/>
      <c r="D103" s="24"/>
      <c r="E103" s="22"/>
      <c r="F103" s="29" t="str">
        <f aca="false">IF(C103="","",IFERROR(INDEX(Produk!$J$2:$J$100,MATCH(C103,Produk!$A$2:$A$100,0)),"PRODUK?"))</f>
        <v/>
      </c>
      <c r="G103" s="29" t="str">
        <f aca="false">IF(A103="","",IF(COUNTIF(Anggota!$A$2:$A$2001,A103)=0,"TIDAK ADA","OK"))</f>
        <v/>
      </c>
    </row>
    <row r="104" customFormat="false" ht="15" hidden="false" customHeight="false" outlineLevel="0" collapsed="false">
      <c r="A104" s="21"/>
      <c r="B104" s="22"/>
      <c r="C104" s="21"/>
      <c r="D104" s="24"/>
      <c r="E104" s="22"/>
      <c r="F104" s="29" t="str">
        <f aca="false">IF(C104="","",IFERROR(INDEX(Produk!$J$2:$J$100,MATCH(C104,Produk!$A$2:$A$100,0)),"PRODUK?"))</f>
        <v/>
      </c>
      <c r="G104" s="29" t="str">
        <f aca="false">IF(A104="","",IF(COUNTIF(Anggota!$A$2:$A$2001,A104)=0,"TIDAK ADA","OK"))</f>
        <v/>
      </c>
    </row>
    <row r="105" customFormat="false" ht="15" hidden="false" customHeight="false" outlineLevel="0" collapsed="false">
      <c r="A105" s="21"/>
      <c r="B105" s="22"/>
      <c r="C105" s="21"/>
      <c r="D105" s="24"/>
      <c r="E105" s="22"/>
      <c r="F105" s="29" t="str">
        <f aca="false">IF(C105="","",IFERROR(INDEX(Produk!$J$2:$J$100,MATCH(C105,Produk!$A$2:$A$100,0)),"PRODUK?"))</f>
        <v/>
      </c>
      <c r="G105" s="29" t="str">
        <f aca="false">IF(A105="","",IF(COUNTIF(Anggota!$A$2:$A$2001,A105)=0,"TIDAK ADA","OK"))</f>
        <v/>
      </c>
    </row>
    <row r="106" customFormat="false" ht="15" hidden="false" customHeight="false" outlineLevel="0" collapsed="false">
      <c r="A106" s="21"/>
      <c r="B106" s="22"/>
      <c r="C106" s="21"/>
      <c r="D106" s="24"/>
      <c r="E106" s="22"/>
      <c r="F106" s="29" t="str">
        <f aca="false">IF(C106="","",IFERROR(INDEX(Produk!$J$2:$J$100,MATCH(C106,Produk!$A$2:$A$100,0)),"PRODUK?"))</f>
        <v/>
      </c>
      <c r="G106" s="29" t="str">
        <f aca="false">IF(A106="","",IF(COUNTIF(Anggota!$A$2:$A$2001,A106)=0,"TIDAK ADA","OK"))</f>
        <v/>
      </c>
    </row>
    <row r="107" customFormat="false" ht="15" hidden="false" customHeight="false" outlineLevel="0" collapsed="false">
      <c r="A107" s="21"/>
      <c r="B107" s="22"/>
      <c r="C107" s="21"/>
      <c r="D107" s="24"/>
      <c r="E107" s="22"/>
      <c r="F107" s="29" t="str">
        <f aca="false">IF(C107="","",IFERROR(INDEX(Produk!$J$2:$J$100,MATCH(C107,Produk!$A$2:$A$100,0)),"PRODUK?"))</f>
        <v/>
      </c>
      <c r="G107" s="29" t="str">
        <f aca="false">IF(A107="","",IF(COUNTIF(Anggota!$A$2:$A$2001,A107)=0,"TIDAK ADA","OK"))</f>
        <v/>
      </c>
    </row>
    <row r="108" customFormat="false" ht="15" hidden="false" customHeight="false" outlineLevel="0" collapsed="false">
      <c r="A108" s="21"/>
      <c r="B108" s="22"/>
      <c r="C108" s="21"/>
      <c r="D108" s="24"/>
      <c r="E108" s="22"/>
      <c r="F108" s="29" t="str">
        <f aca="false">IF(C108="","",IFERROR(INDEX(Produk!$J$2:$J$100,MATCH(C108,Produk!$A$2:$A$100,0)),"PRODUK?"))</f>
        <v/>
      </c>
      <c r="G108" s="29" t="str">
        <f aca="false">IF(A108="","",IF(COUNTIF(Anggota!$A$2:$A$2001,A108)=0,"TIDAK ADA","OK"))</f>
        <v/>
      </c>
    </row>
    <row r="109" customFormat="false" ht="15" hidden="false" customHeight="false" outlineLevel="0" collapsed="false">
      <c r="A109" s="21"/>
      <c r="B109" s="22"/>
      <c r="C109" s="21"/>
      <c r="D109" s="24"/>
      <c r="E109" s="22"/>
      <c r="F109" s="29" t="str">
        <f aca="false">IF(C109="","",IFERROR(INDEX(Produk!$J$2:$J$100,MATCH(C109,Produk!$A$2:$A$100,0)),"PRODUK?"))</f>
        <v/>
      </c>
      <c r="G109" s="29" t="str">
        <f aca="false">IF(A109="","",IF(COUNTIF(Anggota!$A$2:$A$2001,A109)=0,"TIDAK ADA","OK"))</f>
        <v/>
      </c>
    </row>
    <row r="110" customFormat="false" ht="15" hidden="false" customHeight="false" outlineLevel="0" collapsed="false">
      <c r="A110" s="21"/>
      <c r="B110" s="22"/>
      <c r="C110" s="21"/>
      <c r="D110" s="24"/>
      <c r="E110" s="22"/>
      <c r="F110" s="29" t="str">
        <f aca="false">IF(C110="","",IFERROR(INDEX(Produk!$J$2:$J$100,MATCH(C110,Produk!$A$2:$A$100,0)),"PRODUK?"))</f>
        <v/>
      </c>
      <c r="G110" s="29" t="str">
        <f aca="false">IF(A110="","",IF(COUNTIF(Anggota!$A$2:$A$2001,A110)=0,"TIDAK ADA","OK"))</f>
        <v/>
      </c>
    </row>
    <row r="111" customFormat="false" ht="15" hidden="false" customHeight="false" outlineLevel="0" collapsed="false">
      <c r="A111" s="21"/>
      <c r="B111" s="22"/>
      <c r="C111" s="21"/>
      <c r="D111" s="24"/>
      <c r="E111" s="22"/>
      <c r="F111" s="29" t="str">
        <f aca="false">IF(C111="","",IFERROR(INDEX(Produk!$J$2:$J$100,MATCH(C111,Produk!$A$2:$A$100,0)),"PRODUK?"))</f>
        <v/>
      </c>
      <c r="G111" s="29" t="str">
        <f aca="false">IF(A111="","",IF(COUNTIF(Anggota!$A$2:$A$2001,A111)=0,"TIDAK ADA","OK"))</f>
        <v/>
      </c>
    </row>
    <row r="112" customFormat="false" ht="15" hidden="false" customHeight="false" outlineLevel="0" collapsed="false">
      <c r="A112" s="21"/>
      <c r="B112" s="22"/>
      <c r="C112" s="21"/>
      <c r="D112" s="24"/>
      <c r="E112" s="22"/>
      <c r="F112" s="29" t="str">
        <f aca="false">IF(C112="","",IFERROR(INDEX(Produk!$J$2:$J$100,MATCH(C112,Produk!$A$2:$A$100,0)),"PRODUK?"))</f>
        <v/>
      </c>
      <c r="G112" s="29" t="str">
        <f aca="false">IF(A112="","",IF(COUNTIF(Anggota!$A$2:$A$2001,A112)=0,"TIDAK ADA","OK"))</f>
        <v/>
      </c>
    </row>
    <row r="113" customFormat="false" ht="15" hidden="false" customHeight="false" outlineLevel="0" collapsed="false">
      <c r="A113" s="21"/>
      <c r="B113" s="22"/>
      <c r="C113" s="21"/>
      <c r="D113" s="24"/>
      <c r="E113" s="22"/>
      <c r="F113" s="29" t="str">
        <f aca="false">IF(C113="","",IFERROR(INDEX(Produk!$J$2:$J$100,MATCH(C113,Produk!$A$2:$A$100,0)),"PRODUK?"))</f>
        <v/>
      </c>
      <c r="G113" s="29" t="str">
        <f aca="false">IF(A113="","",IF(COUNTIF(Anggota!$A$2:$A$2001,A113)=0,"TIDAK ADA","OK"))</f>
        <v/>
      </c>
    </row>
    <row r="114" customFormat="false" ht="15" hidden="false" customHeight="false" outlineLevel="0" collapsed="false">
      <c r="A114" s="21"/>
      <c r="B114" s="22"/>
      <c r="C114" s="21"/>
      <c r="D114" s="24"/>
      <c r="E114" s="22"/>
      <c r="F114" s="29" t="str">
        <f aca="false">IF(C114="","",IFERROR(INDEX(Produk!$J$2:$J$100,MATCH(C114,Produk!$A$2:$A$100,0)),"PRODUK?"))</f>
        <v/>
      </c>
      <c r="G114" s="29" t="str">
        <f aca="false">IF(A114="","",IF(COUNTIF(Anggota!$A$2:$A$2001,A114)=0,"TIDAK ADA","OK"))</f>
        <v/>
      </c>
    </row>
    <row r="115" customFormat="false" ht="15" hidden="false" customHeight="false" outlineLevel="0" collapsed="false">
      <c r="A115" s="21"/>
      <c r="B115" s="22"/>
      <c r="C115" s="21"/>
      <c r="D115" s="24"/>
      <c r="E115" s="22"/>
      <c r="F115" s="29" t="str">
        <f aca="false">IF(C115="","",IFERROR(INDEX(Produk!$J$2:$J$100,MATCH(C115,Produk!$A$2:$A$100,0)),"PRODUK?"))</f>
        <v/>
      </c>
      <c r="G115" s="29" t="str">
        <f aca="false">IF(A115="","",IF(COUNTIF(Anggota!$A$2:$A$2001,A115)=0,"TIDAK ADA","OK"))</f>
        <v/>
      </c>
    </row>
    <row r="116" customFormat="false" ht="15" hidden="false" customHeight="false" outlineLevel="0" collapsed="false">
      <c r="A116" s="21"/>
      <c r="B116" s="22"/>
      <c r="C116" s="21"/>
      <c r="D116" s="24"/>
      <c r="E116" s="22"/>
      <c r="F116" s="29" t="str">
        <f aca="false">IF(C116="","",IFERROR(INDEX(Produk!$J$2:$J$100,MATCH(C116,Produk!$A$2:$A$100,0)),"PRODUK?"))</f>
        <v/>
      </c>
      <c r="G116" s="29" t="str">
        <f aca="false">IF(A116="","",IF(COUNTIF(Anggota!$A$2:$A$2001,A116)=0,"TIDAK ADA","OK"))</f>
        <v/>
      </c>
    </row>
    <row r="117" customFormat="false" ht="15" hidden="false" customHeight="false" outlineLevel="0" collapsed="false">
      <c r="A117" s="21"/>
      <c r="B117" s="22"/>
      <c r="C117" s="21"/>
      <c r="D117" s="24"/>
      <c r="E117" s="22"/>
      <c r="F117" s="29" t="str">
        <f aca="false">IF(C117="","",IFERROR(INDEX(Produk!$J$2:$J$100,MATCH(C117,Produk!$A$2:$A$100,0)),"PRODUK?"))</f>
        <v/>
      </c>
      <c r="G117" s="29" t="str">
        <f aca="false">IF(A117="","",IF(COUNTIF(Anggota!$A$2:$A$2001,A117)=0,"TIDAK ADA","OK"))</f>
        <v/>
      </c>
    </row>
    <row r="118" customFormat="false" ht="15" hidden="false" customHeight="false" outlineLevel="0" collapsed="false">
      <c r="A118" s="21"/>
      <c r="B118" s="22"/>
      <c r="C118" s="21"/>
      <c r="D118" s="24"/>
      <c r="E118" s="22"/>
      <c r="F118" s="29" t="str">
        <f aca="false">IF(C118="","",IFERROR(INDEX(Produk!$J$2:$J$100,MATCH(C118,Produk!$A$2:$A$100,0)),"PRODUK?"))</f>
        <v/>
      </c>
      <c r="G118" s="29" t="str">
        <f aca="false">IF(A118="","",IF(COUNTIF(Anggota!$A$2:$A$2001,A118)=0,"TIDAK ADA","OK"))</f>
        <v/>
      </c>
    </row>
    <row r="119" customFormat="false" ht="15" hidden="false" customHeight="false" outlineLevel="0" collapsed="false">
      <c r="A119" s="21"/>
      <c r="B119" s="22"/>
      <c r="C119" s="21"/>
      <c r="D119" s="24"/>
      <c r="E119" s="22"/>
      <c r="F119" s="29" t="str">
        <f aca="false">IF(C119="","",IFERROR(INDEX(Produk!$J$2:$J$100,MATCH(C119,Produk!$A$2:$A$100,0)),"PRODUK?"))</f>
        <v/>
      </c>
      <c r="G119" s="29" t="str">
        <f aca="false">IF(A119="","",IF(COUNTIF(Anggota!$A$2:$A$2001,A119)=0,"TIDAK ADA","OK"))</f>
        <v/>
      </c>
    </row>
    <row r="120" customFormat="false" ht="15" hidden="false" customHeight="false" outlineLevel="0" collapsed="false">
      <c r="A120" s="21"/>
      <c r="B120" s="22"/>
      <c r="C120" s="21"/>
      <c r="D120" s="24"/>
      <c r="E120" s="22"/>
      <c r="F120" s="29" t="str">
        <f aca="false">IF(C120="","",IFERROR(INDEX(Produk!$J$2:$J$100,MATCH(C120,Produk!$A$2:$A$100,0)),"PRODUK?"))</f>
        <v/>
      </c>
      <c r="G120" s="29" t="str">
        <f aca="false">IF(A120="","",IF(COUNTIF(Anggota!$A$2:$A$2001,A120)=0,"TIDAK ADA","OK"))</f>
        <v/>
      </c>
    </row>
    <row r="121" customFormat="false" ht="15" hidden="false" customHeight="false" outlineLevel="0" collapsed="false">
      <c r="A121" s="21"/>
      <c r="B121" s="22"/>
      <c r="C121" s="21"/>
      <c r="D121" s="24"/>
      <c r="E121" s="22"/>
      <c r="F121" s="29" t="str">
        <f aca="false">IF(C121="","",IFERROR(INDEX(Produk!$J$2:$J$100,MATCH(C121,Produk!$A$2:$A$100,0)),"PRODUK?"))</f>
        <v/>
      </c>
      <c r="G121" s="29" t="str">
        <f aca="false">IF(A121="","",IF(COUNTIF(Anggota!$A$2:$A$2001,A121)=0,"TIDAK ADA","OK"))</f>
        <v/>
      </c>
    </row>
    <row r="122" customFormat="false" ht="15" hidden="false" customHeight="false" outlineLevel="0" collapsed="false">
      <c r="A122" s="21"/>
      <c r="B122" s="22"/>
      <c r="C122" s="21"/>
      <c r="D122" s="24"/>
      <c r="E122" s="22"/>
      <c r="F122" s="29" t="str">
        <f aca="false">IF(C122="","",IFERROR(INDEX(Produk!$J$2:$J$100,MATCH(C122,Produk!$A$2:$A$100,0)),"PRODUK?"))</f>
        <v/>
      </c>
      <c r="G122" s="29" t="str">
        <f aca="false">IF(A122="","",IF(COUNTIF(Anggota!$A$2:$A$2001,A122)=0,"TIDAK ADA","OK"))</f>
        <v/>
      </c>
    </row>
    <row r="123" customFormat="false" ht="15" hidden="false" customHeight="false" outlineLevel="0" collapsed="false">
      <c r="A123" s="21"/>
      <c r="B123" s="22"/>
      <c r="C123" s="21"/>
      <c r="D123" s="24"/>
      <c r="E123" s="22"/>
      <c r="F123" s="29" t="str">
        <f aca="false">IF(C123="","",IFERROR(INDEX(Produk!$J$2:$J$100,MATCH(C123,Produk!$A$2:$A$100,0)),"PRODUK?"))</f>
        <v/>
      </c>
      <c r="G123" s="29" t="str">
        <f aca="false">IF(A123="","",IF(COUNTIF(Anggota!$A$2:$A$2001,A123)=0,"TIDAK ADA","OK"))</f>
        <v/>
      </c>
    </row>
    <row r="124" customFormat="false" ht="15" hidden="false" customHeight="false" outlineLevel="0" collapsed="false">
      <c r="A124" s="21"/>
      <c r="B124" s="22"/>
      <c r="C124" s="21"/>
      <c r="D124" s="24"/>
      <c r="E124" s="22"/>
      <c r="F124" s="29" t="str">
        <f aca="false">IF(C124="","",IFERROR(INDEX(Produk!$J$2:$J$100,MATCH(C124,Produk!$A$2:$A$100,0)),"PRODUK?"))</f>
        <v/>
      </c>
      <c r="G124" s="29" t="str">
        <f aca="false">IF(A124="","",IF(COUNTIF(Anggota!$A$2:$A$2001,A124)=0,"TIDAK ADA","OK"))</f>
        <v/>
      </c>
    </row>
    <row r="125" customFormat="false" ht="15" hidden="false" customHeight="false" outlineLevel="0" collapsed="false">
      <c r="A125" s="21"/>
      <c r="B125" s="22"/>
      <c r="C125" s="21"/>
      <c r="D125" s="24"/>
      <c r="E125" s="22"/>
      <c r="F125" s="29" t="str">
        <f aca="false">IF(C125="","",IFERROR(INDEX(Produk!$J$2:$J$100,MATCH(C125,Produk!$A$2:$A$100,0)),"PRODUK?"))</f>
        <v/>
      </c>
      <c r="G125" s="29" t="str">
        <f aca="false">IF(A125="","",IF(COUNTIF(Anggota!$A$2:$A$2001,A125)=0,"TIDAK ADA","OK"))</f>
        <v/>
      </c>
    </row>
    <row r="126" customFormat="false" ht="15" hidden="false" customHeight="false" outlineLevel="0" collapsed="false">
      <c r="A126" s="21"/>
      <c r="B126" s="22"/>
      <c r="C126" s="21"/>
      <c r="D126" s="24"/>
      <c r="E126" s="22"/>
      <c r="F126" s="29" t="str">
        <f aca="false">IF(C126="","",IFERROR(INDEX(Produk!$J$2:$J$100,MATCH(C126,Produk!$A$2:$A$100,0)),"PRODUK?"))</f>
        <v/>
      </c>
      <c r="G126" s="29" t="str">
        <f aca="false">IF(A126="","",IF(COUNTIF(Anggota!$A$2:$A$2001,A126)=0,"TIDAK ADA","OK"))</f>
        <v/>
      </c>
    </row>
    <row r="127" customFormat="false" ht="15" hidden="false" customHeight="false" outlineLevel="0" collapsed="false">
      <c r="A127" s="21"/>
      <c r="B127" s="22"/>
      <c r="C127" s="21"/>
      <c r="D127" s="24"/>
      <c r="E127" s="22"/>
      <c r="F127" s="29" t="str">
        <f aca="false">IF(C127="","",IFERROR(INDEX(Produk!$J$2:$J$100,MATCH(C127,Produk!$A$2:$A$100,0)),"PRODUK?"))</f>
        <v/>
      </c>
      <c r="G127" s="29" t="str">
        <f aca="false">IF(A127="","",IF(COUNTIF(Anggota!$A$2:$A$2001,A127)=0,"TIDAK ADA","OK"))</f>
        <v/>
      </c>
    </row>
    <row r="128" customFormat="false" ht="15" hidden="false" customHeight="false" outlineLevel="0" collapsed="false">
      <c r="A128" s="21"/>
      <c r="B128" s="22"/>
      <c r="C128" s="21"/>
      <c r="D128" s="24"/>
      <c r="E128" s="22"/>
      <c r="F128" s="29" t="str">
        <f aca="false">IF(C128="","",IFERROR(INDEX(Produk!$J$2:$J$100,MATCH(C128,Produk!$A$2:$A$100,0)),"PRODUK?"))</f>
        <v/>
      </c>
      <c r="G128" s="29" t="str">
        <f aca="false">IF(A128="","",IF(COUNTIF(Anggota!$A$2:$A$2001,A128)=0,"TIDAK ADA","OK"))</f>
        <v/>
      </c>
    </row>
    <row r="129" customFormat="false" ht="15" hidden="false" customHeight="false" outlineLevel="0" collapsed="false">
      <c r="A129" s="21"/>
      <c r="B129" s="22"/>
      <c r="C129" s="21"/>
      <c r="D129" s="24"/>
      <c r="E129" s="22"/>
      <c r="F129" s="29" t="str">
        <f aca="false">IF(C129="","",IFERROR(INDEX(Produk!$J$2:$J$100,MATCH(C129,Produk!$A$2:$A$100,0)),"PRODUK?"))</f>
        <v/>
      </c>
      <c r="G129" s="29" t="str">
        <f aca="false">IF(A129="","",IF(COUNTIF(Anggota!$A$2:$A$2001,A129)=0,"TIDAK ADA","OK"))</f>
        <v/>
      </c>
    </row>
    <row r="130" customFormat="false" ht="15" hidden="false" customHeight="false" outlineLevel="0" collapsed="false">
      <c r="A130" s="21"/>
      <c r="B130" s="22"/>
      <c r="C130" s="21"/>
      <c r="D130" s="24"/>
      <c r="E130" s="22"/>
      <c r="F130" s="29" t="str">
        <f aca="false">IF(C130="","",IFERROR(INDEX(Produk!$J$2:$J$100,MATCH(C130,Produk!$A$2:$A$100,0)),"PRODUK?"))</f>
        <v/>
      </c>
      <c r="G130" s="29" t="str">
        <f aca="false">IF(A130="","",IF(COUNTIF(Anggota!$A$2:$A$2001,A130)=0,"TIDAK ADA","OK"))</f>
        <v/>
      </c>
    </row>
    <row r="131" customFormat="false" ht="15" hidden="false" customHeight="false" outlineLevel="0" collapsed="false">
      <c r="A131" s="21"/>
      <c r="B131" s="22"/>
      <c r="C131" s="21"/>
      <c r="D131" s="24"/>
      <c r="E131" s="22"/>
      <c r="F131" s="29" t="str">
        <f aca="false">IF(C131="","",IFERROR(INDEX(Produk!$J$2:$J$100,MATCH(C131,Produk!$A$2:$A$100,0)),"PRODUK?"))</f>
        <v/>
      </c>
      <c r="G131" s="29" t="str">
        <f aca="false">IF(A131="","",IF(COUNTIF(Anggota!$A$2:$A$2001,A131)=0,"TIDAK ADA","OK"))</f>
        <v/>
      </c>
    </row>
    <row r="132" customFormat="false" ht="15" hidden="false" customHeight="false" outlineLevel="0" collapsed="false">
      <c r="A132" s="21"/>
      <c r="B132" s="22"/>
      <c r="C132" s="21"/>
      <c r="D132" s="24"/>
      <c r="E132" s="22"/>
      <c r="F132" s="29" t="str">
        <f aca="false">IF(C132="","",IFERROR(INDEX(Produk!$J$2:$J$100,MATCH(C132,Produk!$A$2:$A$100,0)),"PRODUK?"))</f>
        <v/>
      </c>
      <c r="G132" s="29" t="str">
        <f aca="false">IF(A132="","",IF(COUNTIF(Anggota!$A$2:$A$2001,A132)=0,"TIDAK ADA","OK"))</f>
        <v/>
      </c>
    </row>
    <row r="133" customFormat="false" ht="15" hidden="false" customHeight="false" outlineLevel="0" collapsed="false">
      <c r="A133" s="21"/>
      <c r="B133" s="22"/>
      <c r="C133" s="21"/>
      <c r="D133" s="24"/>
      <c r="E133" s="22"/>
      <c r="F133" s="29" t="str">
        <f aca="false">IF(C133="","",IFERROR(INDEX(Produk!$J$2:$J$100,MATCH(C133,Produk!$A$2:$A$100,0)),"PRODUK?"))</f>
        <v/>
      </c>
      <c r="G133" s="29" t="str">
        <f aca="false">IF(A133="","",IF(COUNTIF(Anggota!$A$2:$A$2001,A133)=0,"TIDAK ADA","OK"))</f>
        <v/>
      </c>
    </row>
    <row r="134" customFormat="false" ht="15" hidden="false" customHeight="false" outlineLevel="0" collapsed="false">
      <c r="A134" s="21"/>
      <c r="B134" s="22"/>
      <c r="C134" s="21"/>
      <c r="D134" s="24"/>
      <c r="E134" s="22"/>
      <c r="F134" s="29" t="str">
        <f aca="false">IF(C134="","",IFERROR(INDEX(Produk!$J$2:$J$100,MATCH(C134,Produk!$A$2:$A$100,0)),"PRODUK?"))</f>
        <v/>
      </c>
      <c r="G134" s="29" t="str">
        <f aca="false">IF(A134="","",IF(COUNTIF(Anggota!$A$2:$A$2001,A134)=0,"TIDAK ADA","OK"))</f>
        <v/>
      </c>
    </row>
    <row r="135" customFormat="false" ht="15" hidden="false" customHeight="false" outlineLevel="0" collapsed="false">
      <c r="A135" s="21"/>
      <c r="B135" s="22"/>
      <c r="C135" s="21"/>
      <c r="D135" s="24"/>
      <c r="E135" s="22"/>
      <c r="F135" s="29" t="str">
        <f aca="false">IF(C135="","",IFERROR(INDEX(Produk!$J$2:$J$100,MATCH(C135,Produk!$A$2:$A$100,0)),"PRODUK?"))</f>
        <v/>
      </c>
      <c r="G135" s="29" t="str">
        <f aca="false">IF(A135="","",IF(COUNTIF(Anggota!$A$2:$A$2001,A135)=0,"TIDAK ADA","OK"))</f>
        <v/>
      </c>
    </row>
    <row r="136" customFormat="false" ht="15" hidden="false" customHeight="false" outlineLevel="0" collapsed="false">
      <c r="A136" s="21"/>
      <c r="B136" s="22"/>
      <c r="C136" s="21"/>
      <c r="D136" s="24"/>
      <c r="E136" s="22"/>
      <c r="F136" s="29" t="str">
        <f aca="false">IF(C136="","",IFERROR(INDEX(Produk!$J$2:$J$100,MATCH(C136,Produk!$A$2:$A$100,0)),"PRODUK?"))</f>
        <v/>
      </c>
      <c r="G136" s="29" t="str">
        <f aca="false">IF(A136="","",IF(COUNTIF(Anggota!$A$2:$A$2001,A136)=0,"TIDAK ADA","OK"))</f>
        <v/>
      </c>
    </row>
    <row r="137" customFormat="false" ht="15" hidden="false" customHeight="false" outlineLevel="0" collapsed="false">
      <c r="A137" s="21"/>
      <c r="B137" s="22"/>
      <c r="C137" s="21"/>
      <c r="D137" s="24"/>
      <c r="E137" s="22"/>
      <c r="F137" s="29" t="str">
        <f aca="false">IF(C137="","",IFERROR(INDEX(Produk!$J$2:$J$100,MATCH(C137,Produk!$A$2:$A$100,0)),"PRODUK?"))</f>
        <v/>
      </c>
      <c r="G137" s="29" t="str">
        <f aca="false">IF(A137="","",IF(COUNTIF(Anggota!$A$2:$A$2001,A137)=0,"TIDAK ADA","OK"))</f>
        <v/>
      </c>
    </row>
    <row r="138" customFormat="false" ht="15" hidden="false" customHeight="false" outlineLevel="0" collapsed="false">
      <c r="A138" s="21"/>
      <c r="B138" s="22"/>
      <c r="C138" s="21"/>
      <c r="D138" s="24"/>
      <c r="E138" s="22"/>
      <c r="F138" s="29" t="str">
        <f aca="false">IF(C138="","",IFERROR(INDEX(Produk!$J$2:$J$100,MATCH(C138,Produk!$A$2:$A$100,0)),"PRODUK?"))</f>
        <v/>
      </c>
      <c r="G138" s="29" t="str">
        <f aca="false">IF(A138="","",IF(COUNTIF(Anggota!$A$2:$A$2001,A138)=0,"TIDAK ADA","OK"))</f>
        <v/>
      </c>
    </row>
    <row r="139" customFormat="false" ht="15" hidden="false" customHeight="false" outlineLevel="0" collapsed="false">
      <c r="A139" s="21"/>
      <c r="B139" s="22"/>
      <c r="C139" s="21"/>
      <c r="D139" s="24"/>
      <c r="E139" s="22"/>
      <c r="F139" s="29" t="str">
        <f aca="false">IF(C139="","",IFERROR(INDEX(Produk!$J$2:$J$100,MATCH(C139,Produk!$A$2:$A$100,0)),"PRODUK?"))</f>
        <v/>
      </c>
      <c r="G139" s="29" t="str">
        <f aca="false">IF(A139="","",IF(COUNTIF(Anggota!$A$2:$A$2001,A139)=0,"TIDAK ADA","OK"))</f>
        <v/>
      </c>
    </row>
    <row r="140" customFormat="false" ht="15" hidden="false" customHeight="false" outlineLevel="0" collapsed="false">
      <c r="A140" s="21"/>
      <c r="B140" s="22"/>
      <c r="C140" s="21"/>
      <c r="D140" s="24"/>
      <c r="E140" s="22"/>
      <c r="F140" s="29" t="str">
        <f aca="false">IF(C140="","",IFERROR(INDEX(Produk!$J$2:$J$100,MATCH(C140,Produk!$A$2:$A$100,0)),"PRODUK?"))</f>
        <v/>
      </c>
      <c r="G140" s="29" t="str">
        <f aca="false">IF(A140="","",IF(COUNTIF(Anggota!$A$2:$A$2001,A140)=0,"TIDAK ADA","OK"))</f>
        <v/>
      </c>
    </row>
    <row r="141" customFormat="false" ht="15" hidden="false" customHeight="false" outlineLevel="0" collapsed="false">
      <c r="A141" s="21"/>
      <c r="B141" s="22"/>
      <c r="C141" s="21"/>
      <c r="D141" s="24"/>
      <c r="E141" s="22"/>
      <c r="F141" s="29" t="str">
        <f aca="false">IF(C141="","",IFERROR(INDEX(Produk!$J$2:$J$100,MATCH(C141,Produk!$A$2:$A$100,0)),"PRODUK?"))</f>
        <v/>
      </c>
      <c r="G141" s="29" t="str">
        <f aca="false">IF(A141="","",IF(COUNTIF(Anggota!$A$2:$A$2001,A141)=0,"TIDAK ADA","OK"))</f>
        <v/>
      </c>
    </row>
    <row r="142" customFormat="false" ht="15" hidden="false" customHeight="false" outlineLevel="0" collapsed="false">
      <c r="A142" s="21"/>
      <c r="B142" s="22"/>
      <c r="C142" s="21"/>
      <c r="D142" s="24"/>
      <c r="E142" s="22"/>
      <c r="F142" s="29" t="str">
        <f aca="false">IF(C142="","",IFERROR(INDEX(Produk!$J$2:$J$100,MATCH(C142,Produk!$A$2:$A$100,0)),"PRODUK?"))</f>
        <v/>
      </c>
      <c r="G142" s="29" t="str">
        <f aca="false">IF(A142="","",IF(COUNTIF(Anggota!$A$2:$A$2001,A142)=0,"TIDAK ADA","OK"))</f>
        <v/>
      </c>
    </row>
    <row r="143" customFormat="false" ht="15" hidden="false" customHeight="false" outlineLevel="0" collapsed="false">
      <c r="A143" s="21"/>
      <c r="B143" s="22"/>
      <c r="C143" s="21"/>
      <c r="D143" s="24"/>
      <c r="E143" s="22"/>
      <c r="F143" s="29" t="str">
        <f aca="false">IF(C143="","",IFERROR(INDEX(Produk!$J$2:$J$100,MATCH(C143,Produk!$A$2:$A$100,0)),"PRODUK?"))</f>
        <v/>
      </c>
      <c r="G143" s="29" t="str">
        <f aca="false">IF(A143="","",IF(COUNTIF(Anggota!$A$2:$A$2001,A143)=0,"TIDAK ADA","OK"))</f>
        <v/>
      </c>
    </row>
    <row r="144" customFormat="false" ht="15" hidden="false" customHeight="false" outlineLevel="0" collapsed="false">
      <c r="A144" s="21"/>
      <c r="B144" s="22"/>
      <c r="C144" s="21"/>
      <c r="D144" s="24"/>
      <c r="E144" s="22"/>
      <c r="F144" s="29" t="str">
        <f aca="false">IF(C144="","",IFERROR(INDEX(Produk!$J$2:$J$100,MATCH(C144,Produk!$A$2:$A$100,0)),"PRODUK?"))</f>
        <v/>
      </c>
      <c r="G144" s="29" t="str">
        <f aca="false">IF(A144="","",IF(COUNTIF(Anggota!$A$2:$A$2001,A144)=0,"TIDAK ADA","OK"))</f>
        <v/>
      </c>
    </row>
    <row r="145" customFormat="false" ht="15" hidden="false" customHeight="false" outlineLevel="0" collapsed="false">
      <c r="A145" s="21"/>
      <c r="B145" s="22"/>
      <c r="C145" s="21"/>
      <c r="D145" s="24"/>
      <c r="E145" s="22"/>
      <c r="F145" s="29" t="str">
        <f aca="false">IF(C145="","",IFERROR(INDEX(Produk!$J$2:$J$100,MATCH(C145,Produk!$A$2:$A$100,0)),"PRODUK?"))</f>
        <v/>
      </c>
      <c r="G145" s="29" t="str">
        <f aca="false">IF(A145="","",IF(COUNTIF(Anggota!$A$2:$A$2001,A145)=0,"TIDAK ADA","OK"))</f>
        <v/>
      </c>
    </row>
    <row r="146" customFormat="false" ht="15" hidden="false" customHeight="false" outlineLevel="0" collapsed="false">
      <c r="A146" s="21"/>
      <c r="B146" s="22"/>
      <c r="C146" s="21"/>
      <c r="D146" s="24"/>
      <c r="E146" s="22"/>
      <c r="F146" s="29" t="str">
        <f aca="false">IF(C146="","",IFERROR(INDEX(Produk!$J$2:$J$100,MATCH(C146,Produk!$A$2:$A$100,0)),"PRODUK?"))</f>
        <v/>
      </c>
      <c r="G146" s="29" t="str">
        <f aca="false">IF(A146="","",IF(COUNTIF(Anggota!$A$2:$A$2001,A146)=0,"TIDAK ADA","OK"))</f>
        <v/>
      </c>
    </row>
    <row r="147" customFormat="false" ht="15" hidden="false" customHeight="false" outlineLevel="0" collapsed="false">
      <c r="A147" s="21"/>
      <c r="B147" s="22"/>
      <c r="C147" s="21"/>
      <c r="D147" s="24"/>
      <c r="E147" s="22"/>
      <c r="F147" s="29" t="str">
        <f aca="false">IF(C147="","",IFERROR(INDEX(Produk!$J$2:$J$100,MATCH(C147,Produk!$A$2:$A$100,0)),"PRODUK?"))</f>
        <v/>
      </c>
      <c r="G147" s="29" t="str">
        <f aca="false">IF(A147="","",IF(COUNTIF(Anggota!$A$2:$A$2001,A147)=0,"TIDAK ADA","OK"))</f>
        <v/>
      </c>
    </row>
    <row r="148" customFormat="false" ht="15" hidden="false" customHeight="false" outlineLevel="0" collapsed="false">
      <c r="A148" s="21"/>
      <c r="B148" s="22"/>
      <c r="C148" s="21"/>
      <c r="D148" s="24"/>
      <c r="E148" s="22"/>
      <c r="F148" s="29" t="str">
        <f aca="false">IF(C148="","",IFERROR(INDEX(Produk!$J$2:$J$100,MATCH(C148,Produk!$A$2:$A$100,0)),"PRODUK?"))</f>
        <v/>
      </c>
      <c r="G148" s="29" t="str">
        <f aca="false">IF(A148="","",IF(COUNTIF(Anggota!$A$2:$A$2001,A148)=0,"TIDAK ADA","OK"))</f>
        <v/>
      </c>
    </row>
    <row r="149" customFormat="false" ht="15" hidden="false" customHeight="false" outlineLevel="0" collapsed="false">
      <c r="A149" s="21"/>
      <c r="B149" s="22"/>
      <c r="C149" s="21"/>
      <c r="D149" s="24"/>
      <c r="E149" s="22"/>
      <c r="F149" s="29" t="str">
        <f aca="false">IF(C149="","",IFERROR(INDEX(Produk!$J$2:$J$100,MATCH(C149,Produk!$A$2:$A$100,0)),"PRODUK?"))</f>
        <v/>
      </c>
      <c r="G149" s="29" t="str">
        <f aca="false">IF(A149="","",IF(COUNTIF(Anggota!$A$2:$A$2001,A149)=0,"TIDAK ADA","OK"))</f>
        <v/>
      </c>
    </row>
    <row r="150" customFormat="false" ht="15" hidden="false" customHeight="false" outlineLevel="0" collapsed="false">
      <c r="A150" s="21"/>
      <c r="B150" s="22"/>
      <c r="C150" s="21"/>
      <c r="D150" s="24"/>
      <c r="E150" s="22"/>
      <c r="F150" s="29" t="str">
        <f aca="false">IF(C150="","",IFERROR(INDEX(Produk!$J$2:$J$100,MATCH(C150,Produk!$A$2:$A$100,0)),"PRODUK?"))</f>
        <v/>
      </c>
      <c r="G150" s="29" t="str">
        <f aca="false">IF(A150="","",IF(COUNTIF(Anggota!$A$2:$A$2001,A150)=0,"TIDAK ADA","OK"))</f>
        <v/>
      </c>
    </row>
    <row r="151" customFormat="false" ht="15" hidden="false" customHeight="false" outlineLevel="0" collapsed="false">
      <c r="A151" s="21"/>
      <c r="B151" s="22"/>
      <c r="C151" s="21"/>
      <c r="D151" s="24"/>
      <c r="E151" s="22"/>
      <c r="F151" s="29" t="str">
        <f aca="false">IF(C151="","",IFERROR(INDEX(Produk!$J$2:$J$100,MATCH(C151,Produk!$A$2:$A$100,0)),"PRODUK?"))</f>
        <v/>
      </c>
      <c r="G151" s="29" t="str">
        <f aca="false">IF(A151="","",IF(COUNTIF(Anggota!$A$2:$A$2001,A151)=0,"TIDAK ADA","OK"))</f>
        <v/>
      </c>
    </row>
    <row r="152" customFormat="false" ht="15" hidden="false" customHeight="false" outlineLevel="0" collapsed="false">
      <c r="A152" s="21"/>
      <c r="B152" s="22"/>
      <c r="C152" s="21"/>
      <c r="D152" s="24"/>
      <c r="E152" s="22"/>
      <c r="F152" s="29" t="str">
        <f aca="false">IF(C152="","",IFERROR(INDEX(Produk!$J$2:$J$100,MATCH(C152,Produk!$A$2:$A$100,0)),"PRODUK?"))</f>
        <v/>
      </c>
      <c r="G152" s="29" t="str">
        <f aca="false">IF(A152="","",IF(COUNTIF(Anggota!$A$2:$A$2001,A152)=0,"TIDAK ADA","OK"))</f>
        <v/>
      </c>
    </row>
    <row r="153" customFormat="false" ht="15" hidden="false" customHeight="false" outlineLevel="0" collapsed="false">
      <c r="A153" s="21"/>
      <c r="B153" s="22"/>
      <c r="C153" s="21"/>
      <c r="D153" s="24"/>
      <c r="E153" s="22"/>
      <c r="F153" s="29" t="str">
        <f aca="false">IF(C153="","",IFERROR(INDEX(Produk!$J$2:$J$100,MATCH(C153,Produk!$A$2:$A$100,0)),"PRODUK?"))</f>
        <v/>
      </c>
      <c r="G153" s="29" t="str">
        <f aca="false">IF(A153="","",IF(COUNTIF(Anggota!$A$2:$A$2001,A153)=0,"TIDAK ADA","OK"))</f>
        <v/>
      </c>
    </row>
    <row r="154" customFormat="false" ht="15" hidden="false" customHeight="false" outlineLevel="0" collapsed="false">
      <c r="A154" s="21"/>
      <c r="B154" s="22"/>
      <c r="C154" s="21"/>
      <c r="D154" s="24"/>
      <c r="E154" s="22"/>
      <c r="F154" s="29" t="str">
        <f aca="false">IF(C154="","",IFERROR(INDEX(Produk!$J$2:$J$100,MATCH(C154,Produk!$A$2:$A$100,0)),"PRODUK?"))</f>
        <v/>
      </c>
      <c r="G154" s="29" t="str">
        <f aca="false">IF(A154="","",IF(COUNTIF(Anggota!$A$2:$A$2001,A154)=0,"TIDAK ADA","OK"))</f>
        <v/>
      </c>
    </row>
    <row r="155" customFormat="false" ht="15" hidden="false" customHeight="false" outlineLevel="0" collapsed="false">
      <c r="A155" s="21"/>
      <c r="B155" s="22"/>
      <c r="C155" s="21"/>
      <c r="D155" s="24"/>
      <c r="E155" s="22"/>
      <c r="F155" s="29" t="str">
        <f aca="false">IF(C155="","",IFERROR(INDEX(Produk!$J$2:$J$100,MATCH(C155,Produk!$A$2:$A$100,0)),"PRODUK?"))</f>
        <v/>
      </c>
      <c r="G155" s="29" t="str">
        <f aca="false">IF(A155="","",IF(COUNTIF(Anggota!$A$2:$A$2001,A155)=0,"TIDAK ADA","OK"))</f>
        <v/>
      </c>
    </row>
    <row r="156" customFormat="false" ht="15" hidden="false" customHeight="false" outlineLevel="0" collapsed="false">
      <c r="A156" s="21"/>
      <c r="B156" s="22"/>
      <c r="C156" s="21"/>
      <c r="D156" s="24"/>
      <c r="E156" s="22"/>
      <c r="F156" s="29" t="str">
        <f aca="false">IF(C156="","",IFERROR(INDEX(Produk!$J$2:$J$100,MATCH(C156,Produk!$A$2:$A$100,0)),"PRODUK?"))</f>
        <v/>
      </c>
      <c r="G156" s="29" t="str">
        <f aca="false">IF(A156="","",IF(COUNTIF(Anggota!$A$2:$A$2001,A156)=0,"TIDAK ADA","OK"))</f>
        <v/>
      </c>
    </row>
    <row r="157" customFormat="false" ht="15" hidden="false" customHeight="false" outlineLevel="0" collapsed="false">
      <c r="A157" s="21"/>
      <c r="B157" s="22"/>
      <c r="C157" s="21"/>
      <c r="D157" s="24"/>
      <c r="E157" s="22"/>
      <c r="F157" s="29" t="str">
        <f aca="false">IF(C157="","",IFERROR(INDEX(Produk!$J$2:$J$100,MATCH(C157,Produk!$A$2:$A$100,0)),"PRODUK?"))</f>
        <v/>
      </c>
      <c r="G157" s="29" t="str">
        <f aca="false">IF(A157="","",IF(COUNTIF(Anggota!$A$2:$A$2001,A157)=0,"TIDAK ADA","OK"))</f>
        <v/>
      </c>
    </row>
    <row r="158" customFormat="false" ht="15" hidden="false" customHeight="false" outlineLevel="0" collapsed="false">
      <c r="A158" s="21"/>
      <c r="B158" s="22"/>
      <c r="C158" s="21"/>
      <c r="D158" s="24"/>
      <c r="E158" s="22"/>
      <c r="F158" s="29" t="str">
        <f aca="false">IF(C158="","",IFERROR(INDEX(Produk!$J$2:$J$100,MATCH(C158,Produk!$A$2:$A$100,0)),"PRODUK?"))</f>
        <v/>
      </c>
      <c r="G158" s="29" t="str">
        <f aca="false">IF(A158="","",IF(COUNTIF(Anggota!$A$2:$A$2001,A158)=0,"TIDAK ADA","OK"))</f>
        <v/>
      </c>
    </row>
    <row r="159" customFormat="false" ht="15" hidden="false" customHeight="false" outlineLevel="0" collapsed="false">
      <c r="A159" s="21"/>
      <c r="B159" s="22"/>
      <c r="C159" s="21"/>
      <c r="D159" s="24"/>
      <c r="E159" s="22"/>
      <c r="F159" s="29" t="str">
        <f aca="false">IF(C159="","",IFERROR(INDEX(Produk!$J$2:$J$100,MATCH(C159,Produk!$A$2:$A$100,0)),"PRODUK?"))</f>
        <v/>
      </c>
      <c r="G159" s="29" t="str">
        <f aca="false">IF(A159="","",IF(COUNTIF(Anggota!$A$2:$A$2001,A159)=0,"TIDAK ADA","OK"))</f>
        <v/>
      </c>
    </row>
    <row r="160" customFormat="false" ht="15" hidden="false" customHeight="false" outlineLevel="0" collapsed="false">
      <c r="A160" s="21"/>
      <c r="B160" s="22"/>
      <c r="C160" s="21"/>
      <c r="D160" s="24"/>
      <c r="E160" s="22"/>
      <c r="F160" s="29" t="str">
        <f aca="false">IF(C160="","",IFERROR(INDEX(Produk!$J$2:$J$100,MATCH(C160,Produk!$A$2:$A$100,0)),"PRODUK?"))</f>
        <v/>
      </c>
      <c r="G160" s="29" t="str">
        <f aca="false">IF(A160="","",IF(COUNTIF(Anggota!$A$2:$A$2001,A160)=0,"TIDAK ADA","OK"))</f>
        <v/>
      </c>
    </row>
    <row r="161" customFormat="false" ht="15" hidden="false" customHeight="false" outlineLevel="0" collapsed="false">
      <c r="A161" s="21"/>
      <c r="B161" s="22"/>
      <c r="C161" s="21"/>
      <c r="D161" s="24"/>
      <c r="E161" s="22"/>
      <c r="F161" s="29" t="str">
        <f aca="false">IF(C161="","",IFERROR(INDEX(Produk!$J$2:$J$100,MATCH(C161,Produk!$A$2:$A$100,0)),"PRODUK?"))</f>
        <v/>
      </c>
      <c r="G161" s="29" t="str">
        <f aca="false">IF(A161="","",IF(COUNTIF(Anggota!$A$2:$A$2001,A161)=0,"TIDAK ADA","OK"))</f>
        <v/>
      </c>
    </row>
    <row r="162" customFormat="false" ht="15" hidden="false" customHeight="false" outlineLevel="0" collapsed="false">
      <c r="A162" s="21"/>
      <c r="B162" s="22"/>
      <c r="C162" s="21"/>
      <c r="D162" s="24"/>
      <c r="E162" s="22"/>
      <c r="F162" s="29" t="str">
        <f aca="false">IF(C162="","",IFERROR(INDEX(Produk!$J$2:$J$100,MATCH(C162,Produk!$A$2:$A$100,0)),"PRODUK?"))</f>
        <v/>
      </c>
      <c r="G162" s="29" t="str">
        <f aca="false">IF(A162="","",IF(COUNTIF(Anggota!$A$2:$A$2001,A162)=0,"TIDAK ADA","OK"))</f>
        <v/>
      </c>
    </row>
    <row r="163" customFormat="false" ht="15" hidden="false" customHeight="false" outlineLevel="0" collapsed="false">
      <c r="A163" s="21"/>
      <c r="B163" s="22"/>
      <c r="C163" s="21"/>
      <c r="D163" s="24"/>
      <c r="E163" s="22"/>
      <c r="F163" s="29" t="str">
        <f aca="false">IF(C163="","",IFERROR(INDEX(Produk!$J$2:$J$100,MATCH(C163,Produk!$A$2:$A$100,0)),"PRODUK?"))</f>
        <v/>
      </c>
      <c r="G163" s="29" t="str">
        <f aca="false">IF(A163="","",IF(COUNTIF(Anggota!$A$2:$A$2001,A163)=0,"TIDAK ADA","OK"))</f>
        <v/>
      </c>
    </row>
    <row r="164" customFormat="false" ht="15" hidden="false" customHeight="false" outlineLevel="0" collapsed="false">
      <c r="A164" s="21"/>
      <c r="B164" s="22"/>
      <c r="C164" s="21"/>
      <c r="D164" s="24"/>
      <c r="E164" s="22"/>
      <c r="F164" s="29" t="str">
        <f aca="false">IF(C164="","",IFERROR(INDEX(Produk!$J$2:$J$100,MATCH(C164,Produk!$A$2:$A$100,0)),"PRODUK?"))</f>
        <v/>
      </c>
      <c r="G164" s="29" t="str">
        <f aca="false">IF(A164="","",IF(COUNTIF(Anggota!$A$2:$A$2001,A164)=0,"TIDAK ADA","OK"))</f>
        <v/>
      </c>
    </row>
    <row r="165" customFormat="false" ht="15" hidden="false" customHeight="false" outlineLevel="0" collapsed="false">
      <c r="A165" s="21"/>
      <c r="B165" s="22"/>
      <c r="C165" s="21"/>
      <c r="D165" s="24"/>
      <c r="E165" s="22"/>
      <c r="F165" s="29" t="str">
        <f aca="false">IF(C165="","",IFERROR(INDEX(Produk!$J$2:$J$100,MATCH(C165,Produk!$A$2:$A$100,0)),"PRODUK?"))</f>
        <v/>
      </c>
      <c r="G165" s="29" t="str">
        <f aca="false">IF(A165="","",IF(COUNTIF(Anggota!$A$2:$A$2001,A165)=0,"TIDAK ADA","OK"))</f>
        <v/>
      </c>
    </row>
    <row r="166" customFormat="false" ht="15" hidden="false" customHeight="false" outlineLevel="0" collapsed="false">
      <c r="A166" s="21"/>
      <c r="B166" s="22"/>
      <c r="C166" s="21"/>
      <c r="D166" s="24"/>
      <c r="E166" s="22"/>
      <c r="F166" s="29" t="str">
        <f aca="false">IF(C166="","",IFERROR(INDEX(Produk!$J$2:$J$100,MATCH(C166,Produk!$A$2:$A$100,0)),"PRODUK?"))</f>
        <v/>
      </c>
      <c r="G166" s="29" t="str">
        <f aca="false">IF(A166="","",IF(COUNTIF(Anggota!$A$2:$A$2001,A166)=0,"TIDAK ADA","OK"))</f>
        <v/>
      </c>
    </row>
    <row r="167" customFormat="false" ht="15" hidden="false" customHeight="false" outlineLevel="0" collapsed="false">
      <c r="A167" s="21"/>
      <c r="B167" s="22"/>
      <c r="C167" s="21"/>
      <c r="D167" s="24"/>
      <c r="E167" s="22"/>
      <c r="F167" s="29" t="str">
        <f aca="false">IF(C167="","",IFERROR(INDEX(Produk!$J$2:$J$100,MATCH(C167,Produk!$A$2:$A$100,0)),"PRODUK?"))</f>
        <v/>
      </c>
      <c r="G167" s="29" t="str">
        <f aca="false">IF(A167="","",IF(COUNTIF(Anggota!$A$2:$A$2001,A167)=0,"TIDAK ADA","OK"))</f>
        <v/>
      </c>
    </row>
    <row r="168" customFormat="false" ht="15" hidden="false" customHeight="false" outlineLevel="0" collapsed="false">
      <c r="A168" s="21"/>
      <c r="B168" s="22"/>
      <c r="C168" s="21"/>
      <c r="D168" s="24"/>
      <c r="E168" s="22"/>
      <c r="F168" s="29" t="str">
        <f aca="false">IF(C168="","",IFERROR(INDEX(Produk!$J$2:$J$100,MATCH(C168,Produk!$A$2:$A$100,0)),"PRODUK?"))</f>
        <v/>
      </c>
      <c r="G168" s="29" t="str">
        <f aca="false">IF(A168="","",IF(COUNTIF(Anggota!$A$2:$A$2001,A168)=0,"TIDAK ADA","OK"))</f>
        <v/>
      </c>
    </row>
    <row r="169" customFormat="false" ht="15" hidden="false" customHeight="false" outlineLevel="0" collapsed="false">
      <c r="A169" s="21"/>
      <c r="B169" s="22"/>
      <c r="C169" s="21"/>
      <c r="D169" s="24"/>
      <c r="E169" s="22"/>
      <c r="F169" s="29" t="str">
        <f aca="false">IF(C169="","",IFERROR(INDEX(Produk!$J$2:$J$100,MATCH(C169,Produk!$A$2:$A$100,0)),"PRODUK?"))</f>
        <v/>
      </c>
      <c r="G169" s="29" t="str">
        <f aca="false">IF(A169="","",IF(COUNTIF(Anggota!$A$2:$A$2001,A169)=0,"TIDAK ADA","OK"))</f>
        <v/>
      </c>
    </row>
    <row r="170" customFormat="false" ht="15" hidden="false" customHeight="false" outlineLevel="0" collapsed="false">
      <c r="A170" s="21"/>
      <c r="B170" s="22"/>
      <c r="C170" s="21"/>
      <c r="D170" s="24"/>
      <c r="E170" s="22"/>
      <c r="F170" s="29" t="str">
        <f aca="false">IF(C170="","",IFERROR(INDEX(Produk!$J$2:$J$100,MATCH(C170,Produk!$A$2:$A$100,0)),"PRODUK?"))</f>
        <v/>
      </c>
      <c r="G170" s="29" t="str">
        <f aca="false">IF(A170="","",IF(COUNTIF(Anggota!$A$2:$A$2001,A170)=0,"TIDAK ADA","OK"))</f>
        <v/>
      </c>
    </row>
    <row r="171" customFormat="false" ht="15" hidden="false" customHeight="false" outlineLevel="0" collapsed="false">
      <c r="A171" s="21"/>
      <c r="B171" s="22"/>
      <c r="C171" s="21"/>
      <c r="D171" s="24"/>
      <c r="E171" s="22"/>
      <c r="F171" s="29" t="str">
        <f aca="false">IF(C171="","",IFERROR(INDEX(Produk!$J$2:$J$100,MATCH(C171,Produk!$A$2:$A$100,0)),"PRODUK?"))</f>
        <v/>
      </c>
      <c r="G171" s="29" t="str">
        <f aca="false">IF(A171="","",IF(COUNTIF(Anggota!$A$2:$A$2001,A171)=0,"TIDAK ADA","OK"))</f>
        <v/>
      </c>
    </row>
    <row r="172" customFormat="false" ht="15" hidden="false" customHeight="false" outlineLevel="0" collapsed="false">
      <c r="A172" s="21"/>
      <c r="B172" s="22"/>
      <c r="C172" s="21"/>
      <c r="D172" s="24"/>
      <c r="E172" s="22"/>
      <c r="F172" s="29" t="str">
        <f aca="false">IF(C172="","",IFERROR(INDEX(Produk!$J$2:$J$100,MATCH(C172,Produk!$A$2:$A$100,0)),"PRODUK?"))</f>
        <v/>
      </c>
      <c r="G172" s="29" t="str">
        <f aca="false">IF(A172="","",IF(COUNTIF(Anggota!$A$2:$A$2001,A172)=0,"TIDAK ADA","OK"))</f>
        <v/>
      </c>
    </row>
    <row r="173" customFormat="false" ht="15" hidden="false" customHeight="false" outlineLevel="0" collapsed="false">
      <c r="A173" s="21"/>
      <c r="B173" s="22"/>
      <c r="C173" s="21"/>
      <c r="D173" s="24"/>
      <c r="E173" s="22"/>
      <c r="F173" s="29" t="str">
        <f aca="false">IF(C173="","",IFERROR(INDEX(Produk!$J$2:$J$100,MATCH(C173,Produk!$A$2:$A$100,0)),"PRODUK?"))</f>
        <v/>
      </c>
      <c r="G173" s="29" t="str">
        <f aca="false">IF(A173="","",IF(COUNTIF(Anggota!$A$2:$A$2001,A173)=0,"TIDAK ADA","OK"))</f>
        <v/>
      </c>
    </row>
    <row r="174" customFormat="false" ht="15" hidden="false" customHeight="false" outlineLevel="0" collapsed="false">
      <c r="A174" s="21"/>
      <c r="B174" s="22"/>
      <c r="C174" s="21"/>
      <c r="D174" s="24"/>
      <c r="E174" s="22"/>
      <c r="F174" s="29" t="str">
        <f aca="false">IF(C174="","",IFERROR(INDEX(Produk!$J$2:$J$100,MATCH(C174,Produk!$A$2:$A$100,0)),"PRODUK?"))</f>
        <v/>
      </c>
      <c r="G174" s="29" t="str">
        <f aca="false">IF(A174="","",IF(COUNTIF(Anggota!$A$2:$A$2001,A174)=0,"TIDAK ADA","OK"))</f>
        <v/>
      </c>
    </row>
    <row r="175" customFormat="false" ht="15" hidden="false" customHeight="false" outlineLevel="0" collapsed="false">
      <c r="A175" s="21"/>
      <c r="B175" s="22"/>
      <c r="C175" s="21"/>
      <c r="D175" s="24"/>
      <c r="E175" s="22"/>
      <c r="F175" s="29" t="str">
        <f aca="false">IF(C175="","",IFERROR(INDEX(Produk!$J$2:$J$100,MATCH(C175,Produk!$A$2:$A$100,0)),"PRODUK?"))</f>
        <v/>
      </c>
      <c r="G175" s="29" t="str">
        <f aca="false">IF(A175="","",IF(COUNTIF(Anggota!$A$2:$A$2001,A175)=0,"TIDAK ADA","OK"))</f>
        <v/>
      </c>
    </row>
    <row r="176" customFormat="false" ht="15" hidden="false" customHeight="false" outlineLevel="0" collapsed="false">
      <c r="A176" s="21"/>
      <c r="B176" s="22"/>
      <c r="C176" s="21"/>
      <c r="D176" s="24"/>
      <c r="E176" s="22"/>
      <c r="F176" s="29" t="str">
        <f aca="false">IF(C176="","",IFERROR(INDEX(Produk!$J$2:$J$100,MATCH(C176,Produk!$A$2:$A$100,0)),"PRODUK?"))</f>
        <v/>
      </c>
      <c r="G176" s="29" t="str">
        <f aca="false">IF(A176="","",IF(COUNTIF(Anggota!$A$2:$A$2001,A176)=0,"TIDAK ADA","OK"))</f>
        <v/>
      </c>
    </row>
    <row r="177" customFormat="false" ht="15" hidden="false" customHeight="false" outlineLevel="0" collapsed="false">
      <c r="A177" s="21"/>
      <c r="B177" s="22"/>
      <c r="C177" s="21"/>
      <c r="D177" s="24"/>
      <c r="E177" s="22"/>
      <c r="F177" s="29" t="str">
        <f aca="false">IF(C177="","",IFERROR(INDEX(Produk!$J$2:$J$100,MATCH(C177,Produk!$A$2:$A$100,0)),"PRODUK?"))</f>
        <v/>
      </c>
      <c r="G177" s="29" t="str">
        <f aca="false">IF(A177="","",IF(COUNTIF(Anggota!$A$2:$A$2001,A177)=0,"TIDAK ADA","OK"))</f>
        <v/>
      </c>
    </row>
    <row r="178" customFormat="false" ht="15" hidden="false" customHeight="false" outlineLevel="0" collapsed="false">
      <c r="A178" s="21"/>
      <c r="B178" s="22"/>
      <c r="C178" s="21"/>
      <c r="D178" s="24"/>
      <c r="E178" s="22"/>
      <c r="F178" s="29" t="str">
        <f aca="false">IF(C178="","",IFERROR(INDEX(Produk!$J$2:$J$100,MATCH(C178,Produk!$A$2:$A$100,0)),"PRODUK?"))</f>
        <v/>
      </c>
      <c r="G178" s="29" t="str">
        <f aca="false">IF(A178="","",IF(COUNTIF(Anggota!$A$2:$A$2001,A178)=0,"TIDAK ADA","OK"))</f>
        <v/>
      </c>
    </row>
    <row r="179" customFormat="false" ht="15" hidden="false" customHeight="false" outlineLevel="0" collapsed="false">
      <c r="A179" s="21"/>
      <c r="B179" s="22"/>
      <c r="C179" s="21"/>
      <c r="D179" s="24"/>
      <c r="E179" s="22"/>
      <c r="F179" s="29" t="str">
        <f aca="false">IF(C179="","",IFERROR(INDEX(Produk!$J$2:$J$100,MATCH(C179,Produk!$A$2:$A$100,0)),"PRODUK?"))</f>
        <v/>
      </c>
      <c r="G179" s="29" t="str">
        <f aca="false">IF(A179="","",IF(COUNTIF(Anggota!$A$2:$A$2001,A179)=0,"TIDAK ADA","OK"))</f>
        <v/>
      </c>
    </row>
    <row r="180" customFormat="false" ht="15" hidden="false" customHeight="false" outlineLevel="0" collapsed="false">
      <c r="A180" s="21"/>
      <c r="B180" s="22"/>
      <c r="C180" s="21"/>
      <c r="D180" s="24"/>
      <c r="E180" s="22"/>
      <c r="F180" s="29" t="str">
        <f aca="false">IF(C180="","",IFERROR(INDEX(Produk!$J$2:$J$100,MATCH(C180,Produk!$A$2:$A$100,0)),"PRODUK?"))</f>
        <v/>
      </c>
      <c r="G180" s="29" t="str">
        <f aca="false">IF(A180="","",IF(COUNTIF(Anggota!$A$2:$A$2001,A180)=0,"TIDAK ADA","OK"))</f>
        <v/>
      </c>
    </row>
    <row r="181" customFormat="false" ht="15" hidden="false" customHeight="false" outlineLevel="0" collapsed="false">
      <c r="A181" s="21"/>
      <c r="B181" s="22"/>
      <c r="C181" s="21"/>
      <c r="D181" s="24"/>
      <c r="E181" s="22"/>
      <c r="F181" s="29" t="str">
        <f aca="false">IF(C181="","",IFERROR(INDEX(Produk!$J$2:$J$100,MATCH(C181,Produk!$A$2:$A$100,0)),"PRODUK?"))</f>
        <v/>
      </c>
      <c r="G181" s="29" t="str">
        <f aca="false">IF(A181="","",IF(COUNTIF(Anggota!$A$2:$A$2001,A181)=0,"TIDAK ADA","OK"))</f>
        <v/>
      </c>
    </row>
    <row r="182" customFormat="false" ht="15" hidden="false" customHeight="false" outlineLevel="0" collapsed="false">
      <c r="A182" s="21"/>
      <c r="B182" s="22"/>
      <c r="C182" s="21"/>
      <c r="D182" s="24"/>
      <c r="E182" s="22"/>
      <c r="F182" s="29" t="str">
        <f aca="false">IF(C182="","",IFERROR(INDEX(Produk!$J$2:$J$100,MATCH(C182,Produk!$A$2:$A$100,0)),"PRODUK?"))</f>
        <v/>
      </c>
      <c r="G182" s="29" t="str">
        <f aca="false">IF(A182="","",IF(COUNTIF(Anggota!$A$2:$A$2001,A182)=0,"TIDAK ADA","OK"))</f>
        <v/>
      </c>
    </row>
    <row r="183" customFormat="false" ht="15" hidden="false" customHeight="false" outlineLevel="0" collapsed="false">
      <c r="A183" s="21"/>
      <c r="B183" s="22"/>
      <c r="C183" s="21"/>
      <c r="D183" s="24"/>
      <c r="E183" s="22"/>
      <c r="F183" s="29" t="str">
        <f aca="false">IF(C183="","",IFERROR(INDEX(Produk!$J$2:$J$100,MATCH(C183,Produk!$A$2:$A$100,0)),"PRODUK?"))</f>
        <v/>
      </c>
      <c r="G183" s="29" t="str">
        <f aca="false">IF(A183="","",IF(COUNTIF(Anggota!$A$2:$A$2001,A183)=0,"TIDAK ADA","OK"))</f>
        <v/>
      </c>
    </row>
    <row r="184" customFormat="false" ht="15" hidden="false" customHeight="false" outlineLevel="0" collapsed="false">
      <c r="A184" s="21"/>
      <c r="B184" s="22"/>
      <c r="C184" s="21"/>
      <c r="D184" s="24"/>
      <c r="E184" s="22"/>
      <c r="F184" s="29" t="str">
        <f aca="false">IF(C184="","",IFERROR(INDEX(Produk!$J$2:$J$100,MATCH(C184,Produk!$A$2:$A$100,0)),"PRODUK?"))</f>
        <v/>
      </c>
      <c r="G184" s="29" t="str">
        <f aca="false">IF(A184="","",IF(COUNTIF(Anggota!$A$2:$A$2001,A184)=0,"TIDAK ADA","OK"))</f>
        <v/>
      </c>
    </row>
    <row r="185" customFormat="false" ht="15" hidden="false" customHeight="false" outlineLevel="0" collapsed="false">
      <c r="A185" s="21"/>
      <c r="B185" s="22"/>
      <c r="C185" s="21"/>
      <c r="D185" s="24"/>
      <c r="E185" s="22"/>
      <c r="F185" s="29" t="str">
        <f aca="false">IF(C185="","",IFERROR(INDEX(Produk!$J$2:$J$100,MATCH(C185,Produk!$A$2:$A$100,0)),"PRODUK?"))</f>
        <v/>
      </c>
      <c r="G185" s="29" t="str">
        <f aca="false">IF(A185="","",IF(COUNTIF(Anggota!$A$2:$A$2001,A185)=0,"TIDAK ADA","OK"))</f>
        <v/>
      </c>
    </row>
    <row r="186" customFormat="false" ht="15" hidden="false" customHeight="false" outlineLevel="0" collapsed="false">
      <c r="A186" s="21"/>
      <c r="B186" s="22"/>
      <c r="C186" s="21"/>
      <c r="D186" s="24"/>
      <c r="E186" s="22"/>
      <c r="F186" s="29" t="str">
        <f aca="false">IF(C186="","",IFERROR(INDEX(Produk!$J$2:$J$100,MATCH(C186,Produk!$A$2:$A$100,0)),"PRODUK?"))</f>
        <v/>
      </c>
      <c r="G186" s="29" t="str">
        <f aca="false">IF(A186="","",IF(COUNTIF(Anggota!$A$2:$A$2001,A186)=0,"TIDAK ADA","OK"))</f>
        <v/>
      </c>
    </row>
    <row r="187" customFormat="false" ht="15" hidden="false" customHeight="false" outlineLevel="0" collapsed="false">
      <c r="A187" s="21"/>
      <c r="B187" s="22"/>
      <c r="C187" s="21"/>
      <c r="D187" s="24"/>
      <c r="E187" s="22"/>
      <c r="F187" s="29" t="str">
        <f aca="false">IF(C187="","",IFERROR(INDEX(Produk!$J$2:$J$100,MATCH(C187,Produk!$A$2:$A$100,0)),"PRODUK?"))</f>
        <v/>
      </c>
      <c r="G187" s="29" t="str">
        <f aca="false">IF(A187="","",IF(COUNTIF(Anggota!$A$2:$A$2001,A187)=0,"TIDAK ADA","OK"))</f>
        <v/>
      </c>
    </row>
    <row r="188" customFormat="false" ht="15" hidden="false" customHeight="false" outlineLevel="0" collapsed="false">
      <c r="A188" s="21"/>
      <c r="B188" s="22"/>
      <c r="C188" s="21"/>
      <c r="D188" s="24"/>
      <c r="E188" s="22"/>
      <c r="F188" s="29" t="str">
        <f aca="false">IF(C188="","",IFERROR(INDEX(Produk!$J$2:$J$100,MATCH(C188,Produk!$A$2:$A$100,0)),"PRODUK?"))</f>
        <v/>
      </c>
      <c r="G188" s="29" t="str">
        <f aca="false">IF(A188="","",IF(COUNTIF(Anggota!$A$2:$A$2001,A188)=0,"TIDAK ADA","OK"))</f>
        <v/>
      </c>
    </row>
    <row r="189" customFormat="false" ht="15" hidden="false" customHeight="false" outlineLevel="0" collapsed="false">
      <c r="A189" s="21"/>
      <c r="B189" s="22"/>
      <c r="C189" s="21"/>
      <c r="D189" s="24"/>
      <c r="E189" s="22"/>
      <c r="F189" s="29" t="str">
        <f aca="false">IF(C189="","",IFERROR(INDEX(Produk!$J$2:$J$100,MATCH(C189,Produk!$A$2:$A$100,0)),"PRODUK?"))</f>
        <v/>
      </c>
      <c r="G189" s="29" t="str">
        <f aca="false">IF(A189="","",IF(COUNTIF(Anggota!$A$2:$A$2001,A189)=0,"TIDAK ADA","OK"))</f>
        <v/>
      </c>
    </row>
    <row r="190" customFormat="false" ht="15" hidden="false" customHeight="false" outlineLevel="0" collapsed="false">
      <c r="A190" s="21"/>
      <c r="B190" s="22"/>
      <c r="C190" s="21"/>
      <c r="D190" s="24"/>
      <c r="E190" s="22"/>
      <c r="F190" s="29" t="str">
        <f aca="false">IF(C190="","",IFERROR(INDEX(Produk!$J$2:$J$100,MATCH(C190,Produk!$A$2:$A$100,0)),"PRODUK?"))</f>
        <v/>
      </c>
      <c r="G190" s="29" t="str">
        <f aca="false">IF(A190="","",IF(COUNTIF(Anggota!$A$2:$A$2001,A190)=0,"TIDAK ADA","OK"))</f>
        <v/>
      </c>
    </row>
    <row r="191" customFormat="false" ht="15" hidden="false" customHeight="false" outlineLevel="0" collapsed="false">
      <c r="A191" s="21"/>
      <c r="B191" s="22"/>
      <c r="C191" s="21"/>
      <c r="D191" s="24"/>
      <c r="E191" s="22"/>
      <c r="F191" s="29" t="str">
        <f aca="false">IF(C191="","",IFERROR(INDEX(Produk!$J$2:$J$100,MATCH(C191,Produk!$A$2:$A$100,0)),"PRODUK?"))</f>
        <v/>
      </c>
      <c r="G191" s="29" t="str">
        <f aca="false">IF(A191="","",IF(COUNTIF(Anggota!$A$2:$A$2001,A191)=0,"TIDAK ADA","OK"))</f>
        <v/>
      </c>
    </row>
    <row r="192" customFormat="false" ht="15" hidden="false" customHeight="false" outlineLevel="0" collapsed="false">
      <c r="A192" s="21"/>
      <c r="B192" s="22"/>
      <c r="C192" s="21"/>
      <c r="D192" s="24"/>
      <c r="E192" s="22"/>
      <c r="F192" s="29" t="str">
        <f aca="false">IF(C192="","",IFERROR(INDEX(Produk!$J$2:$J$100,MATCH(C192,Produk!$A$2:$A$100,0)),"PRODUK?"))</f>
        <v/>
      </c>
      <c r="G192" s="29" t="str">
        <f aca="false">IF(A192="","",IF(COUNTIF(Anggota!$A$2:$A$2001,A192)=0,"TIDAK ADA","OK"))</f>
        <v/>
      </c>
    </row>
    <row r="193" customFormat="false" ht="15" hidden="false" customHeight="false" outlineLevel="0" collapsed="false">
      <c r="A193" s="21"/>
      <c r="B193" s="22"/>
      <c r="C193" s="21"/>
      <c r="D193" s="24"/>
      <c r="E193" s="22"/>
      <c r="F193" s="29" t="str">
        <f aca="false">IF(C193="","",IFERROR(INDEX(Produk!$J$2:$J$100,MATCH(C193,Produk!$A$2:$A$100,0)),"PRODUK?"))</f>
        <v/>
      </c>
      <c r="G193" s="29" t="str">
        <f aca="false">IF(A193="","",IF(COUNTIF(Anggota!$A$2:$A$2001,A193)=0,"TIDAK ADA","OK"))</f>
        <v/>
      </c>
    </row>
    <row r="194" customFormat="false" ht="15" hidden="false" customHeight="false" outlineLevel="0" collapsed="false">
      <c r="A194" s="21"/>
      <c r="B194" s="22"/>
      <c r="C194" s="21"/>
      <c r="D194" s="24"/>
      <c r="E194" s="22"/>
      <c r="F194" s="29" t="str">
        <f aca="false">IF(C194="","",IFERROR(INDEX(Produk!$J$2:$J$100,MATCH(C194,Produk!$A$2:$A$100,0)),"PRODUK?"))</f>
        <v/>
      </c>
      <c r="G194" s="29" t="str">
        <f aca="false">IF(A194="","",IF(COUNTIF(Anggota!$A$2:$A$2001,A194)=0,"TIDAK ADA","OK"))</f>
        <v/>
      </c>
    </row>
    <row r="195" customFormat="false" ht="15" hidden="false" customHeight="false" outlineLevel="0" collapsed="false">
      <c r="A195" s="21"/>
      <c r="B195" s="22"/>
      <c r="C195" s="21"/>
      <c r="D195" s="24"/>
      <c r="E195" s="22"/>
      <c r="F195" s="29" t="str">
        <f aca="false">IF(C195="","",IFERROR(INDEX(Produk!$J$2:$J$100,MATCH(C195,Produk!$A$2:$A$100,0)),"PRODUK?"))</f>
        <v/>
      </c>
      <c r="G195" s="29" t="str">
        <f aca="false">IF(A195="","",IF(COUNTIF(Anggota!$A$2:$A$2001,A195)=0,"TIDAK ADA","OK"))</f>
        <v/>
      </c>
    </row>
    <row r="196" customFormat="false" ht="15" hidden="false" customHeight="false" outlineLevel="0" collapsed="false">
      <c r="A196" s="21"/>
      <c r="B196" s="22"/>
      <c r="C196" s="21"/>
      <c r="D196" s="24"/>
      <c r="E196" s="22"/>
      <c r="F196" s="29" t="str">
        <f aca="false">IF(C196="","",IFERROR(INDEX(Produk!$J$2:$J$100,MATCH(C196,Produk!$A$2:$A$100,0)),"PRODUK?"))</f>
        <v/>
      </c>
      <c r="G196" s="29" t="str">
        <f aca="false">IF(A196="","",IF(COUNTIF(Anggota!$A$2:$A$2001,A196)=0,"TIDAK ADA","OK"))</f>
        <v/>
      </c>
    </row>
    <row r="197" customFormat="false" ht="15" hidden="false" customHeight="false" outlineLevel="0" collapsed="false">
      <c r="A197" s="21"/>
      <c r="B197" s="22"/>
      <c r="C197" s="21"/>
      <c r="D197" s="24"/>
      <c r="E197" s="22"/>
      <c r="F197" s="29" t="str">
        <f aca="false">IF(C197="","",IFERROR(INDEX(Produk!$J$2:$J$100,MATCH(C197,Produk!$A$2:$A$100,0)),"PRODUK?"))</f>
        <v/>
      </c>
      <c r="G197" s="29" t="str">
        <f aca="false">IF(A197="","",IF(COUNTIF(Anggota!$A$2:$A$2001,A197)=0,"TIDAK ADA","OK"))</f>
        <v/>
      </c>
    </row>
    <row r="198" customFormat="false" ht="15" hidden="false" customHeight="false" outlineLevel="0" collapsed="false">
      <c r="A198" s="21"/>
      <c r="B198" s="22"/>
      <c r="C198" s="21"/>
      <c r="D198" s="24"/>
      <c r="E198" s="22"/>
      <c r="F198" s="29" t="str">
        <f aca="false">IF(C198="","",IFERROR(INDEX(Produk!$J$2:$J$100,MATCH(C198,Produk!$A$2:$A$100,0)),"PRODUK?"))</f>
        <v/>
      </c>
      <c r="G198" s="29" t="str">
        <f aca="false">IF(A198="","",IF(COUNTIF(Anggota!$A$2:$A$2001,A198)=0,"TIDAK ADA","OK"))</f>
        <v/>
      </c>
    </row>
    <row r="199" customFormat="false" ht="15" hidden="false" customHeight="false" outlineLevel="0" collapsed="false">
      <c r="A199" s="21"/>
      <c r="B199" s="22"/>
      <c r="C199" s="21"/>
      <c r="D199" s="24"/>
      <c r="E199" s="22"/>
      <c r="F199" s="29" t="str">
        <f aca="false">IF(C199="","",IFERROR(INDEX(Produk!$J$2:$J$100,MATCH(C199,Produk!$A$2:$A$100,0)),"PRODUK?"))</f>
        <v/>
      </c>
      <c r="G199" s="29" t="str">
        <f aca="false">IF(A199="","",IF(COUNTIF(Anggota!$A$2:$A$2001,A199)=0,"TIDAK ADA","OK"))</f>
        <v/>
      </c>
    </row>
    <row r="200" customFormat="false" ht="15" hidden="false" customHeight="false" outlineLevel="0" collapsed="false">
      <c r="A200" s="21"/>
      <c r="B200" s="22"/>
      <c r="C200" s="21"/>
      <c r="D200" s="24"/>
      <c r="E200" s="22"/>
      <c r="F200" s="29" t="str">
        <f aca="false">IF(C200="","",IFERROR(INDEX(Produk!$J$2:$J$100,MATCH(C200,Produk!$A$2:$A$100,0)),"PRODUK?"))</f>
        <v/>
      </c>
      <c r="G200" s="29" t="str">
        <f aca="false">IF(A200="","",IF(COUNTIF(Anggota!$A$2:$A$2001,A200)=0,"TIDAK ADA","OK"))</f>
        <v/>
      </c>
    </row>
    <row r="201" customFormat="false" ht="15" hidden="false" customHeight="false" outlineLevel="0" collapsed="false">
      <c r="A201" s="21"/>
      <c r="B201" s="22"/>
      <c r="C201" s="21"/>
      <c r="D201" s="24"/>
      <c r="E201" s="22"/>
      <c r="F201" s="29" t="str">
        <f aca="false">IF(C201="","",IFERROR(INDEX(Produk!$J$2:$J$100,MATCH(C201,Produk!$A$2:$A$100,0)),"PRODUK?"))</f>
        <v/>
      </c>
      <c r="G201" s="29" t="str">
        <f aca="false">IF(A201="","",IF(COUNTIF(Anggota!$A$2:$A$2001,A201)=0,"TIDAK ADA","OK"))</f>
        <v/>
      </c>
    </row>
    <row r="202" customFormat="false" ht="15" hidden="false" customHeight="false" outlineLevel="0" collapsed="false">
      <c r="A202" s="21"/>
      <c r="B202" s="22"/>
      <c r="C202" s="21"/>
      <c r="D202" s="24"/>
      <c r="E202" s="22"/>
      <c r="F202" s="29" t="str">
        <f aca="false">IF(C202="","",IFERROR(INDEX(Produk!$J$2:$J$100,MATCH(C202,Produk!$A$2:$A$100,0)),"PRODUK?"))</f>
        <v/>
      </c>
      <c r="G202" s="29" t="str">
        <f aca="false">IF(A202="","",IF(COUNTIF(Anggota!$A$2:$A$2001,A202)=0,"TIDAK ADA","OK"))</f>
        <v/>
      </c>
    </row>
    <row r="203" customFormat="false" ht="15" hidden="false" customHeight="false" outlineLevel="0" collapsed="false">
      <c r="A203" s="21"/>
      <c r="B203" s="22"/>
      <c r="C203" s="21"/>
      <c r="D203" s="24"/>
      <c r="E203" s="22"/>
      <c r="F203" s="29" t="str">
        <f aca="false">IF(C203="","",IFERROR(INDEX(Produk!$J$2:$J$100,MATCH(C203,Produk!$A$2:$A$100,0)),"PRODUK?"))</f>
        <v/>
      </c>
      <c r="G203" s="29" t="str">
        <f aca="false">IF(A203="","",IF(COUNTIF(Anggota!$A$2:$A$2001,A203)=0,"TIDAK ADA","OK"))</f>
        <v/>
      </c>
    </row>
    <row r="204" customFormat="false" ht="15" hidden="false" customHeight="false" outlineLevel="0" collapsed="false">
      <c r="A204" s="21"/>
      <c r="B204" s="22"/>
      <c r="C204" s="21"/>
      <c r="D204" s="24"/>
      <c r="E204" s="22"/>
      <c r="F204" s="29" t="str">
        <f aca="false">IF(C204="","",IFERROR(INDEX(Produk!$J$2:$J$100,MATCH(C204,Produk!$A$2:$A$100,0)),"PRODUK?"))</f>
        <v/>
      </c>
      <c r="G204" s="29" t="str">
        <f aca="false">IF(A204="","",IF(COUNTIF(Anggota!$A$2:$A$2001,A204)=0,"TIDAK ADA","OK"))</f>
        <v/>
      </c>
    </row>
    <row r="205" customFormat="false" ht="15" hidden="false" customHeight="false" outlineLevel="0" collapsed="false">
      <c r="A205" s="21"/>
      <c r="B205" s="22"/>
      <c r="C205" s="21"/>
      <c r="D205" s="24"/>
      <c r="E205" s="22"/>
      <c r="F205" s="29" t="str">
        <f aca="false">IF(C205="","",IFERROR(INDEX(Produk!$J$2:$J$100,MATCH(C205,Produk!$A$2:$A$100,0)),"PRODUK?"))</f>
        <v/>
      </c>
      <c r="G205" s="29" t="str">
        <f aca="false">IF(A205="","",IF(COUNTIF(Anggota!$A$2:$A$2001,A205)=0,"TIDAK ADA","OK"))</f>
        <v/>
      </c>
    </row>
    <row r="206" customFormat="false" ht="15" hidden="false" customHeight="false" outlineLevel="0" collapsed="false">
      <c r="A206" s="21"/>
      <c r="B206" s="22"/>
      <c r="C206" s="21"/>
      <c r="D206" s="24"/>
      <c r="E206" s="22"/>
      <c r="F206" s="29" t="str">
        <f aca="false">IF(C206="","",IFERROR(INDEX(Produk!$J$2:$J$100,MATCH(C206,Produk!$A$2:$A$100,0)),"PRODUK?"))</f>
        <v/>
      </c>
      <c r="G206" s="29" t="str">
        <f aca="false">IF(A206="","",IF(COUNTIF(Anggota!$A$2:$A$2001,A206)=0,"TIDAK ADA","OK"))</f>
        <v/>
      </c>
    </row>
    <row r="207" customFormat="false" ht="15" hidden="false" customHeight="false" outlineLevel="0" collapsed="false">
      <c r="A207" s="21"/>
      <c r="B207" s="22"/>
      <c r="C207" s="21"/>
      <c r="D207" s="24"/>
      <c r="E207" s="22"/>
      <c r="F207" s="29" t="str">
        <f aca="false">IF(C207="","",IFERROR(INDEX(Produk!$J$2:$J$100,MATCH(C207,Produk!$A$2:$A$100,0)),"PRODUK?"))</f>
        <v/>
      </c>
      <c r="G207" s="29" t="str">
        <f aca="false">IF(A207="","",IF(COUNTIF(Anggota!$A$2:$A$2001,A207)=0,"TIDAK ADA","OK"))</f>
        <v/>
      </c>
    </row>
    <row r="208" customFormat="false" ht="15" hidden="false" customHeight="false" outlineLevel="0" collapsed="false">
      <c r="A208" s="21"/>
      <c r="B208" s="22"/>
      <c r="C208" s="21"/>
      <c r="D208" s="24"/>
      <c r="E208" s="22"/>
      <c r="F208" s="29" t="str">
        <f aca="false">IF(C208="","",IFERROR(INDEX(Produk!$J$2:$J$100,MATCH(C208,Produk!$A$2:$A$100,0)),"PRODUK?"))</f>
        <v/>
      </c>
      <c r="G208" s="29" t="str">
        <f aca="false">IF(A208="","",IF(COUNTIF(Anggota!$A$2:$A$2001,A208)=0,"TIDAK ADA","OK"))</f>
        <v/>
      </c>
    </row>
    <row r="209" customFormat="false" ht="15" hidden="false" customHeight="false" outlineLevel="0" collapsed="false">
      <c r="A209" s="21"/>
      <c r="B209" s="22"/>
      <c r="C209" s="21"/>
      <c r="D209" s="24"/>
      <c r="E209" s="22"/>
      <c r="F209" s="29" t="str">
        <f aca="false">IF(C209="","",IFERROR(INDEX(Produk!$J$2:$J$100,MATCH(C209,Produk!$A$2:$A$100,0)),"PRODUK?"))</f>
        <v/>
      </c>
      <c r="G209" s="29" t="str">
        <f aca="false">IF(A209="","",IF(COUNTIF(Anggota!$A$2:$A$2001,A209)=0,"TIDAK ADA","OK"))</f>
        <v/>
      </c>
    </row>
    <row r="210" customFormat="false" ht="15" hidden="false" customHeight="false" outlineLevel="0" collapsed="false">
      <c r="A210" s="21"/>
      <c r="B210" s="22"/>
      <c r="C210" s="21"/>
      <c r="D210" s="24"/>
      <c r="E210" s="22"/>
      <c r="F210" s="29" t="str">
        <f aca="false">IF(C210="","",IFERROR(INDEX(Produk!$J$2:$J$100,MATCH(C210,Produk!$A$2:$A$100,0)),"PRODUK?"))</f>
        <v/>
      </c>
      <c r="G210" s="29" t="str">
        <f aca="false">IF(A210="","",IF(COUNTIF(Anggota!$A$2:$A$2001,A210)=0,"TIDAK ADA","OK"))</f>
        <v/>
      </c>
    </row>
    <row r="211" customFormat="false" ht="15" hidden="false" customHeight="false" outlineLevel="0" collapsed="false">
      <c r="A211" s="21"/>
      <c r="B211" s="22"/>
      <c r="C211" s="21"/>
      <c r="D211" s="24"/>
      <c r="E211" s="22"/>
      <c r="F211" s="29" t="str">
        <f aca="false">IF(C211="","",IFERROR(INDEX(Produk!$J$2:$J$100,MATCH(C211,Produk!$A$2:$A$100,0)),"PRODUK?"))</f>
        <v/>
      </c>
      <c r="G211" s="29" t="str">
        <f aca="false">IF(A211="","",IF(COUNTIF(Anggota!$A$2:$A$2001,A211)=0,"TIDAK ADA","OK"))</f>
        <v/>
      </c>
    </row>
    <row r="212" customFormat="false" ht="15" hidden="false" customHeight="false" outlineLevel="0" collapsed="false">
      <c r="A212" s="21"/>
      <c r="B212" s="22"/>
      <c r="C212" s="21"/>
      <c r="D212" s="24"/>
      <c r="E212" s="22"/>
      <c r="F212" s="29" t="str">
        <f aca="false">IF(C212="","",IFERROR(INDEX(Produk!$J$2:$J$100,MATCH(C212,Produk!$A$2:$A$100,0)),"PRODUK?"))</f>
        <v/>
      </c>
      <c r="G212" s="29" t="str">
        <f aca="false">IF(A212="","",IF(COUNTIF(Anggota!$A$2:$A$2001,A212)=0,"TIDAK ADA","OK"))</f>
        <v/>
      </c>
    </row>
    <row r="213" customFormat="false" ht="15" hidden="false" customHeight="false" outlineLevel="0" collapsed="false">
      <c r="A213" s="21"/>
      <c r="B213" s="22"/>
      <c r="C213" s="21"/>
      <c r="D213" s="24"/>
      <c r="E213" s="22"/>
      <c r="F213" s="29" t="str">
        <f aca="false">IF(C213="","",IFERROR(INDEX(Produk!$J$2:$J$100,MATCH(C213,Produk!$A$2:$A$100,0)),"PRODUK?"))</f>
        <v/>
      </c>
      <c r="G213" s="29" t="str">
        <f aca="false">IF(A213="","",IF(COUNTIF(Anggota!$A$2:$A$2001,A213)=0,"TIDAK ADA","OK"))</f>
        <v/>
      </c>
    </row>
    <row r="214" customFormat="false" ht="15" hidden="false" customHeight="false" outlineLevel="0" collapsed="false">
      <c r="A214" s="21"/>
      <c r="B214" s="22"/>
      <c r="C214" s="21"/>
      <c r="D214" s="24"/>
      <c r="E214" s="22"/>
      <c r="F214" s="29" t="str">
        <f aca="false">IF(C214="","",IFERROR(INDEX(Produk!$J$2:$J$100,MATCH(C214,Produk!$A$2:$A$100,0)),"PRODUK?"))</f>
        <v/>
      </c>
      <c r="G214" s="29" t="str">
        <f aca="false">IF(A214="","",IF(COUNTIF(Anggota!$A$2:$A$2001,A214)=0,"TIDAK ADA","OK"))</f>
        <v/>
      </c>
    </row>
    <row r="215" customFormat="false" ht="15" hidden="false" customHeight="false" outlineLevel="0" collapsed="false">
      <c r="A215" s="21"/>
      <c r="B215" s="22"/>
      <c r="C215" s="21"/>
      <c r="D215" s="24"/>
      <c r="E215" s="22"/>
      <c r="F215" s="29" t="str">
        <f aca="false">IF(C215="","",IFERROR(INDEX(Produk!$J$2:$J$100,MATCH(C215,Produk!$A$2:$A$100,0)),"PRODUK?"))</f>
        <v/>
      </c>
      <c r="G215" s="29" t="str">
        <f aca="false">IF(A215="","",IF(COUNTIF(Anggota!$A$2:$A$2001,A215)=0,"TIDAK ADA","OK"))</f>
        <v/>
      </c>
    </row>
    <row r="216" customFormat="false" ht="15" hidden="false" customHeight="false" outlineLevel="0" collapsed="false">
      <c r="A216" s="21"/>
      <c r="B216" s="22"/>
      <c r="C216" s="21"/>
      <c r="D216" s="24"/>
      <c r="E216" s="22"/>
      <c r="F216" s="29" t="str">
        <f aca="false">IF(C216="","",IFERROR(INDEX(Produk!$J$2:$J$100,MATCH(C216,Produk!$A$2:$A$100,0)),"PRODUK?"))</f>
        <v/>
      </c>
      <c r="G216" s="29" t="str">
        <f aca="false">IF(A216="","",IF(COUNTIF(Anggota!$A$2:$A$2001,A216)=0,"TIDAK ADA","OK"))</f>
        <v/>
      </c>
    </row>
    <row r="217" customFormat="false" ht="15" hidden="false" customHeight="false" outlineLevel="0" collapsed="false">
      <c r="A217" s="21"/>
      <c r="B217" s="22"/>
      <c r="C217" s="21"/>
      <c r="D217" s="24"/>
      <c r="E217" s="22"/>
      <c r="F217" s="29" t="str">
        <f aca="false">IF(C217="","",IFERROR(INDEX(Produk!$J$2:$J$100,MATCH(C217,Produk!$A$2:$A$100,0)),"PRODUK?"))</f>
        <v/>
      </c>
      <c r="G217" s="29" t="str">
        <f aca="false">IF(A217="","",IF(COUNTIF(Anggota!$A$2:$A$2001,A217)=0,"TIDAK ADA","OK"))</f>
        <v/>
      </c>
    </row>
    <row r="218" customFormat="false" ht="15" hidden="false" customHeight="false" outlineLevel="0" collapsed="false">
      <c r="A218" s="21"/>
      <c r="B218" s="22"/>
      <c r="C218" s="21"/>
      <c r="D218" s="24"/>
      <c r="E218" s="22"/>
      <c r="F218" s="29" t="str">
        <f aca="false">IF(C218="","",IFERROR(INDEX(Produk!$J$2:$J$100,MATCH(C218,Produk!$A$2:$A$100,0)),"PRODUK?"))</f>
        <v/>
      </c>
      <c r="G218" s="29" t="str">
        <f aca="false">IF(A218="","",IF(COUNTIF(Anggota!$A$2:$A$2001,A218)=0,"TIDAK ADA","OK"))</f>
        <v/>
      </c>
    </row>
    <row r="219" customFormat="false" ht="15" hidden="false" customHeight="false" outlineLevel="0" collapsed="false">
      <c r="A219" s="21"/>
      <c r="B219" s="22"/>
      <c r="C219" s="21"/>
      <c r="D219" s="24"/>
      <c r="E219" s="22"/>
      <c r="F219" s="29" t="str">
        <f aca="false">IF(C219="","",IFERROR(INDEX(Produk!$J$2:$J$100,MATCH(C219,Produk!$A$2:$A$100,0)),"PRODUK?"))</f>
        <v/>
      </c>
      <c r="G219" s="29" t="str">
        <f aca="false">IF(A219="","",IF(COUNTIF(Anggota!$A$2:$A$2001,A219)=0,"TIDAK ADA","OK"))</f>
        <v/>
      </c>
    </row>
    <row r="220" customFormat="false" ht="15" hidden="false" customHeight="false" outlineLevel="0" collapsed="false">
      <c r="A220" s="21"/>
      <c r="B220" s="22"/>
      <c r="C220" s="21"/>
      <c r="D220" s="24"/>
      <c r="E220" s="22"/>
      <c r="F220" s="29" t="str">
        <f aca="false">IF(C220="","",IFERROR(INDEX(Produk!$J$2:$J$100,MATCH(C220,Produk!$A$2:$A$100,0)),"PRODUK?"))</f>
        <v/>
      </c>
      <c r="G220" s="29" t="str">
        <f aca="false">IF(A220="","",IF(COUNTIF(Anggota!$A$2:$A$2001,A220)=0,"TIDAK ADA","OK"))</f>
        <v/>
      </c>
    </row>
    <row r="221" customFormat="false" ht="15" hidden="false" customHeight="false" outlineLevel="0" collapsed="false">
      <c r="A221" s="21"/>
      <c r="B221" s="22"/>
      <c r="C221" s="21"/>
      <c r="D221" s="24"/>
      <c r="E221" s="22"/>
      <c r="F221" s="29" t="str">
        <f aca="false">IF(C221="","",IFERROR(INDEX(Produk!$J$2:$J$100,MATCH(C221,Produk!$A$2:$A$100,0)),"PRODUK?"))</f>
        <v/>
      </c>
      <c r="G221" s="29" t="str">
        <f aca="false">IF(A221="","",IF(COUNTIF(Anggota!$A$2:$A$2001,A221)=0,"TIDAK ADA","OK"))</f>
        <v/>
      </c>
    </row>
    <row r="222" customFormat="false" ht="15" hidden="false" customHeight="false" outlineLevel="0" collapsed="false">
      <c r="A222" s="21"/>
      <c r="B222" s="22"/>
      <c r="C222" s="21"/>
      <c r="D222" s="24"/>
      <c r="E222" s="22"/>
      <c r="F222" s="29" t="str">
        <f aca="false">IF(C222="","",IFERROR(INDEX(Produk!$J$2:$J$100,MATCH(C222,Produk!$A$2:$A$100,0)),"PRODUK?"))</f>
        <v/>
      </c>
      <c r="G222" s="29" t="str">
        <f aca="false">IF(A222="","",IF(COUNTIF(Anggota!$A$2:$A$2001,A222)=0,"TIDAK ADA","OK"))</f>
        <v/>
      </c>
    </row>
    <row r="223" customFormat="false" ht="15" hidden="false" customHeight="false" outlineLevel="0" collapsed="false">
      <c r="A223" s="21"/>
      <c r="B223" s="22"/>
      <c r="C223" s="21"/>
      <c r="D223" s="24"/>
      <c r="E223" s="22"/>
      <c r="F223" s="29" t="str">
        <f aca="false">IF(C223="","",IFERROR(INDEX(Produk!$J$2:$J$100,MATCH(C223,Produk!$A$2:$A$100,0)),"PRODUK?"))</f>
        <v/>
      </c>
      <c r="G223" s="29" t="str">
        <f aca="false">IF(A223="","",IF(COUNTIF(Anggota!$A$2:$A$2001,A223)=0,"TIDAK ADA","OK"))</f>
        <v/>
      </c>
    </row>
    <row r="224" customFormat="false" ht="15" hidden="false" customHeight="false" outlineLevel="0" collapsed="false">
      <c r="A224" s="21"/>
      <c r="B224" s="22"/>
      <c r="C224" s="21"/>
      <c r="D224" s="24"/>
      <c r="E224" s="22"/>
      <c r="F224" s="29" t="str">
        <f aca="false">IF(C224="","",IFERROR(INDEX(Produk!$J$2:$J$100,MATCH(C224,Produk!$A$2:$A$100,0)),"PRODUK?"))</f>
        <v/>
      </c>
      <c r="G224" s="29" t="str">
        <f aca="false">IF(A224="","",IF(COUNTIF(Anggota!$A$2:$A$2001,A224)=0,"TIDAK ADA","OK"))</f>
        <v/>
      </c>
    </row>
    <row r="225" customFormat="false" ht="15" hidden="false" customHeight="false" outlineLevel="0" collapsed="false">
      <c r="A225" s="21"/>
      <c r="B225" s="22"/>
      <c r="C225" s="21"/>
      <c r="D225" s="24"/>
      <c r="E225" s="22"/>
      <c r="F225" s="29" t="str">
        <f aca="false">IF(C225="","",IFERROR(INDEX(Produk!$J$2:$J$100,MATCH(C225,Produk!$A$2:$A$100,0)),"PRODUK?"))</f>
        <v/>
      </c>
      <c r="G225" s="29" t="str">
        <f aca="false">IF(A225="","",IF(COUNTIF(Anggota!$A$2:$A$2001,A225)=0,"TIDAK ADA","OK"))</f>
        <v/>
      </c>
    </row>
    <row r="226" customFormat="false" ht="15" hidden="false" customHeight="false" outlineLevel="0" collapsed="false">
      <c r="A226" s="21"/>
      <c r="B226" s="22"/>
      <c r="C226" s="21"/>
      <c r="D226" s="24"/>
      <c r="E226" s="22"/>
      <c r="F226" s="29" t="str">
        <f aca="false">IF(C226="","",IFERROR(INDEX(Produk!$J$2:$J$100,MATCH(C226,Produk!$A$2:$A$100,0)),"PRODUK?"))</f>
        <v/>
      </c>
      <c r="G226" s="29" t="str">
        <f aca="false">IF(A226="","",IF(COUNTIF(Anggota!$A$2:$A$2001,A226)=0,"TIDAK ADA","OK"))</f>
        <v/>
      </c>
    </row>
    <row r="227" customFormat="false" ht="15" hidden="false" customHeight="false" outlineLevel="0" collapsed="false">
      <c r="A227" s="21"/>
      <c r="B227" s="22"/>
      <c r="C227" s="21"/>
      <c r="D227" s="24"/>
      <c r="E227" s="22"/>
      <c r="F227" s="29" t="str">
        <f aca="false">IF(C227="","",IFERROR(INDEX(Produk!$J$2:$J$100,MATCH(C227,Produk!$A$2:$A$100,0)),"PRODUK?"))</f>
        <v/>
      </c>
      <c r="G227" s="29" t="str">
        <f aca="false">IF(A227="","",IF(COUNTIF(Anggota!$A$2:$A$2001,A227)=0,"TIDAK ADA","OK"))</f>
        <v/>
      </c>
    </row>
    <row r="228" customFormat="false" ht="15" hidden="false" customHeight="false" outlineLevel="0" collapsed="false">
      <c r="A228" s="21"/>
      <c r="B228" s="22"/>
      <c r="C228" s="21"/>
      <c r="D228" s="24"/>
      <c r="E228" s="22"/>
      <c r="F228" s="29" t="str">
        <f aca="false">IF(C228="","",IFERROR(INDEX(Produk!$J$2:$J$100,MATCH(C228,Produk!$A$2:$A$100,0)),"PRODUK?"))</f>
        <v/>
      </c>
      <c r="G228" s="29" t="str">
        <f aca="false">IF(A228="","",IF(COUNTIF(Anggota!$A$2:$A$2001,A228)=0,"TIDAK ADA","OK"))</f>
        <v/>
      </c>
    </row>
    <row r="229" customFormat="false" ht="15" hidden="false" customHeight="false" outlineLevel="0" collapsed="false">
      <c r="A229" s="21"/>
      <c r="B229" s="22"/>
      <c r="C229" s="21"/>
      <c r="D229" s="24"/>
      <c r="E229" s="22"/>
      <c r="F229" s="29" t="str">
        <f aca="false">IF(C229="","",IFERROR(INDEX(Produk!$J$2:$J$100,MATCH(C229,Produk!$A$2:$A$100,0)),"PRODUK?"))</f>
        <v/>
      </c>
      <c r="G229" s="29" t="str">
        <f aca="false">IF(A229="","",IF(COUNTIF(Anggota!$A$2:$A$2001,A229)=0,"TIDAK ADA","OK"))</f>
        <v/>
      </c>
    </row>
    <row r="230" customFormat="false" ht="15" hidden="false" customHeight="false" outlineLevel="0" collapsed="false">
      <c r="A230" s="21"/>
      <c r="B230" s="22"/>
      <c r="C230" s="21"/>
      <c r="D230" s="24"/>
      <c r="E230" s="22"/>
      <c r="F230" s="29" t="str">
        <f aca="false">IF(C230="","",IFERROR(INDEX(Produk!$J$2:$J$100,MATCH(C230,Produk!$A$2:$A$100,0)),"PRODUK?"))</f>
        <v/>
      </c>
      <c r="G230" s="29" t="str">
        <f aca="false">IF(A230="","",IF(COUNTIF(Anggota!$A$2:$A$2001,A230)=0,"TIDAK ADA","OK"))</f>
        <v/>
      </c>
    </row>
    <row r="231" customFormat="false" ht="15" hidden="false" customHeight="false" outlineLevel="0" collapsed="false">
      <c r="A231" s="21"/>
      <c r="B231" s="22"/>
      <c r="C231" s="21"/>
      <c r="D231" s="24"/>
      <c r="E231" s="22"/>
      <c r="F231" s="29" t="str">
        <f aca="false">IF(C231="","",IFERROR(INDEX(Produk!$J$2:$J$100,MATCH(C231,Produk!$A$2:$A$100,0)),"PRODUK?"))</f>
        <v/>
      </c>
      <c r="G231" s="29" t="str">
        <f aca="false">IF(A231="","",IF(COUNTIF(Anggota!$A$2:$A$2001,A231)=0,"TIDAK ADA","OK"))</f>
        <v/>
      </c>
    </row>
    <row r="232" customFormat="false" ht="15" hidden="false" customHeight="false" outlineLevel="0" collapsed="false">
      <c r="A232" s="21"/>
      <c r="B232" s="22"/>
      <c r="C232" s="21"/>
      <c r="D232" s="24"/>
      <c r="E232" s="22"/>
      <c r="F232" s="29" t="str">
        <f aca="false">IF(C232="","",IFERROR(INDEX(Produk!$J$2:$J$100,MATCH(C232,Produk!$A$2:$A$100,0)),"PRODUK?"))</f>
        <v/>
      </c>
      <c r="G232" s="29" t="str">
        <f aca="false">IF(A232="","",IF(COUNTIF(Anggota!$A$2:$A$2001,A232)=0,"TIDAK ADA","OK"))</f>
        <v/>
      </c>
    </row>
    <row r="233" customFormat="false" ht="15" hidden="false" customHeight="false" outlineLevel="0" collapsed="false">
      <c r="A233" s="21"/>
      <c r="B233" s="22"/>
      <c r="C233" s="21"/>
      <c r="D233" s="24"/>
      <c r="E233" s="22"/>
      <c r="F233" s="29" t="str">
        <f aca="false">IF(C233="","",IFERROR(INDEX(Produk!$J$2:$J$100,MATCH(C233,Produk!$A$2:$A$100,0)),"PRODUK?"))</f>
        <v/>
      </c>
      <c r="G233" s="29" t="str">
        <f aca="false">IF(A233="","",IF(COUNTIF(Anggota!$A$2:$A$2001,A233)=0,"TIDAK ADA","OK"))</f>
        <v/>
      </c>
    </row>
    <row r="234" customFormat="false" ht="15" hidden="false" customHeight="false" outlineLevel="0" collapsed="false">
      <c r="A234" s="21"/>
      <c r="B234" s="22"/>
      <c r="C234" s="21"/>
      <c r="D234" s="24"/>
      <c r="E234" s="22"/>
      <c r="F234" s="29" t="str">
        <f aca="false">IF(C234="","",IFERROR(INDEX(Produk!$J$2:$J$100,MATCH(C234,Produk!$A$2:$A$100,0)),"PRODUK?"))</f>
        <v/>
      </c>
      <c r="G234" s="29" t="str">
        <f aca="false">IF(A234="","",IF(COUNTIF(Anggota!$A$2:$A$2001,A234)=0,"TIDAK ADA","OK"))</f>
        <v/>
      </c>
    </row>
    <row r="235" customFormat="false" ht="15" hidden="false" customHeight="false" outlineLevel="0" collapsed="false">
      <c r="A235" s="21"/>
      <c r="B235" s="22"/>
      <c r="C235" s="21"/>
      <c r="D235" s="24"/>
      <c r="E235" s="22"/>
      <c r="F235" s="29" t="str">
        <f aca="false">IF(C235="","",IFERROR(INDEX(Produk!$J$2:$J$100,MATCH(C235,Produk!$A$2:$A$100,0)),"PRODUK?"))</f>
        <v/>
      </c>
      <c r="G235" s="29" t="str">
        <f aca="false">IF(A235="","",IF(COUNTIF(Anggota!$A$2:$A$2001,A235)=0,"TIDAK ADA","OK"))</f>
        <v/>
      </c>
    </row>
    <row r="236" customFormat="false" ht="15" hidden="false" customHeight="false" outlineLevel="0" collapsed="false">
      <c r="A236" s="21"/>
      <c r="B236" s="22"/>
      <c r="C236" s="21"/>
      <c r="D236" s="24"/>
      <c r="E236" s="22"/>
      <c r="F236" s="29" t="str">
        <f aca="false">IF(C236="","",IFERROR(INDEX(Produk!$J$2:$J$100,MATCH(C236,Produk!$A$2:$A$100,0)),"PRODUK?"))</f>
        <v/>
      </c>
      <c r="G236" s="29" t="str">
        <f aca="false">IF(A236="","",IF(COUNTIF(Anggota!$A$2:$A$2001,A236)=0,"TIDAK ADA","OK"))</f>
        <v/>
      </c>
    </row>
    <row r="237" customFormat="false" ht="15" hidden="false" customHeight="false" outlineLevel="0" collapsed="false">
      <c r="A237" s="21"/>
      <c r="B237" s="22"/>
      <c r="C237" s="21"/>
      <c r="D237" s="24"/>
      <c r="E237" s="22"/>
      <c r="F237" s="29" t="str">
        <f aca="false">IF(C237="","",IFERROR(INDEX(Produk!$J$2:$J$100,MATCH(C237,Produk!$A$2:$A$100,0)),"PRODUK?"))</f>
        <v/>
      </c>
      <c r="G237" s="29" t="str">
        <f aca="false">IF(A237="","",IF(COUNTIF(Anggota!$A$2:$A$2001,A237)=0,"TIDAK ADA","OK"))</f>
        <v/>
      </c>
    </row>
    <row r="238" customFormat="false" ht="15" hidden="false" customHeight="false" outlineLevel="0" collapsed="false">
      <c r="A238" s="21"/>
      <c r="B238" s="22"/>
      <c r="C238" s="21"/>
      <c r="D238" s="24"/>
      <c r="E238" s="22"/>
      <c r="F238" s="29" t="str">
        <f aca="false">IF(C238="","",IFERROR(INDEX(Produk!$J$2:$J$100,MATCH(C238,Produk!$A$2:$A$100,0)),"PRODUK?"))</f>
        <v/>
      </c>
      <c r="G238" s="29" t="str">
        <f aca="false">IF(A238="","",IF(COUNTIF(Anggota!$A$2:$A$2001,A238)=0,"TIDAK ADA","OK"))</f>
        <v/>
      </c>
    </row>
    <row r="239" customFormat="false" ht="15" hidden="false" customHeight="false" outlineLevel="0" collapsed="false">
      <c r="A239" s="21"/>
      <c r="B239" s="22"/>
      <c r="C239" s="21"/>
      <c r="D239" s="24"/>
      <c r="E239" s="22"/>
      <c r="F239" s="29" t="str">
        <f aca="false">IF(C239="","",IFERROR(INDEX(Produk!$J$2:$J$100,MATCH(C239,Produk!$A$2:$A$100,0)),"PRODUK?"))</f>
        <v/>
      </c>
      <c r="G239" s="29" t="str">
        <f aca="false">IF(A239="","",IF(COUNTIF(Anggota!$A$2:$A$2001,A239)=0,"TIDAK ADA","OK"))</f>
        <v/>
      </c>
    </row>
    <row r="240" customFormat="false" ht="15" hidden="false" customHeight="false" outlineLevel="0" collapsed="false">
      <c r="A240" s="21"/>
      <c r="B240" s="22"/>
      <c r="C240" s="21"/>
      <c r="D240" s="24"/>
      <c r="E240" s="22"/>
      <c r="F240" s="29" t="str">
        <f aca="false">IF(C240="","",IFERROR(INDEX(Produk!$J$2:$J$100,MATCH(C240,Produk!$A$2:$A$100,0)),"PRODUK?"))</f>
        <v/>
      </c>
      <c r="G240" s="29" t="str">
        <f aca="false">IF(A240="","",IF(COUNTIF(Anggota!$A$2:$A$2001,A240)=0,"TIDAK ADA","OK"))</f>
        <v/>
      </c>
    </row>
    <row r="241" customFormat="false" ht="15" hidden="false" customHeight="false" outlineLevel="0" collapsed="false">
      <c r="A241" s="21"/>
      <c r="B241" s="22"/>
      <c r="C241" s="21"/>
      <c r="D241" s="24"/>
      <c r="E241" s="22"/>
      <c r="F241" s="29" t="str">
        <f aca="false">IF(C241="","",IFERROR(INDEX(Produk!$J$2:$J$100,MATCH(C241,Produk!$A$2:$A$100,0)),"PRODUK?"))</f>
        <v/>
      </c>
      <c r="G241" s="29" t="str">
        <f aca="false">IF(A241="","",IF(COUNTIF(Anggota!$A$2:$A$2001,A241)=0,"TIDAK ADA","OK"))</f>
        <v/>
      </c>
    </row>
    <row r="242" customFormat="false" ht="15" hidden="false" customHeight="false" outlineLevel="0" collapsed="false">
      <c r="A242" s="21"/>
      <c r="B242" s="22"/>
      <c r="C242" s="21"/>
      <c r="D242" s="24"/>
      <c r="E242" s="22"/>
      <c r="F242" s="29" t="str">
        <f aca="false">IF(C242="","",IFERROR(INDEX(Produk!$J$2:$J$100,MATCH(C242,Produk!$A$2:$A$100,0)),"PRODUK?"))</f>
        <v/>
      </c>
      <c r="G242" s="29" t="str">
        <f aca="false">IF(A242="","",IF(COUNTIF(Anggota!$A$2:$A$2001,A242)=0,"TIDAK ADA","OK"))</f>
        <v/>
      </c>
    </row>
    <row r="243" customFormat="false" ht="15" hidden="false" customHeight="false" outlineLevel="0" collapsed="false">
      <c r="A243" s="21"/>
      <c r="B243" s="22"/>
      <c r="C243" s="21"/>
      <c r="D243" s="24"/>
      <c r="E243" s="22"/>
      <c r="F243" s="29" t="str">
        <f aca="false">IF(C243="","",IFERROR(INDEX(Produk!$J$2:$J$100,MATCH(C243,Produk!$A$2:$A$100,0)),"PRODUK?"))</f>
        <v/>
      </c>
      <c r="G243" s="29" t="str">
        <f aca="false">IF(A243="","",IF(COUNTIF(Anggota!$A$2:$A$2001,A243)=0,"TIDAK ADA","OK"))</f>
        <v/>
      </c>
    </row>
    <row r="244" customFormat="false" ht="15" hidden="false" customHeight="false" outlineLevel="0" collapsed="false">
      <c r="A244" s="21"/>
      <c r="B244" s="22"/>
      <c r="C244" s="21"/>
      <c r="D244" s="24"/>
      <c r="E244" s="22"/>
      <c r="F244" s="29" t="str">
        <f aca="false">IF(C244="","",IFERROR(INDEX(Produk!$J$2:$J$100,MATCH(C244,Produk!$A$2:$A$100,0)),"PRODUK?"))</f>
        <v/>
      </c>
      <c r="G244" s="29" t="str">
        <f aca="false">IF(A244="","",IF(COUNTIF(Anggota!$A$2:$A$2001,A244)=0,"TIDAK ADA","OK"))</f>
        <v/>
      </c>
    </row>
    <row r="245" customFormat="false" ht="15" hidden="false" customHeight="false" outlineLevel="0" collapsed="false">
      <c r="A245" s="21"/>
      <c r="B245" s="22"/>
      <c r="C245" s="21"/>
      <c r="D245" s="24"/>
      <c r="E245" s="22"/>
      <c r="F245" s="29" t="str">
        <f aca="false">IF(C245="","",IFERROR(INDEX(Produk!$J$2:$J$100,MATCH(C245,Produk!$A$2:$A$100,0)),"PRODUK?"))</f>
        <v/>
      </c>
      <c r="G245" s="29" t="str">
        <f aca="false">IF(A245="","",IF(COUNTIF(Anggota!$A$2:$A$2001,A245)=0,"TIDAK ADA","OK"))</f>
        <v/>
      </c>
    </row>
    <row r="246" customFormat="false" ht="15" hidden="false" customHeight="false" outlineLevel="0" collapsed="false">
      <c r="A246" s="21"/>
      <c r="B246" s="22"/>
      <c r="C246" s="21"/>
      <c r="D246" s="24"/>
      <c r="E246" s="22"/>
      <c r="F246" s="29" t="str">
        <f aca="false">IF(C246="","",IFERROR(INDEX(Produk!$J$2:$J$100,MATCH(C246,Produk!$A$2:$A$100,0)),"PRODUK?"))</f>
        <v/>
      </c>
      <c r="G246" s="29" t="str">
        <f aca="false">IF(A246="","",IF(COUNTIF(Anggota!$A$2:$A$2001,A246)=0,"TIDAK ADA","OK"))</f>
        <v/>
      </c>
    </row>
    <row r="247" customFormat="false" ht="15" hidden="false" customHeight="false" outlineLevel="0" collapsed="false">
      <c r="A247" s="21"/>
      <c r="B247" s="22"/>
      <c r="C247" s="21"/>
      <c r="D247" s="24"/>
      <c r="E247" s="22"/>
      <c r="F247" s="29" t="str">
        <f aca="false">IF(C247="","",IFERROR(INDEX(Produk!$J$2:$J$100,MATCH(C247,Produk!$A$2:$A$100,0)),"PRODUK?"))</f>
        <v/>
      </c>
      <c r="G247" s="29" t="str">
        <f aca="false">IF(A247="","",IF(COUNTIF(Anggota!$A$2:$A$2001,A247)=0,"TIDAK ADA","OK"))</f>
        <v/>
      </c>
    </row>
    <row r="248" customFormat="false" ht="15" hidden="false" customHeight="false" outlineLevel="0" collapsed="false">
      <c r="A248" s="21"/>
      <c r="B248" s="22"/>
      <c r="C248" s="21"/>
      <c r="D248" s="24"/>
      <c r="E248" s="22"/>
      <c r="F248" s="29" t="str">
        <f aca="false">IF(C248="","",IFERROR(INDEX(Produk!$J$2:$J$100,MATCH(C248,Produk!$A$2:$A$100,0)),"PRODUK?"))</f>
        <v/>
      </c>
      <c r="G248" s="29" t="str">
        <f aca="false">IF(A248="","",IF(COUNTIF(Anggota!$A$2:$A$2001,A248)=0,"TIDAK ADA","OK"))</f>
        <v/>
      </c>
    </row>
    <row r="249" customFormat="false" ht="15" hidden="false" customHeight="false" outlineLevel="0" collapsed="false">
      <c r="A249" s="21"/>
      <c r="B249" s="22"/>
      <c r="C249" s="21"/>
      <c r="D249" s="24"/>
      <c r="E249" s="22"/>
      <c r="F249" s="29" t="str">
        <f aca="false">IF(C249="","",IFERROR(INDEX(Produk!$J$2:$J$100,MATCH(C249,Produk!$A$2:$A$100,0)),"PRODUK?"))</f>
        <v/>
      </c>
      <c r="G249" s="29" t="str">
        <f aca="false">IF(A249="","",IF(COUNTIF(Anggota!$A$2:$A$2001,A249)=0,"TIDAK ADA","OK"))</f>
        <v/>
      </c>
    </row>
    <row r="250" customFormat="false" ht="15" hidden="false" customHeight="false" outlineLevel="0" collapsed="false">
      <c r="A250" s="21"/>
      <c r="B250" s="22"/>
      <c r="C250" s="21"/>
      <c r="D250" s="24"/>
      <c r="E250" s="22"/>
      <c r="F250" s="29" t="str">
        <f aca="false">IF(C250="","",IFERROR(INDEX(Produk!$J$2:$J$100,MATCH(C250,Produk!$A$2:$A$100,0)),"PRODUK?"))</f>
        <v/>
      </c>
      <c r="G250" s="29" t="str">
        <f aca="false">IF(A250="","",IF(COUNTIF(Anggota!$A$2:$A$2001,A250)=0,"TIDAK ADA","OK"))</f>
        <v/>
      </c>
    </row>
    <row r="251" customFormat="false" ht="15" hidden="false" customHeight="false" outlineLevel="0" collapsed="false">
      <c r="A251" s="21"/>
      <c r="B251" s="22"/>
      <c r="C251" s="21"/>
      <c r="D251" s="24"/>
      <c r="E251" s="22"/>
      <c r="F251" s="29" t="str">
        <f aca="false">IF(C251="","",IFERROR(INDEX(Produk!$J$2:$J$100,MATCH(C251,Produk!$A$2:$A$100,0)),"PRODUK?"))</f>
        <v/>
      </c>
      <c r="G251" s="29" t="str">
        <f aca="false">IF(A251="","",IF(COUNTIF(Anggota!$A$2:$A$2001,A251)=0,"TIDAK ADA","OK"))</f>
        <v/>
      </c>
    </row>
    <row r="252" customFormat="false" ht="15" hidden="false" customHeight="false" outlineLevel="0" collapsed="false">
      <c r="A252" s="21"/>
      <c r="B252" s="22"/>
      <c r="C252" s="21"/>
      <c r="D252" s="24"/>
      <c r="E252" s="22"/>
      <c r="F252" s="29" t="str">
        <f aca="false">IF(C252="","",IFERROR(INDEX(Produk!$J$2:$J$100,MATCH(C252,Produk!$A$2:$A$100,0)),"PRODUK?"))</f>
        <v/>
      </c>
      <c r="G252" s="29" t="str">
        <f aca="false">IF(A252="","",IF(COUNTIF(Anggota!$A$2:$A$2001,A252)=0,"TIDAK ADA","OK"))</f>
        <v/>
      </c>
    </row>
    <row r="253" customFormat="false" ht="15" hidden="false" customHeight="false" outlineLevel="0" collapsed="false">
      <c r="A253" s="21"/>
      <c r="B253" s="22"/>
      <c r="C253" s="21"/>
      <c r="D253" s="24"/>
      <c r="E253" s="22"/>
      <c r="F253" s="29" t="str">
        <f aca="false">IF(C253="","",IFERROR(INDEX(Produk!$J$2:$J$100,MATCH(C253,Produk!$A$2:$A$100,0)),"PRODUK?"))</f>
        <v/>
      </c>
      <c r="G253" s="29" t="str">
        <f aca="false">IF(A253="","",IF(COUNTIF(Anggota!$A$2:$A$2001,A253)=0,"TIDAK ADA","OK"))</f>
        <v/>
      </c>
    </row>
    <row r="254" customFormat="false" ht="15" hidden="false" customHeight="false" outlineLevel="0" collapsed="false">
      <c r="A254" s="21"/>
      <c r="B254" s="22"/>
      <c r="C254" s="21"/>
      <c r="D254" s="24"/>
      <c r="E254" s="22"/>
      <c r="F254" s="29" t="str">
        <f aca="false">IF(C254="","",IFERROR(INDEX(Produk!$J$2:$J$100,MATCH(C254,Produk!$A$2:$A$100,0)),"PRODUK?"))</f>
        <v/>
      </c>
      <c r="G254" s="29" t="str">
        <f aca="false">IF(A254="","",IF(COUNTIF(Anggota!$A$2:$A$2001,A254)=0,"TIDAK ADA","OK"))</f>
        <v/>
      </c>
    </row>
    <row r="255" customFormat="false" ht="15" hidden="false" customHeight="false" outlineLevel="0" collapsed="false">
      <c r="A255" s="21"/>
      <c r="B255" s="22"/>
      <c r="C255" s="21"/>
      <c r="D255" s="24"/>
      <c r="E255" s="22"/>
      <c r="F255" s="29" t="str">
        <f aca="false">IF(C255="","",IFERROR(INDEX(Produk!$J$2:$J$100,MATCH(C255,Produk!$A$2:$A$100,0)),"PRODUK?"))</f>
        <v/>
      </c>
      <c r="G255" s="29" t="str">
        <f aca="false">IF(A255="","",IF(COUNTIF(Anggota!$A$2:$A$2001,A255)=0,"TIDAK ADA","OK"))</f>
        <v/>
      </c>
    </row>
    <row r="256" customFormat="false" ht="15" hidden="false" customHeight="false" outlineLevel="0" collapsed="false">
      <c r="A256" s="21"/>
      <c r="B256" s="22"/>
      <c r="C256" s="21"/>
      <c r="D256" s="24"/>
      <c r="E256" s="22"/>
      <c r="F256" s="29" t="str">
        <f aca="false">IF(C256="","",IFERROR(INDEX(Produk!$J$2:$J$100,MATCH(C256,Produk!$A$2:$A$100,0)),"PRODUK?"))</f>
        <v/>
      </c>
      <c r="G256" s="29" t="str">
        <f aca="false">IF(A256="","",IF(COUNTIF(Anggota!$A$2:$A$2001,A256)=0,"TIDAK ADA","OK"))</f>
        <v/>
      </c>
    </row>
    <row r="257" customFormat="false" ht="15" hidden="false" customHeight="false" outlineLevel="0" collapsed="false">
      <c r="A257" s="21"/>
      <c r="B257" s="22"/>
      <c r="C257" s="21"/>
      <c r="D257" s="24"/>
      <c r="E257" s="22"/>
      <c r="F257" s="29" t="str">
        <f aca="false">IF(C257="","",IFERROR(INDEX(Produk!$J$2:$J$100,MATCH(C257,Produk!$A$2:$A$100,0)),"PRODUK?"))</f>
        <v/>
      </c>
      <c r="G257" s="29" t="str">
        <f aca="false">IF(A257="","",IF(COUNTIF(Anggota!$A$2:$A$2001,A257)=0,"TIDAK ADA","OK"))</f>
        <v/>
      </c>
    </row>
    <row r="258" customFormat="false" ht="15" hidden="false" customHeight="false" outlineLevel="0" collapsed="false">
      <c r="A258" s="21"/>
      <c r="B258" s="22"/>
      <c r="C258" s="21"/>
      <c r="D258" s="24"/>
      <c r="E258" s="22"/>
      <c r="F258" s="29" t="str">
        <f aca="false">IF(C258="","",IFERROR(INDEX(Produk!$J$2:$J$100,MATCH(C258,Produk!$A$2:$A$100,0)),"PRODUK?"))</f>
        <v/>
      </c>
      <c r="G258" s="29" t="str">
        <f aca="false">IF(A258="","",IF(COUNTIF(Anggota!$A$2:$A$2001,A258)=0,"TIDAK ADA","OK"))</f>
        <v/>
      </c>
    </row>
    <row r="259" customFormat="false" ht="15" hidden="false" customHeight="false" outlineLevel="0" collapsed="false">
      <c r="A259" s="21"/>
      <c r="B259" s="22"/>
      <c r="C259" s="21"/>
      <c r="D259" s="24"/>
      <c r="E259" s="22"/>
      <c r="F259" s="29" t="str">
        <f aca="false">IF(C259="","",IFERROR(INDEX(Produk!$J$2:$J$100,MATCH(C259,Produk!$A$2:$A$100,0)),"PRODUK?"))</f>
        <v/>
      </c>
      <c r="G259" s="29" t="str">
        <f aca="false">IF(A259="","",IF(COUNTIF(Anggota!$A$2:$A$2001,A259)=0,"TIDAK ADA","OK"))</f>
        <v/>
      </c>
    </row>
    <row r="260" customFormat="false" ht="15" hidden="false" customHeight="false" outlineLevel="0" collapsed="false">
      <c r="A260" s="21"/>
      <c r="B260" s="22"/>
      <c r="C260" s="21"/>
      <c r="D260" s="24"/>
      <c r="E260" s="22"/>
      <c r="F260" s="29" t="str">
        <f aca="false">IF(C260="","",IFERROR(INDEX(Produk!$J$2:$J$100,MATCH(C260,Produk!$A$2:$A$100,0)),"PRODUK?"))</f>
        <v/>
      </c>
      <c r="G260" s="29" t="str">
        <f aca="false">IF(A260="","",IF(COUNTIF(Anggota!$A$2:$A$2001,A260)=0,"TIDAK ADA","OK"))</f>
        <v/>
      </c>
    </row>
    <row r="261" customFormat="false" ht="15" hidden="false" customHeight="false" outlineLevel="0" collapsed="false">
      <c r="A261" s="21"/>
      <c r="B261" s="22"/>
      <c r="C261" s="21"/>
      <c r="D261" s="24"/>
      <c r="E261" s="22"/>
      <c r="F261" s="29" t="str">
        <f aca="false">IF(C261="","",IFERROR(INDEX(Produk!$J$2:$J$100,MATCH(C261,Produk!$A$2:$A$100,0)),"PRODUK?"))</f>
        <v/>
      </c>
      <c r="G261" s="29" t="str">
        <f aca="false">IF(A261="","",IF(COUNTIF(Anggota!$A$2:$A$2001,A261)=0,"TIDAK ADA","OK"))</f>
        <v/>
      </c>
    </row>
    <row r="262" customFormat="false" ht="15" hidden="false" customHeight="false" outlineLevel="0" collapsed="false">
      <c r="A262" s="21"/>
      <c r="B262" s="22"/>
      <c r="C262" s="21"/>
      <c r="D262" s="24"/>
      <c r="E262" s="22"/>
      <c r="F262" s="29" t="str">
        <f aca="false">IF(C262="","",IFERROR(INDEX(Produk!$J$2:$J$100,MATCH(C262,Produk!$A$2:$A$100,0)),"PRODUK?"))</f>
        <v/>
      </c>
      <c r="G262" s="29" t="str">
        <f aca="false">IF(A262="","",IF(COUNTIF(Anggota!$A$2:$A$2001,A262)=0,"TIDAK ADA","OK"))</f>
        <v/>
      </c>
    </row>
    <row r="263" customFormat="false" ht="15" hidden="false" customHeight="false" outlineLevel="0" collapsed="false">
      <c r="A263" s="21"/>
      <c r="B263" s="22"/>
      <c r="C263" s="21"/>
      <c r="D263" s="24"/>
      <c r="E263" s="22"/>
      <c r="F263" s="29" t="str">
        <f aca="false">IF(C263="","",IFERROR(INDEX(Produk!$J$2:$J$100,MATCH(C263,Produk!$A$2:$A$100,0)),"PRODUK?"))</f>
        <v/>
      </c>
      <c r="G263" s="29" t="str">
        <f aca="false">IF(A263="","",IF(COUNTIF(Anggota!$A$2:$A$2001,A263)=0,"TIDAK ADA","OK"))</f>
        <v/>
      </c>
    </row>
    <row r="264" customFormat="false" ht="15" hidden="false" customHeight="false" outlineLevel="0" collapsed="false">
      <c r="A264" s="21"/>
      <c r="B264" s="22"/>
      <c r="C264" s="21"/>
      <c r="D264" s="24"/>
      <c r="E264" s="22"/>
      <c r="F264" s="29" t="str">
        <f aca="false">IF(C264="","",IFERROR(INDEX(Produk!$J$2:$J$100,MATCH(C264,Produk!$A$2:$A$100,0)),"PRODUK?"))</f>
        <v/>
      </c>
      <c r="G264" s="29" t="str">
        <f aca="false">IF(A264="","",IF(COUNTIF(Anggota!$A$2:$A$2001,A264)=0,"TIDAK ADA","OK"))</f>
        <v/>
      </c>
    </row>
    <row r="265" customFormat="false" ht="15" hidden="false" customHeight="false" outlineLevel="0" collapsed="false">
      <c r="A265" s="21"/>
      <c r="B265" s="22"/>
      <c r="C265" s="21"/>
      <c r="D265" s="24"/>
      <c r="E265" s="22"/>
      <c r="F265" s="29" t="str">
        <f aca="false">IF(C265="","",IFERROR(INDEX(Produk!$J$2:$J$100,MATCH(C265,Produk!$A$2:$A$100,0)),"PRODUK?"))</f>
        <v/>
      </c>
      <c r="G265" s="29" t="str">
        <f aca="false">IF(A265="","",IF(COUNTIF(Anggota!$A$2:$A$2001,A265)=0,"TIDAK ADA","OK"))</f>
        <v/>
      </c>
    </row>
    <row r="266" customFormat="false" ht="15" hidden="false" customHeight="false" outlineLevel="0" collapsed="false">
      <c r="A266" s="21"/>
      <c r="B266" s="22"/>
      <c r="C266" s="21"/>
      <c r="D266" s="24"/>
      <c r="E266" s="22"/>
      <c r="F266" s="29" t="str">
        <f aca="false">IF(C266="","",IFERROR(INDEX(Produk!$J$2:$J$100,MATCH(C266,Produk!$A$2:$A$100,0)),"PRODUK?"))</f>
        <v/>
      </c>
      <c r="G266" s="29" t="str">
        <f aca="false">IF(A266="","",IF(COUNTIF(Anggota!$A$2:$A$2001,A266)=0,"TIDAK ADA","OK"))</f>
        <v/>
      </c>
    </row>
    <row r="267" customFormat="false" ht="15" hidden="false" customHeight="false" outlineLevel="0" collapsed="false">
      <c r="A267" s="21"/>
      <c r="B267" s="22"/>
      <c r="C267" s="21"/>
      <c r="D267" s="24"/>
      <c r="E267" s="22"/>
      <c r="F267" s="29" t="str">
        <f aca="false">IF(C267="","",IFERROR(INDEX(Produk!$J$2:$J$100,MATCH(C267,Produk!$A$2:$A$100,0)),"PRODUK?"))</f>
        <v/>
      </c>
      <c r="G267" s="29" t="str">
        <f aca="false">IF(A267="","",IF(COUNTIF(Anggota!$A$2:$A$2001,A267)=0,"TIDAK ADA","OK"))</f>
        <v/>
      </c>
    </row>
    <row r="268" customFormat="false" ht="15" hidden="false" customHeight="false" outlineLevel="0" collapsed="false">
      <c r="A268" s="21"/>
      <c r="B268" s="22"/>
      <c r="C268" s="21"/>
      <c r="D268" s="24"/>
      <c r="E268" s="22"/>
      <c r="F268" s="29" t="str">
        <f aca="false">IF(C268="","",IFERROR(INDEX(Produk!$J$2:$J$100,MATCH(C268,Produk!$A$2:$A$100,0)),"PRODUK?"))</f>
        <v/>
      </c>
      <c r="G268" s="29" t="str">
        <f aca="false">IF(A268="","",IF(COUNTIF(Anggota!$A$2:$A$2001,A268)=0,"TIDAK ADA","OK"))</f>
        <v/>
      </c>
    </row>
    <row r="269" customFormat="false" ht="15" hidden="false" customHeight="false" outlineLevel="0" collapsed="false">
      <c r="A269" s="21"/>
      <c r="B269" s="22"/>
      <c r="C269" s="21"/>
      <c r="D269" s="24"/>
      <c r="E269" s="22"/>
      <c r="F269" s="29" t="str">
        <f aca="false">IF(C269="","",IFERROR(INDEX(Produk!$J$2:$J$100,MATCH(C269,Produk!$A$2:$A$100,0)),"PRODUK?"))</f>
        <v/>
      </c>
      <c r="G269" s="29" t="str">
        <f aca="false">IF(A269="","",IF(COUNTIF(Anggota!$A$2:$A$2001,A269)=0,"TIDAK ADA","OK"))</f>
        <v/>
      </c>
    </row>
    <row r="270" customFormat="false" ht="15" hidden="false" customHeight="false" outlineLevel="0" collapsed="false">
      <c r="A270" s="21"/>
      <c r="B270" s="22"/>
      <c r="C270" s="21"/>
      <c r="D270" s="24"/>
      <c r="E270" s="22"/>
      <c r="F270" s="29" t="str">
        <f aca="false">IF(C270="","",IFERROR(INDEX(Produk!$J$2:$J$100,MATCH(C270,Produk!$A$2:$A$100,0)),"PRODUK?"))</f>
        <v/>
      </c>
      <c r="G270" s="29" t="str">
        <f aca="false">IF(A270="","",IF(COUNTIF(Anggota!$A$2:$A$2001,A270)=0,"TIDAK ADA","OK"))</f>
        <v/>
      </c>
    </row>
    <row r="271" customFormat="false" ht="15" hidden="false" customHeight="false" outlineLevel="0" collapsed="false">
      <c r="A271" s="21"/>
      <c r="B271" s="22"/>
      <c r="C271" s="21"/>
      <c r="D271" s="24"/>
      <c r="E271" s="22"/>
      <c r="F271" s="29" t="str">
        <f aca="false">IF(C271="","",IFERROR(INDEX(Produk!$J$2:$J$100,MATCH(C271,Produk!$A$2:$A$100,0)),"PRODUK?"))</f>
        <v/>
      </c>
      <c r="G271" s="29" t="str">
        <f aca="false">IF(A271="","",IF(COUNTIF(Anggota!$A$2:$A$2001,A271)=0,"TIDAK ADA","OK"))</f>
        <v/>
      </c>
    </row>
    <row r="272" customFormat="false" ht="15" hidden="false" customHeight="false" outlineLevel="0" collapsed="false">
      <c r="A272" s="21"/>
      <c r="B272" s="22"/>
      <c r="C272" s="21"/>
      <c r="D272" s="24"/>
      <c r="E272" s="22"/>
      <c r="F272" s="29" t="str">
        <f aca="false">IF(C272="","",IFERROR(INDEX(Produk!$J$2:$J$100,MATCH(C272,Produk!$A$2:$A$100,0)),"PRODUK?"))</f>
        <v/>
      </c>
      <c r="G272" s="29" t="str">
        <f aca="false">IF(A272="","",IF(COUNTIF(Anggota!$A$2:$A$2001,A272)=0,"TIDAK ADA","OK"))</f>
        <v/>
      </c>
    </row>
    <row r="273" customFormat="false" ht="15" hidden="false" customHeight="false" outlineLevel="0" collapsed="false">
      <c r="A273" s="21"/>
      <c r="B273" s="22"/>
      <c r="C273" s="21"/>
      <c r="D273" s="24"/>
      <c r="E273" s="22"/>
      <c r="F273" s="29" t="str">
        <f aca="false">IF(C273="","",IFERROR(INDEX(Produk!$J$2:$J$100,MATCH(C273,Produk!$A$2:$A$100,0)),"PRODUK?"))</f>
        <v/>
      </c>
      <c r="G273" s="29" t="str">
        <f aca="false">IF(A273="","",IF(COUNTIF(Anggota!$A$2:$A$2001,A273)=0,"TIDAK ADA","OK"))</f>
        <v/>
      </c>
    </row>
    <row r="274" customFormat="false" ht="15" hidden="false" customHeight="false" outlineLevel="0" collapsed="false">
      <c r="A274" s="21"/>
      <c r="B274" s="22"/>
      <c r="C274" s="21"/>
      <c r="D274" s="24"/>
      <c r="E274" s="22"/>
      <c r="F274" s="29" t="str">
        <f aca="false">IF(C274="","",IFERROR(INDEX(Produk!$J$2:$J$100,MATCH(C274,Produk!$A$2:$A$100,0)),"PRODUK?"))</f>
        <v/>
      </c>
      <c r="G274" s="29" t="str">
        <f aca="false">IF(A274="","",IF(COUNTIF(Anggota!$A$2:$A$2001,A274)=0,"TIDAK ADA","OK"))</f>
        <v/>
      </c>
    </row>
    <row r="275" customFormat="false" ht="15" hidden="false" customHeight="false" outlineLevel="0" collapsed="false">
      <c r="A275" s="21"/>
      <c r="B275" s="22"/>
      <c r="C275" s="21"/>
      <c r="D275" s="24"/>
      <c r="E275" s="22"/>
      <c r="F275" s="29" t="str">
        <f aca="false">IF(C275="","",IFERROR(INDEX(Produk!$J$2:$J$100,MATCH(C275,Produk!$A$2:$A$100,0)),"PRODUK?"))</f>
        <v/>
      </c>
      <c r="G275" s="29" t="str">
        <f aca="false">IF(A275="","",IF(COUNTIF(Anggota!$A$2:$A$2001,A275)=0,"TIDAK ADA","OK"))</f>
        <v/>
      </c>
    </row>
    <row r="276" customFormat="false" ht="15" hidden="false" customHeight="false" outlineLevel="0" collapsed="false">
      <c r="A276" s="21"/>
      <c r="B276" s="22"/>
      <c r="C276" s="21"/>
      <c r="D276" s="24"/>
      <c r="E276" s="22"/>
      <c r="F276" s="29" t="str">
        <f aca="false">IF(C276="","",IFERROR(INDEX(Produk!$J$2:$J$100,MATCH(C276,Produk!$A$2:$A$100,0)),"PRODUK?"))</f>
        <v/>
      </c>
      <c r="G276" s="29" t="str">
        <f aca="false">IF(A276="","",IF(COUNTIF(Anggota!$A$2:$A$2001,A276)=0,"TIDAK ADA","OK"))</f>
        <v/>
      </c>
    </row>
    <row r="277" customFormat="false" ht="15" hidden="false" customHeight="false" outlineLevel="0" collapsed="false">
      <c r="A277" s="21"/>
      <c r="B277" s="22"/>
      <c r="C277" s="21"/>
      <c r="D277" s="24"/>
      <c r="E277" s="22"/>
      <c r="F277" s="29" t="str">
        <f aca="false">IF(C277="","",IFERROR(INDEX(Produk!$J$2:$J$100,MATCH(C277,Produk!$A$2:$A$100,0)),"PRODUK?"))</f>
        <v/>
      </c>
      <c r="G277" s="29" t="str">
        <f aca="false">IF(A277="","",IF(COUNTIF(Anggota!$A$2:$A$2001,A277)=0,"TIDAK ADA","OK"))</f>
        <v/>
      </c>
    </row>
    <row r="278" customFormat="false" ht="15" hidden="false" customHeight="false" outlineLevel="0" collapsed="false">
      <c r="A278" s="21"/>
      <c r="B278" s="22"/>
      <c r="C278" s="21"/>
      <c r="D278" s="24"/>
      <c r="E278" s="22"/>
      <c r="F278" s="29" t="str">
        <f aca="false">IF(C278="","",IFERROR(INDEX(Produk!$J$2:$J$100,MATCH(C278,Produk!$A$2:$A$100,0)),"PRODUK?"))</f>
        <v/>
      </c>
      <c r="G278" s="29" t="str">
        <f aca="false">IF(A278="","",IF(COUNTIF(Anggota!$A$2:$A$2001,A278)=0,"TIDAK ADA","OK"))</f>
        <v/>
      </c>
    </row>
    <row r="279" customFormat="false" ht="15" hidden="false" customHeight="false" outlineLevel="0" collapsed="false">
      <c r="A279" s="21"/>
      <c r="B279" s="22"/>
      <c r="C279" s="21"/>
      <c r="D279" s="24"/>
      <c r="E279" s="22"/>
      <c r="F279" s="29" t="str">
        <f aca="false">IF(C279="","",IFERROR(INDEX(Produk!$J$2:$J$100,MATCH(C279,Produk!$A$2:$A$100,0)),"PRODUK?"))</f>
        <v/>
      </c>
      <c r="G279" s="29" t="str">
        <f aca="false">IF(A279="","",IF(COUNTIF(Anggota!$A$2:$A$2001,A279)=0,"TIDAK ADA","OK"))</f>
        <v/>
      </c>
    </row>
    <row r="280" customFormat="false" ht="15" hidden="false" customHeight="false" outlineLevel="0" collapsed="false">
      <c r="A280" s="21"/>
      <c r="B280" s="22"/>
      <c r="C280" s="21"/>
      <c r="D280" s="24"/>
      <c r="E280" s="22"/>
      <c r="F280" s="29" t="str">
        <f aca="false">IF(C280="","",IFERROR(INDEX(Produk!$J$2:$J$100,MATCH(C280,Produk!$A$2:$A$100,0)),"PRODUK?"))</f>
        <v/>
      </c>
      <c r="G280" s="29" t="str">
        <f aca="false">IF(A280="","",IF(COUNTIF(Anggota!$A$2:$A$2001,A280)=0,"TIDAK ADA","OK"))</f>
        <v/>
      </c>
    </row>
    <row r="281" customFormat="false" ht="15" hidden="false" customHeight="false" outlineLevel="0" collapsed="false">
      <c r="A281" s="21"/>
      <c r="B281" s="22"/>
      <c r="C281" s="21"/>
      <c r="D281" s="24"/>
      <c r="E281" s="22"/>
      <c r="F281" s="29" t="str">
        <f aca="false">IF(C281="","",IFERROR(INDEX(Produk!$J$2:$J$100,MATCH(C281,Produk!$A$2:$A$100,0)),"PRODUK?"))</f>
        <v/>
      </c>
      <c r="G281" s="29" t="str">
        <f aca="false">IF(A281="","",IF(COUNTIF(Anggota!$A$2:$A$2001,A281)=0,"TIDAK ADA","OK"))</f>
        <v/>
      </c>
    </row>
    <row r="282" customFormat="false" ht="15" hidden="false" customHeight="false" outlineLevel="0" collapsed="false">
      <c r="A282" s="21"/>
      <c r="B282" s="22"/>
      <c r="C282" s="21"/>
      <c r="D282" s="24"/>
      <c r="E282" s="22"/>
      <c r="F282" s="29" t="str">
        <f aca="false">IF(C282="","",IFERROR(INDEX(Produk!$J$2:$J$100,MATCH(C282,Produk!$A$2:$A$100,0)),"PRODUK?"))</f>
        <v/>
      </c>
      <c r="G282" s="29" t="str">
        <f aca="false">IF(A282="","",IF(COUNTIF(Anggota!$A$2:$A$2001,A282)=0,"TIDAK ADA","OK"))</f>
        <v/>
      </c>
    </row>
    <row r="283" customFormat="false" ht="15" hidden="false" customHeight="false" outlineLevel="0" collapsed="false">
      <c r="A283" s="21"/>
      <c r="B283" s="22"/>
      <c r="C283" s="21"/>
      <c r="D283" s="24"/>
      <c r="E283" s="22"/>
      <c r="F283" s="29" t="str">
        <f aca="false">IF(C283="","",IFERROR(INDEX(Produk!$J$2:$J$100,MATCH(C283,Produk!$A$2:$A$100,0)),"PRODUK?"))</f>
        <v/>
      </c>
      <c r="G283" s="29" t="str">
        <f aca="false">IF(A283="","",IF(COUNTIF(Anggota!$A$2:$A$2001,A283)=0,"TIDAK ADA","OK"))</f>
        <v/>
      </c>
    </row>
    <row r="284" customFormat="false" ht="15" hidden="false" customHeight="false" outlineLevel="0" collapsed="false">
      <c r="A284" s="21"/>
      <c r="B284" s="22"/>
      <c r="C284" s="21"/>
      <c r="D284" s="24"/>
      <c r="E284" s="22"/>
      <c r="F284" s="29" t="str">
        <f aca="false">IF(C284="","",IFERROR(INDEX(Produk!$J$2:$J$100,MATCH(C284,Produk!$A$2:$A$100,0)),"PRODUK?"))</f>
        <v/>
      </c>
      <c r="G284" s="29" t="str">
        <f aca="false">IF(A284="","",IF(COUNTIF(Anggota!$A$2:$A$2001,A284)=0,"TIDAK ADA","OK"))</f>
        <v/>
      </c>
    </row>
    <row r="285" customFormat="false" ht="15" hidden="false" customHeight="false" outlineLevel="0" collapsed="false">
      <c r="A285" s="21"/>
      <c r="B285" s="22"/>
      <c r="C285" s="21"/>
      <c r="D285" s="24"/>
      <c r="E285" s="22"/>
      <c r="F285" s="29" t="str">
        <f aca="false">IF(C285="","",IFERROR(INDEX(Produk!$J$2:$J$100,MATCH(C285,Produk!$A$2:$A$100,0)),"PRODUK?"))</f>
        <v/>
      </c>
      <c r="G285" s="29" t="str">
        <f aca="false">IF(A285="","",IF(COUNTIF(Anggota!$A$2:$A$2001,A285)=0,"TIDAK ADA","OK"))</f>
        <v/>
      </c>
    </row>
    <row r="286" customFormat="false" ht="15" hidden="false" customHeight="false" outlineLevel="0" collapsed="false">
      <c r="A286" s="21"/>
      <c r="B286" s="22"/>
      <c r="C286" s="21"/>
      <c r="D286" s="24"/>
      <c r="E286" s="22"/>
      <c r="F286" s="29" t="str">
        <f aca="false">IF(C286="","",IFERROR(INDEX(Produk!$J$2:$J$100,MATCH(C286,Produk!$A$2:$A$100,0)),"PRODUK?"))</f>
        <v/>
      </c>
      <c r="G286" s="29" t="str">
        <f aca="false">IF(A286="","",IF(COUNTIF(Anggota!$A$2:$A$2001,A286)=0,"TIDAK ADA","OK"))</f>
        <v/>
      </c>
    </row>
    <row r="287" customFormat="false" ht="15" hidden="false" customHeight="false" outlineLevel="0" collapsed="false">
      <c r="A287" s="21"/>
      <c r="B287" s="22"/>
      <c r="C287" s="21"/>
      <c r="D287" s="24"/>
      <c r="E287" s="22"/>
      <c r="F287" s="29" t="str">
        <f aca="false">IF(C287="","",IFERROR(INDEX(Produk!$J$2:$J$100,MATCH(C287,Produk!$A$2:$A$100,0)),"PRODUK?"))</f>
        <v/>
      </c>
      <c r="G287" s="29" t="str">
        <f aca="false">IF(A287="","",IF(COUNTIF(Anggota!$A$2:$A$2001,A287)=0,"TIDAK ADA","OK"))</f>
        <v/>
      </c>
    </row>
    <row r="288" customFormat="false" ht="15" hidden="false" customHeight="false" outlineLevel="0" collapsed="false">
      <c r="A288" s="21"/>
      <c r="B288" s="22"/>
      <c r="C288" s="21"/>
      <c r="D288" s="24"/>
      <c r="E288" s="22"/>
      <c r="F288" s="29" t="str">
        <f aca="false">IF(C288="","",IFERROR(INDEX(Produk!$J$2:$J$100,MATCH(C288,Produk!$A$2:$A$100,0)),"PRODUK?"))</f>
        <v/>
      </c>
      <c r="G288" s="29" t="str">
        <f aca="false">IF(A288="","",IF(COUNTIF(Anggota!$A$2:$A$2001,A288)=0,"TIDAK ADA","OK"))</f>
        <v/>
      </c>
    </row>
    <row r="289" customFormat="false" ht="15" hidden="false" customHeight="false" outlineLevel="0" collapsed="false">
      <c r="A289" s="21"/>
      <c r="B289" s="22"/>
      <c r="C289" s="21"/>
      <c r="D289" s="24"/>
      <c r="E289" s="22"/>
      <c r="F289" s="29" t="str">
        <f aca="false">IF(C289="","",IFERROR(INDEX(Produk!$J$2:$J$100,MATCH(C289,Produk!$A$2:$A$100,0)),"PRODUK?"))</f>
        <v/>
      </c>
      <c r="G289" s="29" t="str">
        <f aca="false">IF(A289="","",IF(COUNTIF(Anggota!$A$2:$A$2001,A289)=0,"TIDAK ADA","OK"))</f>
        <v/>
      </c>
    </row>
    <row r="290" customFormat="false" ht="15" hidden="false" customHeight="false" outlineLevel="0" collapsed="false">
      <c r="A290" s="21"/>
      <c r="B290" s="22"/>
      <c r="C290" s="21"/>
      <c r="D290" s="24"/>
      <c r="E290" s="22"/>
      <c r="F290" s="29" t="str">
        <f aca="false">IF(C290="","",IFERROR(INDEX(Produk!$J$2:$J$100,MATCH(C290,Produk!$A$2:$A$100,0)),"PRODUK?"))</f>
        <v/>
      </c>
      <c r="G290" s="29" t="str">
        <f aca="false">IF(A290="","",IF(COUNTIF(Anggota!$A$2:$A$2001,A290)=0,"TIDAK ADA","OK"))</f>
        <v/>
      </c>
    </row>
    <row r="291" customFormat="false" ht="15" hidden="false" customHeight="false" outlineLevel="0" collapsed="false">
      <c r="A291" s="21"/>
      <c r="B291" s="22"/>
      <c r="C291" s="21"/>
      <c r="D291" s="24"/>
      <c r="E291" s="22"/>
      <c r="F291" s="29" t="str">
        <f aca="false">IF(C291="","",IFERROR(INDEX(Produk!$J$2:$J$100,MATCH(C291,Produk!$A$2:$A$100,0)),"PRODUK?"))</f>
        <v/>
      </c>
      <c r="G291" s="29" t="str">
        <f aca="false">IF(A291="","",IF(COUNTIF(Anggota!$A$2:$A$2001,A291)=0,"TIDAK ADA","OK"))</f>
        <v/>
      </c>
    </row>
    <row r="292" customFormat="false" ht="15" hidden="false" customHeight="false" outlineLevel="0" collapsed="false">
      <c r="A292" s="21"/>
      <c r="B292" s="22"/>
      <c r="C292" s="21"/>
      <c r="D292" s="24"/>
      <c r="E292" s="22"/>
      <c r="F292" s="29" t="str">
        <f aca="false">IF(C292="","",IFERROR(INDEX(Produk!$J$2:$J$100,MATCH(C292,Produk!$A$2:$A$100,0)),"PRODUK?"))</f>
        <v/>
      </c>
      <c r="G292" s="29" t="str">
        <f aca="false">IF(A292="","",IF(COUNTIF(Anggota!$A$2:$A$2001,A292)=0,"TIDAK ADA","OK"))</f>
        <v/>
      </c>
    </row>
    <row r="293" customFormat="false" ht="15" hidden="false" customHeight="false" outlineLevel="0" collapsed="false">
      <c r="A293" s="21"/>
      <c r="B293" s="22"/>
      <c r="C293" s="21"/>
      <c r="D293" s="24"/>
      <c r="E293" s="22"/>
      <c r="F293" s="29" t="str">
        <f aca="false">IF(C293="","",IFERROR(INDEX(Produk!$J$2:$J$100,MATCH(C293,Produk!$A$2:$A$100,0)),"PRODUK?"))</f>
        <v/>
      </c>
      <c r="G293" s="29" t="str">
        <f aca="false">IF(A293="","",IF(COUNTIF(Anggota!$A$2:$A$2001,A293)=0,"TIDAK ADA","OK"))</f>
        <v/>
      </c>
    </row>
    <row r="294" customFormat="false" ht="15" hidden="false" customHeight="false" outlineLevel="0" collapsed="false">
      <c r="A294" s="21"/>
      <c r="B294" s="22"/>
      <c r="C294" s="21"/>
      <c r="D294" s="24"/>
      <c r="E294" s="22"/>
      <c r="F294" s="29" t="str">
        <f aca="false">IF(C294="","",IFERROR(INDEX(Produk!$J$2:$J$100,MATCH(C294,Produk!$A$2:$A$100,0)),"PRODUK?"))</f>
        <v/>
      </c>
      <c r="G294" s="29" t="str">
        <f aca="false">IF(A294="","",IF(COUNTIF(Anggota!$A$2:$A$2001,A294)=0,"TIDAK ADA","OK"))</f>
        <v/>
      </c>
    </row>
    <row r="295" customFormat="false" ht="15" hidden="false" customHeight="false" outlineLevel="0" collapsed="false">
      <c r="A295" s="21"/>
      <c r="B295" s="22"/>
      <c r="C295" s="21"/>
      <c r="D295" s="24"/>
      <c r="E295" s="22"/>
      <c r="F295" s="29" t="str">
        <f aca="false">IF(C295="","",IFERROR(INDEX(Produk!$J$2:$J$100,MATCH(C295,Produk!$A$2:$A$100,0)),"PRODUK?"))</f>
        <v/>
      </c>
      <c r="G295" s="29" t="str">
        <f aca="false">IF(A295="","",IF(COUNTIF(Anggota!$A$2:$A$2001,A295)=0,"TIDAK ADA","OK"))</f>
        <v/>
      </c>
    </row>
    <row r="296" customFormat="false" ht="15" hidden="false" customHeight="false" outlineLevel="0" collapsed="false">
      <c r="A296" s="21"/>
      <c r="B296" s="22"/>
      <c r="C296" s="21"/>
      <c r="D296" s="24"/>
      <c r="E296" s="22"/>
      <c r="F296" s="29" t="str">
        <f aca="false">IF(C296="","",IFERROR(INDEX(Produk!$J$2:$J$100,MATCH(C296,Produk!$A$2:$A$100,0)),"PRODUK?"))</f>
        <v/>
      </c>
      <c r="G296" s="29" t="str">
        <f aca="false">IF(A296="","",IF(COUNTIF(Anggota!$A$2:$A$2001,A296)=0,"TIDAK ADA","OK"))</f>
        <v/>
      </c>
    </row>
    <row r="297" customFormat="false" ht="15" hidden="false" customHeight="false" outlineLevel="0" collapsed="false">
      <c r="A297" s="21"/>
      <c r="B297" s="22"/>
      <c r="C297" s="21"/>
      <c r="D297" s="24"/>
      <c r="E297" s="22"/>
      <c r="F297" s="29" t="str">
        <f aca="false">IF(C297="","",IFERROR(INDEX(Produk!$J$2:$J$100,MATCH(C297,Produk!$A$2:$A$100,0)),"PRODUK?"))</f>
        <v/>
      </c>
      <c r="G297" s="29" t="str">
        <f aca="false">IF(A297="","",IF(COUNTIF(Anggota!$A$2:$A$2001,A297)=0,"TIDAK ADA","OK"))</f>
        <v/>
      </c>
    </row>
    <row r="298" customFormat="false" ht="15" hidden="false" customHeight="false" outlineLevel="0" collapsed="false">
      <c r="A298" s="21"/>
      <c r="B298" s="22"/>
      <c r="C298" s="21"/>
      <c r="D298" s="24"/>
      <c r="E298" s="22"/>
      <c r="F298" s="29" t="str">
        <f aca="false">IF(C298="","",IFERROR(INDEX(Produk!$J$2:$J$100,MATCH(C298,Produk!$A$2:$A$100,0)),"PRODUK?"))</f>
        <v/>
      </c>
      <c r="G298" s="29" t="str">
        <f aca="false">IF(A298="","",IF(COUNTIF(Anggota!$A$2:$A$2001,A298)=0,"TIDAK ADA","OK"))</f>
        <v/>
      </c>
    </row>
    <row r="299" customFormat="false" ht="15" hidden="false" customHeight="false" outlineLevel="0" collapsed="false">
      <c r="A299" s="21"/>
      <c r="B299" s="22"/>
      <c r="C299" s="21"/>
      <c r="D299" s="24"/>
      <c r="E299" s="22"/>
      <c r="F299" s="29" t="str">
        <f aca="false">IF(C299="","",IFERROR(INDEX(Produk!$J$2:$J$100,MATCH(C299,Produk!$A$2:$A$100,0)),"PRODUK?"))</f>
        <v/>
      </c>
      <c r="G299" s="29" t="str">
        <f aca="false">IF(A299="","",IF(COUNTIF(Anggota!$A$2:$A$2001,A299)=0,"TIDAK ADA","OK"))</f>
        <v/>
      </c>
    </row>
    <row r="300" customFormat="false" ht="15" hidden="false" customHeight="false" outlineLevel="0" collapsed="false">
      <c r="A300" s="21"/>
      <c r="B300" s="22"/>
      <c r="C300" s="21"/>
      <c r="D300" s="24"/>
      <c r="E300" s="22"/>
      <c r="F300" s="29" t="str">
        <f aca="false">IF(C300="","",IFERROR(INDEX(Produk!$J$2:$J$100,MATCH(C300,Produk!$A$2:$A$100,0)),"PRODUK?"))</f>
        <v/>
      </c>
      <c r="G300" s="29" t="str">
        <f aca="false">IF(A300="","",IF(COUNTIF(Anggota!$A$2:$A$2001,A300)=0,"TIDAK ADA","OK"))</f>
        <v/>
      </c>
    </row>
    <row r="301" customFormat="false" ht="15" hidden="false" customHeight="false" outlineLevel="0" collapsed="false">
      <c r="A301" s="21"/>
      <c r="B301" s="22"/>
      <c r="C301" s="21"/>
      <c r="D301" s="24"/>
      <c r="E301" s="22"/>
      <c r="F301" s="29" t="str">
        <f aca="false">IF(C301="","",IFERROR(INDEX(Produk!$J$2:$J$100,MATCH(C301,Produk!$A$2:$A$100,0)),"PRODUK?"))</f>
        <v/>
      </c>
      <c r="G301" s="29" t="str">
        <f aca="false">IF(A301="","",IF(COUNTIF(Anggota!$A$2:$A$2001,A301)=0,"TIDAK ADA","OK"))</f>
        <v/>
      </c>
    </row>
    <row r="302" customFormat="false" ht="15" hidden="false" customHeight="false" outlineLevel="0" collapsed="false">
      <c r="A302" s="21"/>
      <c r="B302" s="22"/>
      <c r="C302" s="21"/>
      <c r="D302" s="24"/>
      <c r="E302" s="22"/>
      <c r="F302" s="29" t="str">
        <f aca="false">IF(C302="","",IFERROR(INDEX(Produk!$J$2:$J$100,MATCH(C302,Produk!$A$2:$A$100,0)),"PRODUK?"))</f>
        <v/>
      </c>
      <c r="G302" s="29" t="str">
        <f aca="false">IF(A302="","",IF(COUNTIF(Anggota!$A$2:$A$2001,A302)=0,"TIDAK ADA","OK"))</f>
        <v/>
      </c>
    </row>
    <row r="303" customFormat="false" ht="15" hidden="false" customHeight="false" outlineLevel="0" collapsed="false">
      <c r="A303" s="21"/>
      <c r="B303" s="22"/>
      <c r="C303" s="21"/>
      <c r="D303" s="24"/>
      <c r="E303" s="22"/>
      <c r="F303" s="29" t="str">
        <f aca="false">IF(C303="","",IFERROR(INDEX(Produk!$J$2:$J$100,MATCH(C303,Produk!$A$2:$A$100,0)),"PRODUK?"))</f>
        <v/>
      </c>
      <c r="G303" s="29" t="str">
        <f aca="false">IF(A303="","",IF(COUNTIF(Anggota!$A$2:$A$2001,A303)=0,"TIDAK ADA","OK"))</f>
        <v/>
      </c>
    </row>
    <row r="304" customFormat="false" ht="15" hidden="false" customHeight="false" outlineLevel="0" collapsed="false">
      <c r="A304" s="21"/>
      <c r="B304" s="22"/>
      <c r="C304" s="21"/>
      <c r="D304" s="24"/>
      <c r="E304" s="22"/>
      <c r="F304" s="29" t="str">
        <f aca="false">IF(C304="","",IFERROR(INDEX(Produk!$J$2:$J$100,MATCH(C304,Produk!$A$2:$A$100,0)),"PRODUK?"))</f>
        <v/>
      </c>
      <c r="G304" s="29" t="str">
        <f aca="false">IF(A304="","",IF(COUNTIF(Anggota!$A$2:$A$2001,A304)=0,"TIDAK ADA","OK"))</f>
        <v/>
      </c>
    </row>
    <row r="305" customFormat="false" ht="15" hidden="false" customHeight="false" outlineLevel="0" collapsed="false">
      <c r="A305" s="21"/>
      <c r="B305" s="22"/>
      <c r="C305" s="21"/>
      <c r="D305" s="24"/>
      <c r="E305" s="22"/>
      <c r="F305" s="29" t="str">
        <f aca="false">IF(C305="","",IFERROR(INDEX(Produk!$J$2:$J$100,MATCH(C305,Produk!$A$2:$A$100,0)),"PRODUK?"))</f>
        <v/>
      </c>
      <c r="G305" s="29" t="str">
        <f aca="false">IF(A305="","",IF(COUNTIF(Anggota!$A$2:$A$2001,A305)=0,"TIDAK ADA","OK"))</f>
        <v/>
      </c>
    </row>
    <row r="306" customFormat="false" ht="15" hidden="false" customHeight="false" outlineLevel="0" collapsed="false">
      <c r="A306" s="21"/>
      <c r="B306" s="22"/>
      <c r="C306" s="21"/>
      <c r="D306" s="24"/>
      <c r="E306" s="22"/>
      <c r="F306" s="29" t="str">
        <f aca="false">IF(C306="","",IFERROR(INDEX(Produk!$J$2:$J$100,MATCH(C306,Produk!$A$2:$A$100,0)),"PRODUK?"))</f>
        <v/>
      </c>
      <c r="G306" s="29" t="str">
        <f aca="false">IF(A306="","",IF(COUNTIF(Anggota!$A$2:$A$2001,A306)=0,"TIDAK ADA","OK"))</f>
        <v/>
      </c>
    </row>
    <row r="307" customFormat="false" ht="15" hidden="false" customHeight="false" outlineLevel="0" collapsed="false">
      <c r="A307" s="21"/>
      <c r="B307" s="22"/>
      <c r="C307" s="21"/>
      <c r="D307" s="24"/>
      <c r="E307" s="22"/>
      <c r="F307" s="29" t="str">
        <f aca="false">IF(C307="","",IFERROR(INDEX(Produk!$J$2:$J$100,MATCH(C307,Produk!$A$2:$A$100,0)),"PRODUK?"))</f>
        <v/>
      </c>
      <c r="G307" s="29" t="str">
        <f aca="false">IF(A307="","",IF(COUNTIF(Anggota!$A$2:$A$2001,A307)=0,"TIDAK ADA","OK"))</f>
        <v/>
      </c>
    </row>
    <row r="308" customFormat="false" ht="15" hidden="false" customHeight="false" outlineLevel="0" collapsed="false">
      <c r="A308" s="21"/>
      <c r="B308" s="22"/>
      <c r="C308" s="21"/>
      <c r="D308" s="24"/>
      <c r="E308" s="22"/>
      <c r="F308" s="29" t="str">
        <f aca="false">IF(C308="","",IFERROR(INDEX(Produk!$J$2:$J$100,MATCH(C308,Produk!$A$2:$A$100,0)),"PRODUK?"))</f>
        <v/>
      </c>
      <c r="G308" s="29" t="str">
        <f aca="false">IF(A308="","",IF(COUNTIF(Anggota!$A$2:$A$2001,A308)=0,"TIDAK ADA","OK"))</f>
        <v/>
      </c>
    </row>
    <row r="309" customFormat="false" ht="15" hidden="false" customHeight="false" outlineLevel="0" collapsed="false">
      <c r="A309" s="21"/>
      <c r="B309" s="22"/>
      <c r="C309" s="21"/>
      <c r="D309" s="24"/>
      <c r="E309" s="22"/>
      <c r="F309" s="29" t="str">
        <f aca="false">IF(C309="","",IFERROR(INDEX(Produk!$J$2:$J$100,MATCH(C309,Produk!$A$2:$A$100,0)),"PRODUK?"))</f>
        <v/>
      </c>
      <c r="G309" s="29" t="str">
        <f aca="false">IF(A309="","",IF(COUNTIF(Anggota!$A$2:$A$2001,A309)=0,"TIDAK ADA","OK"))</f>
        <v/>
      </c>
    </row>
    <row r="310" customFormat="false" ht="15" hidden="false" customHeight="false" outlineLevel="0" collapsed="false">
      <c r="A310" s="21"/>
      <c r="B310" s="22"/>
      <c r="C310" s="21"/>
      <c r="D310" s="24"/>
      <c r="E310" s="22"/>
      <c r="F310" s="29" t="str">
        <f aca="false">IF(C310="","",IFERROR(INDEX(Produk!$J$2:$J$100,MATCH(C310,Produk!$A$2:$A$100,0)),"PRODUK?"))</f>
        <v/>
      </c>
      <c r="G310" s="29" t="str">
        <f aca="false">IF(A310="","",IF(COUNTIF(Anggota!$A$2:$A$2001,A310)=0,"TIDAK ADA","OK"))</f>
        <v/>
      </c>
    </row>
    <row r="311" customFormat="false" ht="15" hidden="false" customHeight="false" outlineLevel="0" collapsed="false">
      <c r="A311" s="21"/>
      <c r="B311" s="22"/>
      <c r="C311" s="21"/>
      <c r="D311" s="24"/>
      <c r="E311" s="22"/>
      <c r="F311" s="29" t="str">
        <f aca="false">IF(C311="","",IFERROR(INDEX(Produk!$J$2:$J$100,MATCH(C311,Produk!$A$2:$A$100,0)),"PRODUK?"))</f>
        <v/>
      </c>
      <c r="G311" s="29" t="str">
        <f aca="false">IF(A311="","",IF(COUNTIF(Anggota!$A$2:$A$2001,A311)=0,"TIDAK ADA","OK"))</f>
        <v/>
      </c>
    </row>
    <row r="312" customFormat="false" ht="15" hidden="false" customHeight="false" outlineLevel="0" collapsed="false">
      <c r="A312" s="21"/>
      <c r="B312" s="22"/>
      <c r="C312" s="21"/>
      <c r="D312" s="24"/>
      <c r="E312" s="22"/>
      <c r="F312" s="29" t="str">
        <f aca="false">IF(C312="","",IFERROR(INDEX(Produk!$J$2:$J$100,MATCH(C312,Produk!$A$2:$A$100,0)),"PRODUK?"))</f>
        <v/>
      </c>
      <c r="G312" s="29" t="str">
        <f aca="false">IF(A312="","",IF(COUNTIF(Anggota!$A$2:$A$2001,A312)=0,"TIDAK ADA","OK"))</f>
        <v/>
      </c>
    </row>
    <row r="313" customFormat="false" ht="15" hidden="false" customHeight="false" outlineLevel="0" collapsed="false">
      <c r="A313" s="21"/>
      <c r="B313" s="22"/>
      <c r="C313" s="21"/>
      <c r="D313" s="24"/>
      <c r="E313" s="22"/>
      <c r="F313" s="29" t="str">
        <f aca="false">IF(C313="","",IFERROR(INDEX(Produk!$J$2:$J$100,MATCH(C313,Produk!$A$2:$A$100,0)),"PRODUK?"))</f>
        <v/>
      </c>
      <c r="G313" s="29" t="str">
        <f aca="false">IF(A313="","",IF(COUNTIF(Anggota!$A$2:$A$2001,A313)=0,"TIDAK ADA","OK"))</f>
        <v/>
      </c>
    </row>
    <row r="314" customFormat="false" ht="15" hidden="false" customHeight="false" outlineLevel="0" collapsed="false">
      <c r="A314" s="21"/>
      <c r="B314" s="22"/>
      <c r="C314" s="21"/>
      <c r="D314" s="24"/>
      <c r="E314" s="22"/>
      <c r="F314" s="29" t="str">
        <f aca="false">IF(C314="","",IFERROR(INDEX(Produk!$J$2:$J$100,MATCH(C314,Produk!$A$2:$A$100,0)),"PRODUK?"))</f>
        <v/>
      </c>
      <c r="G314" s="29" t="str">
        <f aca="false">IF(A314="","",IF(COUNTIF(Anggota!$A$2:$A$2001,A314)=0,"TIDAK ADA","OK"))</f>
        <v/>
      </c>
    </row>
    <row r="315" customFormat="false" ht="15" hidden="false" customHeight="false" outlineLevel="0" collapsed="false">
      <c r="A315" s="21"/>
      <c r="B315" s="22"/>
      <c r="C315" s="21"/>
      <c r="D315" s="24"/>
      <c r="E315" s="22"/>
      <c r="F315" s="29" t="str">
        <f aca="false">IF(C315="","",IFERROR(INDEX(Produk!$J$2:$J$100,MATCH(C315,Produk!$A$2:$A$100,0)),"PRODUK?"))</f>
        <v/>
      </c>
      <c r="G315" s="29" t="str">
        <f aca="false">IF(A315="","",IF(COUNTIF(Anggota!$A$2:$A$2001,A315)=0,"TIDAK ADA","OK"))</f>
        <v/>
      </c>
    </row>
    <row r="316" customFormat="false" ht="15" hidden="false" customHeight="false" outlineLevel="0" collapsed="false">
      <c r="A316" s="21"/>
      <c r="B316" s="22"/>
      <c r="C316" s="21"/>
      <c r="D316" s="24"/>
      <c r="E316" s="22"/>
      <c r="F316" s="29" t="str">
        <f aca="false">IF(C316="","",IFERROR(INDEX(Produk!$J$2:$J$100,MATCH(C316,Produk!$A$2:$A$100,0)),"PRODUK?"))</f>
        <v/>
      </c>
      <c r="G316" s="29" t="str">
        <f aca="false">IF(A316="","",IF(COUNTIF(Anggota!$A$2:$A$2001,A316)=0,"TIDAK ADA","OK"))</f>
        <v/>
      </c>
    </row>
    <row r="317" customFormat="false" ht="15" hidden="false" customHeight="false" outlineLevel="0" collapsed="false">
      <c r="A317" s="21"/>
      <c r="B317" s="22"/>
      <c r="C317" s="21"/>
      <c r="D317" s="24"/>
      <c r="E317" s="22"/>
      <c r="F317" s="29" t="str">
        <f aca="false">IF(C317="","",IFERROR(INDEX(Produk!$J$2:$J$100,MATCH(C317,Produk!$A$2:$A$100,0)),"PRODUK?"))</f>
        <v/>
      </c>
      <c r="G317" s="29" t="str">
        <f aca="false">IF(A317="","",IF(COUNTIF(Anggota!$A$2:$A$2001,A317)=0,"TIDAK ADA","OK"))</f>
        <v/>
      </c>
    </row>
    <row r="318" customFormat="false" ht="15" hidden="false" customHeight="false" outlineLevel="0" collapsed="false">
      <c r="A318" s="21"/>
      <c r="B318" s="22"/>
      <c r="C318" s="21"/>
      <c r="D318" s="24"/>
      <c r="E318" s="22"/>
      <c r="F318" s="29" t="str">
        <f aca="false">IF(C318="","",IFERROR(INDEX(Produk!$J$2:$J$100,MATCH(C318,Produk!$A$2:$A$100,0)),"PRODUK?"))</f>
        <v/>
      </c>
      <c r="G318" s="29" t="str">
        <f aca="false">IF(A318="","",IF(COUNTIF(Anggota!$A$2:$A$2001,A318)=0,"TIDAK ADA","OK"))</f>
        <v/>
      </c>
    </row>
    <row r="319" customFormat="false" ht="15" hidden="false" customHeight="false" outlineLevel="0" collapsed="false">
      <c r="A319" s="21"/>
      <c r="B319" s="22"/>
      <c r="C319" s="21"/>
      <c r="D319" s="24"/>
      <c r="E319" s="22"/>
      <c r="F319" s="29" t="str">
        <f aca="false">IF(C319="","",IFERROR(INDEX(Produk!$J$2:$J$100,MATCH(C319,Produk!$A$2:$A$100,0)),"PRODUK?"))</f>
        <v/>
      </c>
      <c r="G319" s="29" t="str">
        <f aca="false">IF(A319="","",IF(COUNTIF(Anggota!$A$2:$A$2001,A319)=0,"TIDAK ADA","OK"))</f>
        <v/>
      </c>
    </row>
    <row r="320" customFormat="false" ht="15" hidden="false" customHeight="false" outlineLevel="0" collapsed="false">
      <c r="A320" s="21"/>
      <c r="B320" s="22"/>
      <c r="C320" s="21"/>
      <c r="D320" s="24"/>
      <c r="E320" s="22"/>
      <c r="F320" s="29" t="str">
        <f aca="false">IF(C320="","",IFERROR(INDEX(Produk!$J$2:$J$100,MATCH(C320,Produk!$A$2:$A$100,0)),"PRODUK?"))</f>
        <v/>
      </c>
      <c r="G320" s="29" t="str">
        <f aca="false">IF(A320="","",IF(COUNTIF(Anggota!$A$2:$A$2001,A320)=0,"TIDAK ADA","OK"))</f>
        <v/>
      </c>
    </row>
    <row r="321" customFormat="false" ht="15" hidden="false" customHeight="false" outlineLevel="0" collapsed="false">
      <c r="A321" s="21"/>
      <c r="B321" s="22"/>
      <c r="C321" s="21"/>
      <c r="D321" s="24"/>
      <c r="E321" s="22"/>
      <c r="F321" s="29" t="str">
        <f aca="false">IF(C321="","",IFERROR(INDEX(Produk!$J$2:$J$100,MATCH(C321,Produk!$A$2:$A$100,0)),"PRODUK?"))</f>
        <v/>
      </c>
      <c r="G321" s="29" t="str">
        <f aca="false">IF(A321="","",IF(COUNTIF(Anggota!$A$2:$A$2001,A321)=0,"TIDAK ADA","OK"))</f>
        <v/>
      </c>
    </row>
    <row r="322" customFormat="false" ht="15" hidden="false" customHeight="false" outlineLevel="0" collapsed="false">
      <c r="A322" s="21"/>
      <c r="B322" s="22"/>
      <c r="C322" s="21"/>
      <c r="D322" s="24"/>
      <c r="E322" s="22"/>
      <c r="F322" s="29" t="str">
        <f aca="false">IF(C322="","",IFERROR(INDEX(Produk!$J$2:$J$100,MATCH(C322,Produk!$A$2:$A$100,0)),"PRODUK?"))</f>
        <v/>
      </c>
      <c r="G322" s="29" t="str">
        <f aca="false">IF(A322="","",IF(COUNTIF(Anggota!$A$2:$A$2001,A322)=0,"TIDAK ADA","OK"))</f>
        <v/>
      </c>
    </row>
    <row r="323" customFormat="false" ht="15" hidden="false" customHeight="false" outlineLevel="0" collapsed="false">
      <c r="A323" s="21"/>
      <c r="B323" s="22"/>
      <c r="C323" s="21"/>
      <c r="D323" s="24"/>
      <c r="E323" s="22"/>
      <c r="F323" s="29" t="str">
        <f aca="false">IF(C323="","",IFERROR(INDEX(Produk!$J$2:$J$100,MATCH(C323,Produk!$A$2:$A$100,0)),"PRODUK?"))</f>
        <v/>
      </c>
      <c r="G323" s="29" t="str">
        <f aca="false">IF(A323="","",IF(COUNTIF(Anggota!$A$2:$A$2001,A323)=0,"TIDAK ADA","OK"))</f>
        <v/>
      </c>
    </row>
    <row r="324" customFormat="false" ht="15" hidden="false" customHeight="false" outlineLevel="0" collapsed="false">
      <c r="A324" s="21"/>
      <c r="B324" s="22"/>
      <c r="C324" s="21"/>
      <c r="D324" s="24"/>
      <c r="E324" s="22"/>
      <c r="F324" s="29" t="str">
        <f aca="false">IF(C324="","",IFERROR(INDEX(Produk!$J$2:$J$100,MATCH(C324,Produk!$A$2:$A$100,0)),"PRODUK?"))</f>
        <v/>
      </c>
      <c r="G324" s="29" t="str">
        <f aca="false">IF(A324="","",IF(COUNTIF(Anggota!$A$2:$A$2001,A324)=0,"TIDAK ADA","OK"))</f>
        <v/>
      </c>
    </row>
    <row r="325" customFormat="false" ht="15" hidden="false" customHeight="false" outlineLevel="0" collapsed="false">
      <c r="A325" s="21"/>
      <c r="B325" s="22"/>
      <c r="C325" s="21"/>
      <c r="D325" s="24"/>
      <c r="E325" s="22"/>
      <c r="F325" s="29" t="str">
        <f aca="false">IF(C325="","",IFERROR(INDEX(Produk!$J$2:$J$100,MATCH(C325,Produk!$A$2:$A$100,0)),"PRODUK?"))</f>
        <v/>
      </c>
      <c r="G325" s="29" t="str">
        <f aca="false">IF(A325="","",IF(COUNTIF(Anggota!$A$2:$A$2001,A325)=0,"TIDAK ADA","OK"))</f>
        <v/>
      </c>
    </row>
    <row r="326" customFormat="false" ht="15" hidden="false" customHeight="false" outlineLevel="0" collapsed="false">
      <c r="A326" s="21"/>
      <c r="B326" s="22"/>
      <c r="C326" s="21"/>
      <c r="D326" s="24"/>
      <c r="E326" s="22"/>
      <c r="F326" s="29" t="str">
        <f aca="false">IF(C326="","",IFERROR(INDEX(Produk!$J$2:$J$100,MATCH(C326,Produk!$A$2:$A$100,0)),"PRODUK?"))</f>
        <v/>
      </c>
      <c r="G326" s="29" t="str">
        <f aca="false">IF(A326="","",IF(COUNTIF(Anggota!$A$2:$A$2001,A326)=0,"TIDAK ADA","OK"))</f>
        <v/>
      </c>
    </row>
    <row r="327" customFormat="false" ht="15" hidden="false" customHeight="false" outlineLevel="0" collapsed="false">
      <c r="A327" s="21"/>
      <c r="B327" s="22"/>
      <c r="C327" s="21"/>
      <c r="D327" s="24"/>
      <c r="E327" s="22"/>
      <c r="F327" s="29" t="str">
        <f aca="false">IF(C327="","",IFERROR(INDEX(Produk!$J$2:$J$100,MATCH(C327,Produk!$A$2:$A$100,0)),"PRODUK?"))</f>
        <v/>
      </c>
      <c r="G327" s="29" t="str">
        <f aca="false">IF(A327="","",IF(COUNTIF(Anggota!$A$2:$A$2001,A327)=0,"TIDAK ADA","OK"))</f>
        <v/>
      </c>
    </row>
    <row r="328" customFormat="false" ht="15" hidden="false" customHeight="false" outlineLevel="0" collapsed="false">
      <c r="A328" s="21"/>
      <c r="B328" s="22"/>
      <c r="C328" s="21"/>
      <c r="D328" s="24"/>
      <c r="E328" s="22"/>
      <c r="F328" s="29" t="str">
        <f aca="false">IF(C328="","",IFERROR(INDEX(Produk!$J$2:$J$100,MATCH(C328,Produk!$A$2:$A$100,0)),"PRODUK?"))</f>
        <v/>
      </c>
      <c r="G328" s="29" t="str">
        <f aca="false">IF(A328="","",IF(COUNTIF(Anggota!$A$2:$A$2001,A328)=0,"TIDAK ADA","OK"))</f>
        <v/>
      </c>
    </row>
    <row r="329" customFormat="false" ht="15" hidden="false" customHeight="false" outlineLevel="0" collapsed="false">
      <c r="A329" s="21"/>
      <c r="B329" s="22"/>
      <c r="C329" s="21"/>
      <c r="D329" s="24"/>
      <c r="E329" s="22"/>
      <c r="F329" s="29" t="str">
        <f aca="false">IF(C329="","",IFERROR(INDEX(Produk!$J$2:$J$100,MATCH(C329,Produk!$A$2:$A$100,0)),"PRODUK?"))</f>
        <v/>
      </c>
      <c r="G329" s="29" t="str">
        <f aca="false">IF(A329="","",IF(COUNTIF(Anggota!$A$2:$A$2001,A329)=0,"TIDAK ADA","OK"))</f>
        <v/>
      </c>
    </row>
    <row r="330" customFormat="false" ht="15" hidden="false" customHeight="false" outlineLevel="0" collapsed="false">
      <c r="A330" s="21"/>
      <c r="B330" s="22"/>
      <c r="C330" s="21"/>
      <c r="D330" s="24"/>
      <c r="E330" s="22"/>
      <c r="F330" s="29" t="str">
        <f aca="false">IF(C330="","",IFERROR(INDEX(Produk!$J$2:$J$100,MATCH(C330,Produk!$A$2:$A$100,0)),"PRODUK?"))</f>
        <v/>
      </c>
      <c r="G330" s="29" t="str">
        <f aca="false">IF(A330="","",IF(COUNTIF(Anggota!$A$2:$A$2001,A330)=0,"TIDAK ADA","OK"))</f>
        <v/>
      </c>
    </row>
    <row r="331" customFormat="false" ht="15" hidden="false" customHeight="false" outlineLevel="0" collapsed="false">
      <c r="A331" s="21"/>
      <c r="B331" s="22"/>
      <c r="C331" s="21"/>
      <c r="D331" s="24"/>
      <c r="E331" s="22"/>
      <c r="F331" s="29" t="str">
        <f aca="false">IF(C331="","",IFERROR(INDEX(Produk!$J$2:$J$100,MATCH(C331,Produk!$A$2:$A$100,0)),"PRODUK?"))</f>
        <v/>
      </c>
      <c r="G331" s="29" t="str">
        <f aca="false">IF(A331="","",IF(COUNTIF(Anggota!$A$2:$A$2001,A331)=0,"TIDAK ADA","OK"))</f>
        <v/>
      </c>
    </row>
    <row r="332" customFormat="false" ht="15" hidden="false" customHeight="false" outlineLevel="0" collapsed="false">
      <c r="A332" s="21"/>
      <c r="B332" s="22"/>
      <c r="C332" s="21"/>
      <c r="D332" s="24"/>
      <c r="E332" s="22"/>
      <c r="F332" s="29" t="str">
        <f aca="false">IF(C332="","",IFERROR(INDEX(Produk!$J$2:$J$100,MATCH(C332,Produk!$A$2:$A$100,0)),"PRODUK?"))</f>
        <v/>
      </c>
      <c r="G332" s="29" t="str">
        <f aca="false">IF(A332="","",IF(COUNTIF(Anggota!$A$2:$A$2001,A332)=0,"TIDAK ADA","OK"))</f>
        <v/>
      </c>
    </row>
    <row r="333" customFormat="false" ht="15" hidden="false" customHeight="false" outlineLevel="0" collapsed="false">
      <c r="A333" s="21"/>
      <c r="B333" s="22"/>
      <c r="C333" s="21"/>
      <c r="D333" s="24"/>
      <c r="E333" s="22"/>
      <c r="F333" s="29" t="str">
        <f aca="false">IF(C333="","",IFERROR(INDEX(Produk!$J$2:$J$100,MATCH(C333,Produk!$A$2:$A$100,0)),"PRODUK?"))</f>
        <v/>
      </c>
      <c r="G333" s="29" t="str">
        <f aca="false">IF(A333="","",IF(COUNTIF(Anggota!$A$2:$A$2001,A333)=0,"TIDAK ADA","OK"))</f>
        <v/>
      </c>
    </row>
    <row r="334" customFormat="false" ht="15" hidden="false" customHeight="false" outlineLevel="0" collapsed="false">
      <c r="A334" s="21"/>
      <c r="B334" s="22"/>
      <c r="C334" s="21"/>
      <c r="D334" s="24"/>
      <c r="E334" s="22"/>
      <c r="F334" s="29" t="str">
        <f aca="false">IF(C334="","",IFERROR(INDEX(Produk!$J$2:$J$100,MATCH(C334,Produk!$A$2:$A$100,0)),"PRODUK?"))</f>
        <v/>
      </c>
      <c r="G334" s="29" t="str">
        <f aca="false">IF(A334="","",IF(COUNTIF(Anggota!$A$2:$A$2001,A334)=0,"TIDAK ADA","OK"))</f>
        <v/>
      </c>
    </row>
    <row r="335" customFormat="false" ht="15" hidden="false" customHeight="false" outlineLevel="0" collapsed="false">
      <c r="A335" s="21"/>
      <c r="B335" s="22"/>
      <c r="C335" s="21"/>
      <c r="D335" s="24"/>
      <c r="E335" s="22"/>
      <c r="F335" s="29" t="str">
        <f aca="false">IF(C335="","",IFERROR(INDEX(Produk!$J$2:$J$100,MATCH(C335,Produk!$A$2:$A$100,0)),"PRODUK?"))</f>
        <v/>
      </c>
      <c r="G335" s="29" t="str">
        <f aca="false">IF(A335="","",IF(COUNTIF(Anggota!$A$2:$A$2001,A335)=0,"TIDAK ADA","OK"))</f>
        <v/>
      </c>
    </row>
    <row r="336" customFormat="false" ht="15" hidden="false" customHeight="false" outlineLevel="0" collapsed="false">
      <c r="A336" s="21"/>
      <c r="B336" s="22"/>
      <c r="C336" s="21"/>
      <c r="D336" s="24"/>
      <c r="E336" s="22"/>
      <c r="F336" s="29" t="str">
        <f aca="false">IF(C336="","",IFERROR(INDEX(Produk!$J$2:$J$100,MATCH(C336,Produk!$A$2:$A$100,0)),"PRODUK?"))</f>
        <v/>
      </c>
      <c r="G336" s="29" t="str">
        <f aca="false">IF(A336="","",IF(COUNTIF(Anggota!$A$2:$A$2001,A336)=0,"TIDAK ADA","OK"))</f>
        <v/>
      </c>
    </row>
    <row r="337" customFormat="false" ht="15" hidden="false" customHeight="false" outlineLevel="0" collapsed="false">
      <c r="A337" s="21"/>
      <c r="B337" s="22"/>
      <c r="C337" s="21"/>
      <c r="D337" s="24"/>
      <c r="E337" s="22"/>
      <c r="F337" s="29" t="str">
        <f aca="false">IF(C337="","",IFERROR(INDEX(Produk!$J$2:$J$100,MATCH(C337,Produk!$A$2:$A$100,0)),"PRODUK?"))</f>
        <v/>
      </c>
      <c r="G337" s="29" t="str">
        <f aca="false">IF(A337="","",IF(COUNTIF(Anggota!$A$2:$A$2001,A337)=0,"TIDAK ADA","OK"))</f>
        <v/>
      </c>
    </row>
    <row r="338" customFormat="false" ht="15" hidden="false" customHeight="false" outlineLevel="0" collapsed="false">
      <c r="A338" s="21"/>
      <c r="B338" s="22"/>
      <c r="C338" s="21"/>
      <c r="D338" s="24"/>
      <c r="E338" s="22"/>
      <c r="F338" s="29" t="str">
        <f aca="false">IF(C338="","",IFERROR(INDEX(Produk!$J$2:$J$100,MATCH(C338,Produk!$A$2:$A$100,0)),"PRODUK?"))</f>
        <v/>
      </c>
      <c r="G338" s="29" t="str">
        <f aca="false">IF(A338="","",IF(COUNTIF(Anggota!$A$2:$A$2001,A338)=0,"TIDAK ADA","OK"))</f>
        <v/>
      </c>
    </row>
    <row r="339" customFormat="false" ht="15" hidden="false" customHeight="false" outlineLevel="0" collapsed="false">
      <c r="A339" s="21"/>
      <c r="B339" s="22"/>
      <c r="C339" s="21"/>
      <c r="D339" s="24"/>
      <c r="E339" s="22"/>
      <c r="F339" s="29" t="str">
        <f aca="false">IF(C339="","",IFERROR(INDEX(Produk!$J$2:$J$100,MATCH(C339,Produk!$A$2:$A$100,0)),"PRODUK?"))</f>
        <v/>
      </c>
      <c r="G339" s="29" t="str">
        <f aca="false">IF(A339="","",IF(COUNTIF(Anggota!$A$2:$A$2001,A339)=0,"TIDAK ADA","OK"))</f>
        <v/>
      </c>
    </row>
    <row r="340" customFormat="false" ht="15" hidden="false" customHeight="false" outlineLevel="0" collapsed="false">
      <c r="A340" s="21"/>
      <c r="B340" s="22"/>
      <c r="C340" s="21"/>
      <c r="D340" s="24"/>
      <c r="E340" s="22"/>
      <c r="F340" s="29" t="str">
        <f aca="false">IF(C340="","",IFERROR(INDEX(Produk!$J$2:$J$100,MATCH(C340,Produk!$A$2:$A$100,0)),"PRODUK?"))</f>
        <v/>
      </c>
      <c r="G340" s="29" t="str">
        <f aca="false">IF(A340="","",IF(COUNTIF(Anggota!$A$2:$A$2001,A340)=0,"TIDAK ADA","OK"))</f>
        <v/>
      </c>
    </row>
    <row r="341" customFormat="false" ht="15" hidden="false" customHeight="false" outlineLevel="0" collapsed="false">
      <c r="A341" s="21"/>
      <c r="B341" s="22"/>
      <c r="C341" s="21"/>
      <c r="D341" s="24"/>
      <c r="E341" s="22"/>
      <c r="F341" s="29" t="str">
        <f aca="false">IF(C341="","",IFERROR(INDEX(Produk!$J$2:$J$100,MATCH(C341,Produk!$A$2:$A$100,0)),"PRODUK?"))</f>
        <v/>
      </c>
      <c r="G341" s="29" t="str">
        <f aca="false">IF(A341="","",IF(COUNTIF(Anggota!$A$2:$A$2001,A341)=0,"TIDAK ADA","OK"))</f>
        <v/>
      </c>
    </row>
    <row r="342" customFormat="false" ht="15" hidden="false" customHeight="false" outlineLevel="0" collapsed="false">
      <c r="A342" s="21"/>
      <c r="B342" s="22"/>
      <c r="C342" s="21"/>
      <c r="D342" s="24"/>
      <c r="E342" s="22"/>
      <c r="F342" s="29" t="str">
        <f aca="false">IF(C342="","",IFERROR(INDEX(Produk!$J$2:$J$100,MATCH(C342,Produk!$A$2:$A$100,0)),"PRODUK?"))</f>
        <v/>
      </c>
      <c r="G342" s="29" t="str">
        <f aca="false">IF(A342="","",IF(COUNTIF(Anggota!$A$2:$A$2001,A342)=0,"TIDAK ADA","OK"))</f>
        <v/>
      </c>
    </row>
    <row r="343" customFormat="false" ht="15" hidden="false" customHeight="false" outlineLevel="0" collapsed="false">
      <c r="A343" s="21"/>
      <c r="B343" s="22"/>
      <c r="C343" s="21"/>
      <c r="D343" s="24"/>
      <c r="E343" s="22"/>
      <c r="F343" s="29" t="str">
        <f aca="false">IF(C343="","",IFERROR(INDEX(Produk!$J$2:$J$100,MATCH(C343,Produk!$A$2:$A$100,0)),"PRODUK?"))</f>
        <v/>
      </c>
      <c r="G343" s="29" t="str">
        <f aca="false">IF(A343="","",IF(COUNTIF(Anggota!$A$2:$A$2001,A343)=0,"TIDAK ADA","OK"))</f>
        <v/>
      </c>
    </row>
    <row r="344" customFormat="false" ht="15" hidden="false" customHeight="false" outlineLevel="0" collapsed="false">
      <c r="A344" s="21"/>
      <c r="B344" s="22"/>
      <c r="C344" s="21"/>
      <c r="D344" s="24"/>
      <c r="E344" s="22"/>
      <c r="F344" s="29" t="str">
        <f aca="false">IF(C344="","",IFERROR(INDEX(Produk!$J$2:$J$100,MATCH(C344,Produk!$A$2:$A$100,0)),"PRODUK?"))</f>
        <v/>
      </c>
      <c r="G344" s="29" t="str">
        <f aca="false">IF(A344="","",IF(COUNTIF(Anggota!$A$2:$A$2001,A344)=0,"TIDAK ADA","OK"))</f>
        <v/>
      </c>
    </row>
    <row r="345" customFormat="false" ht="15" hidden="false" customHeight="false" outlineLevel="0" collapsed="false">
      <c r="A345" s="21"/>
      <c r="B345" s="22"/>
      <c r="C345" s="21"/>
      <c r="D345" s="24"/>
      <c r="E345" s="22"/>
      <c r="F345" s="29" t="str">
        <f aca="false">IF(C345="","",IFERROR(INDEX(Produk!$J$2:$J$100,MATCH(C345,Produk!$A$2:$A$100,0)),"PRODUK?"))</f>
        <v/>
      </c>
      <c r="G345" s="29" t="str">
        <f aca="false">IF(A345="","",IF(COUNTIF(Anggota!$A$2:$A$2001,A345)=0,"TIDAK ADA","OK"))</f>
        <v/>
      </c>
    </row>
    <row r="346" customFormat="false" ht="15" hidden="false" customHeight="false" outlineLevel="0" collapsed="false">
      <c r="A346" s="21"/>
      <c r="B346" s="22"/>
      <c r="C346" s="21"/>
      <c r="D346" s="24"/>
      <c r="E346" s="22"/>
      <c r="F346" s="29" t="str">
        <f aca="false">IF(C346="","",IFERROR(INDEX(Produk!$J$2:$J$100,MATCH(C346,Produk!$A$2:$A$100,0)),"PRODUK?"))</f>
        <v/>
      </c>
      <c r="G346" s="29" t="str">
        <f aca="false">IF(A346="","",IF(COUNTIF(Anggota!$A$2:$A$2001,A346)=0,"TIDAK ADA","OK"))</f>
        <v/>
      </c>
    </row>
    <row r="347" customFormat="false" ht="15" hidden="false" customHeight="false" outlineLevel="0" collapsed="false">
      <c r="A347" s="21"/>
      <c r="B347" s="22"/>
      <c r="C347" s="21"/>
      <c r="D347" s="24"/>
      <c r="E347" s="22"/>
      <c r="F347" s="29" t="str">
        <f aca="false">IF(C347="","",IFERROR(INDEX(Produk!$J$2:$J$100,MATCH(C347,Produk!$A$2:$A$100,0)),"PRODUK?"))</f>
        <v/>
      </c>
      <c r="G347" s="29" t="str">
        <f aca="false">IF(A347="","",IF(COUNTIF(Anggota!$A$2:$A$2001,A347)=0,"TIDAK ADA","OK"))</f>
        <v/>
      </c>
    </row>
    <row r="348" customFormat="false" ht="15" hidden="false" customHeight="false" outlineLevel="0" collapsed="false">
      <c r="A348" s="21"/>
      <c r="B348" s="22"/>
      <c r="C348" s="21"/>
      <c r="D348" s="24"/>
      <c r="E348" s="22"/>
      <c r="F348" s="29" t="str">
        <f aca="false">IF(C348="","",IFERROR(INDEX(Produk!$J$2:$J$100,MATCH(C348,Produk!$A$2:$A$100,0)),"PRODUK?"))</f>
        <v/>
      </c>
      <c r="G348" s="29" t="str">
        <f aca="false">IF(A348="","",IF(COUNTIF(Anggota!$A$2:$A$2001,A348)=0,"TIDAK ADA","OK"))</f>
        <v/>
      </c>
    </row>
    <row r="349" customFormat="false" ht="15" hidden="false" customHeight="false" outlineLevel="0" collapsed="false">
      <c r="A349" s="21"/>
      <c r="B349" s="22"/>
      <c r="C349" s="21"/>
      <c r="D349" s="24"/>
      <c r="E349" s="22"/>
      <c r="F349" s="29" t="str">
        <f aca="false">IF(C349="","",IFERROR(INDEX(Produk!$J$2:$J$100,MATCH(C349,Produk!$A$2:$A$100,0)),"PRODUK?"))</f>
        <v/>
      </c>
      <c r="G349" s="29" t="str">
        <f aca="false">IF(A349="","",IF(COUNTIF(Anggota!$A$2:$A$2001,A349)=0,"TIDAK ADA","OK"))</f>
        <v/>
      </c>
    </row>
    <row r="350" customFormat="false" ht="15" hidden="false" customHeight="false" outlineLevel="0" collapsed="false">
      <c r="A350" s="21"/>
      <c r="B350" s="22"/>
      <c r="C350" s="21"/>
      <c r="D350" s="24"/>
      <c r="E350" s="22"/>
      <c r="F350" s="29" t="str">
        <f aca="false">IF(C350="","",IFERROR(INDEX(Produk!$J$2:$J$100,MATCH(C350,Produk!$A$2:$A$100,0)),"PRODUK?"))</f>
        <v/>
      </c>
      <c r="G350" s="29" t="str">
        <f aca="false">IF(A350="","",IF(COUNTIF(Anggota!$A$2:$A$2001,A350)=0,"TIDAK ADA","OK"))</f>
        <v/>
      </c>
    </row>
    <row r="351" customFormat="false" ht="15" hidden="false" customHeight="false" outlineLevel="0" collapsed="false">
      <c r="A351" s="21"/>
      <c r="B351" s="22"/>
      <c r="C351" s="21"/>
      <c r="D351" s="24"/>
      <c r="E351" s="22"/>
      <c r="F351" s="29" t="str">
        <f aca="false">IF(C351="","",IFERROR(INDEX(Produk!$J$2:$J$100,MATCH(C351,Produk!$A$2:$A$100,0)),"PRODUK?"))</f>
        <v/>
      </c>
      <c r="G351" s="29" t="str">
        <f aca="false">IF(A351="","",IF(COUNTIF(Anggota!$A$2:$A$2001,A351)=0,"TIDAK ADA","OK"))</f>
        <v/>
      </c>
    </row>
    <row r="352" customFormat="false" ht="15" hidden="false" customHeight="false" outlineLevel="0" collapsed="false">
      <c r="A352" s="21"/>
      <c r="B352" s="22"/>
      <c r="C352" s="21"/>
      <c r="D352" s="24"/>
      <c r="E352" s="22"/>
      <c r="F352" s="29" t="str">
        <f aca="false">IF(C352="","",IFERROR(INDEX(Produk!$J$2:$J$100,MATCH(C352,Produk!$A$2:$A$100,0)),"PRODUK?"))</f>
        <v/>
      </c>
      <c r="G352" s="29" t="str">
        <f aca="false">IF(A352="","",IF(COUNTIF(Anggota!$A$2:$A$2001,A352)=0,"TIDAK ADA","OK"))</f>
        <v/>
      </c>
    </row>
    <row r="353" customFormat="false" ht="15" hidden="false" customHeight="false" outlineLevel="0" collapsed="false">
      <c r="A353" s="21"/>
      <c r="B353" s="22"/>
      <c r="C353" s="21"/>
      <c r="D353" s="24"/>
      <c r="E353" s="22"/>
      <c r="F353" s="29" t="str">
        <f aca="false">IF(C353="","",IFERROR(INDEX(Produk!$J$2:$J$100,MATCH(C353,Produk!$A$2:$A$100,0)),"PRODUK?"))</f>
        <v/>
      </c>
      <c r="G353" s="29" t="str">
        <f aca="false">IF(A353="","",IF(COUNTIF(Anggota!$A$2:$A$2001,A353)=0,"TIDAK ADA","OK"))</f>
        <v/>
      </c>
    </row>
    <row r="354" customFormat="false" ht="15" hidden="false" customHeight="false" outlineLevel="0" collapsed="false">
      <c r="A354" s="21"/>
      <c r="B354" s="22"/>
      <c r="C354" s="21"/>
      <c r="D354" s="24"/>
      <c r="E354" s="22"/>
      <c r="F354" s="29" t="str">
        <f aca="false">IF(C354="","",IFERROR(INDEX(Produk!$J$2:$J$100,MATCH(C354,Produk!$A$2:$A$100,0)),"PRODUK?"))</f>
        <v/>
      </c>
      <c r="G354" s="29" t="str">
        <f aca="false">IF(A354="","",IF(COUNTIF(Anggota!$A$2:$A$2001,A354)=0,"TIDAK ADA","OK"))</f>
        <v/>
      </c>
    </row>
    <row r="355" customFormat="false" ht="15" hidden="false" customHeight="false" outlineLevel="0" collapsed="false">
      <c r="A355" s="21"/>
      <c r="B355" s="22"/>
      <c r="C355" s="21"/>
      <c r="D355" s="24"/>
      <c r="E355" s="22"/>
      <c r="F355" s="29" t="str">
        <f aca="false">IF(C355="","",IFERROR(INDEX(Produk!$J$2:$J$100,MATCH(C355,Produk!$A$2:$A$100,0)),"PRODUK?"))</f>
        <v/>
      </c>
      <c r="G355" s="29" t="str">
        <f aca="false">IF(A355="","",IF(COUNTIF(Anggota!$A$2:$A$2001,A355)=0,"TIDAK ADA","OK"))</f>
        <v/>
      </c>
    </row>
    <row r="356" customFormat="false" ht="15" hidden="false" customHeight="false" outlineLevel="0" collapsed="false">
      <c r="A356" s="21"/>
      <c r="B356" s="22"/>
      <c r="C356" s="21"/>
      <c r="D356" s="24"/>
      <c r="E356" s="22"/>
      <c r="F356" s="29" t="str">
        <f aca="false">IF(C356="","",IFERROR(INDEX(Produk!$J$2:$J$100,MATCH(C356,Produk!$A$2:$A$100,0)),"PRODUK?"))</f>
        <v/>
      </c>
      <c r="G356" s="29" t="str">
        <f aca="false">IF(A356="","",IF(COUNTIF(Anggota!$A$2:$A$2001,A356)=0,"TIDAK ADA","OK"))</f>
        <v/>
      </c>
    </row>
    <row r="357" customFormat="false" ht="15" hidden="false" customHeight="false" outlineLevel="0" collapsed="false">
      <c r="A357" s="21"/>
      <c r="B357" s="22"/>
      <c r="C357" s="21"/>
      <c r="D357" s="24"/>
      <c r="E357" s="22"/>
      <c r="F357" s="29" t="str">
        <f aca="false">IF(C357="","",IFERROR(INDEX(Produk!$J$2:$J$100,MATCH(C357,Produk!$A$2:$A$100,0)),"PRODUK?"))</f>
        <v/>
      </c>
      <c r="G357" s="29" t="str">
        <f aca="false">IF(A357="","",IF(COUNTIF(Anggota!$A$2:$A$2001,A357)=0,"TIDAK ADA","OK"))</f>
        <v/>
      </c>
    </row>
    <row r="358" customFormat="false" ht="15" hidden="false" customHeight="false" outlineLevel="0" collapsed="false">
      <c r="A358" s="21"/>
      <c r="B358" s="22"/>
      <c r="C358" s="21"/>
      <c r="D358" s="24"/>
      <c r="E358" s="22"/>
      <c r="F358" s="29" t="str">
        <f aca="false">IF(C358="","",IFERROR(INDEX(Produk!$J$2:$J$100,MATCH(C358,Produk!$A$2:$A$100,0)),"PRODUK?"))</f>
        <v/>
      </c>
      <c r="G358" s="29" t="str">
        <f aca="false">IF(A358="","",IF(COUNTIF(Anggota!$A$2:$A$2001,A358)=0,"TIDAK ADA","OK"))</f>
        <v/>
      </c>
    </row>
    <row r="359" customFormat="false" ht="15" hidden="false" customHeight="false" outlineLevel="0" collapsed="false">
      <c r="A359" s="21"/>
      <c r="B359" s="22"/>
      <c r="C359" s="21"/>
      <c r="D359" s="24"/>
      <c r="E359" s="22"/>
      <c r="F359" s="29" t="str">
        <f aca="false">IF(C359="","",IFERROR(INDEX(Produk!$J$2:$J$100,MATCH(C359,Produk!$A$2:$A$100,0)),"PRODUK?"))</f>
        <v/>
      </c>
      <c r="G359" s="29" t="str">
        <f aca="false">IF(A359="","",IF(COUNTIF(Anggota!$A$2:$A$2001,A359)=0,"TIDAK ADA","OK"))</f>
        <v/>
      </c>
    </row>
    <row r="360" customFormat="false" ht="15" hidden="false" customHeight="false" outlineLevel="0" collapsed="false">
      <c r="A360" s="21"/>
      <c r="B360" s="22"/>
      <c r="C360" s="21"/>
      <c r="D360" s="24"/>
      <c r="E360" s="22"/>
      <c r="F360" s="29" t="str">
        <f aca="false">IF(C360="","",IFERROR(INDEX(Produk!$J$2:$J$100,MATCH(C360,Produk!$A$2:$A$100,0)),"PRODUK?"))</f>
        <v/>
      </c>
      <c r="G360" s="29" t="str">
        <f aca="false">IF(A360="","",IF(COUNTIF(Anggota!$A$2:$A$2001,A360)=0,"TIDAK ADA","OK"))</f>
        <v/>
      </c>
    </row>
    <row r="361" customFormat="false" ht="15" hidden="false" customHeight="false" outlineLevel="0" collapsed="false">
      <c r="A361" s="21"/>
      <c r="B361" s="22"/>
      <c r="C361" s="21"/>
      <c r="D361" s="24"/>
      <c r="E361" s="22"/>
      <c r="F361" s="29" t="str">
        <f aca="false">IF(C361="","",IFERROR(INDEX(Produk!$J$2:$J$100,MATCH(C361,Produk!$A$2:$A$100,0)),"PRODUK?"))</f>
        <v/>
      </c>
      <c r="G361" s="29" t="str">
        <f aca="false">IF(A361="","",IF(COUNTIF(Anggota!$A$2:$A$2001,A361)=0,"TIDAK ADA","OK"))</f>
        <v/>
      </c>
    </row>
    <row r="362" customFormat="false" ht="15" hidden="false" customHeight="false" outlineLevel="0" collapsed="false">
      <c r="A362" s="21"/>
      <c r="B362" s="22"/>
      <c r="C362" s="21"/>
      <c r="D362" s="24"/>
      <c r="E362" s="22"/>
      <c r="F362" s="29" t="str">
        <f aca="false">IF(C362="","",IFERROR(INDEX(Produk!$J$2:$J$100,MATCH(C362,Produk!$A$2:$A$100,0)),"PRODUK?"))</f>
        <v/>
      </c>
      <c r="G362" s="29" t="str">
        <f aca="false">IF(A362="","",IF(COUNTIF(Anggota!$A$2:$A$2001,A362)=0,"TIDAK ADA","OK"))</f>
        <v/>
      </c>
    </row>
    <row r="363" customFormat="false" ht="15" hidden="false" customHeight="false" outlineLevel="0" collapsed="false">
      <c r="A363" s="21"/>
      <c r="B363" s="22"/>
      <c r="C363" s="21"/>
      <c r="D363" s="24"/>
      <c r="E363" s="22"/>
      <c r="F363" s="29" t="str">
        <f aca="false">IF(C363="","",IFERROR(INDEX(Produk!$J$2:$J$100,MATCH(C363,Produk!$A$2:$A$100,0)),"PRODUK?"))</f>
        <v/>
      </c>
      <c r="G363" s="29" t="str">
        <f aca="false">IF(A363="","",IF(COUNTIF(Anggota!$A$2:$A$2001,A363)=0,"TIDAK ADA","OK"))</f>
        <v/>
      </c>
    </row>
    <row r="364" customFormat="false" ht="15" hidden="false" customHeight="false" outlineLevel="0" collapsed="false">
      <c r="A364" s="21"/>
      <c r="B364" s="22"/>
      <c r="C364" s="21"/>
      <c r="D364" s="24"/>
      <c r="E364" s="22"/>
      <c r="F364" s="29" t="str">
        <f aca="false">IF(C364="","",IFERROR(INDEX(Produk!$J$2:$J$100,MATCH(C364,Produk!$A$2:$A$100,0)),"PRODUK?"))</f>
        <v/>
      </c>
      <c r="G364" s="29" t="str">
        <f aca="false">IF(A364="","",IF(COUNTIF(Anggota!$A$2:$A$2001,A364)=0,"TIDAK ADA","OK"))</f>
        <v/>
      </c>
    </row>
    <row r="365" customFormat="false" ht="15" hidden="false" customHeight="false" outlineLevel="0" collapsed="false">
      <c r="A365" s="21"/>
      <c r="B365" s="22"/>
      <c r="C365" s="21"/>
      <c r="D365" s="24"/>
      <c r="E365" s="22"/>
      <c r="F365" s="29" t="str">
        <f aca="false">IF(C365="","",IFERROR(INDEX(Produk!$J$2:$J$100,MATCH(C365,Produk!$A$2:$A$100,0)),"PRODUK?"))</f>
        <v/>
      </c>
      <c r="G365" s="29" t="str">
        <f aca="false">IF(A365="","",IF(COUNTIF(Anggota!$A$2:$A$2001,A365)=0,"TIDAK ADA","OK"))</f>
        <v/>
      </c>
    </row>
    <row r="366" customFormat="false" ht="15" hidden="false" customHeight="false" outlineLevel="0" collapsed="false">
      <c r="A366" s="21"/>
      <c r="B366" s="22"/>
      <c r="C366" s="21"/>
      <c r="D366" s="24"/>
      <c r="E366" s="22"/>
      <c r="F366" s="29" t="str">
        <f aca="false">IF(C366="","",IFERROR(INDEX(Produk!$J$2:$J$100,MATCH(C366,Produk!$A$2:$A$100,0)),"PRODUK?"))</f>
        <v/>
      </c>
      <c r="G366" s="29" t="str">
        <f aca="false">IF(A366="","",IF(COUNTIF(Anggota!$A$2:$A$2001,A366)=0,"TIDAK ADA","OK"))</f>
        <v/>
      </c>
    </row>
    <row r="367" customFormat="false" ht="15" hidden="false" customHeight="false" outlineLevel="0" collapsed="false">
      <c r="A367" s="21"/>
      <c r="B367" s="22"/>
      <c r="C367" s="21"/>
      <c r="D367" s="24"/>
      <c r="E367" s="22"/>
      <c r="F367" s="29" t="str">
        <f aca="false">IF(C367="","",IFERROR(INDEX(Produk!$J$2:$J$100,MATCH(C367,Produk!$A$2:$A$100,0)),"PRODUK?"))</f>
        <v/>
      </c>
      <c r="G367" s="29" t="str">
        <f aca="false">IF(A367="","",IF(COUNTIF(Anggota!$A$2:$A$2001,A367)=0,"TIDAK ADA","OK"))</f>
        <v/>
      </c>
    </row>
    <row r="368" customFormat="false" ht="15" hidden="false" customHeight="false" outlineLevel="0" collapsed="false">
      <c r="A368" s="21"/>
      <c r="B368" s="22"/>
      <c r="C368" s="21"/>
      <c r="D368" s="24"/>
      <c r="E368" s="22"/>
      <c r="F368" s="29" t="str">
        <f aca="false">IF(C368="","",IFERROR(INDEX(Produk!$J$2:$J$100,MATCH(C368,Produk!$A$2:$A$100,0)),"PRODUK?"))</f>
        <v/>
      </c>
      <c r="G368" s="29" t="str">
        <f aca="false">IF(A368="","",IF(COUNTIF(Anggota!$A$2:$A$2001,A368)=0,"TIDAK ADA","OK"))</f>
        <v/>
      </c>
    </row>
    <row r="369" customFormat="false" ht="15" hidden="false" customHeight="false" outlineLevel="0" collapsed="false">
      <c r="A369" s="21"/>
      <c r="B369" s="22"/>
      <c r="C369" s="21"/>
      <c r="D369" s="24"/>
      <c r="E369" s="22"/>
      <c r="F369" s="29" t="str">
        <f aca="false">IF(C369="","",IFERROR(INDEX(Produk!$J$2:$J$100,MATCH(C369,Produk!$A$2:$A$100,0)),"PRODUK?"))</f>
        <v/>
      </c>
      <c r="G369" s="29" t="str">
        <f aca="false">IF(A369="","",IF(COUNTIF(Anggota!$A$2:$A$2001,A369)=0,"TIDAK ADA","OK"))</f>
        <v/>
      </c>
    </row>
    <row r="370" customFormat="false" ht="15" hidden="false" customHeight="false" outlineLevel="0" collapsed="false">
      <c r="A370" s="21"/>
      <c r="B370" s="22"/>
      <c r="C370" s="21"/>
      <c r="D370" s="24"/>
      <c r="E370" s="22"/>
      <c r="F370" s="29" t="str">
        <f aca="false">IF(C370="","",IFERROR(INDEX(Produk!$J$2:$J$100,MATCH(C370,Produk!$A$2:$A$100,0)),"PRODUK?"))</f>
        <v/>
      </c>
      <c r="G370" s="29" t="str">
        <f aca="false">IF(A370="","",IF(COUNTIF(Anggota!$A$2:$A$2001,A370)=0,"TIDAK ADA","OK"))</f>
        <v/>
      </c>
    </row>
    <row r="371" customFormat="false" ht="15" hidden="false" customHeight="false" outlineLevel="0" collapsed="false">
      <c r="A371" s="21"/>
      <c r="B371" s="22"/>
      <c r="C371" s="21"/>
      <c r="D371" s="24"/>
      <c r="E371" s="22"/>
      <c r="F371" s="29" t="str">
        <f aca="false">IF(C371="","",IFERROR(INDEX(Produk!$J$2:$J$100,MATCH(C371,Produk!$A$2:$A$100,0)),"PRODUK?"))</f>
        <v/>
      </c>
      <c r="G371" s="29" t="str">
        <f aca="false">IF(A371="","",IF(COUNTIF(Anggota!$A$2:$A$2001,A371)=0,"TIDAK ADA","OK"))</f>
        <v/>
      </c>
    </row>
    <row r="372" customFormat="false" ht="15" hidden="false" customHeight="false" outlineLevel="0" collapsed="false">
      <c r="A372" s="21"/>
      <c r="B372" s="22"/>
      <c r="C372" s="21"/>
      <c r="D372" s="24"/>
      <c r="E372" s="22"/>
      <c r="F372" s="29" t="str">
        <f aca="false">IF(C372="","",IFERROR(INDEX(Produk!$J$2:$J$100,MATCH(C372,Produk!$A$2:$A$100,0)),"PRODUK?"))</f>
        <v/>
      </c>
      <c r="G372" s="29" t="str">
        <f aca="false">IF(A372="","",IF(COUNTIF(Anggota!$A$2:$A$2001,A372)=0,"TIDAK ADA","OK"))</f>
        <v/>
      </c>
    </row>
    <row r="373" customFormat="false" ht="15" hidden="false" customHeight="false" outlineLevel="0" collapsed="false">
      <c r="A373" s="21"/>
      <c r="B373" s="22"/>
      <c r="C373" s="21"/>
      <c r="D373" s="24"/>
      <c r="E373" s="22"/>
      <c r="F373" s="29" t="str">
        <f aca="false">IF(C373="","",IFERROR(INDEX(Produk!$J$2:$J$100,MATCH(C373,Produk!$A$2:$A$100,0)),"PRODUK?"))</f>
        <v/>
      </c>
      <c r="G373" s="29" t="str">
        <f aca="false">IF(A373="","",IF(COUNTIF(Anggota!$A$2:$A$2001,A373)=0,"TIDAK ADA","OK"))</f>
        <v/>
      </c>
    </row>
    <row r="374" customFormat="false" ht="15" hidden="false" customHeight="false" outlineLevel="0" collapsed="false">
      <c r="A374" s="21"/>
      <c r="B374" s="22"/>
      <c r="C374" s="21"/>
      <c r="D374" s="24"/>
      <c r="E374" s="22"/>
      <c r="F374" s="29" t="str">
        <f aca="false">IF(C374="","",IFERROR(INDEX(Produk!$J$2:$J$100,MATCH(C374,Produk!$A$2:$A$100,0)),"PRODUK?"))</f>
        <v/>
      </c>
      <c r="G374" s="29" t="str">
        <f aca="false">IF(A374="","",IF(COUNTIF(Anggota!$A$2:$A$2001,A374)=0,"TIDAK ADA","OK"))</f>
        <v/>
      </c>
    </row>
    <row r="375" customFormat="false" ht="15" hidden="false" customHeight="false" outlineLevel="0" collapsed="false">
      <c r="A375" s="21"/>
      <c r="B375" s="22"/>
      <c r="C375" s="21"/>
      <c r="D375" s="24"/>
      <c r="E375" s="22"/>
      <c r="F375" s="29" t="str">
        <f aca="false">IF(C375="","",IFERROR(INDEX(Produk!$J$2:$J$100,MATCH(C375,Produk!$A$2:$A$100,0)),"PRODUK?"))</f>
        <v/>
      </c>
      <c r="G375" s="29" t="str">
        <f aca="false">IF(A375="","",IF(COUNTIF(Anggota!$A$2:$A$2001,A375)=0,"TIDAK ADA","OK"))</f>
        <v/>
      </c>
    </row>
    <row r="376" customFormat="false" ht="15" hidden="false" customHeight="false" outlineLevel="0" collapsed="false">
      <c r="A376" s="21"/>
      <c r="B376" s="22"/>
      <c r="C376" s="21"/>
      <c r="D376" s="24"/>
      <c r="E376" s="22"/>
      <c r="F376" s="29" t="str">
        <f aca="false">IF(C376="","",IFERROR(INDEX(Produk!$J$2:$J$100,MATCH(C376,Produk!$A$2:$A$100,0)),"PRODUK?"))</f>
        <v/>
      </c>
      <c r="G376" s="29" t="str">
        <f aca="false">IF(A376="","",IF(COUNTIF(Anggota!$A$2:$A$2001,A376)=0,"TIDAK ADA","OK"))</f>
        <v/>
      </c>
    </row>
    <row r="377" customFormat="false" ht="15" hidden="false" customHeight="false" outlineLevel="0" collapsed="false">
      <c r="A377" s="21"/>
      <c r="B377" s="22"/>
      <c r="C377" s="21"/>
      <c r="D377" s="24"/>
      <c r="E377" s="22"/>
      <c r="F377" s="29" t="str">
        <f aca="false">IF(C377="","",IFERROR(INDEX(Produk!$J$2:$J$100,MATCH(C377,Produk!$A$2:$A$100,0)),"PRODUK?"))</f>
        <v/>
      </c>
      <c r="G377" s="29" t="str">
        <f aca="false">IF(A377="","",IF(COUNTIF(Anggota!$A$2:$A$2001,A377)=0,"TIDAK ADA","OK"))</f>
        <v/>
      </c>
    </row>
    <row r="378" customFormat="false" ht="15" hidden="false" customHeight="false" outlineLevel="0" collapsed="false">
      <c r="A378" s="21"/>
      <c r="B378" s="22"/>
      <c r="C378" s="21"/>
      <c r="D378" s="24"/>
      <c r="E378" s="22"/>
      <c r="F378" s="29" t="str">
        <f aca="false">IF(C378="","",IFERROR(INDEX(Produk!$J$2:$J$100,MATCH(C378,Produk!$A$2:$A$100,0)),"PRODUK?"))</f>
        <v/>
      </c>
      <c r="G378" s="29" t="str">
        <f aca="false">IF(A378="","",IF(COUNTIF(Anggota!$A$2:$A$2001,A378)=0,"TIDAK ADA","OK"))</f>
        <v/>
      </c>
    </row>
    <row r="379" customFormat="false" ht="15" hidden="false" customHeight="false" outlineLevel="0" collapsed="false">
      <c r="A379" s="21"/>
      <c r="B379" s="22"/>
      <c r="C379" s="21"/>
      <c r="D379" s="24"/>
      <c r="E379" s="22"/>
      <c r="F379" s="29" t="str">
        <f aca="false">IF(C379="","",IFERROR(INDEX(Produk!$J$2:$J$100,MATCH(C379,Produk!$A$2:$A$100,0)),"PRODUK?"))</f>
        <v/>
      </c>
      <c r="G379" s="29" t="str">
        <f aca="false">IF(A379="","",IF(COUNTIF(Anggota!$A$2:$A$2001,A379)=0,"TIDAK ADA","OK"))</f>
        <v/>
      </c>
    </row>
    <row r="380" customFormat="false" ht="15" hidden="false" customHeight="false" outlineLevel="0" collapsed="false">
      <c r="A380" s="21"/>
      <c r="B380" s="22"/>
      <c r="C380" s="21"/>
      <c r="D380" s="24"/>
      <c r="E380" s="22"/>
      <c r="F380" s="29" t="str">
        <f aca="false">IF(C380="","",IFERROR(INDEX(Produk!$J$2:$J$100,MATCH(C380,Produk!$A$2:$A$100,0)),"PRODUK?"))</f>
        <v/>
      </c>
      <c r="G380" s="29" t="str">
        <f aca="false">IF(A380="","",IF(COUNTIF(Anggota!$A$2:$A$2001,A380)=0,"TIDAK ADA","OK"))</f>
        <v/>
      </c>
    </row>
    <row r="381" customFormat="false" ht="15" hidden="false" customHeight="false" outlineLevel="0" collapsed="false">
      <c r="A381" s="21"/>
      <c r="B381" s="22"/>
      <c r="C381" s="21"/>
      <c r="D381" s="24"/>
      <c r="E381" s="22"/>
      <c r="F381" s="29" t="str">
        <f aca="false">IF(C381="","",IFERROR(INDEX(Produk!$J$2:$J$100,MATCH(C381,Produk!$A$2:$A$100,0)),"PRODUK?"))</f>
        <v/>
      </c>
      <c r="G381" s="29" t="str">
        <f aca="false">IF(A381="","",IF(COUNTIF(Anggota!$A$2:$A$2001,A381)=0,"TIDAK ADA","OK"))</f>
        <v/>
      </c>
    </row>
    <row r="382" customFormat="false" ht="15" hidden="false" customHeight="false" outlineLevel="0" collapsed="false">
      <c r="A382" s="21"/>
      <c r="B382" s="22"/>
      <c r="C382" s="21"/>
      <c r="D382" s="24"/>
      <c r="E382" s="22"/>
      <c r="F382" s="29" t="str">
        <f aca="false">IF(C382="","",IFERROR(INDEX(Produk!$J$2:$J$100,MATCH(C382,Produk!$A$2:$A$100,0)),"PRODUK?"))</f>
        <v/>
      </c>
      <c r="G382" s="29" t="str">
        <f aca="false">IF(A382="","",IF(COUNTIF(Anggota!$A$2:$A$2001,A382)=0,"TIDAK ADA","OK"))</f>
        <v/>
      </c>
    </row>
    <row r="383" customFormat="false" ht="15" hidden="false" customHeight="false" outlineLevel="0" collapsed="false">
      <c r="A383" s="21"/>
      <c r="B383" s="22"/>
      <c r="C383" s="21"/>
      <c r="D383" s="24"/>
      <c r="E383" s="22"/>
      <c r="F383" s="29" t="str">
        <f aca="false">IF(C383="","",IFERROR(INDEX(Produk!$J$2:$J$100,MATCH(C383,Produk!$A$2:$A$100,0)),"PRODUK?"))</f>
        <v/>
      </c>
      <c r="G383" s="29" t="str">
        <f aca="false">IF(A383="","",IF(COUNTIF(Anggota!$A$2:$A$2001,A383)=0,"TIDAK ADA","OK"))</f>
        <v/>
      </c>
    </row>
    <row r="384" customFormat="false" ht="15" hidden="false" customHeight="false" outlineLevel="0" collapsed="false">
      <c r="A384" s="21"/>
      <c r="B384" s="22"/>
      <c r="C384" s="21"/>
      <c r="D384" s="24"/>
      <c r="E384" s="22"/>
      <c r="F384" s="29" t="str">
        <f aca="false">IF(C384="","",IFERROR(INDEX(Produk!$J$2:$J$100,MATCH(C384,Produk!$A$2:$A$100,0)),"PRODUK?"))</f>
        <v/>
      </c>
      <c r="G384" s="29" t="str">
        <f aca="false">IF(A384="","",IF(COUNTIF(Anggota!$A$2:$A$2001,A384)=0,"TIDAK ADA","OK"))</f>
        <v/>
      </c>
    </row>
    <row r="385" customFormat="false" ht="15" hidden="false" customHeight="false" outlineLevel="0" collapsed="false">
      <c r="A385" s="21"/>
      <c r="B385" s="22"/>
      <c r="C385" s="21"/>
      <c r="D385" s="24"/>
      <c r="E385" s="22"/>
      <c r="F385" s="29" t="str">
        <f aca="false">IF(C385="","",IFERROR(INDEX(Produk!$J$2:$J$100,MATCH(C385,Produk!$A$2:$A$100,0)),"PRODUK?"))</f>
        <v/>
      </c>
      <c r="G385" s="29" t="str">
        <f aca="false">IF(A385="","",IF(COUNTIF(Anggota!$A$2:$A$2001,A385)=0,"TIDAK ADA","OK"))</f>
        <v/>
      </c>
    </row>
    <row r="386" customFormat="false" ht="15" hidden="false" customHeight="false" outlineLevel="0" collapsed="false">
      <c r="A386" s="21"/>
      <c r="B386" s="22"/>
      <c r="C386" s="21"/>
      <c r="D386" s="24"/>
      <c r="E386" s="22"/>
      <c r="F386" s="29" t="str">
        <f aca="false">IF(C386="","",IFERROR(INDEX(Produk!$J$2:$J$100,MATCH(C386,Produk!$A$2:$A$100,0)),"PRODUK?"))</f>
        <v/>
      </c>
      <c r="G386" s="29" t="str">
        <f aca="false">IF(A386="","",IF(COUNTIF(Anggota!$A$2:$A$2001,A386)=0,"TIDAK ADA","OK"))</f>
        <v/>
      </c>
    </row>
    <row r="387" customFormat="false" ht="15" hidden="false" customHeight="false" outlineLevel="0" collapsed="false">
      <c r="A387" s="21"/>
      <c r="B387" s="22"/>
      <c r="C387" s="21"/>
      <c r="D387" s="24"/>
      <c r="E387" s="22"/>
      <c r="F387" s="29" t="str">
        <f aca="false">IF(C387="","",IFERROR(INDEX(Produk!$J$2:$J$100,MATCH(C387,Produk!$A$2:$A$100,0)),"PRODUK?"))</f>
        <v/>
      </c>
      <c r="G387" s="29" t="str">
        <f aca="false">IF(A387="","",IF(COUNTIF(Anggota!$A$2:$A$2001,A387)=0,"TIDAK ADA","OK"))</f>
        <v/>
      </c>
    </row>
    <row r="388" customFormat="false" ht="15" hidden="false" customHeight="false" outlineLevel="0" collapsed="false">
      <c r="A388" s="21"/>
      <c r="B388" s="22"/>
      <c r="C388" s="21"/>
      <c r="D388" s="24"/>
      <c r="E388" s="22"/>
      <c r="F388" s="29" t="str">
        <f aca="false">IF(C388="","",IFERROR(INDEX(Produk!$J$2:$J$100,MATCH(C388,Produk!$A$2:$A$100,0)),"PRODUK?"))</f>
        <v/>
      </c>
      <c r="G388" s="29" t="str">
        <f aca="false">IF(A388="","",IF(COUNTIF(Anggota!$A$2:$A$2001,A388)=0,"TIDAK ADA","OK"))</f>
        <v/>
      </c>
    </row>
    <row r="389" customFormat="false" ht="15" hidden="false" customHeight="false" outlineLevel="0" collapsed="false">
      <c r="A389" s="21"/>
      <c r="B389" s="22"/>
      <c r="C389" s="21"/>
      <c r="D389" s="24"/>
      <c r="E389" s="22"/>
      <c r="F389" s="29" t="str">
        <f aca="false">IF(C389="","",IFERROR(INDEX(Produk!$J$2:$J$100,MATCH(C389,Produk!$A$2:$A$100,0)),"PRODUK?"))</f>
        <v/>
      </c>
      <c r="G389" s="29" t="str">
        <f aca="false">IF(A389="","",IF(COUNTIF(Anggota!$A$2:$A$2001,A389)=0,"TIDAK ADA","OK"))</f>
        <v/>
      </c>
    </row>
    <row r="390" customFormat="false" ht="15" hidden="false" customHeight="false" outlineLevel="0" collapsed="false">
      <c r="A390" s="21"/>
      <c r="B390" s="22"/>
      <c r="C390" s="21"/>
      <c r="D390" s="24"/>
      <c r="E390" s="22"/>
      <c r="F390" s="29" t="str">
        <f aca="false">IF(C390="","",IFERROR(INDEX(Produk!$J$2:$J$100,MATCH(C390,Produk!$A$2:$A$100,0)),"PRODUK?"))</f>
        <v/>
      </c>
      <c r="G390" s="29" t="str">
        <f aca="false">IF(A390="","",IF(COUNTIF(Anggota!$A$2:$A$2001,A390)=0,"TIDAK ADA","OK"))</f>
        <v/>
      </c>
    </row>
    <row r="391" customFormat="false" ht="15" hidden="false" customHeight="false" outlineLevel="0" collapsed="false">
      <c r="A391" s="21"/>
      <c r="B391" s="22"/>
      <c r="C391" s="21"/>
      <c r="D391" s="24"/>
      <c r="E391" s="22"/>
      <c r="F391" s="29" t="str">
        <f aca="false">IF(C391="","",IFERROR(INDEX(Produk!$J$2:$J$100,MATCH(C391,Produk!$A$2:$A$100,0)),"PRODUK?"))</f>
        <v/>
      </c>
      <c r="G391" s="29" t="str">
        <f aca="false">IF(A391="","",IF(COUNTIF(Anggota!$A$2:$A$2001,A391)=0,"TIDAK ADA","OK"))</f>
        <v/>
      </c>
    </row>
    <row r="392" customFormat="false" ht="15" hidden="false" customHeight="false" outlineLevel="0" collapsed="false">
      <c r="A392" s="21"/>
      <c r="B392" s="22"/>
      <c r="C392" s="21"/>
      <c r="D392" s="24"/>
      <c r="E392" s="22"/>
      <c r="F392" s="29" t="str">
        <f aca="false">IF(C392="","",IFERROR(INDEX(Produk!$J$2:$J$100,MATCH(C392,Produk!$A$2:$A$100,0)),"PRODUK?"))</f>
        <v/>
      </c>
      <c r="G392" s="29" t="str">
        <f aca="false">IF(A392="","",IF(COUNTIF(Anggota!$A$2:$A$2001,A392)=0,"TIDAK ADA","OK"))</f>
        <v/>
      </c>
    </row>
    <row r="393" customFormat="false" ht="15" hidden="false" customHeight="false" outlineLevel="0" collapsed="false">
      <c r="A393" s="21"/>
      <c r="B393" s="22"/>
      <c r="C393" s="21"/>
      <c r="D393" s="24"/>
      <c r="E393" s="22"/>
      <c r="F393" s="29" t="str">
        <f aca="false">IF(C393="","",IFERROR(INDEX(Produk!$J$2:$J$100,MATCH(C393,Produk!$A$2:$A$100,0)),"PRODUK?"))</f>
        <v/>
      </c>
      <c r="G393" s="29" t="str">
        <f aca="false">IF(A393="","",IF(COUNTIF(Anggota!$A$2:$A$2001,A393)=0,"TIDAK ADA","OK"))</f>
        <v/>
      </c>
    </row>
    <row r="394" customFormat="false" ht="15" hidden="false" customHeight="false" outlineLevel="0" collapsed="false">
      <c r="A394" s="21"/>
      <c r="B394" s="22"/>
      <c r="C394" s="21"/>
      <c r="D394" s="24"/>
      <c r="E394" s="22"/>
      <c r="F394" s="29" t="str">
        <f aca="false">IF(C394="","",IFERROR(INDEX(Produk!$J$2:$J$100,MATCH(C394,Produk!$A$2:$A$100,0)),"PRODUK?"))</f>
        <v/>
      </c>
      <c r="G394" s="29" t="str">
        <f aca="false">IF(A394="","",IF(COUNTIF(Anggota!$A$2:$A$2001,A394)=0,"TIDAK ADA","OK"))</f>
        <v/>
      </c>
    </row>
    <row r="395" customFormat="false" ht="15" hidden="false" customHeight="false" outlineLevel="0" collapsed="false">
      <c r="A395" s="21"/>
      <c r="B395" s="22"/>
      <c r="C395" s="21"/>
      <c r="D395" s="24"/>
      <c r="E395" s="22"/>
      <c r="F395" s="29" t="str">
        <f aca="false">IF(C395="","",IFERROR(INDEX(Produk!$J$2:$J$100,MATCH(C395,Produk!$A$2:$A$100,0)),"PRODUK?"))</f>
        <v/>
      </c>
      <c r="G395" s="29" t="str">
        <f aca="false">IF(A395="","",IF(COUNTIF(Anggota!$A$2:$A$2001,A395)=0,"TIDAK ADA","OK"))</f>
        <v/>
      </c>
    </row>
    <row r="396" customFormat="false" ht="15" hidden="false" customHeight="false" outlineLevel="0" collapsed="false">
      <c r="A396" s="21"/>
      <c r="B396" s="22"/>
      <c r="C396" s="21"/>
      <c r="D396" s="24"/>
      <c r="E396" s="22"/>
      <c r="F396" s="29" t="str">
        <f aca="false">IF(C396="","",IFERROR(INDEX(Produk!$J$2:$J$100,MATCH(C396,Produk!$A$2:$A$100,0)),"PRODUK?"))</f>
        <v/>
      </c>
      <c r="G396" s="29" t="str">
        <f aca="false">IF(A396="","",IF(COUNTIF(Anggota!$A$2:$A$2001,A396)=0,"TIDAK ADA","OK"))</f>
        <v/>
      </c>
    </row>
    <row r="397" customFormat="false" ht="15" hidden="false" customHeight="false" outlineLevel="0" collapsed="false">
      <c r="A397" s="21"/>
      <c r="B397" s="22"/>
      <c r="C397" s="21"/>
      <c r="D397" s="24"/>
      <c r="E397" s="22"/>
      <c r="F397" s="29" t="str">
        <f aca="false">IF(C397="","",IFERROR(INDEX(Produk!$J$2:$J$100,MATCH(C397,Produk!$A$2:$A$100,0)),"PRODUK?"))</f>
        <v/>
      </c>
      <c r="G397" s="29" t="str">
        <f aca="false">IF(A397="","",IF(COUNTIF(Anggota!$A$2:$A$2001,A397)=0,"TIDAK ADA","OK"))</f>
        <v/>
      </c>
    </row>
    <row r="398" customFormat="false" ht="15" hidden="false" customHeight="false" outlineLevel="0" collapsed="false">
      <c r="A398" s="21"/>
      <c r="B398" s="22"/>
      <c r="C398" s="21"/>
      <c r="D398" s="24"/>
      <c r="E398" s="22"/>
      <c r="F398" s="29" t="str">
        <f aca="false">IF(C398="","",IFERROR(INDEX(Produk!$J$2:$J$100,MATCH(C398,Produk!$A$2:$A$100,0)),"PRODUK?"))</f>
        <v/>
      </c>
      <c r="G398" s="29" t="str">
        <f aca="false">IF(A398="","",IF(COUNTIF(Anggota!$A$2:$A$2001,A398)=0,"TIDAK ADA","OK"))</f>
        <v/>
      </c>
    </row>
    <row r="399" customFormat="false" ht="15" hidden="false" customHeight="false" outlineLevel="0" collapsed="false">
      <c r="A399" s="21"/>
      <c r="B399" s="22"/>
      <c r="C399" s="21"/>
      <c r="D399" s="24"/>
      <c r="E399" s="22"/>
      <c r="F399" s="29" t="str">
        <f aca="false">IF(C399="","",IFERROR(INDEX(Produk!$J$2:$J$100,MATCH(C399,Produk!$A$2:$A$100,0)),"PRODUK?"))</f>
        <v/>
      </c>
      <c r="G399" s="29" t="str">
        <f aca="false">IF(A399="","",IF(COUNTIF(Anggota!$A$2:$A$2001,A399)=0,"TIDAK ADA","OK"))</f>
        <v/>
      </c>
    </row>
    <row r="400" customFormat="false" ht="15" hidden="false" customHeight="false" outlineLevel="0" collapsed="false">
      <c r="A400" s="21"/>
      <c r="B400" s="22"/>
      <c r="C400" s="21"/>
      <c r="D400" s="24"/>
      <c r="E400" s="22"/>
      <c r="F400" s="29" t="str">
        <f aca="false">IF(C400="","",IFERROR(INDEX(Produk!$J$2:$J$100,MATCH(C400,Produk!$A$2:$A$100,0)),"PRODUK?"))</f>
        <v/>
      </c>
      <c r="G400" s="29" t="str">
        <f aca="false">IF(A400="","",IF(COUNTIF(Anggota!$A$2:$A$2001,A400)=0,"TIDAK ADA","OK"))</f>
        <v/>
      </c>
    </row>
    <row r="401" customFormat="false" ht="15" hidden="false" customHeight="false" outlineLevel="0" collapsed="false">
      <c r="A401" s="21"/>
      <c r="B401" s="22"/>
      <c r="C401" s="21"/>
      <c r="D401" s="24"/>
      <c r="E401" s="22"/>
      <c r="F401" s="29" t="str">
        <f aca="false">IF(C401="","",IFERROR(INDEX(Produk!$J$2:$J$100,MATCH(C401,Produk!$A$2:$A$100,0)),"PRODUK?"))</f>
        <v/>
      </c>
      <c r="G401" s="29" t="str">
        <f aca="false">IF(A401="","",IF(COUNTIF(Anggota!$A$2:$A$2001,A401)=0,"TIDAK ADA","OK"))</f>
        <v/>
      </c>
    </row>
    <row r="402" customFormat="false" ht="15" hidden="false" customHeight="false" outlineLevel="0" collapsed="false">
      <c r="A402" s="21"/>
      <c r="B402" s="22"/>
      <c r="C402" s="21"/>
      <c r="D402" s="24"/>
      <c r="E402" s="22"/>
      <c r="F402" s="29" t="str">
        <f aca="false">IF(C402="","",IFERROR(INDEX(Produk!$J$2:$J$100,MATCH(C402,Produk!$A$2:$A$100,0)),"PRODUK?"))</f>
        <v/>
      </c>
      <c r="G402" s="29" t="str">
        <f aca="false">IF(A402="","",IF(COUNTIF(Anggota!$A$2:$A$2001,A402)=0,"TIDAK ADA","OK"))</f>
        <v/>
      </c>
    </row>
    <row r="403" customFormat="false" ht="15" hidden="false" customHeight="false" outlineLevel="0" collapsed="false">
      <c r="A403" s="21"/>
      <c r="B403" s="22"/>
      <c r="C403" s="21"/>
      <c r="D403" s="24"/>
      <c r="E403" s="22"/>
      <c r="F403" s="29" t="str">
        <f aca="false">IF(C403="","",IFERROR(INDEX(Produk!$J$2:$J$100,MATCH(C403,Produk!$A$2:$A$100,0)),"PRODUK?"))</f>
        <v/>
      </c>
      <c r="G403" s="29" t="str">
        <f aca="false">IF(A403="","",IF(COUNTIF(Anggota!$A$2:$A$2001,A403)=0,"TIDAK ADA","OK"))</f>
        <v/>
      </c>
    </row>
    <row r="404" customFormat="false" ht="15" hidden="false" customHeight="false" outlineLevel="0" collapsed="false">
      <c r="A404" s="21"/>
      <c r="B404" s="22"/>
      <c r="C404" s="21"/>
      <c r="D404" s="24"/>
      <c r="E404" s="22"/>
      <c r="F404" s="29" t="str">
        <f aca="false">IF(C404="","",IFERROR(INDEX(Produk!$J$2:$J$100,MATCH(C404,Produk!$A$2:$A$100,0)),"PRODUK?"))</f>
        <v/>
      </c>
      <c r="G404" s="29" t="str">
        <f aca="false">IF(A404="","",IF(COUNTIF(Anggota!$A$2:$A$2001,A404)=0,"TIDAK ADA","OK"))</f>
        <v/>
      </c>
    </row>
    <row r="405" customFormat="false" ht="15" hidden="false" customHeight="false" outlineLevel="0" collapsed="false">
      <c r="A405" s="21"/>
      <c r="B405" s="22"/>
      <c r="C405" s="21"/>
      <c r="D405" s="24"/>
      <c r="E405" s="22"/>
      <c r="F405" s="29" t="str">
        <f aca="false">IF(C405="","",IFERROR(INDEX(Produk!$J$2:$J$100,MATCH(C405,Produk!$A$2:$A$100,0)),"PRODUK?"))</f>
        <v/>
      </c>
      <c r="G405" s="29" t="str">
        <f aca="false">IF(A405="","",IF(COUNTIF(Anggota!$A$2:$A$2001,A405)=0,"TIDAK ADA","OK"))</f>
        <v/>
      </c>
    </row>
    <row r="406" customFormat="false" ht="15" hidden="false" customHeight="false" outlineLevel="0" collapsed="false">
      <c r="A406" s="21"/>
      <c r="B406" s="22"/>
      <c r="C406" s="21"/>
      <c r="D406" s="24"/>
      <c r="E406" s="22"/>
      <c r="F406" s="29" t="str">
        <f aca="false">IF(C406="","",IFERROR(INDEX(Produk!$J$2:$J$100,MATCH(C406,Produk!$A$2:$A$100,0)),"PRODUK?"))</f>
        <v/>
      </c>
      <c r="G406" s="29" t="str">
        <f aca="false">IF(A406="","",IF(COUNTIF(Anggota!$A$2:$A$2001,A406)=0,"TIDAK ADA","OK"))</f>
        <v/>
      </c>
    </row>
    <row r="407" customFormat="false" ht="15" hidden="false" customHeight="false" outlineLevel="0" collapsed="false">
      <c r="A407" s="21"/>
      <c r="B407" s="22"/>
      <c r="C407" s="21"/>
      <c r="D407" s="24"/>
      <c r="E407" s="22"/>
      <c r="F407" s="29" t="str">
        <f aca="false">IF(C407="","",IFERROR(INDEX(Produk!$J$2:$J$100,MATCH(C407,Produk!$A$2:$A$100,0)),"PRODUK?"))</f>
        <v/>
      </c>
      <c r="G407" s="29" t="str">
        <f aca="false">IF(A407="","",IF(COUNTIF(Anggota!$A$2:$A$2001,A407)=0,"TIDAK ADA","OK"))</f>
        <v/>
      </c>
    </row>
    <row r="408" customFormat="false" ht="15" hidden="false" customHeight="false" outlineLevel="0" collapsed="false">
      <c r="A408" s="21"/>
      <c r="B408" s="22"/>
      <c r="C408" s="21"/>
      <c r="D408" s="24"/>
      <c r="E408" s="22"/>
      <c r="F408" s="29" t="str">
        <f aca="false">IF(C408="","",IFERROR(INDEX(Produk!$J$2:$J$100,MATCH(C408,Produk!$A$2:$A$100,0)),"PRODUK?"))</f>
        <v/>
      </c>
      <c r="G408" s="29" t="str">
        <f aca="false">IF(A408="","",IF(COUNTIF(Anggota!$A$2:$A$2001,A408)=0,"TIDAK ADA","OK"))</f>
        <v/>
      </c>
    </row>
    <row r="409" customFormat="false" ht="15" hidden="false" customHeight="false" outlineLevel="0" collapsed="false">
      <c r="A409" s="21"/>
      <c r="B409" s="22"/>
      <c r="C409" s="21"/>
      <c r="D409" s="24"/>
      <c r="E409" s="22"/>
      <c r="F409" s="29" t="str">
        <f aca="false">IF(C409="","",IFERROR(INDEX(Produk!$J$2:$J$100,MATCH(C409,Produk!$A$2:$A$100,0)),"PRODUK?"))</f>
        <v/>
      </c>
      <c r="G409" s="29" t="str">
        <f aca="false">IF(A409="","",IF(COUNTIF(Anggota!$A$2:$A$2001,A409)=0,"TIDAK ADA","OK"))</f>
        <v/>
      </c>
    </row>
    <row r="410" customFormat="false" ht="15" hidden="false" customHeight="false" outlineLevel="0" collapsed="false">
      <c r="A410" s="21"/>
      <c r="B410" s="22"/>
      <c r="C410" s="21"/>
      <c r="D410" s="24"/>
      <c r="E410" s="22"/>
      <c r="F410" s="29" t="str">
        <f aca="false">IF(C410="","",IFERROR(INDEX(Produk!$J$2:$J$100,MATCH(C410,Produk!$A$2:$A$100,0)),"PRODUK?"))</f>
        <v/>
      </c>
      <c r="G410" s="29" t="str">
        <f aca="false">IF(A410="","",IF(COUNTIF(Anggota!$A$2:$A$2001,A410)=0,"TIDAK ADA","OK"))</f>
        <v/>
      </c>
    </row>
    <row r="411" customFormat="false" ht="15" hidden="false" customHeight="false" outlineLevel="0" collapsed="false">
      <c r="A411" s="21"/>
      <c r="B411" s="22"/>
      <c r="C411" s="21"/>
      <c r="D411" s="24"/>
      <c r="E411" s="22"/>
      <c r="F411" s="29" t="str">
        <f aca="false">IF(C411="","",IFERROR(INDEX(Produk!$J$2:$J$100,MATCH(C411,Produk!$A$2:$A$100,0)),"PRODUK?"))</f>
        <v/>
      </c>
      <c r="G411" s="29" t="str">
        <f aca="false">IF(A411="","",IF(COUNTIF(Anggota!$A$2:$A$2001,A411)=0,"TIDAK ADA","OK"))</f>
        <v/>
      </c>
    </row>
    <row r="412" customFormat="false" ht="15" hidden="false" customHeight="false" outlineLevel="0" collapsed="false">
      <c r="A412" s="21"/>
      <c r="B412" s="22"/>
      <c r="C412" s="21"/>
      <c r="D412" s="24"/>
      <c r="E412" s="22"/>
      <c r="F412" s="29" t="str">
        <f aca="false">IF(C412="","",IFERROR(INDEX(Produk!$J$2:$J$100,MATCH(C412,Produk!$A$2:$A$100,0)),"PRODUK?"))</f>
        <v/>
      </c>
      <c r="G412" s="29" t="str">
        <f aca="false">IF(A412="","",IF(COUNTIF(Anggota!$A$2:$A$2001,A412)=0,"TIDAK ADA","OK"))</f>
        <v/>
      </c>
    </row>
    <row r="413" customFormat="false" ht="15" hidden="false" customHeight="false" outlineLevel="0" collapsed="false">
      <c r="A413" s="21"/>
      <c r="B413" s="22"/>
      <c r="C413" s="21"/>
      <c r="D413" s="24"/>
      <c r="E413" s="22"/>
      <c r="F413" s="29" t="str">
        <f aca="false">IF(C413="","",IFERROR(INDEX(Produk!$J$2:$J$100,MATCH(C413,Produk!$A$2:$A$100,0)),"PRODUK?"))</f>
        <v/>
      </c>
      <c r="G413" s="29" t="str">
        <f aca="false">IF(A413="","",IF(COUNTIF(Anggota!$A$2:$A$2001,A413)=0,"TIDAK ADA","OK"))</f>
        <v/>
      </c>
    </row>
    <row r="414" customFormat="false" ht="15" hidden="false" customHeight="false" outlineLevel="0" collapsed="false">
      <c r="A414" s="21"/>
      <c r="B414" s="22"/>
      <c r="C414" s="21"/>
      <c r="D414" s="24"/>
      <c r="E414" s="22"/>
      <c r="F414" s="29" t="str">
        <f aca="false">IF(C414="","",IFERROR(INDEX(Produk!$J$2:$J$100,MATCH(C414,Produk!$A$2:$A$100,0)),"PRODUK?"))</f>
        <v/>
      </c>
      <c r="G414" s="29" t="str">
        <f aca="false">IF(A414="","",IF(COUNTIF(Anggota!$A$2:$A$2001,A414)=0,"TIDAK ADA","OK"))</f>
        <v/>
      </c>
    </row>
    <row r="415" customFormat="false" ht="15" hidden="false" customHeight="false" outlineLevel="0" collapsed="false">
      <c r="A415" s="21"/>
      <c r="B415" s="22"/>
      <c r="C415" s="21"/>
      <c r="D415" s="24"/>
      <c r="E415" s="22"/>
      <c r="F415" s="29" t="str">
        <f aca="false">IF(C415="","",IFERROR(INDEX(Produk!$J$2:$J$100,MATCH(C415,Produk!$A$2:$A$100,0)),"PRODUK?"))</f>
        <v/>
      </c>
      <c r="G415" s="29" t="str">
        <f aca="false">IF(A415="","",IF(COUNTIF(Anggota!$A$2:$A$2001,A415)=0,"TIDAK ADA","OK"))</f>
        <v/>
      </c>
    </row>
    <row r="416" customFormat="false" ht="15" hidden="false" customHeight="false" outlineLevel="0" collapsed="false">
      <c r="A416" s="21"/>
      <c r="B416" s="22"/>
      <c r="C416" s="21"/>
      <c r="D416" s="24"/>
      <c r="E416" s="22"/>
      <c r="F416" s="29" t="str">
        <f aca="false">IF(C416="","",IFERROR(INDEX(Produk!$J$2:$J$100,MATCH(C416,Produk!$A$2:$A$100,0)),"PRODUK?"))</f>
        <v/>
      </c>
      <c r="G416" s="29" t="str">
        <f aca="false">IF(A416="","",IF(COUNTIF(Anggota!$A$2:$A$2001,A416)=0,"TIDAK ADA","OK"))</f>
        <v/>
      </c>
    </row>
    <row r="417" customFormat="false" ht="15" hidden="false" customHeight="false" outlineLevel="0" collapsed="false">
      <c r="A417" s="21"/>
      <c r="B417" s="22"/>
      <c r="C417" s="21"/>
      <c r="D417" s="24"/>
      <c r="E417" s="22"/>
      <c r="F417" s="29" t="str">
        <f aca="false">IF(C417="","",IFERROR(INDEX(Produk!$J$2:$J$100,MATCH(C417,Produk!$A$2:$A$100,0)),"PRODUK?"))</f>
        <v/>
      </c>
      <c r="G417" s="29" t="str">
        <f aca="false">IF(A417="","",IF(COUNTIF(Anggota!$A$2:$A$2001,A417)=0,"TIDAK ADA","OK"))</f>
        <v/>
      </c>
    </row>
    <row r="418" customFormat="false" ht="15" hidden="false" customHeight="false" outlineLevel="0" collapsed="false">
      <c r="A418" s="21"/>
      <c r="B418" s="22"/>
      <c r="C418" s="21"/>
      <c r="D418" s="24"/>
      <c r="E418" s="22"/>
      <c r="F418" s="29" t="str">
        <f aca="false">IF(C418="","",IFERROR(INDEX(Produk!$J$2:$J$100,MATCH(C418,Produk!$A$2:$A$100,0)),"PRODUK?"))</f>
        <v/>
      </c>
      <c r="G418" s="29" t="str">
        <f aca="false">IF(A418="","",IF(COUNTIF(Anggota!$A$2:$A$2001,A418)=0,"TIDAK ADA","OK"))</f>
        <v/>
      </c>
    </row>
    <row r="419" customFormat="false" ht="15" hidden="false" customHeight="false" outlineLevel="0" collapsed="false">
      <c r="A419" s="21"/>
      <c r="B419" s="22"/>
      <c r="C419" s="21"/>
      <c r="D419" s="24"/>
      <c r="E419" s="22"/>
      <c r="F419" s="29" t="str">
        <f aca="false">IF(C419="","",IFERROR(INDEX(Produk!$J$2:$J$100,MATCH(C419,Produk!$A$2:$A$100,0)),"PRODUK?"))</f>
        <v/>
      </c>
      <c r="G419" s="29" t="str">
        <f aca="false">IF(A419="","",IF(COUNTIF(Anggota!$A$2:$A$2001,A419)=0,"TIDAK ADA","OK"))</f>
        <v/>
      </c>
    </row>
    <row r="420" customFormat="false" ht="15" hidden="false" customHeight="false" outlineLevel="0" collapsed="false">
      <c r="A420" s="21"/>
      <c r="B420" s="22"/>
      <c r="C420" s="21"/>
      <c r="D420" s="24"/>
      <c r="E420" s="22"/>
      <c r="F420" s="29" t="str">
        <f aca="false">IF(C420="","",IFERROR(INDEX(Produk!$J$2:$J$100,MATCH(C420,Produk!$A$2:$A$100,0)),"PRODUK?"))</f>
        <v/>
      </c>
      <c r="G420" s="29" t="str">
        <f aca="false">IF(A420="","",IF(COUNTIF(Anggota!$A$2:$A$2001,A420)=0,"TIDAK ADA","OK"))</f>
        <v/>
      </c>
    </row>
    <row r="421" customFormat="false" ht="15" hidden="false" customHeight="false" outlineLevel="0" collapsed="false">
      <c r="A421" s="21"/>
      <c r="B421" s="22"/>
      <c r="C421" s="21"/>
      <c r="D421" s="24"/>
      <c r="E421" s="22"/>
      <c r="F421" s="29" t="str">
        <f aca="false">IF(C421="","",IFERROR(INDEX(Produk!$J$2:$J$100,MATCH(C421,Produk!$A$2:$A$100,0)),"PRODUK?"))</f>
        <v/>
      </c>
      <c r="G421" s="29" t="str">
        <f aca="false">IF(A421="","",IF(COUNTIF(Anggota!$A$2:$A$2001,A421)=0,"TIDAK ADA","OK"))</f>
        <v/>
      </c>
    </row>
    <row r="422" customFormat="false" ht="15" hidden="false" customHeight="false" outlineLevel="0" collapsed="false">
      <c r="A422" s="21"/>
      <c r="B422" s="22"/>
      <c r="C422" s="21"/>
      <c r="D422" s="24"/>
      <c r="E422" s="22"/>
      <c r="F422" s="29" t="str">
        <f aca="false">IF(C422="","",IFERROR(INDEX(Produk!$J$2:$J$100,MATCH(C422,Produk!$A$2:$A$100,0)),"PRODUK?"))</f>
        <v/>
      </c>
      <c r="G422" s="29" t="str">
        <f aca="false">IF(A422="","",IF(COUNTIF(Anggota!$A$2:$A$2001,A422)=0,"TIDAK ADA","OK"))</f>
        <v/>
      </c>
    </row>
    <row r="423" customFormat="false" ht="15" hidden="false" customHeight="false" outlineLevel="0" collapsed="false">
      <c r="A423" s="21"/>
      <c r="B423" s="22"/>
      <c r="C423" s="21"/>
      <c r="D423" s="24"/>
      <c r="E423" s="22"/>
      <c r="F423" s="29" t="str">
        <f aca="false">IF(C423="","",IFERROR(INDEX(Produk!$J$2:$J$100,MATCH(C423,Produk!$A$2:$A$100,0)),"PRODUK?"))</f>
        <v/>
      </c>
      <c r="G423" s="29" t="str">
        <f aca="false">IF(A423="","",IF(COUNTIF(Anggota!$A$2:$A$2001,A423)=0,"TIDAK ADA","OK"))</f>
        <v/>
      </c>
    </row>
    <row r="424" customFormat="false" ht="15" hidden="false" customHeight="false" outlineLevel="0" collapsed="false">
      <c r="A424" s="21"/>
      <c r="B424" s="22"/>
      <c r="C424" s="21"/>
      <c r="D424" s="24"/>
      <c r="E424" s="22"/>
      <c r="F424" s="29" t="str">
        <f aca="false">IF(C424="","",IFERROR(INDEX(Produk!$J$2:$J$100,MATCH(C424,Produk!$A$2:$A$100,0)),"PRODUK?"))</f>
        <v/>
      </c>
      <c r="G424" s="29" t="str">
        <f aca="false">IF(A424="","",IF(COUNTIF(Anggota!$A$2:$A$2001,A424)=0,"TIDAK ADA","OK"))</f>
        <v/>
      </c>
    </row>
    <row r="425" customFormat="false" ht="15" hidden="false" customHeight="false" outlineLevel="0" collapsed="false">
      <c r="A425" s="21"/>
      <c r="B425" s="22"/>
      <c r="C425" s="21"/>
      <c r="D425" s="24"/>
      <c r="E425" s="22"/>
      <c r="F425" s="29" t="str">
        <f aca="false">IF(C425="","",IFERROR(INDEX(Produk!$J$2:$J$100,MATCH(C425,Produk!$A$2:$A$100,0)),"PRODUK?"))</f>
        <v/>
      </c>
      <c r="G425" s="29" t="str">
        <f aca="false">IF(A425="","",IF(COUNTIF(Anggota!$A$2:$A$2001,A425)=0,"TIDAK ADA","OK"))</f>
        <v/>
      </c>
    </row>
    <row r="426" customFormat="false" ht="15" hidden="false" customHeight="false" outlineLevel="0" collapsed="false">
      <c r="A426" s="21"/>
      <c r="B426" s="22"/>
      <c r="C426" s="21"/>
      <c r="D426" s="24"/>
      <c r="E426" s="22"/>
      <c r="F426" s="29" t="str">
        <f aca="false">IF(C426="","",IFERROR(INDEX(Produk!$J$2:$J$100,MATCH(C426,Produk!$A$2:$A$100,0)),"PRODUK?"))</f>
        <v/>
      </c>
      <c r="G426" s="29" t="str">
        <f aca="false">IF(A426="","",IF(COUNTIF(Anggota!$A$2:$A$2001,A426)=0,"TIDAK ADA","OK"))</f>
        <v/>
      </c>
    </row>
    <row r="427" customFormat="false" ht="15" hidden="false" customHeight="false" outlineLevel="0" collapsed="false">
      <c r="A427" s="21"/>
      <c r="B427" s="22"/>
      <c r="C427" s="21"/>
      <c r="D427" s="24"/>
      <c r="E427" s="22"/>
      <c r="F427" s="29" t="str">
        <f aca="false">IF(C427="","",IFERROR(INDEX(Produk!$J$2:$J$100,MATCH(C427,Produk!$A$2:$A$100,0)),"PRODUK?"))</f>
        <v/>
      </c>
      <c r="G427" s="29" t="str">
        <f aca="false">IF(A427="","",IF(COUNTIF(Anggota!$A$2:$A$2001,A427)=0,"TIDAK ADA","OK"))</f>
        <v/>
      </c>
    </row>
    <row r="428" customFormat="false" ht="15" hidden="false" customHeight="false" outlineLevel="0" collapsed="false">
      <c r="A428" s="21"/>
      <c r="B428" s="22"/>
      <c r="C428" s="21"/>
      <c r="D428" s="24"/>
      <c r="E428" s="22"/>
      <c r="F428" s="29" t="str">
        <f aca="false">IF(C428="","",IFERROR(INDEX(Produk!$J$2:$J$100,MATCH(C428,Produk!$A$2:$A$100,0)),"PRODUK?"))</f>
        <v/>
      </c>
      <c r="G428" s="29" t="str">
        <f aca="false">IF(A428="","",IF(COUNTIF(Anggota!$A$2:$A$2001,A428)=0,"TIDAK ADA","OK"))</f>
        <v/>
      </c>
    </row>
    <row r="429" customFormat="false" ht="15" hidden="false" customHeight="false" outlineLevel="0" collapsed="false">
      <c r="A429" s="21"/>
      <c r="B429" s="22"/>
      <c r="C429" s="21"/>
      <c r="D429" s="24"/>
      <c r="E429" s="22"/>
      <c r="F429" s="29" t="str">
        <f aca="false">IF(C429="","",IFERROR(INDEX(Produk!$J$2:$J$100,MATCH(C429,Produk!$A$2:$A$100,0)),"PRODUK?"))</f>
        <v/>
      </c>
      <c r="G429" s="29" t="str">
        <f aca="false">IF(A429="","",IF(COUNTIF(Anggota!$A$2:$A$2001,A429)=0,"TIDAK ADA","OK"))</f>
        <v/>
      </c>
    </row>
    <row r="430" customFormat="false" ht="15" hidden="false" customHeight="false" outlineLevel="0" collapsed="false">
      <c r="A430" s="21"/>
      <c r="B430" s="22"/>
      <c r="C430" s="21"/>
      <c r="D430" s="24"/>
      <c r="E430" s="22"/>
      <c r="F430" s="29" t="str">
        <f aca="false">IF(C430="","",IFERROR(INDEX(Produk!$J$2:$J$100,MATCH(C430,Produk!$A$2:$A$100,0)),"PRODUK?"))</f>
        <v/>
      </c>
      <c r="G430" s="29" t="str">
        <f aca="false">IF(A430="","",IF(COUNTIF(Anggota!$A$2:$A$2001,A430)=0,"TIDAK ADA","OK"))</f>
        <v/>
      </c>
    </row>
    <row r="431" customFormat="false" ht="15" hidden="false" customHeight="false" outlineLevel="0" collapsed="false">
      <c r="A431" s="21"/>
      <c r="B431" s="22"/>
      <c r="C431" s="21"/>
      <c r="D431" s="24"/>
      <c r="E431" s="22"/>
      <c r="F431" s="29" t="str">
        <f aca="false">IF(C431="","",IFERROR(INDEX(Produk!$J$2:$J$100,MATCH(C431,Produk!$A$2:$A$100,0)),"PRODUK?"))</f>
        <v/>
      </c>
      <c r="G431" s="29" t="str">
        <f aca="false">IF(A431="","",IF(COUNTIF(Anggota!$A$2:$A$2001,A431)=0,"TIDAK ADA","OK"))</f>
        <v/>
      </c>
    </row>
    <row r="432" customFormat="false" ht="15" hidden="false" customHeight="false" outlineLevel="0" collapsed="false">
      <c r="A432" s="21"/>
      <c r="B432" s="22"/>
      <c r="C432" s="21"/>
      <c r="D432" s="24"/>
      <c r="E432" s="22"/>
      <c r="F432" s="29" t="str">
        <f aca="false">IF(C432="","",IFERROR(INDEX(Produk!$J$2:$J$100,MATCH(C432,Produk!$A$2:$A$100,0)),"PRODUK?"))</f>
        <v/>
      </c>
      <c r="G432" s="29" t="str">
        <f aca="false">IF(A432="","",IF(COUNTIF(Anggota!$A$2:$A$2001,A432)=0,"TIDAK ADA","OK"))</f>
        <v/>
      </c>
    </row>
    <row r="433" customFormat="false" ht="15" hidden="false" customHeight="false" outlineLevel="0" collapsed="false">
      <c r="A433" s="21"/>
      <c r="B433" s="22"/>
      <c r="C433" s="21"/>
      <c r="D433" s="24"/>
      <c r="E433" s="22"/>
      <c r="F433" s="29" t="str">
        <f aca="false">IF(C433="","",IFERROR(INDEX(Produk!$J$2:$J$100,MATCH(C433,Produk!$A$2:$A$100,0)),"PRODUK?"))</f>
        <v/>
      </c>
      <c r="G433" s="29" t="str">
        <f aca="false">IF(A433="","",IF(COUNTIF(Anggota!$A$2:$A$2001,A433)=0,"TIDAK ADA","OK"))</f>
        <v/>
      </c>
    </row>
    <row r="434" customFormat="false" ht="15" hidden="false" customHeight="false" outlineLevel="0" collapsed="false">
      <c r="A434" s="21"/>
      <c r="B434" s="22"/>
      <c r="C434" s="21"/>
      <c r="D434" s="24"/>
      <c r="E434" s="22"/>
      <c r="F434" s="29" t="str">
        <f aca="false">IF(C434="","",IFERROR(INDEX(Produk!$J$2:$J$100,MATCH(C434,Produk!$A$2:$A$100,0)),"PRODUK?"))</f>
        <v/>
      </c>
      <c r="G434" s="29" t="str">
        <f aca="false">IF(A434="","",IF(COUNTIF(Anggota!$A$2:$A$2001,A434)=0,"TIDAK ADA","OK"))</f>
        <v/>
      </c>
    </row>
    <row r="435" customFormat="false" ht="15" hidden="false" customHeight="false" outlineLevel="0" collapsed="false">
      <c r="A435" s="21"/>
      <c r="B435" s="22"/>
      <c r="C435" s="21"/>
      <c r="D435" s="24"/>
      <c r="E435" s="22"/>
      <c r="F435" s="29" t="str">
        <f aca="false">IF(C435="","",IFERROR(INDEX(Produk!$J$2:$J$100,MATCH(C435,Produk!$A$2:$A$100,0)),"PRODUK?"))</f>
        <v/>
      </c>
      <c r="G435" s="29" t="str">
        <f aca="false">IF(A435="","",IF(COUNTIF(Anggota!$A$2:$A$2001,A435)=0,"TIDAK ADA","OK"))</f>
        <v/>
      </c>
    </row>
    <row r="436" customFormat="false" ht="15" hidden="false" customHeight="false" outlineLevel="0" collapsed="false">
      <c r="A436" s="21"/>
      <c r="B436" s="22"/>
      <c r="C436" s="21"/>
      <c r="D436" s="24"/>
      <c r="E436" s="22"/>
      <c r="F436" s="29" t="str">
        <f aca="false">IF(C436="","",IFERROR(INDEX(Produk!$J$2:$J$100,MATCH(C436,Produk!$A$2:$A$100,0)),"PRODUK?"))</f>
        <v/>
      </c>
      <c r="G436" s="29" t="str">
        <f aca="false">IF(A436="","",IF(COUNTIF(Anggota!$A$2:$A$2001,A436)=0,"TIDAK ADA","OK"))</f>
        <v/>
      </c>
    </row>
    <row r="437" customFormat="false" ht="15" hidden="false" customHeight="false" outlineLevel="0" collapsed="false">
      <c r="A437" s="21"/>
      <c r="B437" s="22"/>
      <c r="C437" s="21"/>
      <c r="D437" s="24"/>
      <c r="E437" s="22"/>
      <c r="F437" s="29" t="str">
        <f aca="false">IF(C437="","",IFERROR(INDEX(Produk!$J$2:$J$100,MATCH(C437,Produk!$A$2:$A$100,0)),"PRODUK?"))</f>
        <v/>
      </c>
      <c r="G437" s="29" t="str">
        <f aca="false">IF(A437="","",IF(COUNTIF(Anggota!$A$2:$A$2001,A437)=0,"TIDAK ADA","OK"))</f>
        <v/>
      </c>
    </row>
    <row r="438" customFormat="false" ht="15" hidden="false" customHeight="false" outlineLevel="0" collapsed="false">
      <c r="A438" s="21"/>
      <c r="B438" s="22"/>
      <c r="C438" s="21"/>
      <c r="D438" s="24"/>
      <c r="E438" s="22"/>
      <c r="F438" s="29" t="str">
        <f aca="false">IF(C438="","",IFERROR(INDEX(Produk!$J$2:$J$100,MATCH(C438,Produk!$A$2:$A$100,0)),"PRODUK?"))</f>
        <v/>
      </c>
      <c r="G438" s="29" t="str">
        <f aca="false">IF(A438="","",IF(COUNTIF(Anggota!$A$2:$A$2001,A438)=0,"TIDAK ADA","OK"))</f>
        <v/>
      </c>
    </row>
    <row r="439" customFormat="false" ht="15" hidden="false" customHeight="false" outlineLevel="0" collapsed="false">
      <c r="A439" s="21"/>
      <c r="B439" s="22"/>
      <c r="C439" s="21"/>
      <c r="D439" s="24"/>
      <c r="E439" s="22"/>
      <c r="F439" s="29" t="str">
        <f aca="false">IF(C439="","",IFERROR(INDEX(Produk!$J$2:$J$100,MATCH(C439,Produk!$A$2:$A$100,0)),"PRODUK?"))</f>
        <v/>
      </c>
      <c r="G439" s="29" t="str">
        <f aca="false">IF(A439="","",IF(COUNTIF(Anggota!$A$2:$A$2001,A439)=0,"TIDAK ADA","OK"))</f>
        <v/>
      </c>
    </row>
    <row r="440" customFormat="false" ht="15" hidden="false" customHeight="false" outlineLevel="0" collapsed="false">
      <c r="A440" s="21"/>
      <c r="B440" s="22"/>
      <c r="C440" s="21"/>
      <c r="D440" s="24"/>
      <c r="E440" s="22"/>
      <c r="F440" s="29" t="str">
        <f aca="false">IF(C440="","",IFERROR(INDEX(Produk!$J$2:$J$100,MATCH(C440,Produk!$A$2:$A$100,0)),"PRODUK?"))</f>
        <v/>
      </c>
      <c r="G440" s="29" t="str">
        <f aca="false">IF(A440="","",IF(COUNTIF(Anggota!$A$2:$A$2001,A440)=0,"TIDAK ADA","OK"))</f>
        <v/>
      </c>
    </row>
    <row r="441" customFormat="false" ht="15" hidden="false" customHeight="false" outlineLevel="0" collapsed="false">
      <c r="A441" s="21"/>
      <c r="B441" s="22"/>
      <c r="C441" s="21"/>
      <c r="D441" s="24"/>
      <c r="E441" s="22"/>
      <c r="F441" s="29" t="str">
        <f aca="false">IF(C441="","",IFERROR(INDEX(Produk!$J$2:$J$100,MATCH(C441,Produk!$A$2:$A$100,0)),"PRODUK?"))</f>
        <v/>
      </c>
      <c r="G441" s="29" t="str">
        <f aca="false">IF(A441="","",IF(COUNTIF(Anggota!$A$2:$A$2001,A441)=0,"TIDAK ADA","OK"))</f>
        <v/>
      </c>
    </row>
    <row r="442" customFormat="false" ht="15" hidden="false" customHeight="false" outlineLevel="0" collapsed="false">
      <c r="A442" s="21"/>
      <c r="B442" s="22"/>
      <c r="C442" s="21"/>
      <c r="D442" s="24"/>
      <c r="E442" s="22"/>
      <c r="F442" s="29" t="str">
        <f aca="false">IF(C442="","",IFERROR(INDEX(Produk!$J$2:$J$100,MATCH(C442,Produk!$A$2:$A$100,0)),"PRODUK?"))</f>
        <v/>
      </c>
      <c r="G442" s="29" t="str">
        <f aca="false">IF(A442="","",IF(COUNTIF(Anggota!$A$2:$A$2001,A442)=0,"TIDAK ADA","OK"))</f>
        <v/>
      </c>
    </row>
    <row r="443" customFormat="false" ht="15" hidden="false" customHeight="false" outlineLevel="0" collapsed="false">
      <c r="A443" s="21"/>
      <c r="B443" s="22"/>
      <c r="C443" s="21"/>
      <c r="D443" s="24"/>
      <c r="E443" s="22"/>
      <c r="F443" s="29" t="str">
        <f aca="false">IF(C443="","",IFERROR(INDEX(Produk!$J$2:$J$100,MATCH(C443,Produk!$A$2:$A$100,0)),"PRODUK?"))</f>
        <v/>
      </c>
      <c r="G443" s="29" t="str">
        <f aca="false">IF(A443="","",IF(COUNTIF(Anggota!$A$2:$A$2001,A443)=0,"TIDAK ADA","OK"))</f>
        <v/>
      </c>
    </row>
    <row r="444" customFormat="false" ht="15" hidden="false" customHeight="false" outlineLevel="0" collapsed="false">
      <c r="A444" s="21"/>
      <c r="B444" s="22"/>
      <c r="C444" s="21"/>
      <c r="D444" s="24"/>
      <c r="E444" s="22"/>
      <c r="F444" s="29" t="str">
        <f aca="false">IF(C444="","",IFERROR(INDEX(Produk!$J$2:$J$100,MATCH(C444,Produk!$A$2:$A$100,0)),"PRODUK?"))</f>
        <v/>
      </c>
      <c r="G444" s="29" t="str">
        <f aca="false">IF(A444="","",IF(COUNTIF(Anggota!$A$2:$A$2001,A444)=0,"TIDAK ADA","OK"))</f>
        <v/>
      </c>
    </row>
    <row r="445" customFormat="false" ht="15" hidden="false" customHeight="false" outlineLevel="0" collapsed="false">
      <c r="A445" s="21"/>
      <c r="B445" s="22"/>
      <c r="C445" s="21"/>
      <c r="D445" s="24"/>
      <c r="E445" s="22"/>
      <c r="F445" s="29" t="str">
        <f aca="false">IF(C445="","",IFERROR(INDEX(Produk!$J$2:$J$100,MATCH(C445,Produk!$A$2:$A$100,0)),"PRODUK?"))</f>
        <v/>
      </c>
      <c r="G445" s="29" t="str">
        <f aca="false">IF(A445="","",IF(COUNTIF(Anggota!$A$2:$A$2001,A445)=0,"TIDAK ADA","OK"))</f>
        <v/>
      </c>
    </row>
    <row r="446" customFormat="false" ht="15" hidden="false" customHeight="false" outlineLevel="0" collapsed="false">
      <c r="A446" s="21"/>
      <c r="B446" s="22"/>
      <c r="C446" s="21"/>
      <c r="D446" s="24"/>
      <c r="E446" s="22"/>
      <c r="F446" s="29" t="str">
        <f aca="false">IF(C446="","",IFERROR(INDEX(Produk!$J$2:$J$100,MATCH(C446,Produk!$A$2:$A$100,0)),"PRODUK?"))</f>
        <v/>
      </c>
      <c r="G446" s="29" t="str">
        <f aca="false">IF(A446="","",IF(COUNTIF(Anggota!$A$2:$A$2001,A446)=0,"TIDAK ADA","OK"))</f>
        <v/>
      </c>
    </row>
    <row r="447" customFormat="false" ht="15" hidden="false" customHeight="false" outlineLevel="0" collapsed="false">
      <c r="A447" s="21"/>
      <c r="B447" s="22"/>
      <c r="C447" s="21"/>
      <c r="D447" s="24"/>
      <c r="E447" s="22"/>
      <c r="F447" s="29" t="str">
        <f aca="false">IF(C447="","",IFERROR(INDEX(Produk!$J$2:$J$100,MATCH(C447,Produk!$A$2:$A$100,0)),"PRODUK?"))</f>
        <v/>
      </c>
      <c r="G447" s="29" t="str">
        <f aca="false">IF(A447="","",IF(COUNTIF(Anggota!$A$2:$A$2001,A447)=0,"TIDAK ADA","OK"))</f>
        <v/>
      </c>
    </row>
    <row r="448" customFormat="false" ht="15" hidden="false" customHeight="false" outlineLevel="0" collapsed="false">
      <c r="A448" s="21"/>
      <c r="B448" s="22"/>
      <c r="C448" s="21"/>
      <c r="D448" s="24"/>
      <c r="E448" s="22"/>
      <c r="F448" s="29" t="str">
        <f aca="false">IF(C448="","",IFERROR(INDEX(Produk!$J$2:$J$100,MATCH(C448,Produk!$A$2:$A$100,0)),"PRODUK?"))</f>
        <v/>
      </c>
      <c r="G448" s="29" t="str">
        <f aca="false">IF(A448="","",IF(COUNTIF(Anggota!$A$2:$A$2001,A448)=0,"TIDAK ADA","OK"))</f>
        <v/>
      </c>
    </row>
    <row r="449" customFormat="false" ht="15" hidden="false" customHeight="false" outlineLevel="0" collapsed="false">
      <c r="A449" s="21"/>
      <c r="B449" s="22"/>
      <c r="C449" s="21"/>
      <c r="D449" s="24"/>
      <c r="E449" s="22"/>
      <c r="F449" s="29" t="str">
        <f aca="false">IF(C449="","",IFERROR(INDEX(Produk!$J$2:$J$100,MATCH(C449,Produk!$A$2:$A$100,0)),"PRODUK?"))</f>
        <v/>
      </c>
      <c r="G449" s="29" t="str">
        <f aca="false">IF(A449="","",IF(COUNTIF(Anggota!$A$2:$A$2001,A449)=0,"TIDAK ADA","OK"))</f>
        <v/>
      </c>
    </row>
    <row r="450" customFormat="false" ht="15" hidden="false" customHeight="false" outlineLevel="0" collapsed="false">
      <c r="A450" s="21"/>
      <c r="B450" s="22"/>
      <c r="C450" s="21"/>
      <c r="D450" s="24"/>
      <c r="E450" s="22"/>
      <c r="F450" s="29" t="str">
        <f aca="false">IF(C450="","",IFERROR(INDEX(Produk!$J$2:$J$100,MATCH(C450,Produk!$A$2:$A$100,0)),"PRODUK?"))</f>
        <v/>
      </c>
      <c r="G450" s="29" t="str">
        <f aca="false">IF(A450="","",IF(COUNTIF(Anggota!$A$2:$A$2001,A450)=0,"TIDAK ADA","OK"))</f>
        <v/>
      </c>
    </row>
    <row r="451" customFormat="false" ht="15" hidden="false" customHeight="false" outlineLevel="0" collapsed="false">
      <c r="A451" s="21"/>
      <c r="B451" s="22"/>
      <c r="C451" s="21"/>
      <c r="D451" s="24"/>
      <c r="E451" s="22"/>
      <c r="F451" s="29" t="str">
        <f aca="false">IF(C451="","",IFERROR(INDEX(Produk!$J$2:$J$100,MATCH(C451,Produk!$A$2:$A$100,0)),"PRODUK?"))</f>
        <v/>
      </c>
      <c r="G451" s="29" t="str">
        <f aca="false">IF(A451="","",IF(COUNTIF(Anggota!$A$2:$A$2001,A451)=0,"TIDAK ADA","OK"))</f>
        <v/>
      </c>
    </row>
    <row r="452" customFormat="false" ht="15" hidden="false" customHeight="false" outlineLevel="0" collapsed="false">
      <c r="A452" s="21"/>
      <c r="B452" s="22"/>
      <c r="C452" s="21"/>
      <c r="D452" s="24"/>
      <c r="E452" s="22"/>
      <c r="F452" s="29" t="str">
        <f aca="false">IF(C452="","",IFERROR(INDEX(Produk!$J$2:$J$100,MATCH(C452,Produk!$A$2:$A$100,0)),"PRODUK?"))</f>
        <v/>
      </c>
      <c r="G452" s="29" t="str">
        <f aca="false">IF(A452="","",IF(COUNTIF(Anggota!$A$2:$A$2001,A452)=0,"TIDAK ADA","OK"))</f>
        <v/>
      </c>
    </row>
    <row r="453" customFormat="false" ht="15" hidden="false" customHeight="false" outlineLevel="0" collapsed="false">
      <c r="A453" s="21"/>
      <c r="B453" s="22"/>
      <c r="C453" s="21"/>
      <c r="D453" s="24"/>
      <c r="E453" s="22"/>
      <c r="F453" s="29" t="str">
        <f aca="false">IF(C453="","",IFERROR(INDEX(Produk!$J$2:$J$100,MATCH(C453,Produk!$A$2:$A$100,0)),"PRODUK?"))</f>
        <v/>
      </c>
      <c r="G453" s="29" t="str">
        <f aca="false">IF(A453="","",IF(COUNTIF(Anggota!$A$2:$A$2001,A453)=0,"TIDAK ADA","OK"))</f>
        <v/>
      </c>
    </row>
    <row r="454" customFormat="false" ht="15" hidden="false" customHeight="false" outlineLevel="0" collapsed="false">
      <c r="A454" s="21"/>
      <c r="B454" s="22"/>
      <c r="C454" s="21"/>
      <c r="D454" s="24"/>
      <c r="E454" s="22"/>
      <c r="F454" s="29" t="str">
        <f aca="false">IF(C454="","",IFERROR(INDEX(Produk!$J$2:$J$100,MATCH(C454,Produk!$A$2:$A$100,0)),"PRODUK?"))</f>
        <v/>
      </c>
      <c r="G454" s="29" t="str">
        <f aca="false">IF(A454="","",IF(COUNTIF(Anggota!$A$2:$A$2001,A454)=0,"TIDAK ADA","OK"))</f>
        <v/>
      </c>
    </row>
    <row r="455" customFormat="false" ht="15" hidden="false" customHeight="false" outlineLevel="0" collapsed="false">
      <c r="A455" s="21"/>
      <c r="B455" s="22"/>
      <c r="C455" s="21"/>
      <c r="D455" s="24"/>
      <c r="E455" s="22"/>
      <c r="F455" s="29" t="str">
        <f aca="false">IF(C455="","",IFERROR(INDEX(Produk!$J$2:$J$100,MATCH(C455,Produk!$A$2:$A$100,0)),"PRODUK?"))</f>
        <v/>
      </c>
      <c r="G455" s="29" t="str">
        <f aca="false">IF(A455="","",IF(COUNTIF(Anggota!$A$2:$A$2001,A455)=0,"TIDAK ADA","OK"))</f>
        <v/>
      </c>
    </row>
    <row r="456" customFormat="false" ht="15" hidden="false" customHeight="false" outlineLevel="0" collapsed="false">
      <c r="A456" s="21"/>
      <c r="B456" s="22"/>
      <c r="C456" s="21"/>
      <c r="D456" s="24"/>
      <c r="E456" s="22"/>
      <c r="F456" s="29" t="str">
        <f aca="false">IF(C456="","",IFERROR(INDEX(Produk!$J$2:$J$100,MATCH(C456,Produk!$A$2:$A$100,0)),"PRODUK?"))</f>
        <v/>
      </c>
      <c r="G456" s="29" t="str">
        <f aca="false">IF(A456="","",IF(COUNTIF(Anggota!$A$2:$A$2001,A456)=0,"TIDAK ADA","OK"))</f>
        <v/>
      </c>
    </row>
    <row r="457" customFormat="false" ht="15" hidden="false" customHeight="false" outlineLevel="0" collapsed="false">
      <c r="A457" s="21"/>
      <c r="B457" s="22"/>
      <c r="C457" s="21"/>
      <c r="D457" s="24"/>
      <c r="E457" s="22"/>
      <c r="F457" s="29" t="str">
        <f aca="false">IF(C457="","",IFERROR(INDEX(Produk!$J$2:$J$100,MATCH(C457,Produk!$A$2:$A$100,0)),"PRODUK?"))</f>
        <v/>
      </c>
      <c r="G457" s="29" t="str">
        <f aca="false">IF(A457="","",IF(COUNTIF(Anggota!$A$2:$A$2001,A457)=0,"TIDAK ADA","OK"))</f>
        <v/>
      </c>
    </row>
    <row r="458" customFormat="false" ht="15" hidden="false" customHeight="false" outlineLevel="0" collapsed="false">
      <c r="A458" s="21"/>
      <c r="B458" s="22"/>
      <c r="C458" s="21"/>
      <c r="D458" s="24"/>
      <c r="E458" s="22"/>
      <c r="F458" s="29" t="str">
        <f aca="false">IF(C458="","",IFERROR(INDEX(Produk!$J$2:$J$100,MATCH(C458,Produk!$A$2:$A$100,0)),"PRODUK?"))</f>
        <v/>
      </c>
      <c r="G458" s="29" t="str">
        <f aca="false">IF(A458="","",IF(COUNTIF(Anggota!$A$2:$A$2001,A458)=0,"TIDAK ADA","OK"))</f>
        <v/>
      </c>
    </row>
    <row r="459" customFormat="false" ht="15" hidden="false" customHeight="false" outlineLevel="0" collapsed="false">
      <c r="A459" s="21"/>
      <c r="B459" s="22"/>
      <c r="C459" s="21"/>
      <c r="D459" s="24"/>
      <c r="E459" s="22"/>
      <c r="F459" s="29" t="str">
        <f aca="false">IF(C459="","",IFERROR(INDEX(Produk!$J$2:$J$100,MATCH(C459,Produk!$A$2:$A$100,0)),"PRODUK?"))</f>
        <v/>
      </c>
      <c r="G459" s="29" t="str">
        <f aca="false">IF(A459="","",IF(COUNTIF(Anggota!$A$2:$A$2001,A459)=0,"TIDAK ADA","OK"))</f>
        <v/>
      </c>
    </row>
    <row r="460" customFormat="false" ht="15" hidden="false" customHeight="false" outlineLevel="0" collapsed="false">
      <c r="A460" s="21"/>
      <c r="B460" s="22"/>
      <c r="C460" s="21"/>
      <c r="D460" s="24"/>
      <c r="E460" s="22"/>
      <c r="F460" s="29" t="str">
        <f aca="false">IF(C460="","",IFERROR(INDEX(Produk!$J$2:$J$100,MATCH(C460,Produk!$A$2:$A$100,0)),"PRODUK?"))</f>
        <v/>
      </c>
      <c r="G460" s="29" t="str">
        <f aca="false">IF(A460="","",IF(COUNTIF(Anggota!$A$2:$A$2001,A460)=0,"TIDAK ADA","OK"))</f>
        <v/>
      </c>
    </row>
    <row r="461" customFormat="false" ht="15" hidden="false" customHeight="false" outlineLevel="0" collapsed="false">
      <c r="A461" s="21"/>
      <c r="B461" s="22"/>
      <c r="C461" s="21"/>
      <c r="D461" s="24"/>
      <c r="E461" s="22"/>
      <c r="F461" s="29" t="str">
        <f aca="false">IF(C461="","",IFERROR(INDEX(Produk!$J$2:$J$100,MATCH(C461,Produk!$A$2:$A$100,0)),"PRODUK?"))</f>
        <v/>
      </c>
      <c r="G461" s="29" t="str">
        <f aca="false">IF(A461="","",IF(COUNTIF(Anggota!$A$2:$A$2001,A461)=0,"TIDAK ADA","OK"))</f>
        <v/>
      </c>
    </row>
    <row r="462" customFormat="false" ht="15" hidden="false" customHeight="false" outlineLevel="0" collapsed="false">
      <c r="A462" s="21"/>
      <c r="B462" s="22"/>
      <c r="C462" s="21"/>
      <c r="D462" s="24"/>
      <c r="E462" s="22"/>
      <c r="F462" s="29" t="str">
        <f aca="false">IF(C462="","",IFERROR(INDEX(Produk!$J$2:$J$100,MATCH(C462,Produk!$A$2:$A$100,0)),"PRODUK?"))</f>
        <v/>
      </c>
      <c r="G462" s="29" t="str">
        <f aca="false">IF(A462="","",IF(COUNTIF(Anggota!$A$2:$A$2001,A462)=0,"TIDAK ADA","OK"))</f>
        <v/>
      </c>
    </row>
    <row r="463" customFormat="false" ht="15" hidden="false" customHeight="false" outlineLevel="0" collapsed="false">
      <c r="A463" s="21"/>
      <c r="B463" s="22"/>
      <c r="C463" s="21"/>
      <c r="D463" s="24"/>
      <c r="E463" s="22"/>
      <c r="F463" s="29" t="str">
        <f aca="false">IF(C463="","",IFERROR(INDEX(Produk!$J$2:$J$100,MATCH(C463,Produk!$A$2:$A$100,0)),"PRODUK?"))</f>
        <v/>
      </c>
      <c r="G463" s="29" t="str">
        <f aca="false">IF(A463="","",IF(COUNTIF(Anggota!$A$2:$A$2001,A463)=0,"TIDAK ADA","OK"))</f>
        <v/>
      </c>
    </row>
    <row r="464" customFormat="false" ht="15" hidden="false" customHeight="false" outlineLevel="0" collapsed="false">
      <c r="A464" s="21"/>
      <c r="B464" s="22"/>
      <c r="C464" s="21"/>
      <c r="D464" s="24"/>
      <c r="E464" s="22"/>
      <c r="F464" s="29" t="str">
        <f aca="false">IF(C464="","",IFERROR(INDEX(Produk!$J$2:$J$100,MATCH(C464,Produk!$A$2:$A$100,0)),"PRODUK?"))</f>
        <v/>
      </c>
      <c r="G464" s="29" t="str">
        <f aca="false">IF(A464="","",IF(COUNTIF(Anggota!$A$2:$A$2001,A464)=0,"TIDAK ADA","OK"))</f>
        <v/>
      </c>
    </row>
    <row r="465" customFormat="false" ht="15" hidden="false" customHeight="false" outlineLevel="0" collapsed="false">
      <c r="A465" s="21"/>
      <c r="B465" s="22"/>
      <c r="C465" s="21"/>
      <c r="D465" s="24"/>
      <c r="E465" s="22"/>
      <c r="F465" s="29" t="str">
        <f aca="false">IF(C465="","",IFERROR(INDEX(Produk!$J$2:$J$100,MATCH(C465,Produk!$A$2:$A$100,0)),"PRODUK?"))</f>
        <v/>
      </c>
      <c r="G465" s="29" t="str">
        <f aca="false">IF(A465="","",IF(COUNTIF(Anggota!$A$2:$A$2001,A465)=0,"TIDAK ADA","OK"))</f>
        <v/>
      </c>
    </row>
    <row r="466" customFormat="false" ht="15" hidden="false" customHeight="false" outlineLevel="0" collapsed="false">
      <c r="A466" s="21"/>
      <c r="B466" s="22"/>
      <c r="C466" s="21"/>
      <c r="D466" s="24"/>
      <c r="E466" s="22"/>
      <c r="F466" s="29" t="str">
        <f aca="false">IF(C466="","",IFERROR(INDEX(Produk!$J$2:$J$100,MATCH(C466,Produk!$A$2:$A$100,0)),"PRODUK?"))</f>
        <v/>
      </c>
      <c r="G466" s="29" t="str">
        <f aca="false">IF(A466="","",IF(COUNTIF(Anggota!$A$2:$A$2001,A466)=0,"TIDAK ADA","OK"))</f>
        <v/>
      </c>
    </row>
    <row r="467" customFormat="false" ht="15" hidden="false" customHeight="false" outlineLevel="0" collapsed="false">
      <c r="A467" s="21"/>
      <c r="B467" s="22"/>
      <c r="C467" s="21"/>
      <c r="D467" s="24"/>
      <c r="E467" s="22"/>
      <c r="F467" s="29" t="str">
        <f aca="false">IF(C467="","",IFERROR(INDEX(Produk!$J$2:$J$100,MATCH(C467,Produk!$A$2:$A$100,0)),"PRODUK?"))</f>
        <v/>
      </c>
      <c r="G467" s="29" t="str">
        <f aca="false">IF(A467="","",IF(COUNTIF(Anggota!$A$2:$A$2001,A467)=0,"TIDAK ADA","OK"))</f>
        <v/>
      </c>
    </row>
    <row r="468" customFormat="false" ht="15" hidden="false" customHeight="false" outlineLevel="0" collapsed="false">
      <c r="A468" s="21"/>
      <c r="B468" s="22"/>
      <c r="C468" s="21"/>
      <c r="D468" s="24"/>
      <c r="E468" s="22"/>
      <c r="F468" s="29" t="str">
        <f aca="false">IF(C468="","",IFERROR(INDEX(Produk!$J$2:$J$100,MATCH(C468,Produk!$A$2:$A$100,0)),"PRODUK?"))</f>
        <v/>
      </c>
      <c r="G468" s="29" t="str">
        <f aca="false">IF(A468="","",IF(COUNTIF(Anggota!$A$2:$A$2001,A468)=0,"TIDAK ADA","OK"))</f>
        <v/>
      </c>
    </row>
    <row r="469" customFormat="false" ht="15" hidden="false" customHeight="false" outlineLevel="0" collapsed="false">
      <c r="A469" s="21"/>
      <c r="B469" s="22"/>
      <c r="C469" s="21"/>
      <c r="D469" s="24"/>
      <c r="E469" s="22"/>
      <c r="F469" s="29" t="str">
        <f aca="false">IF(C469="","",IFERROR(INDEX(Produk!$J$2:$J$100,MATCH(C469,Produk!$A$2:$A$100,0)),"PRODUK?"))</f>
        <v/>
      </c>
      <c r="G469" s="29" t="str">
        <f aca="false">IF(A469="","",IF(COUNTIF(Anggota!$A$2:$A$2001,A469)=0,"TIDAK ADA","OK"))</f>
        <v/>
      </c>
    </row>
    <row r="470" customFormat="false" ht="15" hidden="false" customHeight="false" outlineLevel="0" collapsed="false">
      <c r="A470" s="21"/>
      <c r="B470" s="22"/>
      <c r="C470" s="21"/>
      <c r="D470" s="24"/>
      <c r="E470" s="22"/>
      <c r="F470" s="29" t="str">
        <f aca="false">IF(C470="","",IFERROR(INDEX(Produk!$J$2:$J$100,MATCH(C470,Produk!$A$2:$A$100,0)),"PRODUK?"))</f>
        <v/>
      </c>
      <c r="G470" s="29" t="str">
        <f aca="false">IF(A470="","",IF(COUNTIF(Anggota!$A$2:$A$2001,A470)=0,"TIDAK ADA","OK"))</f>
        <v/>
      </c>
    </row>
    <row r="471" customFormat="false" ht="15" hidden="false" customHeight="false" outlineLevel="0" collapsed="false">
      <c r="A471" s="21"/>
      <c r="B471" s="22"/>
      <c r="C471" s="21"/>
      <c r="D471" s="24"/>
      <c r="E471" s="22"/>
      <c r="F471" s="29" t="str">
        <f aca="false">IF(C471="","",IFERROR(INDEX(Produk!$J$2:$J$100,MATCH(C471,Produk!$A$2:$A$100,0)),"PRODUK?"))</f>
        <v/>
      </c>
      <c r="G471" s="29" t="str">
        <f aca="false">IF(A471="","",IF(COUNTIF(Anggota!$A$2:$A$2001,A471)=0,"TIDAK ADA","OK"))</f>
        <v/>
      </c>
    </row>
    <row r="472" customFormat="false" ht="15" hidden="false" customHeight="false" outlineLevel="0" collapsed="false">
      <c r="A472" s="21"/>
      <c r="B472" s="22"/>
      <c r="C472" s="21"/>
      <c r="D472" s="24"/>
      <c r="E472" s="22"/>
      <c r="F472" s="29" t="str">
        <f aca="false">IF(C472="","",IFERROR(INDEX(Produk!$J$2:$J$100,MATCH(C472,Produk!$A$2:$A$100,0)),"PRODUK?"))</f>
        <v/>
      </c>
      <c r="G472" s="29" t="str">
        <f aca="false">IF(A472="","",IF(COUNTIF(Anggota!$A$2:$A$2001,A472)=0,"TIDAK ADA","OK"))</f>
        <v/>
      </c>
    </row>
    <row r="473" customFormat="false" ht="15" hidden="false" customHeight="false" outlineLevel="0" collapsed="false">
      <c r="A473" s="21"/>
      <c r="B473" s="22"/>
      <c r="C473" s="21"/>
      <c r="D473" s="24"/>
      <c r="E473" s="22"/>
      <c r="F473" s="29" t="str">
        <f aca="false">IF(C473="","",IFERROR(INDEX(Produk!$J$2:$J$100,MATCH(C473,Produk!$A$2:$A$100,0)),"PRODUK?"))</f>
        <v/>
      </c>
      <c r="G473" s="29" t="str">
        <f aca="false">IF(A473="","",IF(COUNTIF(Anggota!$A$2:$A$2001,A473)=0,"TIDAK ADA","OK"))</f>
        <v/>
      </c>
    </row>
    <row r="474" customFormat="false" ht="15" hidden="false" customHeight="false" outlineLevel="0" collapsed="false">
      <c r="A474" s="21"/>
      <c r="B474" s="22"/>
      <c r="C474" s="21"/>
      <c r="D474" s="24"/>
      <c r="E474" s="22"/>
      <c r="F474" s="29" t="str">
        <f aca="false">IF(C474="","",IFERROR(INDEX(Produk!$J$2:$J$100,MATCH(C474,Produk!$A$2:$A$100,0)),"PRODUK?"))</f>
        <v/>
      </c>
      <c r="G474" s="29" t="str">
        <f aca="false">IF(A474="","",IF(COUNTIF(Anggota!$A$2:$A$2001,A474)=0,"TIDAK ADA","OK"))</f>
        <v/>
      </c>
    </row>
    <row r="475" customFormat="false" ht="15" hidden="false" customHeight="false" outlineLevel="0" collapsed="false">
      <c r="A475" s="21"/>
      <c r="B475" s="22"/>
      <c r="C475" s="21"/>
      <c r="D475" s="24"/>
      <c r="E475" s="22"/>
      <c r="F475" s="29" t="str">
        <f aca="false">IF(C475="","",IFERROR(INDEX(Produk!$J$2:$J$100,MATCH(C475,Produk!$A$2:$A$100,0)),"PRODUK?"))</f>
        <v/>
      </c>
      <c r="G475" s="29" t="str">
        <f aca="false">IF(A475="","",IF(COUNTIF(Anggota!$A$2:$A$2001,A475)=0,"TIDAK ADA","OK"))</f>
        <v/>
      </c>
    </row>
    <row r="476" customFormat="false" ht="15" hidden="false" customHeight="false" outlineLevel="0" collapsed="false">
      <c r="A476" s="21"/>
      <c r="B476" s="22"/>
      <c r="C476" s="21"/>
      <c r="D476" s="24"/>
      <c r="E476" s="22"/>
      <c r="F476" s="29" t="str">
        <f aca="false">IF(C476="","",IFERROR(INDEX(Produk!$J$2:$J$100,MATCH(C476,Produk!$A$2:$A$100,0)),"PRODUK?"))</f>
        <v/>
      </c>
      <c r="G476" s="29" t="str">
        <f aca="false">IF(A476="","",IF(COUNTIF(Anggota!$A$2:$A$2001,A476)=0,"TIDAK ADA","OK"))</f>
        <v/>
      </c>
    </row>
    <row r="477" customFormat="false" ht="15" hidden="false" customHeight="false" outlineLevel="0" collapsed="false">
      <c r="A477" s="21"/>
      <c r="B477" s="22"/>
      <c r="C477" s="21"/>
      <c r="D477" s="24"/>
      <c r="E477" s="22"/>
      <c r="F477" s="29" t="str">
        <f aca="false">IF(C477="","",IFERROR(INDEX(Produk!$J$2:$J$100,MATCH(C477,Produk!$A$2:$A$100,0)),"PRODUK?"))</f>
        <v/>
      </c>
      <c r="G477" s="29" t="str">
        <f aca="false">IF(A477="","",IF(COUNTIF(Anggota!$A$2:$A$2001,A477)=0,"TIDAK ADA","OK"))</f>
        <v/>
      </c>
    </row>
    <row r="478" customFormat="false" ht="15" hidden="false" customHeight="false" outlineLevel="0" collapsed="false">
      <c r="A478" s="21"/>
      <c r="B478" s="22"/>
      <c r="C478" s="21"/>
      <c r="D478" s="24"/>
      <c r="E478" s="22"/>
      <c r="F478" s="29" t="str">
        <f aca="false">IF(C478="","",IFERROR(INDEX(Produk!$J$2:$J$100,MATCH(C478,Produk!$A$2:$A$100,0)),"PRODUK?"))</f>
        <v/>
      </c>
      <c r="G478" s="29" t="str">
        <f aca="false">IF(A478="","",IF(COUNTIF(Anggota!$A$2:$A$2001,A478)=0,"TIDAK ADA","OK"))</f>
        <v/>
      </c>
    </row>
    <row r="479" customFormat="false" ht="15" hidden="false" customHeight="false" outlineLevel="0" collapsed="false">
      <c r="A479" s="21"/>
      <c r="B479" s="22"/>
      <c r="C479" s="21"/>
      <c r="D479" s="24"/>
      <c r="E479" s="22"/>
      <c r="F479" s="29" t="str">
        <f aca="false">IF(C479="","",IFERROR(INDEX(Produk!$J$2:$J$100,MATCH(C479,Produk!$A$2:$A$100,0)),"PRODUK?"))</f>
        <v/>
      </c>
      <c r="G479" s="29" t="str">
        <f aca="false">IF(A479="","",IF(COUNTIF(Anggota!$A$2:$A$2001,A479)=0,"TIDAK ADA","OK"))</f>
        <v/>
      </c>
    </row>
    <row r="480" customFormat="false" ht="15" hidden="false" customHeight="false" outlineLevel="0" collapsed="false">
      <c r="A480" s="21"/>
      <c r="B480" s="22"/>
      <c r="C480" s="21"/>
      <c r="D480" s="24"/>
      <c r="E480" s="22"/>
      <c r="F480" s="29" t="str">
        <f aca="false">IF(C480="","",IFERROR(INDEX(Produk!$J$2:$J$100,MATCH(C480,Produk!$A$2:$A$100,0)),"PRODUK?"))</f>
        <v/>
      </c>
      <c r="G480" s="29" t="str">
        <f aca="false">IF(A480="","",IF(COUNTIF(Anggota!$A$2:$A$2001,A480)=0,"TIDAK ADA","OK"))</f>
        <v/>
      </c>
    </row>
    <row r="481" customFormat="false" ht="15" hidden="false" customHeight="false" outlineLevel="0" collapsed="false">
      <c r="A481" s="21"/>
      <c r="B481" s="22"/>
      <c r="C481" s="21"/>
      <c r="D481" s="24"/>
      <c r="E481" s="22"/>
      <c r="F481" s="29" t="str">
        <f aca="false">IF(C481="","",IFERROR(INDEX(Produk!$J$2:$J$100,MATCH(C481,Produk!$A$2:$A$100,0)),"PRODUK?"))</f>
        <v/>
      </c>
      <c r="G481" s="29" t="str">
        <f aca="false">IF(A481="","",IF(COUNTIF(Anggota!$A$2:$A$2001,A481)=0,"TIDAK ADA","OK"))</f>
        <v/>
      </c>
    </row>
    <row r="482" customFormat="false" ht="15" hidden="false" customHeight="false" outlineLevel="0" collapsed="false">
      <c r="A482" s="21"/>
      <c r="B482" s="22"/>
      <c r="C482" s="21"/>
      <c r="D482" s="24"/>
      <c r="E482" s="22"/>
      <c r="F482" s="29" t="str">
        <f aca="false">IF(C482="","",IFERROR(INDEX(Produk!$J$2:$J$100,MATCH(C482,Produk!$A$2:$A$100,0)),"PRODUK?"))</f>
        <v/>
      </c>
      <c r="G482" s="29" t="str">
        <f aca="false">IF(A482="","",IF(COUNTIF(Anggota!$A$2:$A$2001,A482)=0,"TIDAK ADA","OK"))</f>
        <v/>
      </c>
    </row>
    <row r="483" customFormat="false" ht="15" hidden="false" customHeight="false" outlineLevel="0" collapsed="false">
      <c r="A483" s="21"/>
      <c r="B483" s="22"/>
      <c r="C483" s="21"/>
      <c r="D483" s="24"/>
      <c r="E483" s="22"/>
      <c r="F483" s="29" t="str">
        <f aca="false">IF(C483="","",IFERROR(INDEX(Produk!$J$2:$J$100,MATCH(C483,Produk!$A$2:$A$100,0)),"PRODUK?"))</f>
        <v/>
      </c>
      <c r="G483" s="29" t="str">
        <f aca="false">IF(A483="","",IF(COUNTIF(Anggota!$A$2:$A$2001,A483)=0,"TIDAK ADA","OK"))</f>
        <v/>
      </c>
    </row>
    <row r="484" customFormat="false" ht="15" hidden="false" customHeight="false" outlineLevel="0" collapsed="false">
      <c r="A484" s="21"/>
      <c r="B484" s="22"/>
      <c r="C484" s="21"/>
      <c r="D484" s="24"/>
      <c r="E484" s="22"/>
      <c r="F484" s="29" t="str">
        <f aca="false">IF(C484="","",IFERROR(INDEX(Produk!$J$2:$J$100,MATCH(C484,Produk!$A$2:$A$100,0)),"PRODUK?"))</f>
        <v/>
      </c>
      <c r="G484" s="29" t="str">
        <f aca="false">IF(A484="","",IF(COUNTIF(Anggota!$A$2:$A$2001,A484)=0,"TIDAK ADA","OK"))</f>
        <v/>
      </c>
    </row>
    <row r="485" customFormat="false" ht="15" hidden="false" customHeight="false" outlineLevel="0" collapsed="false">
      <c r="A485" s="21"/>
      <c r="B485" s="22"/>
      <c r="C485" s="21"/>
      <c r="D485" s="24"/>
      <c r="E485" s="22"/>
      <c r="F485" s="29" t="str">
        <f aca="false">IF(C485="","",IFERROR(INDEX(Produk!$J$2:$J$100,MATCH(C485,Produk!$A$2:$A$100,0)),"PRODUK?"))</f>
        <v/>
      </c>
      <c r="G485" s="29" t="str">
        <f aca="false">IF(A485="","",IF(COUNTIF(Anggota!$A$2:$A$2001,A485)=0,"TIDAK ADA","OK"))</f>
        <v/>
      </c>
    </row>
    <row r="486" customFormat="false" ht="15" hidden="false" customHeight="false" outlineLevel="0" collapsed="false">
      <c r="A486" s="21"/>
      <c r="B486" s="22"/>
      <c r="C486" s="21"/>
      <c r="D486" s="24"/>
      <c r="E486" s="22"/>
      <c r="F486" s="29" t="str">
        <f aca="false">IF(C486="","",IFERROR(INDEX(Produk!$J$2:$J$100,MATCH(C486,Produk!$A$2:$A$100,0)),"PRODUK?"))</f>
        <v/>
      </c>
      <c r="G486" s="29" t="str">
        <f aca="false">IF(A486="","",IF(COUNTIF(Anggota!$A$2:$A$2001,A486)=0,"TIDAK ADA","OK"))</f>
        <v/>
      </c>
    </row>
    <row r="487" customFormat="false" ht="15" hidden="false" customHeight="false" outlineLevel="0" collapsed="false">
      <c r="A487" s="21"/>
      <c r="B487" s="22"/>
      <c r="C487" s="21"/>
      <c r="D487" s="24"/>
      <c r="E487" s="22"/>
      <c r="F487" s="29" t="str">
        <f aca="false">IF(C487="","",IFERROR(INDEX(Produk!$J$2:$J$100,MATCH(C487,Produk!$A$2:$A$100,0)),"PRODUK?"))</f>
        <v/>
      </c>
      <c r="G487" s="29" t="str">
        <f aca="false">IF(A487="","",IF(COUNTIF(Anggota!$A$2:$A$2001,A487)=0,"TIDAK ADA","OK"))</f>
        <v/>
      </c>
    </row>
    <row r="488" customFormat="false" ht="15" hidden="false" customHeight="false" outlineLevel="0" collapsed="false">
      <c r="A488" s="21"/>
      <c r="B488" s="22"/>
      <c r="C488" s="21"/>
      <c r="D488" s="24"/>
      <c r="E488" s="22"/>
      <c r="F488" s="29" t="str">
        <f aca="false">IF(C488="","",IFERROR(INDEX(Produk!$J$2:$J$100,MATCH(C488,Produk!$A$2:$A$100,0)),"PRODUK?"))</f>
        <v/>
      </c>
      <c r="G488" s="29" t="str">
        <f aca="false">IF(A488="","",IF(COUNTIF(Anggota!$A$2:$A$2001,A488)=0,"TIDAK ADA","OK"))</f>
        <v/>
      </c>
    </row>
    <row r="489" customFormat="false" ht="15" hidden="false" customHeight="false" outlineLevel="0" collapsed="false">
      <c r="A489" s="21"/>
      <c r="B489" s="22"/>
      <c r="C489" s="21"/>
      <c r="D489" s="24"/>
      <c r="E489" s="22"/>
      <c r="F489" s="29" t="str">
        <f aca="false">IF(C489="","",IFERROR(INDEX(Produk!$J$2:$J$100,MATCH(C489,Produk!$A$2:$A$100,0)),"PRODUK?"))</f>
        <v/>
      </c>
      <c r="G489" s="29" t="str">
        <f aca="false">IF(A489="","",IF(COUNTIF(Anggota!$A$2:$A$2001,A489)=0,"TIDAK ADA","OK"))</f>
        <v/>
      </c>
    </row>
    <row r="490" customFormat="false" ht="15" hidden="false" customHeight="false" outlineLevel="0" collapsed="false">
      <c r="A490" s="21"/>
      <c r="B490" s="22"/>
      <c r="C490" s="21"/>
      <c r="D490" s="24"/>
      <c r="E490" s="22"/>
      <c r="F490" s="29" t="str">
        <f aca="false">IF(C490="","",IFERROR(INDEX(Produk!$J$2:$J$100,MATCH(C490,Produk!$A$2:$A$100,0)),"PRODUK?"))</f>
        <v/>
      </c>
      <c r="G490" s="29" t="str">
        <f aca="false">IF(A490="","",IF(COUNTIF(Anggota!$A$2:$A$2001,A490)=0,"TIDAK ADA","OK"))</f>
        <v/>
      </c>
    </row>
    <row r="491" customFormat="false" ht="15" hidden="false" customHeight="false" outlineLevel="0" collapsed="false">
      <c r="A491" s="21"/>
      <c r="B491" s="22"/>
      <c r="C491" s="21"/>
      <c r="D491" s="24"/>
      <c r="E491" s="22"/>
      <c r="F491" s="29" t="str">
        <f aca="false">IF(C491="","",IFERROR(INDEX(Produk!$J$2:$J$100,MATCH(C491,Produk!$A$2:$A$100,0)),"PRODUK?"))</f>
        <v/>
      </c>
      <c r="G491" s="29" t="str">
        <f aca="false">IF(A491="","",IF(COUNTIF(Anggota!$A$2:$A$2001,A491)=0,"TIDAK ADA","OK"))</f>
        <v/>
      </c>
    </row>
    <row r="492" customFormat="false" ht="15" hidden="false" customHeight="false" outlineLevel="0" collapsed="false">
      <c r="A492" s="21"/>
      <c r="B492" s="22"/>
      <c r="C492" s="21"/>
      <c r="D492" s="24"/>
      <c r="E492" s="22"/>
      <c r="F492" s="29" t="str">
        <f aca="false">IF(C492="","",IFERROR(INDEX(Produk!$J$2:$J$100,MATCH(C492,Produk!$A$2:$A$100,0)),"PRODUK?"))</f>
        <v/>
      </c>
      <c r="G492" s="29" t="str">
        <f aca="false">IF(A492="","",IF(COUNTIF(Anggota!$A$2:$A$2001,A492)=0,"TIDAK ADA","OK"))</f>
        <v/>
      </c>
    </row>
    <row r="493" customFormat="false" ht="15" hidden="false" customHeight="false" outlineLevel="0" collapsed="false">
      <c r="A493" s="21"/>
      <c r="B493" s="22"/>
      <c r="C493" s="21"/>
      <c r="D493" s="24"/>
      <c r="E493" s="22"/>
      <c r="F493" s="29" t="str">
        <f aca="false">IF(C493="","",IFERROR(INDEX(Produk!$J$2:$J$100,MATCH(C493,Produk!$A$2:$A$100,0)),"PRODUK?"))</f>
        <v/>
      </c>
      <c r="G493" s="29" t="str">
        <f aca="false">IF(A493="","",IF(COUNTIF(Anggota!$A$2:$A$2001,A493)=0,"TIDAK ADA","OK"))</f>
        <v/>
      </c>
    </row>
    <row r="494" customFormat="false" ht="15" hidden="false" customHeight="false" outlineLevel="0" collapsed="false">
      <c r="A494" s="21"/>
      <c r="B494" s="22"/>
      <c r="C494" s="21"/>
      <c r="D494" s="24"/>
      <c r="E494" s="22"/>
      <c r="F494" s="29" t="str">
        <f aca="false">IF(C494="","",IFERROR(INDEX(Produk!$J$2:$J$100,MATCH(C494,Produk!$A$2:$A$100,0)),"PRODUK?"))</f>
        <v/>
      </c>
      <c r="G494" s="29" t="str">
        <f aca="false">IF(A494="","",IF(COUNTIF(Anggota!$A$2:$A$2001,A494)=0,"TIDAK ADA","OK"))</f>
        <v/>
      </c>
    </row>
    <row r="495" customFormat="false" ht="15" hidden="false" customHeight="false" outlineLevel="0" collapsed="false">
      <c r="A495" s="21"/>
      <c r="B495" s="22"/>
      <c r="C495" s="21"/>
      <c r="D495" s="24"/>
      <c r="E495" s="22"/>
      <c r="F495" s="29" t="str">
        <f aca="false">IF(C495="","",IFERROR(INDEX(Produk!$J$2:$J$100,MATCH(C495,Produk!$A$2:$A$100,0)),"PRODUK?"))</f>
        <v/>
      </c>
      <c r="G495" s="29" t="str">
        <f aca="false">IF(A495="","",IF(COUNTIF(Anggota!$A$2:$A$2001,A495)=0,"TIDAK ADA","OK"))</f>
        <v/>
      </c>
    </row>
    <row r="496" customFormat="false" ht="15" hidden="false" customHeight="false" outlineLevel="0" collapsed="false">
      <c r="A496" s="21"/>
      <c r="B496" s="22"/>
      <c r="C496" s="21"/>
      <c r="D496" s="24"/>
      <c r="E496" s="22"/>
      <c r="F496" s="29" t="str">
        <f aca="false">IF(C496="","",IFERROR(INDEX(Produk!$J$2:$J$100,MATCH(C496,Produk!$A$2:$A$100,0)),"PRODUK?"))</f>
        <v/>
      </c>
      <c r="G496" s="29" t="str">
        <f aca="false">IF(A496="","",IF(COUNTIF(Anggota!$A$2:$A$2001,A496)=0,"TIDAK ADA","OK"))</f>
        <v/>
      </c>
    </row>
    <row r="497" customFormat="false" ht="15" hidden="false" customHeight="false" outlineLevel="0" collapsed="false">
      <c r="A497" s="21"/>
      <c r="B497" s="22"/>
      <c r="C497" s="21"/>
      <c r="D497" s="24"/>
      <c r="E497" s="22"/>
      <c r="F497" s="29" t="str">
        <f aca="false">IF(C497="","",IFERROR(INDEX(Produk!$J$2:$J$100,MATCH(C497,Produk!$A$2:$A$100,0)),"PRODUK?"))</f>
        <v/>
      </c>
      <c r="G497" s="29" t="str">
        <f aca="false">IF(A497="","",IF(COUNTIF(Anggota!$A$2:$A$2001,A497)=0,"TIDAK ADA","OK"))</f>
        <v/>
      </c>
    </row>
    <row r="498" customFormat="false" ht="15" hidden="false" customHeight="false" outlineLevel="0" collapsed="false">
      <c r="A498" s="21"/>
      <c r="B498" s="22"/>
      <c r="C498" s="21"/>
      <c r="D498" s="24"/>
      <c r="E498" s="22"/>
      <c r="F498" s="29" t="str">
        <f aca="false">IF(C498="","",IFERROR(INDEX(Produk!$J$2:$J$100,MATCH(C498,Produk!$A$2:$A$100,0)),"PRODUK?"))</f>
        <v/>
      </c>
      <c r="G498" s="29" t="str">
        <f aca="false">IF(A498="","",IF(COUNTIF(Anggota!$A$2:$A$2001,A498)=0,"TIDAK ADA","OK"))</f>
        <v/>
      </c>
    </row>
    <row r="499" customFormat="false" ht="15" hidden="false" customHeight="false" outlineLevel="0" collapsed="false">
      <c r="A499" s="21"/>
      <c r="B499" s="22"/>
      <c r="C499" s="21"/>
      <c r="D499" s="24"/>
      <c r="E499" s="22"/>
      <c r="F499" s="29" t="str">
        <f aca="false">IF(C499="","",IFERROR(INDEX(Produk!$J$2:$J$100,MATCH(C499,Produk!$A$2:$A$100,0)),"PRODUK?"))</f>
        <v/>
      </c>
      <c r="G499" s="29" t="str">
        <f aca="false">IF(A499="","",IF(COUNTIF(Anggota!$A$2:$A$2001,A499)=0,"TIDAK ADA","OK"))</f>
        <v/>
      </c>
    </row>
    <row r="500" customFormat="false" ht="15" hidden="false" customHeight="false" outlineLevel="0" collapsed="false">
      <c r="A500" s="21"/>
      <c r="B500" s="22"/>
      <c r="C500" s="21"/>
      <c r="D500" s="24"/>
      <c r="E500" s="22"/>
      <c r="F500" s="29" t="str">
        <f aca="false">IF(C500="","",IFERROR(INDEX(Produk!$J$2:$J$100,MATCH(C500,Produk!$A$2:$A$100,0)),"PRODUK?"))</f>
        <v/>
      </c>
      <c r="G500" s="29" t="str">
        <f aca="false">IF(A500="","",IF(COUNTIF(Anggota!$A$2:$A$2001,A500)=0,"TIDAK ADA","OK"))</f>
        <v/>
      </c>
    </row>
    <row r="501" customFormat="false" ht="15" hidden="false" customHeight="false" outlineLevel="0" collapsed="false">
      <c r="A501" s="21"/>
      <c r="B501" s="22"/>
      <c r="C501" s="21"/>
      <c r="D501" s="24"/>
      <c r="E501" s="22"/>
      <c r="F501" s="29" t="str">
        <f aca="false">IF(C501="","",IFERROR(INDEX(Produk!$J$2:$J$100,MATCH(C501,Produk!$A$2:$A$100,0)),"PRODUK?"))</f>
        <v/>
      </c>
      <c r="G501" s="29" t="str">
        <f aca="false">IF(A501="","",IF(COUNTIF(Anggota!$A$2:$A$2001,A501)=0,"TIDAK ADA","OK"))</f>
        <v/>
      </c>
    </row>
    <row r="502" customFormat="false" ht="15" hidden="false" customHeight="false" outlineLevel="0" collapsed="false">
      <c r="A502" s="21"/>
      <c r="B502" s="22"/>
      <c r="C502" s="21"/>
      <c r="D502" s="24"/>
      <c r="E502" s="22"/>
      <c r="F502" s="29" t="str">
        <f aca="false">IF(C502="","",IFERROR(INDEX(Produk!$J$2:$J$100,MATCH(C502,Produk!$A$2:$A$100,0)),"PRODUK?"))</f>
        <v/>
      </c>
      <c r="G502" s="29" t="str">
        <f aca="false">IF(A502="","",IF(COUNTIF(Anggota!$A$2:$A$2001,A502)=0,"TIDAK ADA","OK"))</f>
        <v/>
      </c>
    </row>
    <row r="503" customFormat="false" ht="15" hidden="false" customHeight="false" outlineLevel="0" collapsed="false">
      <c r="A503" s="21"/>
      <c r="B503" s="22"/>
      <c r="C503" s="21"/>
      <c r="D503" s="24"/>
      <c r="E503" s="22"/>
      <c r="F503" s="29" t="str">
        <f aca="false">IF(C503="","",IFERROR(INDEX(Produk!$J$2:$J$100,MATCH(C503,Produk!$A$2:$A$100,0)),"PRODUK?"))</f>
        <v/>
      </c>
      <c r="G503" s="29" t="str">
        <f aca="false">IF(A503="","",IF(COUNTIF(Anggota!$A$2:$A$2001,A503)=0,"TIDAK ADA","OK"))</f>
        <v/>
      </c>
    </row>
    <row r="504" customFormat="false" ht="15" hidden="false" customHeight="false" outlineLevel="0" collapsed="false">
      <c r="A504" s="21"/>
      <c r="B504" s="22"/>
      <c r="C504" s="21"/>
      <c r="D504" s="24"/>
      <c r="E504" s="22"/>
      <c r="F504" s="29" t="str">
        <f aca="false">IF(C504="","",IFERROR(INDEX(Produk!$J$2:$J$100,MATCH(C504,Produk!$A$2:$A$100,0)),"PRODUK?"))</f>
        <v/>
      </c>
      <c r="G504" s="29" t="str">
        <f aca="false">IF(A504="","",IF(COUNTIF(Anggota!$A$2:$A$2001,A504)=0,"TIDAK ADA","OK"))</f>
        <v/>
      </c>
    </row>
    <row r="505" customFormat="false" ht="15" hidden="false" customHeight="false" outlineLevel="0" collapsed="false">
      <c r="A505" s="21"/>
      <c r="B505" s="22"/>
      <c r="C505" s="21"/>
      <c r="D505" s="24"/>
      <c r="E505" s="22"/>
      <c r="F505" s="29" t="str">
        <f aca="false">IF(C505="","",IFERROR(INDEX(Produk!$J$2:$J$100,MATCH(C505,Produk!$A$2:$A$100,0)),"PRODUK?"))</f>
        <v/>
      </c>
      <c r="G505" s="29" t="str">
        <f aca="false">IF(A505="","",IF(COUNTIF(Anggota!$A$2:$A$2001,A505)=0,"TIDAK ADA","OK"))</f>
        <v/>
      </c>
    </row>
    <row r="506" customFormat="false" ht="15" hidden="false" customHeight="false" outlineLevel="0" collapsed="false">
      <c r="A506" s="21"/>
      <c r="B506" s="22"/>
      <c r="C506" s="21"/>
      <c r="D506" s="24"/>
      <c r="E506" s="22"/>
      <c r="F506" s="29" t="str">
        <f aca="false">IF(C506="","",IFERROR(INDEX(Produk!$J$2:$J$100,MATCH(C506,Produk!$A$2:$A$100,0)),"PRODUK?"))</f>
        <v/>
      </c>
      <c r="G506" s="29" t="str">
        <f aca="false">IF(A506="","",IF(COUNTIF(Anggota!$A$2:$A$2001,A506)=0,"TIDAK ADA","OK"))</f>
        <v/>
      </c>
    </row>
    <row r="507" customFormat="false" ht="15" hidden="false" customHeight="false" outlineLevel="0" collapsed="false">
      <c r="A507" s="21"/>
      <c r="B507" s="22"/>
      <c r="C507" s="21"/>
      <c r="D507" s="24"/>
      <c r="E507" s="22"/>
      <c r="F507" s="29" t="str">
        <f aca="false">IF(C507="","",IFERROR(INDEX(Produk!$J$2:$J$100,MATCH(C507,Produk!$A$2:$A$100,0)),"PRODUK?"))</f>
        <v/>
      </c>
      <c r="G507" s="29" t="str">
        <f aca="false">IF(A507="","",IF(COUNTIF(Anggota!$A$2:$A$2001,A507)=0,"TIDAK ADA","OK"))</f>
        <v/>
      </c>
    </row>
    <row r="508" customFormat="false" ht="15" hidden="false" customHeight="false" outlineLevel="0" collapsed="false">
      <c r="A508" s="21"/>
      <c r="B508" s="22"/>
      <c r="C508" s="21"/>
      <c r="D508" s="24"/>
      <c r="E508" s="22"/>
      <c r="F508" s="29" t="str">
        <f aca="false">IF(C508="","",IFERROR(INDEX(Produk!$J$2:$J$100,MATCH(C508,Produk!$A$2:$A$100,0)),"PRODUK?"))</f>
        <v/>
      </c>
      <c r="G508" s="29" t="str">
        <f aca="false">IF(A508="","",IF(COUNTIF(Anggota!$A$2:$A$2001,A508)=0,"TIDAK ADA","OK"))</f>
        <v/>
      </c>
    </row>
    <row r="509" customFormat="false" ht="15" hidden="false" customHeight="false" outlineLevel="0" collapsed="false">
      <c r="A509" s="21"/>
      <c r="B509" s="22"/>
      <c r="C509" s="21"/>
      <c r="D509" s="24"/>
      <c r="E509" s="22"/>
      <c r="F509" s="29" t="str">
        <f aca="false">IF(C509="","",IFERROR(INDEX(Produk!$J$2:$J$100,MATCH(C509,Produk!$A$2:$A$100,0)),"PRODUK?"))</f>
        <v/>
      </c>
      <c r="G509" s="29" t="str">
        <f aca="false">IF(A509="","",IF(COUNTIF(Anggota!$A$2:$A$2001,A509)=0,"TIDAK ADA","OK"))</f>
        <v/>
      </c>
    </row>
    <row r="510" customFormat="false" ht="15" hidden="false" customHeight="false" outlineLevel="0" collapsed="false">
      <c r="A510" s="21"/>
      <c r="B510" s="22"/>
      <c r="C510" s="21"/>
      <c r="D510" s="24"/>
      <c r="E510" s="22"/>
      <c r="F510" s="29" t="str">
        <f aca="false">IF(C510="","",IFERROR(INDEX(Produk!$J$2:$J$100,MATCH(C510,Produk!$A$2:$A$100,0)),"PRODUK?"))</f>
        <v/>
      </c>
      <c r="G510" s="29" t="str">
        <f aca="false">IF(A510="","",IF(COUNTIF(Anggota!$A$2:$A$2001,A510)=0,"TIDAK ADA","OK"))</f>
        <v/>
      </c>
    </row>
    <row r="511" customFormat="false" ht="15" hidden="false" customHeight="false" outlineLevel="0" collapsed="false">
      <c r="A511" s="21"/>
      <c r="B511" s="22"/>
      <c r="C511" s="21"/>
      <c r="D511" s="24"/>
      <c r="E511" s="22"/>
      <c r="F511" s="29" t="str">
        <f aca="false">IF(C511="","",IFERROR(INDEX(Produk!$J$2:$J$100,MATCH(C511,Produk!$A$2:$A$100,0)),"PRODUK?"))</f>
        <v/>
      </c>
      <c r="G511" s="29" t="str">
        <f aca="false">IF(A511="","",IF(COUNTIF(Anggota!$A$2:$A$2001,A511)=0,"TIDAK ADA","OK"))</f>
        <v/>
      </c>
    </row>
    <row r="512" customFormat="false" ht="15" hidden="false" customHeight="false" outlineLevel="0" collapsed="false">
      <c r="A512" s="21"/>
      <c r="B512" s="22"/>
      <c r="C512" s="21"/>
      <c r="D512" s="24"/>
      <c r="E512" s="22"/>
      <c r="F512" s="29" t="str">
        <f aca="false">IF(C512="","",IFERROR(INDEX(Produk!$J$2:$J$100,MATCH(C512,Produk!$A$2:$A$100,0)),"PRODUK?"))</f>
        <v/>
      </c>
      <c r="G512" s="29" t="str">
        <f aca="false">IF(A512="","",IF(COUNTIF(Anggota!$A$2:$A$2001,A512)=0,"TIDAK ADA","OK"))</f>
        <v/>
      </c>
    </row>
    <row r="513" customFormat="false" ht="15" hidden="false" customHeight="false" outlineLevel="0" collapsed="false">
      <c r="A513" s="21"/>
      <c r="B513" s="22"/>
      <c r="C513" s="21"/>
      <c r="D513" s="24"/>
      <c r="E513" s="22"/>
      <c r="F513" s="29" t="str">
        <f aca="false">IF(C513="","",IFERROR(INDEX(Produk!$J$2:$J$100,MATCH(C513,Produk!$A$2:$A$100,0)),"PRODUK?"))</f>
        <v/>
      </c>
      <c r="G513" s="29" t="str">
        <f aca="false">IF(A513="","",IF(COUNTIF(Anggota!$A$2:$A$2001,A513)=0,"TIDAK ADA","OK"))</f>
        <v/>
      </c>
    </row>
    <row r="514" customFormat="false" ht="15" hidden="false" customHeight="false" outlineLevel="0" collapsed="false">
      <c r="A514" s="21"/>
      <c r="B514" s="22"/>
      <c r="C514" s="21"/>
      <c r="D514" s="24"/>
      <c r="E514" s="22"/>
      <c r="F514" s="29" t="str">
        <f aca="false">IF(C514="","",IFERROR(INDEX(Produk!$J$2:$J$100,MATCH(C514,Produk!$A$2:$A$100,0)),"PRODUK?"))</f>
        <v/>
      </c>
      <c r="G514" s="29" t="str">
        <f aca="false">IF(A514="","",IF(COUNTIF(Anggota!$A$2:$A$2001,A514)=0,"TIDAK ADA","OK"))</f>
        <v/>
      </c>
    </row>
    <row r="515" customFormat="false" ht="15" hidden="false" customHeight="false" outlineLevel="0" collapsed="false">
      <c r="A515" s="21"/>
      <c r="B515" s="22"/>
      <c r="C515" s="21"/>
      <c r="D515" s="24"/>
      <c r="E515" s="22"/>
      <c r="F515" s="29" t="str">
        <f aca="false">IF(C515="","",IFERROR(INDEX(Produk!$J$2:$J$100,MATCH(C515,Produk!$A$2:$A$100,0)),"PRODUK?"))</f>
        <v/>
      </c>
      <c r="G515" s="29" t="str">
        <f aca="false">IF(A515="","",IF(COUNTIF(Anggota!$A$2:$A$2001,A515)=0,"TIDAK ADA","OK"))</f>
        <v/>
      </c>
    </row>
    <row r="516" customFormat="false" ht="15" hidden="false" customHeight="false" outlineLevel="0" collapsed="false">
      <c r="A516" s="21"/>
      <c r="B516" s="22"/>
      <c r="C516" s="21"/>
      <c r="D516" s="24"/>
      <c r="E516" s="22"/>
      <c r="F516" s="29" t="str">
        <f aca="false">IF(C516="","",IFERROR(INDEX(Produk!$J$2:$J$100,MATCH(C516,Produk!$A$2:$A$100,0)),"PRODUK?"))</f>
        <v/>
      </c>
      <c r="G516" s="29" t="str">
        <f aca="false">IF(A516="","",IF(COUNTIF(Anggota!$A$2:$A$2001,A516)=0,"TIDAK ADA","OK"))</f>
        <v/>
      </c>
    </row>
    <row r="517" customFormat="false" ht="15" hidden="false" customHeight="false" outlineLevel="0" collapsed="false">
      <c r="A517" s="21"/>
      <c r="B517" s="22"/>
      <c r="C517" s="21"/>
      <c r="D517" s="24"/>
      <c r="E517" s="22"/>
      <c r="F517" s="29" t="str">
        <f aca="false">IF(C517="","",IFERROR(INDEX(Produk!$J$2:$J$100,MATCH(C517,Produk!$A$2:$A$100,0)),"PRODUK?"))</f>
        <v/>
      </c>
      <c r="G517" s="29" t="str">
        <f aca="false">IF(A517="","",IF(COUNTIF(Anggota!$A$2:$A$2001,A517)=0,"TIDAK ADA","OK"))</f>
        <v/>
      </c>
    </row>
    <row r="518" customFormat="false" ht="15" hidden="false" customHeight="false" outlineLevel="0" collapsed="false">
      <c r="A518" s="21"/>
      <c r="B518" s="22"/>
      <c r="C518" s="21"/>
      <c r="D518" s="24"/>
      <c r="E518" s="22"/>
      <c r="F518" s="29" t="str">
        <f aca="false">IF(C518="","",IFERROR(INDEX(Produk!$J$2:$J$100,MATCH(C518,Produk!$A$2:$A$100,0)),"PRODUK?"))</f>
        <v/>
      </c>
      <c r="G518" s="29" t="str">
        <f aca="false">IF(A518="","",IF(COUNTIF(Anggota!$A$2:$A$2001,A518)=0,"TIDAK ADA","OK"))</f>
        <v/>
      </c>
    </row>
    <row r="519" customFormat="false" ht="15" hidden="false" customHeight="false" outlineLevel="0" collapsed="false">
      <c r="A519" s="21"/>
      <c r="B519" s="22"/>
      <c r="C519" s="21"/>
      <c r="D519" s="24"/>
      <c r="E519" s="22"/>
      <c r="F519" s="29" t="str">
        <f aca="false">IF(C519="","",IFERROR(INDEX(Produk!$J$2:$J$100,MATCH(C519,Produk!$A$2:$A$100,0)),"PRODUK?"))</f>
        <v/>
      </c>
      <c r="G519" s="29" t="str">
        <f aca="false">IF(A519="","",IF(COUNTIF(Anggota!$A$2:$A$2001,A519)=0,"TIDAK ADA","OK"))</f>
        <v/>
      </c>
    </row>
    <row r="520" customFormat="false" ht="15" hidden="false" customHeight="false" outlineLevel="0" collapsed="false">
      <c r="A520" s="21"/>
      <c r="B520" s="22"/>
      <c r="C520" s="21"/>
      <c r="D520" s="24"/>
      <c r="E520" s="22"/>
      <c r="F520" s="29" t="str">
        <f aca="false">IF(C520="","",IFERROR(INDEX(Produk!$J$2:$J$100,MATCH(C520,Produk!$A$2:$A$100,0)),"PRODUK?"))</f>
        <v/>
      </c>
      <c r="G520" s="29" t="str">
        <f aca="false">IF(A520="","",IF(COUNTIF(Anggota!$A$2:$A$2001,A520)=0,"TIDAK ADA","OK"))</f>
        <v/>
      </c>
    </row>
    <row r="521" customFormat="false" ht="15" hidden="false" customHeight="false" outlineLevel="0" collapsed="false">
      <c r="A521" s="21"/>
      <c r="B521" s="22"/>
      <c r="C521" s="21"/>
      <c r="D521" s="24"/>
      <c r="E521" s="22"/>
      <c r="F521" s="29" t="str">
        <f aca="false">IF(C521="","",IFERROR(INDEX(Produk!$J$2:$J$100,MATCH(C521,Produk!$A$2:$A$100,0)),"PRODUK?"))</f>
        <v/>
      </c>
      <c r="G521" s="29" t="str">
        <f aca="false">IF(A521="","",IF(COUNTIF(Anggota!$A$2:$A$2001,A521)=0,"TIDAK ADA","OK"))</f>
        <v/>
      </c>
    </row>
    <row r="522" customFormat="false" ht="15" hidden="false" customHeight="false" outlineLevel="0" collapsed="false">
      <c r="A522" s="21"/>
      <c r="B522" s="22"/>
      <c r="C522" s="21"/>
      <c r="D522" s="24"/>
      <c r="E522" s="22"/>
      <c r="F522" s="29" t="str">
        <f aca="false">IF(C522="","",IFERROR(INDEX(Produk!$J$2:$J$100,MATCH(C522,Produk!$A$2:$A$100,0)),"PRODUK?"))</f>
        <v/>
      </c>
      <c r="G522" s="29" t="str">
        <f aca="false">IF(A522="","",IF(COUNTIF(Anggota!$A$2:$A$2001,A522)=0,"TIDAK ADA","OK"))</f>
        <v/>
      </c>
    </row>
    <row r="523" customFormat="false" ht="15" hidden="false" customHeight="false" outlineLevel="0" collapsed="false">
      <c r="A523" s="21"/>
      <c r="B523" s="22"/>
      <c r="C523" s="21"/>
      <c r="D523" s="24"/>
      <c r="E523" s="22"/>
      <c r="F523" s="29" t="str">
        <f aca="false">IF(C523="","",IFERROR(INDEX(Produk!$J$2:$J$100,MATCH(C523,Produk!$A$2:$A$100,0)),"PRODUK?"))</f>
        <v/>
      </c>
      <c r="G523" s="29" t="str">
        <f aca="false">IF(A523="","",IF(COUNTIF(Anggota!$A$2:$A$2001,A523)=0,"TIDAK ADA","OK"))</f>
        <v/>
      </c>
    </row>
    <row r="524" customFormat="false" ht="15" hidden="false" customHeight="false" outlineLevel="0" collapsed="false">
      <c r="A524" s="21"/>
      <c r="B524" s="22"/>
      <c r="C524" s="21"/>
      <c r="D524" s="24"/>
      <c r="E524" s="22"/>
      <c r="F524" s="29" t="str">
        <f aca="false">IF(C524="","",IFERROR(INDEX(Produk!$J$2:$J$100,MATCH(C524,Produk!$A$2:$A$100,0)),"PRODUK?"))</f>
        <v/>
      </c>
      <c r="G524" s="29" t="str">
        <f aca="false">IF(A524="","",IF(COUNTIF(Anggota!$A$2:$A$2001,A524)=0,"TIDAK ADA","OK"))</f>
        <v/>
      </c>
    </row>
    <row r="525" customFormat="false" ht="15" hidden="false" customHeight="false" outlineLevel="0" collapsed="false">
      <c r="A525" s="21"/>
      <c r="B525" s="22"/>
      <c r="C525" s="21"/>
      <c r="D525" s="24"/>
      <c r="E525" s="22"/>
      <c r="F525" s="29" t="str">
        <f aca="false">IF(C525="","",IFERROR(INDEX(Produk!$J$2:$J$100,MATCH(C525,Produk!$A$2:$A$100,0)),"PRODUK?"))</f>
        <v/>
      </c>
      <c r="G525" s="29" t="str">
        <f aca="false">IF(A525="","",IF(COUNTIF(Anggota!$A$2:$A$2001,A525)=0,"TIDAK ADA","OK"))</f>
        <v/>
      </c>
    </row>
    <row r="526" customFormat="false" ht="15" hidden="false" customHeight="false" outlineLevel="0" collapsed="false">
      <c r="A526" s="21"/>
      <c r="B526" s="22"/>
      <c r="C526" s="21"/>
      <c r="D526" s="24"/>
      <c r="E526" s="22"/>
      <c r="F526" s="29" t="str">
        <f aca="false">IF(C526="","",IFERROR(INDEX(Produk!$J$2:$J$100,MATCH(C526,Produk!$A$2:$A$100,0)),"PRODUK?"))</f>
        <v/>
      </c>
      <c r="G526" s="29" t="str">
        <f aca="false">IF(A526="","",IF(COUNTIF(Anggota!$A$2:$A$2001,A526)=0,"TIDAK ADA","OK"))</f>
        <v/>
      </c>
    </row>
    <row r="527" customFormat="false" ht="15" hidden="false" customHeight="false" outlineLevel="0" collapsed="false">
      <c r="A527" s="21"/>
      <c r="B527" s="22"/>
      <c r="C527" s="21"/>
      <c r="D527" s="24"/>
      <c r="E527" s="22"/>
      <c r="F527" s="29" t="str">
        <f aca="false">IF(C527="","",IFERROR(INDEX(Produk!$J$2:$J$100,MATCH(C527,Produk!$A$2:$A$100,0)),"PRODUK?"))</f>
        <v/>
      </c>
      <c r="G527" s="29" t="str">
        <f aca="false">IF(A527="","",IF(COUNTIF(Anggota!$A$2:$A$2001,A527)=0,"TIDAK ADA","OK"))</f>
        <v/>
      </c>
    </row>
    <row r="528" customFormat="false" ht="15" hidden="false" customHeight="false" outlineLevel="0" collapsed="false">
      <c r="A528" s="21"/>
      <c r="B528" s="22"/>
      <c r="C528" s="21"/>
      <c r="D528" s="24"/>
      <c r="E528" s="22"/>
      <c r="F528" s="29" t="str">
        <f aca="false">IF(C528="","",IFERROR(INDEX(Produk!$J$2:$J$100,MATCH(C528,Produk!$A$2:$A$100,0)),"PRODUK?"))</f>
        <v/>
      </c>
      <c r="G528" s="29" t="str">
        <f aca="false">IF(A528="","",IF(COUNTIF(Anggota!$A$2:$A$2001,A528)=0,"TIDAK ADA","OK"))</f>
        <v/>
      </c>
    </row>
    <row r="529" customFormat="false" ht="15" hidden="false" customHeight="false" outlineLevel="0" collapsed="false">
      <c r="A529" s="21"/>
      <c r="B529" s="22"/>
      <c r="C529" s="21"/>
      <c r="D529" s="24"/>
      <c r="E529" s="22"/>
      <c r="F529" s="29" t="str">
        <f aca="false">IF(C529="","",IFERROR(INDEX(Produk!$J$2:$J$100,MATCH(C529,Produk!$A$2:$A$100,0)),"PRODUK?"))</f>
        <v/>
      </c>
      <c r="G529" s="29" t="str">
        <f aca="false">IF(A529="","",IF(COUNTIF(Anggota!$A$2:$A$2001,A529)=0,"TIDAK ADA","OK"))</f>
        <v/>
      </c>
    </row>
    <row r="530" customFormat="false" ht="15" hidden="false" customHeight="false" outlineLevel="0" collapsed="false">
      <c r="A530" s="21"/>
      <c r="B530" s="22"/>
      <c r="C530" s="21"/>
      <c r="D530" s="24"/>
      <c r="E530" s="22"/>
      <c r="F530" s="29" t="str">
        <f aca="false">IF(C530="","",IFERROR(INDEX(Produk!$J$2:$J$100,MATCH(C530,Produk!$A$2:$A$100,0)),"PRODUK?"))</f>
        <v/>
      </c>
      <c r="G530" s="29" t="str">
        <f aca="false">IF(A530="","",IF(COUNTIF(Anggota!$A$2:$A$2001,A530)=0,"TIDAK ADA","OK"))</f>
        <v/>
      </c>
    </row>
    <row r="531" customFormat="false" ht="15" hidden="false" customHeight="false" outlineLevel="0" collapsed="false">
      <c r="A531" s="21"/>
      <c r="B531" s="22"/>
      <c r="C531" s="21"/>
      <c r="D531" s="24"/>
      <c r="E531" s="22"/>
      <c r="F531" s="29" t="str">
        <f aca="false">IF(C531="","",IFERROR(INDEX(Produk!$J$2:$J$100,MATCH(C531,Produk!$A$2:$A$100,0)),"PRODUK?"))</f>
        <v/>
      </c>
      <c r="G531" s="29" t="str">
        <f aca="false">IF(A531="","",IF(COUNTIF(Anggota!$A$2:$A$2001,A531)=0,"TIDAK ADA","OK"))</f>
        <v/>
      </c>
    </row>
    <row r="532" customFormat="false" ht="15" hidden="false" customHeight="false" outlineLevel="0" collapsed="false">
      <c r="A532" s="21"/>
      <c r="B532" s="22"/>
      <c r="C532" s="21"/>
      <c r="D532" s="24"/>
      <c r="E532" s="22"/>
      <c r="F532" s="29" t="str">
        <f aca="false">IF(C532="","",IFERROR(INDEX(Produk!$J$2:$J$100,MATCH(C532,Produk!$A$2:$A$100,0)),"PRODUK?"))</f>
        <v/>
      </c>
      <c r="G532" s="29" t="str">
        <f aca="false">IF(A532="","",IF(COUNTIF(Anggota!$A$2:$A$2001,A532)=0,"TIDAK ADA","OK"))</f>
        <v/>
      </c>
    </row>
    <row r="533" customFormat="false" ht="15" hidden="false" customHeight="false" outlineLevel="0" collapsed="false">
      <c r="A533" s="21"/>
      <c r="B533" s="22"/>
      <c r="C533" s="21"/>
      <c r="D533" s="24"/>
      <c r="E533" s="22"/>
      <c r="F533" s="29" t="str">
        <f aca="false">IF(C533="","",IFERROR(INDEX(Produk!$J$2:$J$100,MATCH(C533,Produk!$A$2:$A$100,0)),"PRODUK?"))</f>
        <v/>
      </c>
      <c r="G533" s="29" t="str">
        <f aca="false">IF(A533="","",IF(COUNTIF(Anggota!$A$2:$A$2001,A533)=0,"TIDAK ADA","OK"))</f>
        <v/>
      </c>
    </row>
    <row r="534" customFormat="false" ht="15" hidden="false" customHeight="false" outlineLevel="0" collapsed="false">
      <c r="A534" s="21"/>
      <c r="B534" s="22"/>
      <c r="C534" s="21"/>
      <c r="D534" s="24"/>
      <c r="E534" s="22"/>
      <c r="F534" s="29" t="str">
        <f aca="false">IF(C534="","",IFERROR(INDEX(Produk!$J$2:$J$100,MATCH(C534,Produk!$A$2:$A$100,0)),"PRODUK?"))</f>
        <v/>
      </c>
      <c r="G534" s="29" t="str">
        <f aca="false">IF(A534="","",IF(COUNTIF(Anggota!$A$2:$A$2001,A534)=0,"TIDAK ADA","OK"))</f>
        <v/>
      </c>
    </row>
    <row r="535" customFormat="false" ht="15" hidden="false" customHeight="false" outlineLevel="0" collapsed="false">
      <c r="A535" s="21"/>
      <c r="B535" s="22"/>
      <c r="C535" s="21"/>
      <c r="D535" s="24"/>
      <c r="E535" s="22"/>
      <c r="F535" s="29" t="str">
        <f aca="false">IF(C535="","",IFERROR(INDEX(Produk!$J$2:$J$100,MATCH(C535,Produk!$A$2:$A$100,0)),"PRODUK?"))</f>
        <v/>
      </c>
      <c r="G535" s="29" t="str">
        <f aca="false">IF(A535="","",IF(COUNTIF(Anggota!$A$2:$A$2001,A535)=0,"TIDAK ADA","OK"))</f>
        <v/>
      </c>
    </row>
    <row r="536" customFormat="false" ht="15" hidden="false" customHeight="false" outlineLevel="0" collapsed="false">
      <c r="A536" s="21"/>
      <c r="B536" s="22"/>
      <c r="C536" s="21"/>
      <c r="D536" s="24"/>
      <c r="E536" s="22"/>
      <c r="F536" s="29" t="str">
        <f aca="false">IF(C536="","",IFERROR(INDEX(Produk!$J$2:$J$100,MATCH(C536,Produk!$A$2:$A$100,0)),"PRODUK?"))</f>
        <v/>
      </c>
      <c r="G536" s="29" t="str">
        <f aca="false">IF(A536="","",IF(COUNTIF(Anggota!$A$2:$A$2001,A536)=0,"TIDAK ADA","OK"))</f>
        <v/>
      </c>
    </row>
    <row r="537" customFormat="false" ht="15" hidden="false" customHeight="false" outlineLevel="0" collapsed="false">
      <c r="A537" s="21"/>
      <c r="B537" s="22"/>
      <c r="C537" s="21"/>
      <c r="D537" s="24"/>
      <c r="E537" s="22"/>
      <c r="F537" s="29" t="str">
        <f aca="false">IF(C537="","",IFERROR(INDEX(Produk!$J$2:$J$100,MATCH(C537,Produk!$A$2:$A$100,0)),"PRODUK?"))</f>
        <v/>
      </c>
      <c r="G537" s="29" t="str">
        <f aca="false">IF(A537="","",IF(COUNTIF(Anggota!$A$2:$A$2001,A537)=0,"TIDAK ADA","OK"))</f>
        <v/>
      </c>
    </row>
    <row r="538" customFormat="false" ht="15" hidden="false" customHeight="false" outlineLevel="0" collapsed="false">
      <c r="A538" s="21"/>
      <c r="B538" s="22"/>
      <c r="C538" s="21"/>
      <c r="D538" s="24"/>
      <c r="E538" s="22"/>
      <c r="F538" s="29" t="str">
        <f aca="false">IF(C538="","",IFERROR(INDEX(Produk!$J$2:$J$100,MATCH(C538,Produk!$A$2:$A$100,0)),"PRODUK?"))</f>
        <v/>
      </c>
      <c r="G538" s="29" t="str">
        <f aca="false">IF(A538="","",IF(COUNTIF(Anggota!$A$2:$A$2001,A538)=0,"TIDAK ADA","OK"))</f>
        <v/>
      </c>
    </row>
    <row r="539" customFormat="false" ht="15" hidden="false" customHeight="false" outlineLevel="0" collapsed="false">
      <c r="A539" s="21"/>
      <c r="B539" s="22"/>
      <c r="C539" s="21"/>
      <c r="D539" s="24"/>
      <c r="E539" s="22"/>
      <c r="F539" s="29" t="str">
        <f aca="false">IF(C539="","",IFERROR(INDEX(Produk!$J$2:$J$100,MATCH(C539,Produk!$A$2:$A$100,0)),"PRODUK?"))</f>
        <v/>
      </c>
      <c r="G539" s="29" t="str">
        <f aca="false">IF(A539="","",IF(COUNTIF(Anggota!$A$2:$A$2001,A539)=0,"TIDAK ADA","OK"))</f>
        <v/>
      </c>
    </row>
    <row r="540" customFormat="false" ht="15" hidden="false" customHeight="false" outlineLevel="0" collapsed="false">
      <c r="A540" s="21"/>
      <c r="B540" s="22"/>
      <c r="C540" s="21"/>
      <c r="D540" s="24"/>
      <c r="E540" s="22"/>
      <c r="F540" s="29" t="str">
        <f aca="false">IF(C540="","",IFERROR(INDEX(Produk!$J$2:$J$100,MATCH(C540,Produk!$A$2:$A$100,0)),"PRODUK?"))</f>
        <v/>
      </c>
      <c r="G540" s="29" t="str">
        <f aca="false">IF(A540="","",IF(COUNTIF(Anggota!$A$2:$A$2001,A540)=0,"TIDAK ADA","OK"))</f>
        <v/>
      </c>
    </row>
    <row r="541" customFormat="false" ht="15" hidden="false" customHeight="false" outlineLevel="0" collapsed="false">
      <c r="A541" s="21"/>
      <c r="B541" s="22"/>
      <c r="C541" s="21"/>
      <c r="D541" s="24"/>
      <c r="E541" s="22"/>
      <c r="F541" s="29" t="str">
        <f aca="false">IF(C541="","",IFERROR(INDEX(Produk!$J$2:$J$100,MATCH(C541,Produk!$A$2:$A$100,0)),"PRODUK?"))</f>
        <v/>
      </c>
      <c r="G541" s="29" t="str">
        <f aca="false">IF(A541="","",IF(COUNTIF(Anggota!$A$2:$A$2001,A541)=0,"TIDAK ADA","OK"))</f>
        <v/>
      </c>
    </row>
    <row r="542" customFormat="false" ht="15" hidden="false" customHeight="false" outlineLevel="0" collapsed="false">
      <c r="A542" s="21"/>
      <c r="B542" s="22"/>
      <c r="C542" s="21"/>
      <c r="D542" s="24"/>
      <c r="E542" s="22"/>
      <c r="F542" s="29" t="str">
        <f aca="false">IF(C542="","",IFERROR(INDEX(Produk!$J$2:$J$100,MATCH(C542,Produk!$A$2:$A$100,0)),"PRODUK?"))</f>
        <v/>
      </c>
      <c r="G542" s="29" t="str">
        <f aca="false">IF(A542="","",IF(COUNTIF(Anggota!$A$2:$A$2001,A542)=0,"TIDAK ADA","OK"))</f>
        <v/>
      </c>
    </row>
    <row r="543" customFormat="false" ht="15" hidden="false" customHeight="false" outlineLevel="0" collapsed="false">
      <c r="A543" s="21"/>
      <c r="B543" s="22"/>
      <c r="C543" s="21"/>
      <c r="D543" s="24"/>
      <c r="E543" s="22"/>
      <c r="F543" s="29" t="str">
        <f aca="false">IF(C543="","",IFERROR(INDEX(Produk!$J$2:$J$100,MATCH(C543,Produk!$A$2:$A$100,0)),"PRODUK?"))</f>
        <v/>
      </c>
      <c r="G543" s="29" t="str">
        <f aca="false">IF(A543="","",IF(COUNTIF(Anggota!$A$2:$A$2001,A543)=0,"TIDAK ADA","OK"))</f>
        <v/>
      </c>
    </row>
    <row r="544" customFormat="false" ht="15" hidden="false" customHeight="false" outlineLevel="0" collapsed="false">
      <c r="A544" s="21"/>
      <c r="B544" s="22"/>
      <c r="C544" s="21"/>
      <c r="D544" s="24"/>
      <c r="E544" s="22"/>
      <c r="F544" s="29" t="str">
        <f aca="false">IF(C544="","",IFERROR(INDEX(Produk!$J$2:$J$100,MATCH(C544,Produk!$A$2:$A$100,0)),"PRODUK?"))</f>
        <v/>
      </c>
      <c r="G544" s="29" t="str">
        <f aca="false">IF(A544="","",IF(COUNTIF(Anggota!$A$2:$A$2001,A544)=0,"TIDAK ADA","OK"))</f>
        <v/>
      </c>
    </row>
    <row r="545" customFormat="false" ht="15" hidden="false" customHeight="false" outlineLevel="0" collapsed="false">
      <c r="A545" s="21"/>
      <c r="B545" s="22"/>
      <c r="C545" s="21"/>
      <c r="D545" s="24"/>
      <c r="E545" s="22"/>
      <c r="F545" s="29" t="str">
        <f aca="false">IF(C545="","",IFERROR(INDEX(Produk!$J$2:$J$100,MATCH(C545,Produk!$A$2:$A$100,0)),"PRODUK?"))</f>
        <v/>
      </c>
      <c r="G545" s="29" t="str">
        <f aca="false">IF(A545="","",IF(COUNTIF(Anggota!$A$2:$A$2001,A545)=0,"TIDAK ADA","OK"))</f>
        <v/>
      </c>
    </row>
    <row r="546" customFormat="false" ht="15" hidden="false" customHeight="false" outlineLevel="0" collapsed="false">
      <c r="A546" s="21"/>
      <c r="B546" s="22"/>
      <c r="C546" s="21"/>
      <c r="D546" s="24"/>
      <c r="E546" s="22"/>
      <c r="F546" s="29" t="str">
        <f aca="false">IF(C546="","",IFERROR(INDEX(Produk!$J$2:$J$100,MATCH(C546,Produk!$A$2:$A$100,0)),"PRODUK?"))</f>
        <v/>
      </c>
      <c r="G546" s="29" t="str">
        <f aca="false">IF(A546="","",IF(COUNTIF(Anggota!$A$2:$A$2001,A546)=0,"TIDAK ADA","OK"))</f>
        <v/>
      </c>
    </row>
    <row r="547" customFormat="false" ht="15" hidden="false" customHeight="false" outlineLevel="0" collapsed="false">
      <c r="A547" s="21"/>
      <c r="B547" s="22"/>
      <c r="C547" s="21"/>
      <c r="D547" s="24"/>
      <c r="E547" s="22"/>
      <c r="F547" s="29" t="str">
        <f aca="false">IF(C547="","",IFERROR(INDEX(Produk!$J$2:$J$100,MATCH(C547,Produk!$A$2:$A$100,0)),"PRODUK?"))</f>
        <v/>
      </c>
      <c r="G547" s="29" t="str">
        <f aca="false">IF(A547="","",IF(COUNTIF(Anggota!$A$2:$A$2001,A547)=0,"TIDAK ADA","OK"))</f>
        <v/>
      </c>
    </row>
    <row r="548" customFormat="false" ht="15" hidden="false" customHeight="false" outlineLevel="0" collapsed="false">
      <c r="A548" s="21"/>
      <c r="B548" s="22"/>
      <c r="C548" s="21"/>
      <c r="D548" s="24"/>
      <c r="E548" s="22"/>
      <c r="F548" s="29" t="str">
        <f aca="false">IF(C548="","",IFERROR(INDEX(Produk!$J$2:$J$100,MATCH(C548,Produk!$A$2:$A$100,0)),"PRODUK?"))</f>
        <v/>
      </c>
      <c r="G548" s="29" t="str">
        <f aca="false">IF(A548="","",IF(COUNTIF(Anggota!$A$2:$A$2001,A548)=0,"TIDAK ADA","OK"))</f>
        <v/>
      </c>
    </row>
    <row r="549" customFormat="false" ht="15" hidden="false" customHeight="false" outlineLevel="0" collapsed="false">
      <c r="A549" s="21"/>
      <c r="B549" s="22"/>
      <c r="C549" s="21"/>
      <c r="D549" s="24"/>
      <c r="E549" s="22"/>
      <c r="F549" s="29" t="str">
        <f aca="false">IF(C549="","",IFERROR(INDEX(Produk!$J$2:$J$100,MATCH(C549,Produk!$A$2:$A$100,0)),"PRODUK?"))</f>
        <v/>
      </c>
      <c r="G549" s="29" t="str">
        <f aca="false">IF(A549="","",IF(COUNTIF(Anggota!$A$2:$A$2001,A549)=0,"TIDAK ADA","OK"))</f>
        <v/>
      </c>
    </row>
    <row r="550" customFormat="false" ht="15" hidden="false" customHeight="false" outlineLevel="0" collapsed="false">
      <c r="A550" s="21"/>
      <c r="B550" s="22"/>
      <c r="C550" s="21"/>
      <c r="D550" s="24"/>
      <c r="E550" s="22"/>
      <c r="F550" s="29" t="str">
        <f aca="false">IF(C550="","",IFERROR(INDEX(Produk!$J$2:$J$100,MATCH(C550,Produk!$A$2:$A$100,0)),"PRODUK?"))</f>
        <v/>
      </c>
      <c r="G550" s="29" t="str">
        <f aca="false">IF(A550="","",IF(COUNTIF(Anggota!$A$2:$A$2001,A550)=0,"TIDAK ADA","OK"))</f>
        <v/>
      </c>
    </row>
    <row r="551" customFormat="false" ht="15" hidden="false" customHeight="false" outlineLevel="0" collapsed="false">
      <c r="A551" s="21"/>
      <c r="B551" s="22"/>
      <c r="C551" s="21"/>
      <c r="D551" s="24"/>
      <c r="E551" s="22"/>
      <c r="F551" s="29" t="str">
        <f aca="false">IF(C551="","",IFERROR(INDEX(Produk!$J$2:$J$100,MATCH(C551,Produk!$A$2:$A$100,0)),"PRODUK?"))</f>
        <v/>
      </c>
      <c r="G551" s="29" t="str">
        <f aca="false">IF(A551="","",IF(COUNTIF(Anggota!$A$2:$A$2001,A551)=0,"TIDAK ADA","OK"))</f>
        <v/>
      </c>
    </row>
    <row r="552" customFormat="false" ht="15" hidden="false" customHeight="false" outlineLevel="0" collapsed="false">
      <c r="A552" s="21"/>
      <c r="B552" s="22"/>
      <c r="C552" s="21"/>
      <c r="D552" s="24"/>
      <c r="E552" s="22"/>
      <c r="F552" s="29" t="str">
        <f aca="false">IF(C552="","",IFERROR(INDEX(Produk!$J$2:$J$100,MATCH(C552,Produk!$A$2:$A$100,0)),"PRODUK?"))</f>
        <v/>
      </c>
      <c r="G552" s="29" t="str">
        <f aca="false">IF(A552="","",IF(COUNTIF(Anggota!$A$2:$A$2001,A552)=0,"TIDAK ADA","OK"))</f>
        <v/>
      </c>
    </row>
    <row r="553" customFormat="false" ht="15" hidden="false" customHeight="false" outlineLevel="0" collapsed="false">
      <c r="A553" s="21"/>
      <c r="B553" s="22"/>
      <c r="C553" s="21"/>
      <c r="D553" s="24"/>
      <c r="E553" s="22"/>
      <c r="F553" s="29" t="str">
        <f aca="false">IF(C553="","",IFERROR(INDEX(Produk!$J$2:$J$100,MATCH(C553,Produk!$A$2:$A$100,0)),"PRODUK?"))</f>
        <v/>
      </c>
      <c r="G553" s="29" t="str">
        <f aca="false">IF(A553="","",IF(COUNTIF(Anggota!$A$2:$A$2001,A553)=0,"TIDAK ADA","OK"))</f>
        <v/>
      </c>
    </row>
    <row r="554" customFormat="false" ht="15" hidden="false" customHeight="false" outlineLevel="0" collapsed="false">
      <c r="A554" s="21"/>
      <c r="B554" s="22"/>
      <c r="C554" s="21"/>
      <c r="D554" s="24"/>
      <c r="E554" s="22"/>
      <c r="F554" s="29" t="str">
        <f aca="false">IF(C554="","",IFERROR(INDEX(Produk!$J$2:$J$100,MATCH(C554,Produk!$A$2:$A$100,0)),"PRODUK?"))</f>
        <v/>
      </c>
      <c r="G554" s="29" t="str">
        <f aca="false">IF(A554="","",IF(COUNTIF(Anggota!$A$2:$A$2001,A554)=0,"TIDAK ADA","OK"))</f>
        <v/>
      </c>
    </row>
    <row r="555" customFormat="false" ht="15" hidden="false" customHeight="false" outlineLevel="0" collapsed="false">
      <c r="A555" s="21"/>
      <c r="B555" s="22"/>
      <c r="C555" s="21"/>
      <c r="D555" s="24"/>
      <c r="E555" s="22"/>
      <c r="F555" s="29" t="str">
        <f aca="false">IF(C555="","",IFERROR(INDEX(Produk!$J$2:$J$100,MATCH(C555,Produk!$A$2:$A$100,0)),"PRODUK?"))</f>
        <v/>
      </c>
      <c r="G555" s="29" t="str">
        <f aca="false">IF(A555="","",IF(COUNTIF(Anggota!$A$2:$A$2001,A555)=0,"TIDAK ADA","OK"))</f>
        <v/>
      </c>
    </row>
    <row r="556" customFormat="false" ht="15" hidden="false" customHeight="false" outlineLevel="0" collapsed="false">
      <c r="A556" s="21"/>
      <c r="B556" s="22"/>
      <c r="C556" s="21"/>
      <c r="D556" s="24"/>
      <c r="E556" s="22"/>
      <c r="F556" s="29" t="str">
        <f aca="false">IF(C556="","",IFERROR(INDEX(Produk!$J$2:$J$100,MATCH(C556,Produk!$A$2:$A$100,0)),"PRODUK?"))</f>
        <v/>
      </c>
      <c r="G556" s="29" t="str">
        <f aca="false">IF(A556="","",IF(COUNTIF(Anggota!$A$2:$A$2001,A556)=0,"TIDAK ADA","OK"))</f>
        <v/>
      </c>
    </row>
    <row r="557" customFormat="false" ht="15" hidden="false" customHeight="false" outlineLevel="0" collapsed="false">
      <c r="A557" s="21"/>
      <c r="B557" s="22"/>
      <c r="C557" s="21"/>
      <c r="D557" s="24"/>
      <c r="E557" s="22"/>
      <c r="F557" s="29" t="str">
        <f aca="false">IF(C557="","",IFERROR(INDEX(Produk!$J$2:$J$100,MATCH(C557,Produk!$A$2:$A$100,0)),"PRODUK?"))</f>
        <v/>
      </c>
      <c r="G557" s="29" t="str">
        <f aca="false">IF(A557="","",IF(COUNTIF(Anggota!$A$2:$A$2001,A557)=0,"TIDAK ADA","OK"))</f>
        <v/>
      </c>
    </row>
    <row r="558" customFormat="false" ht="15" hidden="false" customHeight="false" outlineLevel="0" collapsed="false">
      <c r="A558" s="21"/>
      <c r="B558" s="22"/>
      <c r="C558" s="21"/>
      <c r="D558" s="24"/>
      <c r="E558" s="22"/>
      <c r="F558" s="29" t="str">
        <f aca="false">IF(C558="","",IFERROR(INDEX(Produk!$J$2:$J$100,MATCH(C558,Produk!$A$2:$A$100,0)),"PRODUK?"))</f>
        <v/>
      </c>
      <c r="G558" s="29" t="str">
        <f aca="false">IF(A558="","",IF(COUNTIF(Anggota!$A$2:$A$2001,A558)=0,"TIDAK ADA","OK"))</f>
        <v/>
      </c>
    </row>
    <row r="559" customFormat="false" ht="15" hidden="false" customHeight="false" outlineLevel="0" collapsed="false">
      <c r="A559" s="21"/>
      <c r="B559" s="22"/>
      <c r="C559" s="21"/>
      <c r="D559" s="24"/>
      <c r="E559" s="22"/>
      <c r="F559" s="29" t="str">
        <f aca="false">IF(C559="","",IFERROR(INDEX(Produk!$J$2:$J$100,MATCH(C559,Produk!$A$2:$A$100,0)),"PRODUK?"))</f>
        <v/>
      </c>
      <c r="G559" s="29" t="str">
        <f aca="false">IF(A559="","",IF(COUNTIF(Anggota!$A$2:$A$2001,A559)=0,"TIDAK ADA","OK"))</f>
        <v/>
      </c>
    </row>
    <row r="560" customFormat="false" ht="15" hidden="false" customHeight="false" outlineLevel="0" collapsed="false">
      <c r="A560" s="21"/>
      <c r="B560" s="22"/>
      <c r="C560" s="21"/>
      <c r="D560" s="24"/>
      <c r="E560" s="22"/>
      <c r="F560" s="29" t="str">
        <f aca="false">IF(C560="","",IFERROR(INDEX(Produk!$J$2:$J$100,MATCH(C560,Produk!$A$2:$A$100,0)),"PRODUK?"))</f>
        <v/>
      </c>
      <c r="G560" s="29" t="str">
        <f aca="false">IF(A560="","",IF(COUNTIF(Anggota!$A$2:$A$2001,A560)=0,"TIDAK ADA","OK"))</f>
        <v/>
      </c>
    </row>
    <row r="561" customFormat="false" ht="15" hidden="false" customHeight="false" outlineLevel="0" collapsed="false">
      <c r="A561" s="21"/>
      <c r="B561" s="22"/>
      <c r="C561" s="21"/>
      <c r="D561" s="24"/>
      <c r="E561" s="22"/>
      <c r="F561" s="29" t="str">
        <f aca="false">IF(C561="","",IFERROR(INDEX(Produk!$J$2:$J$100,MATCH(C561,Produk!$A$2:$A$100,0)),"PRODUK?"))</f>
        <v/>
      </c>
      <c r="G561" s="29" t="str">
        <f aca="false">IF(A561="","",IF(COUNTIF(Anggota!$A$2:$A$2001,A561)=0,"TIDAK ADA","OK"))</f>
        <v/>
      </c>
    </row>
    <row r="562" customFormat="false" ht="15" hidden="false" customHeight="false" outlineLevel="0" collapsed="false">
      <c r="A562" s="21"/>
      <c r="B562" s="22"/>
      <c r="C562" s="21"/>
      <c r="D562" s="24"/>
      <c r="E562" s="22"/>
      <c r="F562" s="29" t="str">
        <f aca="false">IF(C562="","",IFERROR(INDEX(Produk!$J$2:$J$100,MATCH(C562,Produk!$A$2:$A$100,0)),"PRODUK?"))</f>
        <v/>
      </c>
      <c r="G562" s="29" t="str">
        <f aca="false">IF(A562="","",IF(COUNTIF(Anggota!$A$2:$A$2001,A562)=0,"TIDAK ADA","OK"))</f>
        <v/>
      </c>
    </row>
    <row r="563" customFormat="false" ht="15" hidden="false" customHeight="false" outlineLevel="0" collapsed="false">
      <c r="A563" s="21"/>
      <c r="B563" s="22"/>
      <c r="C563" s="21"/>
      <c r="D563" s="24"/>
      <c r="E563" s="22"/>
      <c r="F563" s="29" t="str">
        <f aca="false">IF(C563="","",IFERROR(INDEX(Produk!$J$2:$J$100,MATCH(C563,Produk!$A$2:$A$100,0)),"PRODUK?"))</f>
        <v/>
      </c>
      <c r="G563" s="29" t="str">
        <f aca="false">IF(A563="","",IF(COUNTIF(Anggota!$A$2:$A$2001,A563)=0,"TIDAK ADA","OK"))</f>
        <v/>
      </c>
    </row>
    <row r="564" customFormat="false" ht="15" hidden="false" customHeight="false" outlineLevel="0" collapsed="false">
      <c r="A564" s="21"/>
      <c r="B564" s="22"/>
      <c r="C564" s="21"/>
      <c r="D564" s="24"/>
      <c r="E564" s="22"/>
      <c r="F564" s="29" t="str">
        <f aca="false">IF(C564="","",IFERROR(INDEX(Produk!$J$2:$J$100,MATCH(C564,Produk!$A$2:$A$100,0)),"PRODUK?"))</f>
        <v/>
      </c>
      <c r="G564" s="29" t="str">
        <f aca="false">IF(A564="","",IF(COUNTIF(Anggota!$A$2:$A$2001,A564)=0,"TIDAK ADA","OK"))</f>
        <v/>
      </c>
    </row>
    <row r="565" customFormat="false" ht="15" hidden="false" customHeight="false" outlineLevel="0" collapsed="false">
      <c r="A565" s="21"/>
      <c r="B565" s="22"/>
      <c r="C565" s="21"/>
      <c r="D565" s="24"/>
      <c r="E565" s="22"/>
      <c r="F565" s="29" t="str">
        <f aca="false">IF(C565="","",IFERROR(INDEX(Produk!$J$2:$J$100,MATCH(C565,Produk!$A$2:$A$100,0)),"PRODUK?"))</f>
        <v/>
      </c>
      <c r="G565" s="29" t="str">
        <f aca="false">IF(A565="","",IF(COUNTIF(Anggota!$A$2:$A$2001,A565)=0,"TIDAK ADA","OK"))</f>
        <v/>
      </c>
    </row>
    <row r="566" customFormat="false" ht="15" hidden="false" customHeight="false" outlineLevel="0" collapsed="false">
      <c r="A566" s="21"/>
      <c r="B566" s="22"/>
      <c r="C566" s="21"/>
      <c r="D566" s="24"/>
      <c r="E566" s="22"/>
      <c r="F566" s="29" t="str">
        <f aca="false">IF(C566="","",IFERROR(INDEX(Produk!$J$2:$J$100,MATCH(C566,Produk!$A$2:$A$100,0)),"PRODUK?"))</f>
        <v/>
      </c>
      <c r="G566" s="29" t="str">
        <f aca="false">IF(A566="","",IF(COUNTIF(Anggota!$A$2:$A$2001,A566)=0,"TIDAK ADA","OK"))</f>
        <v/>
      </c>
    </row>
    <row r="567" customFormat="false" ht="15" hidden="false" customHeight="false" outlineLevel="0" collapsed="false">
      <c r="A567" s="21"/>
      <c r="B567" s="22"/>
      <c r="C567" s="21"/>
      <c r="D567" s="24"/>
      <c r="E567" s="22"/>
      <c r="F567" s="29" t="str">
        <f aca="false">IF(C567="","",IFERROR(INDEX(Produk!$J$2:$J$100,MATCH(C567,Produk!$A$2:$A$100,0)),"PRODUK?"))</f>
        <v/>
      </c>
      <c r="G567" s="29" t="str">
        <f aca="false">IF(A567="","",IF(COUNTIF(Anggota!$A$2:$A$2001,A567)=0,"TIDAK ADA","OK"))</f>
        <v/>
      </c>
    </row>
    <row r="568" customFormat="false" ht="15" hidden="false" customHeight="false" outlineLevel="0" collapsed="false">
      <c r="A568" s="21"/>
      <c r="B568" s="22"/>
      <c r="C568" s="21"/>
      <c r="D568" s="24"/>
      <c r="E568" s="22"/>
      <c r="F568" s="29" t="str">
        <f aca="false">IF(C568="","",IFERROR(INDEX(Produk!$J$2:$J$100,MATCH(C568,Produk!$A$2:$A$100,0)),"PRODUK?"))</f>
        <v/>
      </c>
      <c r="G568" s="29" t="str">
        <f aca="false">IF(A568="","",IF(COUNTIF(Anggota!$A$2:$A$2001,A568)=0,"TIDAK ADA","OK"))</f>
        <v/>
      </c>
    </row>
    <row r="569" customFormat="false" ht="15" hidden="false" customHeight="false" outlineLevel="0" collapsed="false">
      <c r="A569" s="21"/>
      <c r="B569" s="22"/>
      <c r="C569" s="21"/>
      <c r="D569" s="24"/>
      <c r="E569" s="22"/>
      <c r="F569" s="29" t="str">
        <f aca="false">IF(C569="","",IFERROR(INDEX(Produk!$J$2:$J$100,MATCH(C569,Produk!$A$2:$A$100,0)),"PRODUK?"))</f>
        <v/>
      </c>
      <c r="G569" s="29" t="str">
        <f aca="false">IF(A569="","",IF(COUNTIF(Anggota!$A$2:$A$2001,A569)=0,"TIDAK ADA","OK"))</f>
        <v/>
      </c>
    </row>
    <row r="570" customFormat="false" ht="15" hidden="false" customHeight="false" outlineLevel="0" collapsed="false">
      <c r="A570" s="21"/>
      <c r="B570" s="22"/>
      <c r="C570" s="21"/>
      <c r="D570" s="24"/>
      <c r="E570" s="22"/>
      <c r="F570" s="29" t="str">
        <f aca="false">IF(C570="","",IFERROR(INDEX(Produk!$J$2:$J$100,MATCH(C570,Produk!$A$2:$A$100,0)),"PRODUK?"))</f>
        <v/>
      </c>
      <c r="G570" s="29" t="str">
        <f aca="false">IF(A570="","",IF(COUNTIF(Anggota!$A$2:$A$2001,A570)=0,"TIDAK ADA","OK"))</f>
        <v/>
      </c>
    </row>
    <row r="571" customFormat="false" ht="15" hidden="false" customHeight="false" outlineLevel="0" collapsed="false">
      <c r="A571" s="21"/>
      <c r="B571" s="22"/>
      <c r="C571" s="21"/>
      <c r="D571" s="24"/>
      <c r="E571" s="22"/>
      <c r="F571" s="29" t="str">
        <f aca="false">IF(C571="","",IFERROR(INDEX(Produk!$J$2:$J$100,MATCH(C571,Produk!$A$2:$A$100,0)),"PRODUK?"))</f>
        <v/>
      </c>
      <c r="G571" s="29" t="str">
        <f aca="false">IF(A571="","",IF(COUNTIF(Anggota!$A$2:$A$2001,A571)=0,"TIDAK ADA","OK"))</f>
        <v/>
      </c>
    </row>
    <row r="572" customFormat="false" ht="15" hidden="false" customHeight="false" outlineLevel="0" collapsed="false">
      <c r="A572" s="21"/>
      <c r="B572" s="22"/>
      <c r="C572" s="21"/>
      <c r="D572" s="24"/>
      <c r="E572" s="22"/>
      <c r="F572" s="29" t="str">
        <f aca="false">IF(C572="","",IFERROR(INDEX(Produk!$J$2:$J$100,MATCH(C572,Produk!$A$2:$A$100,0)),"PRODUK?"))</f>
        <v/>
      </c>
      <c r="G572" s="29" t="str">
        <f aca="false">IF(A572="","",IF(COUNTIF(Anggota!$A$2:$A$2001,A572)=0,"TIDAK ADA","OK"))</f>
        <v/>
      </c>
    </row>
    <row r="573" customFormat="false" ht="15" hidden="false" customHeight="false" outlineLevel="0" collapsed="false">
      <c r="A573" s="21"/>
      <c r="B573" s="22"/>
      <c r="C573" s="21"/>
      <c r="D573" s="24"/>
      <c r="E573" s="22"/>
      <c r="F573" s="29" t="str">
        <f aca="false">IF(C573="","",IFERROR(INDEX(Produk!$J$2:$J$100,MATCH(C573,Produk!$A$2:$A$100,0)),"PRODUK?"))</f>
        <v/>
      </c>
      <c r="G573" s="29" t="str">
        <f aca="false">IF(A573="","",IF(COUNTIF(Anggota!$A$2:$A$2001,A573)=0,"TIDAK ADA","OK"))</f>
        <v/>
      </c>
    </row>
    <row r="574" customFormat="false" ht="15" hidden="false" customHeight="false" outlineLevel="0" collapsed="false">
      <c r="A574" s="21"/>
      <c r="B574" s="22"/>
      <c r="C574" s="21"/>
      <c r="D574" s="24"/>
      <c r="E574" s="22"/>
      <c r="F574" s="29" t="str">
        <f aca="false">IF(C574="","",IFERROR(INDEX(Produk!$J$2:$J$100,MATCH(C574,Produk!$A$2:$A$100,0)),"PRODUK?"))</f>
        <v/>
      </c>
      <c r="G574" s="29" t="str">
        <f aca="false">IF(A574="","",IF(COUNTIF(Anggota!$A$2:$A$2001,A574)=0,"TIDAK ADA","OK"))</f>
        <v/>
      </c>
    </row>
    <row r="575" customFormat="false" ht="15" hidden="false" customHeight="false" outlineLevel="0" collapsed="false">
      <c r="A575" s="21"/>
      <c r="B575" s="22"/>
      <c r="C575" s="21"/>
      <c r="D575" s="24"/>
      <c r="E575" s="22"/>
      <c r="F575" s="29" t="str">
        <f aca="false">IF(C575="","",IFERROR(INDEX(Produk!$J$2:$J$100,MATCH(C575,Produk!$A$2:$A$100,0)),"PRODUK?"))</f>
        <v/>
      </c>
      <c r="G575" s="29" t="str">
        <f aca="false">IF(A575="","",IF(COUNTIF(Anggota!$A$2:$A$2001,A575)=0,"TIDAK ADA","OK"))</f>
        <v/>
      </c>
    </row>
    <row r="576" customFormat="false" ht="15" hidden="false" customHeight="false" outlineLevel="0" collapsed="false">
      <c r="A576" s="21"/>
      <c r="B576" s="22"/>
      <c r="C576" s="21"/>
      <c r="D576" s="24"/>
      <c r="E576" s="22"/>
      <c r="F576" s="29" t="str">
        <f aca="false">IF(C576="","",IFERROR(INDEX(Produk!$J$2:$J$100,MATCH(C576,Produk!$A$2:$A$100,0)),"PRODUK?"))</f>
        <v/>
      </c>
      <c r="G576" s="29" t="str">
        <f aca="false">IF(A576="","",IF(COUNTIF(Anggota!$A$2:$A$2001,A576)=0,"TIDAK ADA","OK"))</f>
        <v/>
      </c>
    </row>
    <row r="577" customFormat="false" ht="15" hidden="false" customHeight="false" outlineLevel="0" collapsed="false">
      <c r="A577" s="21"/>
      <c r="B577" s="22"/>
      <c r="C577" s="21"/>
      <c r="D577" s="24"/>
      <c r="E577" s="22"/>
      <c r="F577" s="29" t="str">
        <f aca="false">IF(C577="","",IFERROR(INDEX(Produk!$J$2:$J$100,MATCH(C577,Produk!$A$2:$A$100,0)),"PRODUK?"))</f>
        <v/>
      </c>
      <c r="G577" s="29" t="str">
        <f aca="false">IF(A577="","",IF(COUNTIF(Anggota!$A$2:$A$2001,A577)=0,"TIDAK ADA","OK"))</f>
        <v/>
      </c>
    </row>
    <row r="578" customFormat="false" ht="15" hidden="false" customHeight="false" outlineLevel="0" collapsed="false">
      <c r="A578" s="21"/>
      <c r="B578" s="22"/>
      <c r="C578" s="21"/>
      <c r="D578" s="24"/>
      <c r="E578" s="22"/>
      <c r="F578" s="29" t="str">
        <f aca="false">IF(C578="","",IFERROR(INDEX(Produk!$J$2:$J$100,MATCH(C578,Produk!$A$2:$A$100,0)),"PRODUK?"))</f>
        <v/>
      </c>
      <c r="G578" s="29" t="str">
        <f aca="false">IF(A578="","",IF(COUNTIF(Anggota!$A$2:$A$2001,A578)=0,"TIDAK ADA","OK"))</f>
        <v/>
      </c>
    </row>
    <row r="579" customFormat="false" ht="15" hidden="false" customHeight="false" outlineLevel="0" collapsed="false">
      <c r="A579" s="21"/>
      <c r="B579" s="22"/>
      <c r="C579" s="21"/>
      <c r="D579" s="24"/>
      <c r="E579" s="22"/>
      <c r="F579" s="29" t="str">
        <f aca="false">IF(C579="","",IFERROR(INDEX(Produk!$J$2:$J$100,MATCH(C579,Produk!$A$2:$A$100,0)),"PRODUK?"))</f>
        <v/>
      </c>
      <c r="G579" s="29" t="str">
        <f aca="false">IF(A579="","",IF(COUNTIF(Anggota!$A$2:$A$2001,A579)=0,"TIDAK ADA","OK"))</f>
        <v/>
      </c>
    </row>
    <row r="580" customFormat="false" ht="15" hidden="false" customHeight="false" outlineLevel="0" collapsed="false">
      <c r="A580" s="21"/>
      <c r="B580" s="22"/>
      <c r="C580" s="21"/>
      <c r="D580" s="24"/>
      <c r="E580" s="22"/>
      <c r="F580" s="29" t="str">
        <f aca="false">IF(C580="","",IFERROR(INDEX(Produk!$J$2:$J$100,MATCH(C580,Produk!$A$2:$A$100,0)),"PRODUK?"))</f>
        <v/>
      </c>
      <c r="G580" s="29" t="str">
        <f aca="false">IF(A580="","",IF(COUNTIF(Anggota!$A$2:$A$2001,A580)=0,"TIDAK ADA","OK"))</f>
        <v/>
      </c>
    </row>
    <row r="581" customFormat="false" ht="15" hidden="false" customHeight="false" outlineLevel="0" collapsed="false">
      <c r="A581" s="21"/>
      <c r="B581" s="22"/>
      <c r="C581" s="21"/>
      <c r="D581" s="24"/>
      <c r="E581" s="22"/>
      <c r="F581" s="29" t="str">
        <f aca="false">IF(C581="","",IFERROR(INDEX(Produk!$J$2:$J$100,MATCH(C581,Produk!$A$2:$A$100,0)),"PRODUK?"))</f>
        <v/>
      </c>
      <c r="G581" s="29" t="str">
        <f aca="false">IF(A581="","",IF(COUNTIF(Anggota!$A$2:$A$2001,A581)=0,"TIDAK ADA","OK"))</f>
        <v/>
      </c>
    </row>
    <row r="582" customFormat="false" ht="15" hidden="false" customHeight="false" outlineLevel="0" collapsed="false">
      <c r="A582" s="21"/>
      <c r="B582" s="22"/>
      <c r="C582" s="21"/>
      <c r="D582" s="24"/>
      <c r="E582" s="22"/>
      <c r="F582" s="29" t="str">
        <f aca="false">IF(C582="","",IFERROR(INDEX(Produk!$J$2:$J$100,MATCH(C582,Produk!$A$2:$A$100,0)),"PRODUK?"))</f>
        <v/>
      </c>
      <c r="G582" s="29" t="str">
        <f aca="false">IF(A582="","",IF(COUNTIF(Anggota!$A$2:$A$2001,A582)=0,"TIDAK ADA","OK"))</f>
        <v/>
      </c>
    </row>
    <row r="583" customFormat="false" ht="15" hidden="false" customHeight="false" outlineLevel="0" collapsed="false">
      <c r="A583" s="21"/>
      <c r="B583" s="22"/>
      <c r="C583" s="21"/>
      <c r="D583" s="24"/>
      <c r="E583" s="22"/>
      <c r="F583" s="29" t="str">
        <f aca="false">IF(C583="","",IFERROR(INDEX(Produk!$J$2:$J$100,MATCH(C583,Produk!$A$2:$A$100,0)),"PRODUK?"))</f>
        <v/>
      </c>
      <c r="G583" s="29" t="str">
        <f aca="false">IF(A583="","",IF(COUNTIF(Anggota!$A$2:$A$2001,A583)=0,"TIDAK ADA","OK"))</f>
        <v/>
      </c>
    </row>
    <row r="584" customFormat="false" ht="15" hidden="false" customHeight="false" outlineLevel="0" collapsed="false">
      <c r="A584" s="21"/>
      <c r="B584" s="22"/>
      <c r="C584" s="21"/>
      <c r="D584" s="24"/>
      <c r="E584" s="22"/>
      <c r="F584" s="29" t="str">
        <f aca="false">IF(C584="","",IFERROR(INDEX(Produk!$J$2:$J$100,MATCH(C584,Produk!$A$2:$A$100,0)),"PRODUK?"))</f>
        <v/>
      </c>
      <c r="G584" s="29" t="str">
        <f aca="false">IF(A584="","",IF(COUNTIF(Anggota!$A$2:$A$2001,A584)=0,"TIDAK ADA","OK"))</f>
        <v/>
      </c>
    </row>
    <row r="585" customFormat="false" ht="15" hidden="false" customHeight="false" outlineLevel="0" collapsed="false">
      <c r="A585" s="21"/>
      <c r="B585" s="22"/>
      <c r="C585" s="21"/>
      <c r="D585" s="24"/>
      <c r="E585" s="22"/>
      <c r="F585" s="29" t="str">
        <f aca="false">IF(C585="","",IFERROR(INDEX(Produk!$J$2:$J$100,MATCH(C585,Produk!$A$2:$A$100,0)),"PRODUK?"))</f>
        <v/>
      </c>
      <c r="G585" s="29" t="str">
        <f aca="false">IF(A585="","",IF(COUNTIF(Anggota!$A$2:$A$2001,A585)=0,"TIDAK ADA","OK"))</f>
        <v/>
      </c>
    </row>
    <row r="586" customFormat="false" ht="15" hidden="false" customHeight="false" outlineLevel="0" collapsed="false">
      <c r="A586" s="21"/>
      <c r="B586" s="22"/>
      <c r="C586" s="21"/>
      <c r="D586" s="24"/>
      <c r="E586" s="22"/>
      <c r="F586" s="29" t="str">
        <f aca="false">IF(C586="","",IFERROR(INDEX(Produk!$J$2:$J$100,MATCH(C586,Produk!$A$2:$A$100,0)),"PRODUK?"))</f>
        <v/>
      </c>
      <c r="G586" s="29" t="str">
        <f aca="false">IF(A586="","",IF(COUNTIF(Anggota!$A$2:$A$2001,A586)=0,"TIDAK ADA","OK"))</f>
        <v/>
      </c>
    </row>
    <row r="587" customFormat="false" ht="15" hidden="false" customHeight="false" outlineLevel="0" collapsed="false">
      <c r="A587" s="21"/>
      <c r="B587" s="22"/>
      <c r="C587" s="21"/>
      <c r="D587" s="24"/>
      <c r="E587" s="22"/>
      <c r="F587" s="29" t="str">
        <f aca="false">IF(C587="","",IFERROR(INDEX(Produk!$J$2:$J$100,MATCH(C587,Produk!$A$2:$A$100,0)),"PRODUK?"))</f>
        <v/>
      </c>
      <c r="G587" s="29" t="str">
        <f aca="false">IF(A587="","",IF(COUNTIF(Anggota!$A$2:$A$2001,A587)=0,"TIDAK ADA","OK"))</f>
        <v/>
      </c>
    </row>
    <row r="588" customFormat="false" ht="15" hidden="false" customHeight="false" outlineLevel="0" collapsed="false">
      <c r="A588" s="21"/>
      <c r="B588" s="22"/>
      <c r="C588" s="21"/>
      <c r="D588" s="24"/>
      <c r="E588" s="22"/>
      <c r="F588" s="29" t="str">
        <f aca="false">IF(C588="","",IFERROR(INDEX(Produk!$J$2:$J$100,MATCH(C588,Produk!$A$2:$A$100,0)),"PRODUK?"))</f>
        <v/>
      </c>
      <c r="G588" s="29" t="str">
        <f aca="false">IF(A588="","",IF(COUNTIF(Anggota!$A$2:$A$2001,A588)=0,"TIDAK ADA","OK"))</f>
        <v/>
      </c>
    </row>
    <row r="589" customFormat="false" ht="15" hidden="false" customHeight="false" outlineLevel="0" collapsed="false">
      <c r="A589" s="21"/>
      <c r="B589" s="22"/>
      <c r="C589" s="21"/>
      <c r="D589" s="24"/>
      <c r="E589" s="22"/>
      <c r="F589" s="29" t="str">
        <f aca="false">IF(C589="","",IFERROR(INDEX(Produk!$J$2:$J$100,MATCH(C589,Produk!$A$2:$A$100,0)),"PRODUK?"))</f>
        <v/>
      </c>
      <c r="G589" s="29" t="str">
        <f aca="false">IF(A589="","",IF(COUNTIF(Anggota!$A$2:$A$2001,A589)=0,"TIDAK ADA","OK"))</f>
        <v/>
      </c>
    </row>
    <row r="590" customFormat="false" ht="15" hidden="false" customHeight="false" outlineLevel="0" collapsed="false">
      <c r="A590" s="21"/>
      <c r="B590" s="22"/>
      <c r="C590" s="21"/>
      <c r="D590" s="24"/>
      <c r="E590" s="22"/>
      <c r="F590" s="29" t="str">
        <f aca="false">IF(C590="","",IFERROR(INDEX(Produk!$J$2:$J$100,MATCH(C590,Produk!$A$2:$A$100,0)),"PRODUK?"))</f>
        <v/>
      </c>
      <c r="G590" s="29" t="str">
        <f aca="false">IF(A590="","",IF(COUNTIF(Anggota!$A$2:$A$2001,A590)=0,"TIDAK ADA","OK"))</f>
        <v/>
      </c>
    </row>
    <row r="591" customFormat="false" ht="15" hidden="false" customHeight="false" outlineLevel="0" collapsed="false">
      <c r="A591" s="21"/>
      <c r="B591" s="22"/>
      <c r="C591" s="21"/>
      <c r="D591" s="24"/>
      <c r="E591" s="22"/>
      <c r="F591" s="29" t="str">
        <f aca="false">IF(C591="","",IFERROR(INDEX(Produk!$J$2:$J$100,MATCH(C591,Produk!$A$2:$A$100,0)),"PRODUK?"))</f>
        <v/>
      </c>
      <c r="G591" s="29" t="str">
        <f aca="false">IF(A591="","",IF(COUNTIF(Anggota!$A$2:$A$2001,A591)=0,"TIDAK ADA","OK"))</f>
        <v/>
      </c>
    </row>
    <row r="592" customFormat="false" ht="15" hidden="false" customHeight="false" outlineLevel="0" collapsed="false">
      <c r="A592" s="21"/>
      <c r="B592" s="22"/>
      <c r="C592" s="21"/>
      <c r="D592" s="24"/>
      <c r="E592" s="22"/>
      <c r="F592" s="29" t="str">
        <f aca="false">IF(C592="","",IFERROR(INDEX(Produk!$J$2:$J$100,MATCH(C592,Produk!$A$2:$A$100,0)),"PRODUK?"))</f>
        <v/>
      </c>
      <c r="G592" s="29" t="str">
        <f aca="false">IF(A592="","",IF(COUNTIF(Anggota!$A$2:$A$2001,A592)=0,"TIDAK ADA","OK"))</f>
        <v/>
      </c>
    </row>
    <row r="593" customFormat="false" ht="15" hidden="false" customHeight="false" outlineLevel="0" collapsed="false">
      <c r="A593" s="21"/>
      <c r="B593" s="22"/>
      <c r="C593" s="21"/>
      <c r="D593" s="24"/>
      <c r="E593" s="22"/>
      <c r="F593" s="29" t="str">
        <f aca="false">IF(C593="","",IFERROR(INDEX(Produk!$J$2:$J$100,MATCH(C593,Produk!$A$2:$A$100,0)),"PRODUK?"))</f>
        <v/>
      </c>
      <c r="G593" s="29" t="str">
        <f aca="false">IF(A593="","",IF(COUNTIF(Anggota!$A$2:$A$2001,A593)=0,"TIDAK ADA","OK"))</f>
        <v/>
      </c>
    </row>
    <row r="594" customFormat="false" ht="15" hidden="false" customHeight="false" outlineLevel="0" collapsed="false">
      <c r="A594" s="21"/>
      <c r="B594" s="22"/>
      <c r="C594" s="21"/>
      <c r="D594" s="24"/>
      <c r="E594" s="22"/>
      <c r="F594" s="29" t="str">
        <f aca="false">IF(C594="","",IFERROR(INDEX(Produk!$J$2:$J$100,MATCH(C594,Produk!$A$2:$A$100,0)),"PRODUK?"))</f>
        <v/>
      </c>
      <c r="G594" s="29" t="str">
        <f aca="false">IF(A594="","",IF(COUNTIF(Anggota!$A$2:$A$2001,A594)=0,"TIDAK ADA","OK"))</f>
        <v/>
      </c>
    </row>
    <row r="595" customFormat="false" ht="15" hidden="false" customHeight="false" outlineLevel="0" collapsed="false">
      <c r="A595" s="21"/>
      <c r="B595" s="22"/>
      <c r="C595" s="21"/>
      <c r="D595" s="24"/>
      <c r="E595" s="22"/>
      <c r="F595" s="29" t="str">
        <f aca="false">IF(C595="","",IFERROR(INDEX(Produk!$J$2:$J$100,MATCH(C595,Produk!$A$2:$A$100,0)),"PRODUK?"))</f>
        <v/>
      </c>
      <c r="G595" s="29" t="str">
        <f aca="false">IF(A595="","",IF(COUNTIF(Anggota!$A$2:$A$2001,A595)=0,"TIDAK ADA","OK"))</f>
        <v/>
      </c>
    </row>
    <row r="596" customFormat="false" ht="15" hidden="false" customHeight="false" outlineLevel="0" collapsed="false">
      <c r="A596" s="21"/>
      <c r="B596" s="22"/>
      <c r="C596" s="21"/>
      <c r="D596" s="24"/>
      <c r="E596" s="22"/>
      <c r="F596" s="29" t="str">
        <f aca="false">IF(C596="","",IFERROR(INDEX(Produk!$J$2:$J$100,MATCH(C596,Produk!$A$2:$A$100,0)),"PRODUK?"))</f>
        <v/>
      </c>
      <c r="G596" s="29" t="str">
        <f aca="false">IF(A596="","",IF(COUNTIF(Anggota!$A$2:$A$2001,A596)=0,"TIDAK ADA","OK"))</f>
        <v/>
      </c>
    </row>
    <row r="597" customFormat="false" ht="15" hidden="false" customHeight="false" outlineLevel="0" collapsed="false">
      <c r="A597" s="21"/>
      <c r="B597" s="22"/>
      <c r="C597" s="21"/>
      <c r="D597" s="24"/>
      <c r="E597" s="22"/>
      <c r="F597" s="29" t="str">
        <f aca="false">IF(C597="","",IFERROR(INDEX(Produk!$J$2:$J$100,MATCH(C597,Produk!$A$2:$A$100,0)),"PRODUK?"))</f>
        <v/>
      </c>
      <c r="G597" s="29" t="str">
        <f aca="false">IF(A597="","",IF(COUNTIF(Anggota!$A$2:$A$2001,A597)=0,"TIDAK ADA","OK"))</f>
        <v/>
      </c>
    </row>
    <row r="598" customFormat="false" ht="15" hidden="false" customHeight="false" outlineLevel="0" collapsed="false">
      <c r="A598" s="21"/>
      <c r="B598" s="22"/>
      <c r="C598" s="21"/>
      <c r="D598" s="24"/>
      <c r="E598" s="22"/>
      <c r="F598" s="29" t="str">
        <f aca="false">IF(C598="","",IFERROR(INDEX(Produk!$J$2:$J$100,MATCH(C598,Produk!$A$2:$A$100,0)),"PRODUK?"))</f>
        <v/>
      </c>
      <c r="G598" s="29" t="str">
        <f aca="false">IF(A598="","",IF(COUNTIF(Anggota!$A$2:$A$2001,A598)=0,"TIDAK ADA","OK"))</f>
        <v/>
      </c>
    </row>
    <row r="599" customFormat="false" ht="15" hidden="false" customHeight="false" outlineLevel="0" collapsed="false">
      <c r="A599" s="21"/>
      <c r="B599" s="22"/>
      <c r="C599" s="21"/>
      <c r="D599" s="24"/>
      <c r="E599" s="22"/>
      <c r="F599" s="29" t="str">
        <f aca="false">IF(C599="","",IFERROR(INDEX(Produk!$J$2:$J$100,MATCH(C599,Produk!$A$2:$A$100,0)),"PRODUK?"))</f>
        <v/>
      </c>
      <c r="G599" s="29" t="str">
        <f aca="false">IF(A599="","",IF(COUNTIF(Anggota!$A$2:$A$2001,A599)=0,"TIDAK ADA","OK"))</f>
        <v/>
      </c>
    </row>
    <row r="600" customFormat="false" ht="15" hidden="false" customHeight="false" outlineLevel="0" collapsed="false">
      <c r="A600" s="21"/>
      <c r="B600" s="22"/>
      <c r="C600" s="21"/>
      <c r="D600" s="24"/>
      <c r="E600" s="22"/>
      <c r="F600" s="29" t="str">
        <f aca="false">IF(C600="","",IFERROR(INDEX(Produk!$J$2:$J$100,MATCH(C600,Produk!$A$2:$A$100,0)),"PRODUK?"))</f>
        <v/>
      </c>
      <c r="G600" s="29" t="str">
        <f aca="false">IF(A600="","",IF(COUNTIF(Anggota!$A$2:$A$2001,A600)=0,"TIDAK ADA","OK"))</f>
        <v/>
      </c>
    </row>
    <row r="601" customFormat="false" ht="15" hidden="false" customHeight="false" outlineLevel="0" collapsed="false">
      <c r="A601" s="21"/>
      <c r="B601" s="22"/>
      <c r="C601" s="21"/>
      <c r="D601" s="24"/>
      <c r="E601" s="22"/>
      <c r="F601" s="29" t="str">
        <f aca="false">IF(C601="","",IFERROR(INDEX(Produk!$J$2:$J$100,MATCH(C601,Produk!$A$2:$A$100,0)),"PRODUK?"))</f>
        <v/>
      </c>
      <c r="G601" s="29" t="str">
        <f aca="false">IF(A601="","",IF(COUNTIF(Anggota!$A$2:$A$2001,A601)=0,"TIDAK ADA","OK"))</f>
        <v/>
      </c>
    </row>
    <row r="602" customFormat="false" ht="15" hidden="false" customHeight="false" outlineLevel="0" collapsed="false">
      <c r="A602" s="21"/>
      <c r="B602" s="22"/>
      <c r="C602" s="21"/>
      <c r="D602" s="24"/>
      <c r="E602" s="22"/>
      <c r="F602" s="29" t="str">
        <f aca="false">IF(C602="","",IFERROR(INDEX(Produk!$J$2:$J$100,MATCH(C602,Produk!$A$2:$A$100,0)),"PRODUK?"))</f>
        <v/>
      </c>
      <c r="G602" s="29" t="str">
        <f aca="false">IF(A602="","",IF(COUNTIF(Anggota!$A$2:$A$2001,A602)=0,"TIDAK ADA","OK"))</f>
        <v/>
      </c>
    </row>
    <row r="603" customFormat="false" ht="15" hidden="false" customHeight="false" outlineLevel="0" collapsed="false">
      <c r="A603" s="21"/>
      <c r="B603" s="22"/>
      <c r="C603" s="21"/>
      <c r="D603" s="24"/>
      <c r="E603" s="22"/>
      <c r="F603" s="29" t="str">
        <f aca="false">IF(C603="","",IFERROR(INDEX(Produk!$J$2:$J$100,MATCH(C603,Produk!$A$2:$A$100,0)),"PRODUK?"))</f>
        <v/>
      </c>
      <c r="G603" s="29" t="str">
        <f aca="false">IF(A603="","",IF(COUNTIF(Anggota!$A$2:$A$2001,A603)=0,"TIDAK ADA","OK"))</f>
        <v/>
      </c>
    </row>
    <row r="604" customFormat="false" ht="15" hidden="false" customHeight="false" outlineLevel="0" collapsed="false">
      <c r="A604" s="21"/>
      <c r="B604" s="22"/>
      <c r="C604" s="21"/>
      <c r="D604" s="24"/>
      <c r="E604" s="22"/>
      <c r="F604" s="29" t="str">
        <f aca="false">IF(C604="","",IFERROR(INDEX(Produk!$J$2:$J$100,MATCH(C604,Produk!$A$2:$A$100,0)),"PRODUK?"))</f>
        <v/>
      </c>
      <c r="G604" s="29" t="str">
        <f aca="false">IF(A604="","",IF(COUNTIF(Anggota!$A$2:$A$2001,A604)=0,"TIDAK ADA","OK"))</f>
        <v/>
      </c>
    </row>
    <row r="605" customFormat="false" ht="15" hidden="false" customHeight="false" outlineLevel="0" collapsed="false">
      <c r="A605" s="21"/>
      <c r="B605" s="22"/>
      <c r="C605" s="21"/>
      <c r="D605" s="24"/>
      <c r="E605" s="22"/>
      <c r="F605" s="29" t="str">
        <f aca="false">IF(C605="","",IFERROR(INDEX(Produk!$J$2:$J$100,MATCH(C605,Produk!$A$2:$A$100,0)),"PRODUK?"))</f>
        <v/>
      </c>
      <c r="G605" s="29" t="str">
        <f aca="false">IF(A605="","",IF(COUNTIF(Anggota!$A$2:$A$2001,A605)=0,"TIDAK ADA","OK"))</f>
        <v/>
      </c>
    </row>
    <row r="606" customFormat="false" ht="15" hidden="false" customHeight="false" outlineLevel="0" collapsed="false">
      <c r="A606" s="21"/>
      <c r="B606" s="22"/>
      <c r="C606" s="21"/>
      <c r="D606" s="24"/>
      <c r="E606" s="22"/>
      <c r="F606" s="29" t="str">
        <f aca="false">IF(C606="","",IFERROR(INDEX(Produk!$J$2:$J$100,MATCH(C606,Produk!$A$2:$A$100,0)),"PRODUK?"))</f>
        <v/>
      </c>
      <c r="G606" s="29" t="str">
        <f aca="false">IF(A606="","",IF(COUNTIF(Anggota!$A$2:$A$2001,A606)=0,"TIDAK ADA","OK"))</f>
        <v/>
      </c>
    </row>
    <row r="607" customFormat="false" ht="15" hidden="false" customHeight="false" outlineLevel="0" collapsed="false">
      <c r="A607" s="21"/>
      <c r="B607" s="22"/>
      <c r="C607" s="21"/>
      <c r="D607" s="24"/>
      <c r="E607" s="22"/>
      <c r="F607" s="29" t="str">
        <f aca="false">IF(C607="","",IFERROR(INDEX(Produk!$J$2:$J$100,MATCH(C607,Produk!$A$2:$A$100,0)),"PRODUK?"))</f>
        <v/>
      </c>
      <c r="G607" s="29" t="str">
        <f aca="false">IF(A607="","",IF(COUNTIF(Anggota!$A$2:$A$2001,A607)=0,"TIDAK ADA","OK"))</f>
        <v/>
      </c>
    </row>
    <row r="608" customFormat="false" ht="15" hidden="false" customHeight="false" outlineLevel="0" collapsed="false">
      <c r="A608" s="21"/>
      <c r="B608" s="22"/>
      <c r="C608" s="21"/>
      <c r="D608" s="24"/>
      <c r="E608" s="22"/>
      <c r="F608" s="29" t="str">
        <f aca="false">IF(C608="","",IFERROR(INDEX(Produk!$J$2:$J$100,MATCH(C608,Produk!$A$2:$A$100,0)),"PRODUK?"))</f>
        <v/>
      </c>
      <c r="G608" s="29" t="str">
        <f aca="false">IF(A608="","",IF(COUNTIF(Anggota!$A$2:$A$2001,A608)=0,"TIDAK ADA","OK"))</f>
        <v/>
      </c>
    </row>
    <row r="609" customFormat="false" ht="15" hidden="false" customHeight="false" outlineLevel="0" collapsed="false">
      <c r="A609" s="21"/>
      <c r="B609" s="22"/>
      <c r="C609" s="21"/>
      <c r="D609" s="24"/>
      <c r="E609" s="22"/>
      <c r="F609" s="29" t="str">
        <f aca="false">IF(C609="","",IFERROR(INDEX(Produk!$J$2:$J$100,MATCH(C609,Produk!$A$2:$A$100,0)),"PRODUK?"))</f>
        <v/>
      </c>
      <c r="G609" s="29" t="str">
        <f aca="false">IF(A609="","",IF(COUNTIF(Anggota!$A$2:$A$2001,A609)=0,"TIDAK ADA","OK"))</f>
        <v/>
      </c>
    </row>
    <row r="610" customFormat="false" ht="15" hidden="false" customHeight="false" outlineLevel="0" collapsed="false">
      <c r="A610" s="21"/>
      <c r="B610" s="22"/>
      <c r="C610" s="21"/>
      <c r="D610" s="24"/>
      <c r="E610" s="22"/>
      <c r="F610" s="29" t="str">
        <f aca="false">IF(C610="","",IFERROR(INDEX(Produk!$J$2:$J$100,MATCH(C610,Produk!$A$2:$A$100,0)),"PRODUK?"))</f>
        <v/>
      </c>
      <c r="G610" s="29" t="str">
        <f aca="false">IF(A610="","",IF(COUNTIF(Anggota!$A$2:$A$2001,A610)=0,"TIDAK ADA","OK"))</f>
        <v/>
      </c>
    </row>
    <row r="611" customFormat="false" ht="15" hidden="false" customHeight="false" outlineLevel="0" collapsed="false">
      <c r="A611" s="21"/>
      <c r="B611" s="22"/>
      <c r="C611" s="21"/>
      <c r="D611" s="24"/>
      <c r="E611" s="22"/>
      <c r="F611" s="29" t="str">
        <f aca="false">IF(C611="","",IFERROR(INDEX(Produk!$J$2:$J$100,MATCH(C611,Produk!$A$2:$A$100,0)),"PRODUK?"))</f>
        <v/>
      </c>
      <c r="G611" s="29" t="str">
        <f aca="false">IF(A611="","",IF(COUNTIF(Anggota!$A$2:$A$2001,A611)=0,"TIDAK ADA","OK"))</f>
        <v/>
      </c>
    </row>
    <row r="612" customFormat="false" ht="15" hidden="false" customHeight="false" outlineLevel="0" collapsed="false">
      <c r="A612" s="21"/>
      <c r="B612" s="22"/>
      <c r="C612" s="21"/>
      <c r="D612" s="24"/>
      <c r="E612" s="22"/>
      <c r="F612" s="29" t="str">
        <f aca="false">IF(C612="","",IFERROR(INDEX(Produk!$J$2:$J$100,MATCH(C612,Produk!$A$2:$A$100,0)),"PRODUK?"))</f>
        <v/>
      </c>
      <c r="G612" s="29" t="str">
        <f aca="false">IF(A612="","",IF(COUNTIF(Anggota!$A$2:$A$2001,A612)=0,"TIDAK ADA","OK"))</f>
        <v/>
      </c>
    </row>
    <row r="613" customFormat="false" ht="15" hidden="false" customHeight="false" outlineLevel="0" collapsed="false">
      <c r="A613" s="21"/>
      <c r="B613" s="22"/>
      <c r="C613" s="21"/>
      <c r="D613" s="24"/>
      <c r="E613" s="22"/>
      <c r="F613" s="29" t="str">
        <f aca="false">IF(C613="","",IFERROR(INDEX(Produk!$J$2:$J$100,MATCH(C613,Produk!$A$2:$A$100,0)),"PRODUK?"))</f>
        <v/>
      </c>
      <c r="G613" s="29" t="str">
        <f aca="false">IF(A613="","",IF(COUNTIF(Anggota!$A$2:$A$2001,A613)=0,"TIDAK ADA","OK"))</f>
        <v/>
      </c>
    </row>
    <row r="614" customFormat="false" ht="15" hidden="false" customHeight="false" outlineLevel="0" collapsed="false">
      <c r="A614" s="21"/>
      <c r="B614" s="22"/>
      <c r="C614" s="21"/>
      <c r="D614" s="24"/>
      <c r="E614" s="22"/>
      <c r="F614" s="29" t="str">
        <f aca="false">IF(C614="","",IFERROR(INDEX(Produk!$J$2:$J$100,MATCH(C614,Produk!$A$2:$A$100,0)),"PRODUK?"))</f>
        <v/>
      </c>
      <c r="G614" s="29" t="str">
        <f aca="false">IF(A614="","",IF(COUNTIF(Anggota!$A$2:$A$2001,A614)=0,"TIDAK ADA","OK"))</f>
        <v/>
      </c>
    </row>
    <row r="615" customFormat="false" ht="15" hidden="false" customHeight="false" outlineLevel="0" collapsed="false">
      <c r="A615" s="21"/>
      <c r="B615" s="22"/>
      <c r="C615" s="21"/>
      <c r="D615" s="24"/>
      <c r="E615" s="22"/>
      <c r="F615" s="29" t="str">
        <f aca="false">IF(C615="","",IFERROR(INDEX(Produk!$J$2:$J$100,MATCH(C615,Produk!$A$2:$A$100,0)),"PRODUK?"))</f>
        <v/>
      </c>
      <c r="G615" s="29" t="str">
        <f aca="false">IF(A615="","",IF(COUNTIF(Anggota!$A$2:$A$2001,A615)=0,"TIDAK ADA","OK"))</f>
        <v/>
      </c>
    </row>
    <row r="616" customFormat="false" ht="15" hidden="false" customHeight="false" outlineLevel="0" collapsed="false">
      <c r="A616" s="21"/>
      <c r="B616" s="22"/>
      <c r="C616" s="21"/>
      <c r="D616" s="24"/>
      <c r="E616" s="22"/>
      <c r="F616" s="29" t="str">
        <f aca="false">IF(C616="","",IFERROR(INDEX(Produk!$J$2:$J$100,MATCH(C616,Produk!$A$2:$A$100,0)),"PRODUK?"))</f>
        <v/>
      </c>
      <c r="G616" s="29" t="str">
        <f aca="false">IF(A616="","",IF(COUNTIF(Anggota!$A$2:$A$2001,A616)=0,"TIDAK ADA","OK"))</f>
        <v/>
      </c>
    </row>
    <row r="617" customFormat="false" ht="15" hidden="false" customHeight="false" outlineLevel="0" collapsed="false">
      <c r="A617" s="21"/>
      <c r="B617" s="22"/>
      <c r="C617" s="21"/>
      <c r="D617" s="24"/>
      <c r="E617" s="22"/>
      <c r="F617" s="29" t="str">
        <f aca="false">IF(C617="","",IFERROR(INDEX(Produk!$J$2:$J$100,MATCH(C617,Produk!$A$2:$A$100,0)),"PRODUK?"))</f>
        <v/>
      </c>
      <c r="G617" s="29" t="str">
        <f aca="false">IF(A617="","",IF(COUNTIF(Anggota!$A$2:$A$2001,A617)=0,"TIDAK ADA","OK"))</f>
        <v/>
      </c>
    </row>
    <row r="618" customFormat="false" ht="15" hidden="false" customHeight="false" outlineLevel="0" collapsed="false">
      <c r="A618" s="21"/>
      <c r="B618" s="22"/>
      <c r="C618" s="21"/>
      <c r="D618" s="24"/>
      <c r="E618" s="22"/>
      <c r="F618" s="29" t="str">
        <f aca="false">IF(C618="","",IFERROR(INDEX(Produk!$J$2:$J$100,MATCH(C618,Produk!$A$2:$A$100,0)),"PRODUK?"))</f>
        <v/>
      </c>
      <c r="G618" s="29" t="str">
        <f aca="false">IF(A618="","",IF(COUNTIF(Anggota!$A$2:$A$2001,A618)=0,"TIDAK ADA","OK"))</f>
        <v/>
      </c>
    </row>
    <row r="619" customFormat="false" ht="15" hidden="false" customHeight="false" outlineLevel="0" collapsed="false">
      <c r="A619" s="21"/>
      <c r="B619" s="22"/>
      <c r="C619" s="21"/>
      <c r="D619" s="24"/>
      <c r="E619" s="22"/>
      <c r="F619" s="29" t="str">
        <f aca="false">IF(C619="","",IFERROR(INDEX(Produk!$J$2:$J$100,MATCH(C619,Produk!$A$2:$A$100,0)),"PRODUK?"))</f>
        <v/>
      </c>
      <c r="G619" s="29" t="str">
        <f aca="false">IF(A619="","",IF(COUNTIF(Anggota!$A$2:$A$2001,A619)=0,"TIDAK ADA","OK"))</f>
        <v/>
      </c>
    </row>
    <row r="620" customFormat="false" ht="15" hidden="false" customHeight="false" outlineLevel="0" collapsed="false">
      <c r="A620" s="21"/>
      <c r="B620" s="22"/>
      <c r="C620" s="21"/>
      <c r="D620" s="24"/>
      <c r="E620" s="22"/>
      <c r="F620" s="29" t="str">
        <f aca="false">IF(C620="","",IFERROR(INDEX(Produk!$J$2:$J$100,MATCH(C620,Produk!$A$2:$A$100,0)),"PRODUK?"))</f>
        <v/>
      </c>
      <c r="G620" s="29" t="str">
        <f aca="false">IF(A620="","",IF(COUNTIF(Anggota!$A$2:$A$2001,A620)=0,"TIDAK ADA","OK"))</f>
        <v/>
      </c>
    </row>
    <row r="621" customFormat="false" ht="15" hidden="false" customHeight="false" outlineLevel="0" collapsed="false">
      <c r="A621" s="21"/>
      <c r="B621" s="22"/>
      <c r="C621" s="21"/>
      <c r="D621" s="24"/>
      <c r="E621" s="22"/>
      <c r="F621" s="29" t="str">
        <f aca="false">IF(C621="","",IFERROR(INDEX(Produk!$J$2:$J$100,MATCH(C621,Produk!$A$2:$A$100,0)),"PRODUK?"))</f>
        <v/>
      </c>
      <c r="G621" s="29" t="str">
        <f aca="false">IF(A621="","",IF(COUNTIF(Anggota!$A$2:$A$2001,A621)=0,"TIDAK ADA","OK"))</f>
        <v/>
      </c>
    </row>
    <row r="622" customFormat="false" ht="15" hidden="false" customHeight="false" outlineLevel="0" collapsed="false">
      <c r="A622" s="21"/>
      <c r="B622" s="22"/>
      <c r="C622" s="21"/>
      <c r="D622" s="24"/>
      <c r="E622" s="22"/>
      <c r="F622" s="29" t="str">
        <f aca="false">IF(C622="","",IFERROR(INDEX(Produk!$J$2:$J$100,MATCH(C622,Produk!$A$2:$A$100,0)),"PRODUK?"))</f>
        <v/>
      </c>
      <c r="G622" s="29" t="str">
        <f aca="false">IF(A622="","",IF(COUNTIF(Anggota!$A$2:$A$2001,A622)=0,"TIDAK ADA","OK"))</f>
        <v/>
      </c>
    </row>
    <row r="623" customFormat="false" ht="15" hidden="false" customHeight="false" outlineLevel="0" collapsed="false">
      <c r="A623" s="21"/>
      <c r="B623" s="22"/>
      <c r="C623" s="21"/>
      <c r="D623" s="24"/>
      <c r="E623" s="22"/>
      <c r="F623" s="29" t="str">
        <f aca="false">IF(C623="","",IFERROR(INDEX(Produk!$J$2:$J$100,MATCH(C623,Produk!$A$2:$A$100,0)),"PRODUK?"))</f>
        <v/>
      </c>
      <c r="G623" s="29" t="str">
        <f aca="false">IF(A623="","",IF(COUNTIF(Anggota!$A$2:$A$2001,A623)=0,"TIDAK ADA","OK"))</f>
        <v/>
      </c>
    </row>
    <row r="624" customFormat="false" ht="15" hidden="false" customHeight="false" outlineLevel="0" collapsed="false">
      <c r="A624" s="21"/>
      <c r="B624" s="22"/>
      <c r="C624" s="21"/>
      <c r="D624" s="24"/>
      <c r="E624" s="22"/>
      <c r="F624" s="29" t="str">
        <f aca="false">IF(C624="","",IFERROR(INDEX(Produk!$J$2:$J$100,MATCH(C624,Produk!$A$2:$A$100,0)),"PRODUK?"))</f>
        <v/>
      </c>
      <c r="G624" s="29" t="str">
        <f aca="false">IF(A624="","",IF(COUNTIF(Anggota!$A$2:$A$2001,A624)=0,"TIDAK ADA","OK"))</f>
        <v/>
      </c>
    </row>
    <row r="625" customFormat="false" ht="15" hidden="false" customHeight="false" outlineLevel="0" collapsed="false">
      <c r="A625" s="21"/>
      <c r="B625" s="22"/>
      <c r="C625" s="21"/>
      <c r="D625" s="24"/>
      <c r="E625" s="22"/>
      <c r="F625" s="29" t="str">
        <f aca="false">IF(C625="","",IFERROR(INDEX(Produk!$J$2:$J$100,MATCH(C625,Produk!$A$2:$A$100,0)),"PRODUK?"))</f>
        <v/>
      </c>
      <c r="G625" s="29" t="str">
        <f aca="false">IF(A625="","",IF(COUNTIF(Anggota!$A$2:$A$2001,A625)=0,"TIDAK ADA","OK"))</f>
        <v/>
      </c>
    </row>
    <row r="626" customFormat="false" ht="15" hidden="false" customHeight="false" outlineLevel="0" collapsed="false">
      <c r="A626" s="21"/>
      <c r="B626" s="22"/>
      <c r="C626" s="21"/>
      <c r="D626" s="24"/>
      <c r="E626" s="22"/>
      <c r="F626" s="29" t="str">
        <f aca="false">IF(C626="","",IFERROR(INDEX(Produk!$J$2:$J$100,MATCH(C626,Produk!$A$2:$A$100,0)),"PRODUK?"))</f>
        <v/>
      </c>
      <c r="G626" s="29" t="str">
        <f aca="false">IF(A626="","",IF(COUNTIF(Anggota!$A$2:$A$2001,A626)=0,"TIDAK ADA","OK"))</f>
        <v/>
      </c>
    </row>
    <row r="627" customFormat="false" ht="15" hidden="false" customHeight="false" outlineLevel="0" collapsed="false">
      <c r="A627" s="21"/>
      <c r="B627" s="22"/>
      <c r="C627" s="21"/>
      <c r="D627" s="24"/>
      <c r="E627" s="22"/>
      <c r="F627" s="29" t="str">
        <f aca="false">IF(C627="","",IFERROR(INDEX(Produk!$J$2:$J$100,MATCH(C627,Produk!$A$2:$A$100,0)),"PRODUK?"))</f>
        <v/>
      </c>
      <c r="G627" s="29" t="str">
        <f aca="false">IF(A627="","",IF(COUNTIF(Anggota!$A$2:$A$2001,A627)=0,"TIDAK ADA","OK"))</f>
        <v/>
      </c>
    </row>
    <row r="628" customFormat="false" ht="15" hidden="false" customHeight="false" outlineLevel="0" collapsed="false">
      <c r="A628" s="21"/>
      <c r="B628" s="22"/>
      <c r="C628" s="21"/>
      <c r="D628" s="24"/>
      <c r="E628" s="22"/>
      <c r="F628" s="29" t="str">
        <f aca="false">IF(C628="","",IFERROR(INDEX(Produk!$J$2:$J$100,MATCH(C628,Produk!$A$2:$A$100,0)),"PRODUK?"))</f>
        <v/>
      </c>
      <c r="G628" s="29" t="str">
        <f aca="false">IF(A628="","",IF(COUNTIF(Anggota!$A$2:$A$2001,A628)=0,"TIDAK ADA","OK"))</f>
        <v/>
      </c>
    </row>
    <row r="629" customFormat="false" ht="15" hidden="false" customHeight="false" outlineLevel="0" collapsed="false">
      <c r="A629" s="21"/>
      <c r="B629" s="22"/>
      <c r="C629" s="21"/>
      <c r="D629" s="24"/>
      <c r="E629" s="22"/>
      <c r="F629" s="29" t="str">
        <f aca="false">IF(C629="","",IFERROR(INDEX(Produk!$J$2:$J$100,MATCH(C629,Produk!$A$2:$A$100,0)),"PRODUK?"))</f>
        <v/>
      </c>
      <c r="G629" s="29" t="str">
        <f aca="false">IF(A629="","",IF(COUNTIF(Anggota!$A$2:$A$2001,A629)=0,"TIDAK ADA","OK"))</f>
        <v/>
      </c>
    </row>
    <row r="630" customFormat="false" ht="15" hidden="false" customHeight="false" outlineLevel="0" collapsed="false">
      <c r="A630" s="21"/>
      <c r="B630" s="22"/>
      <c r="C630" s="21"/>
      <c r="D630" s="24"/>
      <c r="E630" s="22"/>
      <c r="F630" s="29" t="str">
        <f aca="false">IF(C630="","",IFERROR(INDEX(Produk!$J$2:$J$100,MATCH(C630,Produk!$A$2:$A$100,0)),"PRODUK?"))</f>
        <v/>
      </c>
      <c r="G630" s="29" t="str">
        <f aca="false">IF(A630="","",IF(COUNTIF(Anggota!$A$2:$A$2001,A630)=0,"TIDAK ADA","OK"))</f>
        <v/>
      </c>
    </row>
    <row r="631" customFormat="false" ht="15" hidden="false" customHeight="false" outlineLevel="0" collapsed="false">
      <c r="A631" s="21"/>
      <c r="B631" s="22"/>
      <c r="C631" s="21"/>
      <c r="D631" s="24"/>
      <c r="E631" s="22"/>
      <c r="F631" s="29" t="str">
        <f aca="false">IF(C631="","",IFERROR(INDEX(Produk!$J$2:$J$100,MATCH(C631,Produk!$A$2:$A$100,0)),"PRODUK?"))</f>
        <v/>
      </c>
      <c r="G631" s="29" t="str">
        <f aca="false">IF(A631="","",IF(COUNTIF(Anggota!$A$2:$A$2001,A631)=0,"TIDAK ADA","OK"))</f>
        <v/>
      </c>
    </row>
    <row r="632" customFormat="false" ht="15" hidden="false" customHeight="false" outlineLevel="0" collapsed="false">
      <c r="A632" s="21"/>
      <c r="B632" s="22"/>
      <c r="C632" s="21"/>
      <c r="D632" s="24"/>
      <c r="E632" s="22"/>
      <c r="F632" s="29" t="str">
        <f aca="false">IF(C632="","",IFERROR(INDEX(Produk!$J$2:$J$100,MATCH(C632,Produk!$A$2:$A$100,0)),"PRODUK?"))</f>
        <v/>
      </c>
      <c r="G632" s="29" t="str">
        <f aca="false">IF(A632="","",IF(COUNTIF(Anggota!$A$2:$A$2001,A632)=0,"TIDAK ADA","OK"))</f>
        <v/>
      </c>
    </row>
    <row r="633" customFormat="false" ht="15" hidden="false" customHeight="false" outlineLevel="0" collapsed="false">
      <c r="A633" s="21"/>
      <c r="B633" s="22"/>
      <c r="C633" s="21"/>
      <c r="D633" s="24"/>
      <c r="E633" s="22"/>
      <c r="F633" s="29" t="str">
        <f aca="false">IF(C633="","",IFERROR(INDEX(Produk!$J$2:$J$100,MATCH(C633,Produk!$A$2:$A$100,0)),"PRODUK?"))</f>
        <v/>
      </c>
      <c r="G633" s="29" t="str">
        <f aca="false">IF(A633="","",IF(COUNTIF(Anggota!$A$2:$A$2001,A633)=0,"TIDAK ADA","OK"))</f>
        <v/>
      </c>
    </row>
    <row r="634" customFormat="false" ht="15" hidden="false" customHeight="false" outlineLevel="0" collapsed="false">
      <c r="A634" s="21"/>
      <c r="B634" s="22"/>
      <c r="C634" s="21"/>
      <c r="D634" s="24"/>
      <c r="E634" s="22"/>
      <c r="F634" s="29" t="str">
        <f aca="false">IF(C634="","",IFERROR(INDEX(Produk!$J$2:$J$100,MATCH(C634,Produk!$A$2:$A$100,0)),"PRODUK?"))</f>
        <v/>
      </c>
      <c r="G634" s="29" t="str">
        <f aca="false">IF(A634="","",IF(COUNTIF(Anggota!$A$2:$A$2001,A634)=0,"TIDAK ADA","OK"))</f>
        <v/>
      </c>
    </row>
    <row r="635" customFormat="false" ht="15" hidden="false" customHeight="false" outlineLevel="0" collapsed="false">
      <c r="A635" s="21"/>
      <c r="B635" s="22"/>
      <c r="C635" s="21"/>
      <c r="D635" s="24"/>
      <c r="E635" s="22"/>
      <c r="F635" s="29" t="str">
        <f aca="false">IF(C635="","",IFERROR(INDEX(Produk!$J$2:$J$100,MATCH(C635,Produk!$A$2:$A$100,0)),"PRODUK?"))</f>
        <v/>
      </c>
      <c r="G635" s="29" t="str">
        <f aca="false">IF(A635="","",IF(COUNTIF(Anggota!$A$2:$A$2001,A635)=0,"TIDAK ADA","OK"))</f>
        <v/>
      </c>
    </row>
    <row r="636" customFormat="false" ht="15" hidden="false" customHeight="false" outlineLevel="0" collapsed="false">
      <c r="A636" s="21"/>
      <c r="B636" s="22"/>
      <c r="C636" s="21"/>
      <c r="D636" s="24"/>
      <c r="E636" s="22"/>
      <c r="F636" s="29" t="str">
        <f aca="false">IF(C636="","",IFERROR(INDEX(Produk!$J$2:$J$100,MATCH(C636,Produk!$A$2:$A$100,0)),"PRODUK?"))</f>
        <v/>
      </c>
      <c r="G636" s="29" t="str">
        <f aca="false">IF(A636="","",IF(COUNTIF(Anggota!$A$2:$A$2001,A636)=0,"TIDAK ADA","OK"))</f>
        <v/>
      </c>
    </row>
    <row r="637" customFormat="false" ht="15" hidden="false" customHeight="false" outlineLevel="0" collapsed="false">
      <c r="A637" s="21"/>
      <c r="B637" s="22"/>
      <c r="C637" s="21"/>
      <c r="D637" s="24"/>
      <c r="E637" s="22"/>
      <c r="F637" s="29" t="str">
        <f aca="false">IF(C637="","",IFERROR(INDEX(Produk!$J$2:$J$100,MATCH(C637,Produk!$A$2:$A$100,0)),"PRODUK?"))</f>
        <v/>
      </c>
      <c r="G637" s="29" t="str">
        <f aca="false">IF(A637="","",IF(COUNTIF(Anggota!$A$2:$A$2001,A637)=0,"TIDAK ADA","OK"))</f>
        <v/>
      </c>
    </row>
    <row r="638" customFormat="false" ht="15" hidden="false" customHeight="false" outlineLevel="0" collapsed="false">
      <c r="A638" s="21"/>
      <c r="B638" s="22"/>
      <c r="C638" s="21"/>
      <c r="D638" s="24"/>
      <c r="E638" s="22"/>
      <c r="F638" s="29" t="str">
        <f aca="false">IF(C638="","",IFERROR(INDEX(Produk!$J$2:$J$100,MATCH(C638,Produk!$A$2:$A$100,0)),"PRODUK?"))</f>
        <v/>
      </c>
      <c r="G638" s="29" t="str">
        <f aca="false">IF(A638="","",IF(COUNTIF(Anggota!$A$2:$A$2001,A638)=0,"TIDAK ADA","OK"))</f>
        <v/>
      </c>
    </row>
    <row r="639" customFormat="false" ht="15" hidden="false" customHeight="false" outlineLevel="0" collapsed="false">
      <c r="A639" s="21"/>
      <c r="B639" s="22"/>
      <c r="C639" s="21"/>
      <c r="D639" s="24"/>
      <c r="E639" s="22"/>
      <c r="F639" s="29" t="str">
        <f aca="false">IF(C639="","",IFERROR(INDEX(Produk!$J$2:$J$100,MATCH(C639,Produk!$A$2:$A$100,0)),"PRODUK?"))</f>
        <v/>
      </c>
      <c r="G639" s="29" t="str">
        <f aca="false">IF(A639="","",IF(COUNTIF(Anggota!$A$2:$A$2001,A639)=0,"TIDAK ADA","OK"))</f>
        <v/>
      </c>
    </row>
    <row r="640" customFormat="false" ht="15" hidden="false" customHeight="false" outlineLevel="0" collapsed="false">
      <c r="A640" s="21"/>
      <c r="B640" s="22"/>
      <c r="C640" s="21"/>
      <c r="D640" s="24"/>
      <c r="E640" s="22"/>
      <c r="F640" s="29" t="str">
        <f aca="false">IF(C640="","",IFERROR(INDEX(Produk!$J$2:$J$100,MATCH(C640,Produk!$A$2:$A$100,0)),"PRODUK?"))</f>
        <v/>
      </c>
      <c r="G640" s="29" t="str">
        <f aca="false">IF(A640="","",IF(COUNTIF(Anggota!$A$2:$A$2001,A640)=0,"TIDAK ADA","OK"))</f>
        <v/>
      </c>
    </row>
    <row r="641" customFormat="false" ht="15" hidden="false" customHeight="false" outlineLevel="0" collapsed="false">
      <c r="A641" s="21"/>
      <c r="B641" s="22"/>
      <c r="C641" s="21"/>
      <c r="D641" s="24"/>
      <c r="E641" s="22"/>
      <c r="F641" s="29" t="str">
        <f aca="false">IF(C641="","",IFERROR(INDEX(Produk!$J$2:$J$100,MATCH(C641,Produk!$A$2:$A$100,0)),"PRODUK?"))</f>
        <v/>
      </c>
      <c r="G641" s="29" t="str">
        <f aca="false">IF(A641="","",IF(COUNTIF(Anggota!$A$2:$A$2001,A641)=0,"TIDAK ADA","OK"))</f>
        <v/>
      </c>
    </row>
    <row r="642" customFormat="false" ht="15" hidden="false" customHeight="false" outlineLevel="0" collapsed="false">
      <c r="A642" s="21"/>
      <c r="B642" s="22"/>
      <c r="C642" s="21"/>
      <c r="D642" s="24"/>
      <c r="E642" s="22"/>
      <c r="F642" s="29" t="str">
        <f aca="false">IF(C642="","",IFERROR(INDEX(Produk!$J$2:$J$100,MATCH(C642,Produk!$A$2:$A$100,0)),"PRODUK?"))</f>
        <v/>
      </c>
      <c r="G642" s="29" t="str">
        <f aca="false">IF(A642="","",IF(COUNTIF(Anggota!$A$2:$A$2001,A642)=0,"TIDAK ADA","OK"))</f>
        <v/>
      </c>
    </row>
    <row r="643" customFormat="false" ht="15" hidden="false" customHeight="false" outlineLevel="0" collapsed="false">
      <c r="A643" s="21"/>
      <c r="B643" s="22"/>
      <c r="C643" s="21"/>
      <c r="D643" s="24"/>
      <c r="E643" s="22"/>
      <c r="F643" s="29" t="str">
        <f aca="false">IF(C643="","",IFERROR(INDEX(Produk!$J$2:$J$100,MATCH(C643,Produk!$A$2:$A$100,0)),"PRODUK?"))</f>
        <v/>
      </c>
      <c r="G643" s="29" t="str">
        <f aca="false">IF(A643="","",IF(COUNTIF(Anggota!$A$2:$A$2001,A643)=0,"TIDAK ADA","OK"))</f>
        <v/>
      </c>
    </row>
    <row r="644" customFormat="false" ht="15" hidden="false" customHeight="false" outlineLevel="0" collapsed="false">
      <c r="A644" s="21"/>
      <c r="B644" s="22"/>
      <c r="C644" s="21"/>
      <c r="D644" s="24"/>
      <c r="E644" s="22"/>
      <c r="F644" s="29" t="str">
        <f aca="false">IF(C644="","",IFERROR(INDEX(Produk!$J$2:$J$100,MATCH(C644,Produk!$A$2:$A$100,0)),"PRODUK?"))</f>
        <v/>
      </c>
      <c r="G644" s="29" t="str">
        <f aca="false">IF(A644="","",IF(COUNTIF(Anggota!$A$2:$A$2001,A644)=0,"TIDAK ADA","OK"))</f>
        <v/>
      </c>
    </row>
    <row r="645" customFormat="false" ht="15" hidden="false" customHeight="false" outlineLevel="0" collapsed="false">
      <c r="A645" s="21"/>
      <c r="B645" s="22"/>
      <c r="C645" s="21"/>
      <c r="D645" s="24"/>
      <c r="E645" s="22"/>
      <c r="F645" s="29" t="str">
        <f aca="false">IF(C645="","",IFERROR(INDEX(Produk!$J$2:$J$100,MATCH(C645,Produk!$A$2:$A$100,0)),"PRODUK?"))</f>
        <v/>
      </c>
      <c r="G645" s="29" t="str">
        <f aca="false">IF(A645="","",IF(COUNTIF(Anggota!$A$2:$A$2001,A645)=0,"TIDAK ADA","OK"))</f>
        <v/>
      </c>
    </row>
    <row r="646" customFormat="false" ht="15" hidden="false" customHeight="false" outlineLevel="0" collapsed="false">
      <c r="A646" s="21"/>
      <c r="B646" s="22"/>
      <c r="C646" s="21"/>
      <c r="D646" s="24"/>
      <c r="E646" s="22"/>
      <c r="F646" s="29" t="str">
        <f aca="false">IF(C646="","",IFERROR(INDEX(Produk!$J$2:$J$100,MATCH(C646,Produk!$A$2:$A$100,0)),"PRODUK?"))</f>
        <v/>
      </c>
      <c r="G646" s="29" t="str">
        <f aca="false">IF(A646="","",IF(COUNTIF(Anggota!$A$2:$A$2001,A646)=0,"TIDAK ADA","OK"))</f>
        <v/>
      </c>
    </row>
    <row r="647" customFormat="false" ht="15" hidden="false" customHeight="false" outlineLevel="0" collapsed="false">
      <c r="A647" s="21"/>
      <c r="B647" s="22"/>
      <c r="C647" s="21"/>
      <c r="D647" s="24"/>
      <c r="E647" s="22"/>
      <c r="F647" s="29" t="str">
        <f aca="false">IF(C647="","",IFERROR(INDEX(Produk!$J$2:$J$100,MATCH(C647,Produk!$A$2:$A$100,0)),"PRODUK?"))</f>
        <v/>
      </c>
      <c r="G647" s="29" t="str">
        <f aca="false">IF(A647="","",IF(COUNTIF(Anggota!$A$2:$A$2001,A647)=0,"TIDAK ADA","OK"))</f>
        <v/>
      </c>
    </row>
    <row r="648" customFormat="false" ht="15" hidden="false" customHeight="false" outlineLevel="0" collapsed="false">
      <c r="A648" s="21"/>
      <c r="B648" s="22"/>
      <c r="C648" s="21"/>
      <c r="D648" s="24"/>
      <c r="E648" s="22"/>
      <c r="F648" s="29" t="str">
        <f aca="false">IF(C648="","",IFERROR(INDEX(Produk!$J$2:$J$100,MATCH(C648,Produk!$A$2:$A$100,0)),"PRODUK?"))</f>
        <v/>
      </c>
      <c r="G648" s="29" t="str">
        <f aca="false">IF(A648="","",IF(COUNTIF(Anggota!$A$2:$A$2001,A648)=0,"TIDAK ADA","OK"))</f>
        <v/>
      </c>
    </row>
    <row r="649" customFormat="false" ht="15" hidden="false" customHeight="false" outlineLevel="0" collapsed="false">
      <c r="A649" s="21"/>
      <c r="B649" s="22"/>
      <c r="C649" s="21"/>
      <c r="D649" s="24"/>
      <c r="E649" s="22"/>
      <c r="F649" s="29" t="str">
        <f aca="false">IF(C649="","",IFERROR(INDEX(Produk!$J$2:$J$100,MATCH(C649,Produk!$A$2:$A$100,0)),"PRODUK?"))</f>
        <v/>
      </c>
      <c r="G649" s="29" t="str">
        <f aca="false">IF(A649="","",IF(COUNTIF(Anggota!$A$2:$A$2001,A649)=0,"TIDAK ADA","OK"))</f>
        <v/>
      </c>
    </row>
    <row r="650" customFormat="false" ht="15" hidden="false" customHeight="false" outlineLevel="0" collapsed="false">
      <c r="A650" s="21"/>
      <c r="B650" s="22"/>
      <c r="C650" s="21"/>
      <c r="D650" s="24"/>
      <c r="E650" s="22"/>
      <c r="F650" s="29" t="str">
        <f aca="false">IF(C650="","",IFERROR(INDEX(Produk!$J$2:$J$100,MATCH(C650,Produk!$A$2:$A$100,0)),"PRODUK?"))</f>
        <v/>
      </c>
      <c r="G650" s="29" t="str">
        <f aca="false">IF(A650="","",IF(COUNTIF(Anggota!$A$2:$A$2001,A650)=0,"TIDAK ADA","OK"))</f>
        <v/>
      </c>
    </row>
    <row r="651" customFormat="false" ht="15" hidden="false" customHeight="false" outlineLevel="0" collapsed="false">
      <c r="A651" s="21"/>
      <c r="B651" s="22"/>
      <c r="C651" s="21"/>
      <c r="D651" s="24"/>
      <c r="E651" s="22"/>
      <c r="F651" s="29" t="str">
        <f aca="false">IF(C651="","",IFERROR(INDEX(Produk!$J$2:$J$100,MATCH(C651,Produk!$A$2:$A$100,0)),"PRODUK?"))</f>
        <v/>
      </c>
      <c r="G651" s="29" t="str">
        <f aca="false">IF(A651="","",IF(COUNTIF(Anggota!$A$2:$A$2001,A651)=0,"TIDAK ADA","OK"))</f>
        <v/>
      </c>
    </row>
    <row r="652" customFormat="false" ht="15" hidden="false" customHeight="false" outlineLevel="0" collapsed="false">
      <c r="A652" s="21"/>
      <c r="B652" s="22"/>
      <c r="C652" s="21"/>
      <c r="D652" s="24"/>
      <c r="E652" s="22"/>
      <c r="F652" s="29" t="str">
        <f aca="false">IF(C652="","",IFERROR(INDEX(Produk!$J$2:$J$100,MATCH(C652,Produk!$A$2:$A$100,0)),"PRODUK?"))</f>
        <v/>
      </c>
      <c r="G652" s="29" t="str">
        <f aca="false">IF(A652="","",IF(COUNTIF(Anggota!$A$2:$A$2001,A652)=0,"TIDAK ADA","OK"))</f>
        <v/>
      </c>
    </row>
    <row r="653" customFormat="false" ht="15" hidden="false" customHeight="false" outlineLevel="0" collapsed="false">
      <c r="A653" s="21"/>
      <c r="B653" s="22"/>
      <c r="C653" s="21"/>
      <c r="D653" s="24"/>
      <c r="E653" s="22"/>
      <c r="F653" s="29" t="str">
        <f aca="false">IF(C653="","",IFERROR(INDEX(Produk!$J$2:$J$100,MATCH(C653,Produk!$A$2:$A$100,0)),"PRODUK?"))</f>
        <v/>
      </c>
      <c r="G653" s="29" t="str">
        <f aca="false">IF(A653="","",IF(COUNTIF(Anggota!$A$2:$A$2001,A653)=0,"TIDAK ADA","OK"))</f>
        <v/>
      </c>
    </row>
    <row r="654" customFormat="false" ht="15" hidden="false" customHeight="false" outlineLevel="0" collapsed="false">
      <c r="A654" s="21"/>
      <c r="B654" s="22"/>
      <c r="C654" s="21"/>
      <c r="D654" s="24"/>
      <c r="E654" s="22"/>
      <c r="F654" s="29" t="str">
        <f aca="false">IF(C654="","",IFERROR(INDEX(Produk!$J$2:$J$100,MATCH(C654,Produk!$A$2:$A$100,0)),"PRODUK?"))</f>
        <v/>
      </c>
      <c r="G654" s="29" t="str">
        <f aca="false">IF(A654="","",IF(COUNTIF(Anggota!$A$2:$A$2001,A654)=0,"TIDAK ADA","OK"))</f>
        <v/>
      </c>
    </row>
    <row r="655" customFormat="false" ht="15" hidden="false" customHeight="false" outlineLevel="0" collapsed="false">
      <c r="A655" s="21"/>
      <c r="B655" s="22"/>
      <c r="C655" s="21"/>
      <c r="D655" s="24"/>
      <c r="E655" s="22"/>
      <c r="F655" s="29" t="str">
        <f aca="false">IF(C655="","",IFERROR(INDEX(Produk!$J$2:$J$100,MATCH(C655,Produk!$A$2:$A$100,0)),"PRODUK?"))</f>
        <v/>
      </c>
      <c r="G655" s="29" t="str">
        <f aca="false">IF(A655="","",IF(COUNTIF(Anggota!$A$2:$A$2001,A655)=0,"TIDAK ADA","OK"))</f>
        <v/>
      </c>
    </row>
    <row r="656" customFormat="false" ht="15" hidden="false" customHeight="false" outlineLevel="0" collapsed="false">
      <c r="A656" s="21"/>
      <c r="B656" s="22"/>
      <c r="C656" s="21"/>
      <c r="D656" s="24"/>
      <c r="E656" s="22"/>
      <c r="F656" s="29" t="str">
        <f aca="false">IF(C656="","",IFERROR(INDEX(Produk!$J$2:$J$100,MATCH(C656,Produk!$A$2:$A$100,0)),"PRODUK?"))</f>
        <v/>
      </c>
      <c r="G656" s="29" t="str">
        <f aca="false">IF(A656="","",IF(COUNTIF(Anggota!$A$2:$A$2001,A656)=0,"TIDAK ADA","OK"))</f>
        <v/>
      </c>
    </row>
    <row r="657" customFormat="false" ht="15" hidden="false" customHeight="false" outlineLevel="0" collapsed="false">
      <c r="A657" s="21"/>
      <c r="B657" s="22"/>
      <c r="C657" s="21"/>
      <c r="D657" s="24"/>
      <c r="E657" s="22"/>
      <c r="F657" s="29" t="str">
        <f aca="false">IF(C657="","",IFERROR(INDEX(Produk!$J$2:$J$100,MATCH(C657,Produk!$A$2:$A$100,0)),"PRODUK?"))</f>
        <v/>
      </c>
      <c r="G657" s="29" t="str">
        <f aca="false">IF(A657="","",IF(COUNTIF(Anggota!$A$2:$A$2001,A657)=0,"TIDAK ADA","OK"))</f>
        <v/>
      </c>
    </row>
    <row r="658" customFormat="false" ht="15" hidden="false" customHeight="false" outlineLevel="0" collapsed="false">
      <c r="A658" s="21"/>
      <c r="B658" s="22"/>
      <c r="C658" s="21"/>
      <c r="D658" s="24"/>
      <c r="E658" s="22"/>
      <c r="F658" s="29" t="str">
        <f aca="false">IF(C658="","",IFERROR(INDEX(Produk!$J$2:$J$100,MATCH(C658,Produk!$A$2:$A$100,0)),"PRODUK?"))</f>
        <v/>
      </c>
      <c r="G658" s="29" t="str">
        <f aca="false">IF(A658="","",IF(COUNTIF(Anggota!$A$2:$A$2001,A658)=0,"TIDAK ADA","OK"))</f>
        <v/>
      </c>
    </row>
    <row r="659" customFormat="false" ht="15" hidden="false" customHeight="false" outlineLevel="0" collapsed="false">
      <c r="A659" s="21"/>
      <c r="B659" s="22"/>
      <c r="C659" s="21"/>
      <c r="D659" s="24"/>
      <c r="E659" s="22"/>
      <c r="F659" s="29" t="str">
        <f aca="false">IF(C659="","",IFERROR(INDEX(Produk!$J$2:$J$100,MATCH(C659,Produk!$A$2:$A$100,0)),"PRODUK?"))</f>
        <v/>
      </c>
      <c r="G659" s="29" t="str">
        <f aca="false">IF(A659="","",IF(COUNTIF(Anggota!$A$2:$A$2001,A659)=0,"TIDAK ADA","OK"))</f>
        <v/>
      </c>
    </row>
    <row r="660" customFormat="false" ht="15" hidden="false" customHeight="false" outlineLevel="0" collapsed="false">
      <c r="A660" s="21"/>
      <c r="B660" s="22"/>
      <c r="C660" s="21"/>
      <c r="D660" s="24"/>
      <c r="E660" s="22"/>
      <c r="F660" s="29" t="str">
        <f aca="false">IF(C660="","",IFERROR(INDEX(Produk!$J$2:$J$100,MATCH(C660,Produk!$A$2:$A$100,0)),"PRODUK?"))</f>
        <v/>
      </c>
      <c r="G660" s="29" t="str">
        <f aca="false">IF(A660="","",IF(COUNTIF(Anggota!$A$2:$A$2001,A660)=0,"TIDAK ADA","OK"))</f>
        <v/>
      </c>
    </row>
    <row r="661" customFormat="false" ht="15" hidden="false" customHeight="false" outlineLevel="0" collapsed="false">
      <c r="A661" s="21"/>
      <c r="B661" s="22"/>
      <c r="C661" s="21"/>
      <c r="D661" s="24"/>
      <c r="E661" s="22"/>
      <c r="F661" s="29" t="str">
        <f aca="false">IF(C661="","",IFERROR(INDEX(Produk!$J$2:$J$100,MATCH(C661,Produk!$A$2:$A$100,0)),"PRODUK?"))</f>
        <v/>
      </c>
      <c r="G661" s="29" t="str">
        <f aca="false">IF(A661="","",IF(COUNTIF(Anggota!$A$2:$A$2001,A661)=0,"TIDAK ADA","OK"))</f>
        <v/>
      </c>
    </row>
    <row r="662" customFormat="false" ht="15" hidden="false" customHeight="false" outlineLevel="0" collapsed="false">
      <c r="A662" s="21"/>
      <c r="B662" s="22"/>
      <c r="C662" s="21"/>
      <c r="D662" s="24"/>
      <c r="E662" s="22"/>
      <c r="F662" s="29" t="str">
        <f aca="false">IF(C662="","",IFERROR(INDEX(Produk!$J$2:$J$100,MATCH(C662,Produk!$A$2:$A$100,0)),"PRODUK?"))</f>
        <v/>
      </c>
      <c r="G662" s="29" t="str">
        <f aca="false">IF(A662="","",IF(COUNTIF(Anggota!$A$2:$A$2001,A662)=0,"TIDAK ADA","OK"))</f>
        <v/>
      </c>
    </row>
    <row r="663" customFormat="false" ht="15" hidden="false" customHeight="false" outlineLevel="0" collapsed="false">
      <c r="A663" s="21"/>
      <c r="B663" s="22"/>
      <c r="C663" s="21"/>
      <c r="D663" s="24"/>
      <c r="E663" s="22"/>
      <c r="F663" s="29" t="str">
        <f aca="false">IF(C663="","",IFERROR(INDEX(Produk!$J$2:$J$100,MATCH(C663,Produk!$A$2:$A$100,0)),"PRODUK?"))</f>
        <v/>
      </c>
      <c r="G663" s="29" t="str">
        <f aca="false">IF(A663="","",IF(COUNTIF(Anggota!$A$2:$A$2001,A663)=0,"TIDAK ADA","OK"))</f>
        <v/>
      </c>
    </row>
    <row r="664" customFormat="false" ht="15" hidden="false" customHeight="false" outlineLevel="0" collapsed="false">
      <c r="A664" s="21"/>
      <c r="B664" s="22"/>
      <c r="C664" s="21"/>
      <c r="D664" s="24"/>
      <c r="E664" s="22"/>
      <c r="F664" s="29" t="str">
        <f aca="false">IF(C664="","",IFERROR(INDEX(Produk!$J$2:$J$100,MATCH(C664,Produk!$A$2:$A$100,0)),"PRODUK?"))</f>
        <v/>
      </c>
      <c r="G664" s="29" t="str">
        <f aca="false">IF(A664="","",IF(COUNTIF(Anggota!$A$2:$A$2001,A664)=0,"TIDAK ADA","OK"))</f>
        <v/>
      </c>
    </row>
    <row r="665" customFormat="false" ht="15" hidden="false" customHeight="false" outlineLevel="0" collapsed="false">
      <c r="A665" s="21"/>
      <c r="B665" s="22"/>
      <c r="C665" s="21"/>
      <c r="D665" s="24"/>
      <c r="E665" s="22"/>
      <c r="F665" s="29" t="str">
        <f aca="false">IF(C665="","",IFERROR(INDEX(Produk!$J$2:$J$100,MATCH(C665,Produk!$A$2:$A$100,0)),"PRODUK?"))</f>
        <v/>
      </c>
      <c r="G665" s="29" t="str">
        <f aca="false">IF(A665="","",IF(COUNTIF(Anggota!$A$2:$A$2001,A665)=0,"TIDAK ADA","OK"))</f>
        <v/>
      </c>
    </row>
    <row r="666" customFormat="false" ht="15" hidden="false" customHeight="false" outlineLevel="0" collapsed="false">
      <c r="A666" s="21"/>
      <c r="B666" s="22"/>
      <c r="C666" s="21"/>
      <c r="D666" s="24"/>
      <c r="E666" s="22"/>
      <c r="F666" s="29" t="str">
        <f aca="false">IF(C666="","",IFERROR(INDEX(Produk!$J$2:$J$100,MATCH(C666,Produk!$A$2:$A$100,0)),"PRODUK?"))</f>
        <v/>
      </c>
      <c r="G666" s="29" t="str">
        <f aca="false">IF(A666="","",IF(COUNTIF(Anggota!$A$2:$A$2001,A666)=0,"TIDAK ADA","OK"))</f>
        <v/>
      </c>
    </row>
    <row r="667" customFormat="false" ht="15" hidden="false" customHeight="false" outlineLevel="0" collapsed="false">
      <c r="A667" s="21"/>
      <c r="B667" s="22"/>
      <c r="C667" s="21"/>
      <c r="D667" s="24"/>
      <c r="E667" s="22"/>
      <c r="F667" s="29" t="str">
        <f aca="false">IF(C667="","",IFERROR(INDEX(Produk!$J$2:$J$100,MATCH(C667,Produk!$A$2:$A$100,0)),"PRODUK?"))</f>
        <v/>
      </c>
      <c r="G667" s="29" t="str">
        <f aca="false">IF(A667="","",IF(COUNTIF(Anggota!$A$2:$A$2001,A667)=0,"TIDAK ADA","OK"))</f>
        <v/>
      </c>
    </row>
    <row r="668" customFormat="false" ht="15" hidden="false" customHeight="false" outlineLevel="0" collapsed="false">
      <c r="A668" s="21"/>
      <c r="B668" s="22"/>
      <c r="C668" s="21"/>
      <c r="D668" s="24"/>
      <c r="E668" s="22"/>
      <c r="F668" s="29" t="str">
        <f aca="false">IF(C668="","",IFERROR(INDEX(Produk!$J$2:$J$100,MATCH(C668,Produk!$A$2:$A$100,0)),"PRODUK?"))</f>
        <v/>
      </c>
      <c r="G668" s="29" t="str">
        <f aca="false">IF(A668="","",IF(COUNTIF(Anggota!$A$2:$A$2001,A668)=0,"TIDAK ADA","OK"))</f>
        <v/>
      </c>
    </row>
    <row r="669" customFormat="false" ht="15" hidden="false" customHeight="false" outlineLevel="0" collapsed="false">
      <c r="A669" s="21"/>
      <c r="B669" s="22"/>
      <c r="C669" s="21"/>
      <c r="D669" s="24"/>
      <c r="E669" s="22"/>
      <c r="F669" s="29" t="str">
        <f aca="false">IF(C669="","",IFERROR(INDEX(Produk!$J$2:$J$100,MATCH(C669,Produk!$A$2:$A$100,0)),"PRODUK?"))</f>
        <v/>
      </c>
      <c r="G669" s="29" t="str">
        <f aca="false">IF(A669="","",IF(COUNTIF(Anggota!$A$2:$A$2001,A669)=0,"TIDAK ADA","OK"))</f>
        <v/>
      </c>
    </row>
    <row r="670" customFormat="false" ht="15" hidden="false" customHeight="false" outlineLevel="0" collapsed="false">
      <c r="A670" s="21"/>
      <c r="B670" s="22"/>
      <c r="C670" s="21"/>
      <c r="D670" s="24"/>
      <c r="E670" s="22"/>
      <c r="F670" s="29" t="str">
        <f aca="false">IF(C670="","",IFERROR(INDEX(Produk!$J$2:$J$100,MATCH(C670,Produk!$A$2:$A$100,0)),"PRODUK?"))</f>
        <v/>
      </c>
      <c r="G670" s="29" t="str">
        <f aca="false">IF(A670="","",IF(COUNTIF(Anggota!$A$2:$A$2001,A670)=0,"TIDAK ADA","OK"))</f>
        <v/>
      </c>
    </row>
    <row r="671" customFormat="false" ht="15" hidden="false" customHeight="false" outlineLevel="0" collapsed="false">
      <c r="A671" s="21"/>
      <c r="B671" s="22"/>
      <c r="C671" s="21"/>
      <c r="D671" s="24"/>
      <c r="E671" s="22"/>
      <c r="F671" s="29" t="str">
        <f aca="false">IF(C671="","",IFERROR(INDEX(Produk!$J$2:$J$100,MATCH(C671,Produk!$A$2:$A$100,0)),"PRODUK?"))</f>
        <v/>
      </c>
      <c r="G671" s="29" t="str">
        <f aca="false">IF(A671="","",IF(COUNTIF(Anggota!$A$2:$A$2001,A671)=0,"TIDAK ADA","OK"))</f>
        <v/>
      </c>
    </row>
    <row r="672" customFormat="false" ht="15" hidden="false" customHeight="false" outlineLevel="0" collapsed="false">
      <c r="A672" s="21"/>
      <c r="B672" s="22"/>
      <c r="C672" s="21"/>
      <c r="D672" s="24"/>
      <c r="E672" s="22"/>
      <c r="F672" s="29" t="str">
        <f aca="false">IF(C672="","",IFERROR(INDEX(Produk!$J$2:$J$100,MATCH(C672,Produk!$A$2:$A$100,0)),"PRODUK?"))</f>
        <v/>
      </c>
      <c r="G672" s="29" t="str">
        <f aca="false">IF(A672="","",IF(COUNTIF(Anggota!$A$2:$A$2001,A672)=0,"TIDAK ADA","OK"))</f>
        <v/>
      </c>
    </row>
    <row r="673" customFormat="false" ht="15" hidden="false" customHeight="false" outlineLevel="0" collapsed="false">
      <c r="A673" s="21"/>
      <c r="B673" s="22"/>
      <c r="C673" s="21"/>
      <c r="D673" s="24"/>
      <c r="E673" s="22"/>
      <c r="F673" s="29" t="str">
        <f aca="false">IF(C673="","",IFERROR(INDEX(Produk!$J$2:$J$100,MATCH(C673,Produk!$A$2:$A$100,0)),"PRODUK?"))</f>
        <v/>
      </c>
      <c r="G673" s="29" t="str">
        <f aca="false">IF(A673="","",IF(COUNTIF(Anggota!$A$2:$A$2001,A673)=0,"TIDAK ADA","OK"))</f>
        <v/>
      </c>
    </row>
    <row r="674" customFormat="false" ht="15" hidden="false" customHeight="false" outlineLevel="0" collapsed="false">
      <c r="A674" s="21"/>
      <c r="B674" s="22"/>
      <c r="C674" s="21"/>
      <c r="D674" s="24"/>
      <c r="E674" s="22"/>
      <c r="F674" s="29" t="str">
        <f aca="false">IF(C674="","",IFERROR(INDEX(Produk!$J$2:$J$100,MATCH(C674,Produk!$A$2:$A$100,0)),"PRODUK?"))</f>
        <v/>
      </c>
      <c r="G674" s="29" t="str">
        <f aca="false">IF(A674="","",IF(COUNTIF(Anggota!$A$2:$A$2001,A674)=0,"TIDAK ADA","OK"))</f>
        <v/>
      </c>
    </row>
    <row r="675" customFormat="false" ht="15" hidden="false" customHeight="false" outlineLevel="0" collapsed="false">
      <c r="A675" s="21"/>
      <c r="B675" s="22"/>
      <c r="C675" s="21"/>
      <c r="D675" s="24"/>
      <c r="E675" s="22"/>
      <c r="F675" s="29" t="str">
        <f aca="false">IF(C675="","",IFERROR(INDEX(Produk!$J$2:$J$100,MATCH(C675,Produk!$A$2:$A$100,0)),"PRODUK?"))</f>
        <v/>
      </c>
      <c r="G675" s="29" t="str">
        <f aca="false">IF(A675="","",IF(COUNTIF(Anggota!$A$2:$A$2001,A675)=0,"TIDAK ADA","OK"))</f>
        <v/>
      </c>
    </row>
    <row r="676" customFormat="false" ht="15" hidden="false" customHeight="false" outlineLevel="0" collapsed="false">
      <c r="A676" s="21"/>
      <c r="B676" s="22"/>
      <c r="C676" s="21"/>
      <c r="D676" s="24"/>
      <c r="E676" s="22"/>
      <c r="F676" s="29" t="str">
        <f aca="false">IF(C676="","",IFERROR(INDEX(Produk!$J$2:$J$100,MATCH(C676,Produk!$A$2:$A$100,0)),"PRODUK?"))</f>
        <v/>
      </c>
      <c r="G676" s="29" t="str">
        <f aca="false">IF(A676="","",IF(COUNTIF(Anggota!$A$2:$A$2001,A676)=0,"TIDAK ADA","OK"))</f>
        <v/>
      </c>
    </row>
    <row r="677" customFormat="false" ht="15" hidden="false" customHeight="false" outlineLevel="0" collapsed="false">
      <c r="A677" s="21"/>
      <c r="B677" s="22"/>
      <c r="C677" s="21"/>
      <c r="D677" s="24"/>
      <c r="E677" s="22"/>
      <c r="F677" s="29" t="str">
        <f aca="false">IF(C677="","",IFERROR(INDEX(Produk!$J$2:$J$100,MATCH(C677,Produk!$A$2:$A$100,0)),"PRODUK?"))</f>
        <v/>
      </c>
      <c r="G677" s="29" t="str">
        <f aca="false">IF(A677="","",IF(COUNTIF(Anggota!$A$2:$A$2001,A677)=0,"TIDAK ADA","OK"))</f>
        <v/>
      </c>
    </row>
    <row r="678" customFormat="false" ht="15" hidden="false" customHeight="false" outlineLevel="0" collapsed="false">
      <c r="A678" s="21"/>
      <c r="B678" s="22"/>
      <c r="C678" s="21"/>
      <c r="D678" s="24"/>
      <c r="E678" s="22"/>
      <c r="F678" s="29" t="str">
        <f aca="false">IF(C678="","",IFERROR(INDEX(Produk!$J$2:$J$100,MATCH(C678,Produk!$A$2:$A$100,0)),"PRODUK?"))</f>
        <v/>
      </c>
      <c r="G678" s="29" t="str">
        <f aca="false">IF(A678="","",IF(COUNTIF(Anggota!$A$2:$A$2001,A678)=0,"TIDAK ADA","OK"))</f>
        <v/>
      </c>
    </row>
    <row r="679" customFormat="false" ht="15" hidden="false" customHeight="false" outlineLevel="0" collapsed="false">
      <c r="A679" s="21"/>
      <c r="B679" s="22"/>
      <c r="C679" s="21"/>
      <c r="D679" s="24"/>
      <c r="E679" s="22"/>
      <c r="F679" s="29" t="str">
        <f aca="false">IF(C679="","",IFERROR(INDEX(Produk!$J$2:$J$100,MATCH(C679,Produk!$A$2:$A$100,0)),"PRODUK?"))</f>
        <v/>
      </c>
      <c r="G679" s="29" t="str">
        <f aca="false">IF(A679="","",IF(COUNTIF(Anggota!$A$2:$A$2001,A679)=0,"TIDAK ADA","OK"))</f>
        <v/>
      </c>
    </row>
    <row r="680" customFormat="false" ht="15" hidden="false" customHeight="false" outlineLevel="0" collapsed="false">
      <c r="A680" s="21"/>
      <c r="B680" s="22"/>
      <c r="C680" s="21"/>
      <c r="D680" s="24"/>
      <c r="E680" s="22"/>
      <c r="F680" s="29" t="str">
        <f aca="false">IF(C680="","",IFERROR(INDEX(Produk!$J$2:$J$100,MATCH(C680,Produk!$A$2:$A$100,0)),"PRODUK?"))</f>
        <v/>
      </c>
      <c r="G680" s="29" t="str">
        <f aca="false">IF(A680="","",IF(COUNTIF(Anggota!$A$2:$A$2001,A680)=0,"TIDAK ADA","OK"))</f>
        <v/>
      </c>
    </row>
    <row r="681" customFormat="false" ht="15" hidden="false" customHeight="false" outlineLevel="0" collapsed="false">
      <c r="A681" s="21"/>
      <c r="B681" s="22"/>
      <c r="C681" s="21"/>
      <c r="D681" s="24"/>
      <c r="E681" s="22"/>
      <c r="F681" s="29" t="str">
        <f aca="false">IF(C681="","",IFERROR(INDEX(Produk!$J$2:$J$100,MATCH(C681,Produk!$A$2:$A$100,0)),"PRODUK?"))</f>
        <v/>
      </c>
      <c r="G681" s="29" t="str">
        <f aca="false">IF(A681="","",IF(COUNTIF(Anggota!$A$2:$A$2001,A681)=0,"TIDAK ADA","OK"))</f>
        <v/>
      </c>
    </row>
    <row r="682" customFormat="false" ht="15" hidden="false" customHeight="false" outlineLevel="0" collapsed="false">
      <c r="A682" s="21"/>
      <c r="B682" s="22"/>
      <c r="C682" s="21"/>
      <c r="D682" s="24"/>
      <c r="E682" s="22"/>
      <c r="F682" s="29" t="str">
        <f aca="false">IF(C682="","",IFERROR(INDEX(Produk!$J$2:$J$100,MATCH(C682,Produk!$A$2:$A$100,0)),"PRODUK?"))</f>
        <v/>
      </c>
      <c r="G682" s="29" t="str">
        <f aca="false">IF(A682="","",IF(COUNTIF(Anggota!$A$2:$A$2001,A682)=0,"TIDAK ADA","OK"))</f>
        <v/>
      </c>
    </row>
    <row r="683" customFormat="false" ht="15" hidden="false" customHeight="false" outlineLevel="0" collapsed="false">
      <c r="A683" s="21"/>
      <c r="B683" s="22"/>
      <c r="C683" s="21"/>
      <c r="D683" s="24"/>
      <c r="E683" s="22"/>
      <c r="F683" s="29" t="str">
        <f aca="false">IF(C683="","",IFERROR(INDEX(Produk!$J$2:$J$100,MATCH(C683,Produk!$A$2:$A$100,0)),"PRODUK?"))</f>
        <v/>
      </c>
      <c r="G683" s="29" t="str">
        <f aca="false">IF(A683="","",IF(COUNTIF(Anggota!$A$2:$A$2001,A683)=0,"TIDAK ADA","OK"))</f>
        <v/>
      </c>
    </row>
    <row r="684" customFormat="false" ht="15" hidden="false" customHeight="false" outlineLevel="0" collapsed="false">
      <c r="A684" s="21"/>
      <c r="B684" s="22"/>
      <c r="C684" s="21"/>
      <c r="D684" s="24"/>
      <c r="E684" s="22"/>
      <c r="F684" s="29" t="str">
        <f aca="false">IF(C684="","",IFERROR(INDEX(Produk!$J$2:$J$100,MATCH(C684,Produk!$A$2:$A$100,0)),"PRODUK?"))</f>
        <v/>
      </c>
      <c r="G684" s="29" t="str">
        <f aca="false">IF(A684="","",IF(COUNTIF(Anggota!$A$2:$A$2001,A684)=0,"TIDAK ADA","OK"))</f>
        <v/>
      </c>
    </row>
    <row r="685" customFormat="false" ht="15" hidden="false" customHeight="false" outlineLevel="0" collapsed="false">
      <c r="A685" s="21"/>
      <c r="B685" s="22"/>
      <c r="C685" s="21"/>
      <c r="D685" s="24"/>
      <c r="E685" s="22"/>
      <c r="F685" s="29" t="str">
        <f aca="false">IF(C685="","",IFERROR(INDEX(Produk!$J$2:$J$100,MATCH(C685,Produk!$A$2:$A$100,0)),"PRODUK?"))</f>
        <v/>
      </c>
      <c r="G685" s="29" t="str">
        <f aca="false">IF(A685="","",IF(COUNTIF(Anggota!$A$2:$A$2001,A685)=0,"TIDAK ADA","OK"))</f>
        <v/>
      </c>
    </row>
    <row r="686" customFormat="false" ht="15" hidden="false" customHeight="false" outlineLevel="0" collapsed="false">
      <c r="A686" s="21"/>
      <c r="B686" s="22"/>
      <c r="C686" s="21"/>
      <c r="D686" s="24"/>
      <c r="E686" s="22"/>
      <c r="F686" s="29" t="str">
        <f aca="false">IF(C686="","",IFERROR(INDEX(Produk!$J$2:$J$100,MATCH(C686,Produk!$A$2:$A$100,0)),"PRODUK?"))</f>
        <v/>
      </c>
      <c r="G686" s="29" t="str">
        <f aca="false">IF(A686="","",IF(COUNTIF(Anggota!$A$2:$A$2001,A686)=0,"TIDAK ADA","OK"))</f>
        <v/>
      </c>
    </row>
    <row r="687" customFormat="false" ht="15" hidden="false" customHeight="false" outlineLevel="0" collapsed="false">
      <c r="A687" s="21"/>
      <c r="B687" s="22"/>
      <c r="C687" s="21"/>
      <c r="D687" s="24"/>
      <c r="E687" s="22"/>
      <c r="F687" s="29" t="str">
        <f aca="false">IF(C687="","",IFERROR(INDEX(Produk!$J$2:$J$100,MATCH(C687,Produk!$A$2:$A$100,0)),"PRODUK?"))</f>
        <v/>
      </c>
      <c r="G687" s="29" t="str">
        <f aca="false">IF(A687="","",IF(COUNTIF(Anggota!$A$2:$A$2001,A687)=0,"TIDAK ADA","OK"))</f>
        <v/>
      </c>
    </row>
    <row r="688" customFormat="false" ht="15" hidden="false" customHeight="false" outlineLevel="0" collapsed="false">
      <c r="A688" s="21"/>
      <c r="B688" s="22"/>
      <c r="C688" s="21"/>
      <c r="D688" s="24"/>
      <c r="E688" s="22"/>
      <c r="F688" s="29" t="str">
        <f aca="false">IF(C688="","",IFERROR(INDEX(Produk!$J$2:$J$100,MATCH(C688,Produk!$A$2:$A$100,0)),"PRODUK?"))</f>
        <v/>
      </c>
      <c r="G688" s="29" t="str">
        <f aca="false">IF(A688="","",IF(COUNTIF(Anggota!$A$2:$A$2001,A688)=0,"TIDAK ADA","OK"))</f>
        <v/>
      </c>
    </row>
    <row r="689" customFormat="false" ht="15" hidden="false" customHeight="false" outlineLevel="0" collapsed="false">
      <c r="A689" s="21"/>
      <c r="B689" s="22"/>
      <c r="C689" s="21"/>
      <c r="D689" s="24"/>
      <c r="E689" s="22"/>
      <c r="F689" s="29" t="str">
        <f aca="false">IF(C689="","",IFERROR(INDEX(Produk!$J$2:$J$100,MATCH(C689,Produk!$A$2:$A$100,0)),"PRODUK?"))</f>
        <v/>
      </c>
      <c r="G689" s="29" t="str">
        <f aca="false">IF(A689="","",IF(COUNTIF(Anggota!$A$2:$A$2001,A689)=0,"TIDAK ADA","OK"))</f>
        <v/>
      </c>
    </row>
    <row r="690" customFormat="false" ht="15" hidden="false" customHeight="false" outlineLevel="0" collapsed="false">
      <c r="A690" s="21"/>
      <c r="B690" s="22"/>
      <c r="C690" s="21"/>
      <c r="D690" s="24"/>
      <c r="E690" s="22"/>
      <c r="F690" s="29" t="str">
        <f aca="false">IF(C690="","",IFERROR(INDEX(Produk!$J$2:$J$100,MATCH(C690,Produk!$A$2:$A$100,0)),"PRODUK?"))</f>
        <v/>
      </c>
      <c r="G690" s="29" t="str">
        <f aca="false">IF(A690="","",IF(COUNTIF(Anggota!$A$2:$A$2001,A690)=0,"TIDAK ADA","OK"))</f>
        <v/>
      </c>
    </row>
    <row r="691" customFormat="false" ht="15" hidden="false" customHeight="false" outlineLevel="0" collapsed="false">
      <c r="A691" s="21"/>
      <c r="B691" s="22"/>
      <c r="C691" s="21"/>
      <c r="D691" s="24"/>
      <c r="E691" s="22"/>
      <c r="F691" s="29" t="str">
        <f aca="false">IF(C691="","",IFERROR(INDEX(Produk!$J$2:$J$100,MATCH(C691,Produk!$A$2:$A$100,0)),"PRODUK?"))</f>
        <v/>
      </c>
      <c r="G691" s="29" t="str">
        <f aca="false">IF(A691="","",IF(COUNTIF(Anggota!$A$2:$A$2001,A691)=0,"TIDAK ADA","OK"))</f>
        <v/>
      </c>
    </row>
    <row r="692" customFormat="false" ht="15" hidden="false" customHeight="false" outlineLevel="0" collapsed="false">
      <c r="A692" s="21"/>
      <c r="B692" s="22"/>
      <c r="C692" s="21"/>
      <c r="D692" s="24"/>
      <c r="E692" s="22"/>
      <c r="F692" s="29" t="str">
        <f aca="false">IF(C692="","",IFERROR(INDEX(Produk!$J$2:$J$100,MATCH(C692,Produk!$A$2:$A$100,0)),"PRODUK?"))</f>
        <v/>
      </c>
      <c r="G692" s="29" t="str">
        <f aca="false">IF(A692="","",IF(COUNTIF(Anggota!$A$2:$A$2001,A692)=0,"TIDAK ADA","OK"))</f>
        <v/>
      </c>
    </row>
    <row r="693" customFormat="false" ht="15" hidden="false" customHeight="false" outlineLevel="0" collapsed="false">
      <c r="A693" s="21"/>
      <c r="B693" s="22"/>
      <c r="C693" s="21"/>
      <c r="D693" s="24"/>
      <c r="E693" s="22"/>
      <c r="F693" s="29" t="str">
        <f aca="false">IF(C693="","",IFERROR(INDEX(Produk!$J$2:$J$100,MATCH(C693,Produk!$A$2:$A$100,0)),"PRODUK?"))</f>
        <v/>
      </c>
      <c r="G693" s="29" t="str">
        <f aca="false">IF(A693="","",IF(COUNTIF(Anggota!$A$2:$A$2001,A693)=0,"TIDAK ADA","OK"))</f>
        <v/>
      </c>
    </row>
    <row r="694" customFormat="false" ht="15" hidden="false" customHeight="false" outlineLevel="0" collapsed="false">
      <c r="A694" s="21"/>
      <c r="B694" s="22"/>
      <c r="C694" s="21"/>
      <c r="D694" s="24"/>
      <c r="E694" s="22"/>
      <c r="F694" s="29" t="str">
        <f aca="false">IF(C694="","",IFERROR(INDEX(Produk!$J$2:$J$100,MATCH(C694,Produk!$A$2:$A$100,0)),"PRODUK?"))</f>
        <v/>
      </c>
      <c r="G694" s="29" t="str">
        <f aca="false">IF(A694="","",IF(COUNTIF(Anggota!$A$2:$A$2001,A694)=0,"TIDAK ADA","OK"))</f>
        <v/>
      </c>
    </row>
    <row r="695" customFormat="false" ht="15" hidden="false" customHeight="false" outlineLevel="0" collapsed="false">
      <c r="A695" s="21"/>
      <c r="B695" s="22"/>
      <c r="C695" s="21"/>
      <c r="D695" s="24"/>
      <c r="E695" s="22"/>
      <c r="F695" s="29" t="str">
        <f aca="false">IF(C695="","",IFERROR(INDEX(Produk!$J$2:$J$100,MATCH(C695,Produk!$A$2:$A$100,0)),"PRODUK?"))</f>
        <v/>
      </c>
      <c r="G695" s="29" t="str">
        <f aca="false">IF(A695="","",IF(COUNTIF(Anggota!$A$2:$A$2001,A695)=0,"TIDAK ADA","OK"))</f>
        <v/>
      </c>
    </row>
    <row r="696" customFormat="false" ht="15" hidden="false" customHeight="false" outlineLevel="0" collapsed="false">
      <c r="A696" s="21"/>
      <c r="B696" s="22"/>
      <c r="C696" s="21"/>
      <c r="D696" s="24"/>
      <c r="E696" s="22"/>
      <c r="F696" s="29" t="str">
        <f aca="false">IF(C696="","",IFERROR(INDEX(Produk!$J$2:$J$100,MATCH(C696,Produk!$A$2:$A$100,0)),"PRODUK?"))</f>
        <v/>
      </c>
      <c r="G696" s="29" t="str">
        <f aca="false">IF(A696="","",IF(COUNTIF(Anggota!$A$2:$A$2001,A696)=0,"TIDAK ADA","OK"))</f>
        <v/>
      </c>
    </row>
    <row r="697" customFormat="false" ht="15" hidden="false" customHeight="false" outlineLevel="0" collapsed="false">
      <c r="A697" s="21"/>
      <c r="B697" s="22"/>
      <c r="C697" s="21"/>
      <c r="D697" s="24"/>
      <c r="E697" s="22"/>
      <c r="F697" s="29" t="str">
        <f aca="false">IF(C697="","",IFERROR(INDEX(Produk!$J$2:$J$100,MATCH(C697,Produk!$A$2:$A$100,0)),"PRODUK?"))</f>
        <v/>
      </c>
      <c r="G697" s="29" t="str">
        <f aca="false">IF(A697="","",IF(COUNTIF(Anggota!$A$2:$A$2001,A697)=0,"TIDAK ADA","OK"))</f>
        <v/>
      </c>
    </row>
    <row r="698" customFormat="false" ht="15" hidden="false" customHeight="false" outlineLevel="0" collapsed="false">
      <c r="A698" s="21"/>
      <c r="B698" s="22"/>
      <c r="C698" s="21"/>
      <c r="D698" s="24"/>
      <c r="E698" s="22"/>
      <c r="F698" s="29" t="str">
        <f aca="false">IF(C698="","",IFERROR(INDEX(Produk!$J$2:$J$100,MATCH(C698,Produk!$A$2:$A$100,0)),"PRODUK?"))</f>
        <v/>
      </c>
      <c r="G698" s="29" t="str">
        <f aca="false">IF(A698="","",IF(COUNTIF(Anggota!$A$2:$A$2001,A698)=0,"TIDAK ADA","OK"))</f>
        <v/>
      </c>
    </row>
    <row r="699" customFormat="false" ht="15" hidden="false" customHeight="false" outlineLevel="0" collapsed="false">
      <c r="A699" s="21"/>
      <c r="B699" s="22"/>
      <c r="C699" s="21"/>
      <c r="D699" s="24"/>
      <c r="E699" s="22"/>
      <c r="F699" s="29" t="str">
        <f aca="false">IF(C699="","",IFERROR(INDEX(Produk!$J$2:$J$100,MATCH(C699,Produk!$A$2:$A$100,0)),"PRODUK?"))</f>
        <v/>
      </c>
      <c r="G699" s="29" t="str">
        <f aca="false">IF(A699="","",IF(COUNTIF(Anggota!$A$2:$A$2001,A699)=0,"TIDAK ADA","OK"))</f>
        <v/>
      </c>
    </row>
    <row r="700" customFormat="false" ht="15" hidden="false" customHeight="false" outlineLevel="0" collapsed="false">
      <c r="A700" s="21"/>
      <c r="B700" s="22"/>
      <c r="C700" s="21"/>
      <c r="D700" s="24"/>
      <c r="E700" s="22"/>
      <c r="F700" s="29" t="str">
        <f aca="false">IF(C700="","",IFERROR(INDEX(Produk!$J$2:$J$100,MATCH(C700,Produk!$A$2:$A$100,0)),"PRODUK?"))</f>
        <v/>
      </c>
      <c r="G700" s="29" t="str">
        <f aca="false">IF(A700="","",IF(COUNTIF(Anggota!$A$2:$A$2001,A700)=0,"TIDAK ADA","OK"))</f>
        <v/>
      </c>
    </row>
    <row r="701" customFormat="false" ht="15" hidden="false" customHeight="false" outlineLevel="0" collapsed="false">
      <c r="A701" s="21"/>
      <c r="B701" s="22"/>
      <c r="C701" s="21"/>
      <c r="D701" s="24"/>
      <c r="E701" s="22"/>
      <c r="F701" s="29" t="str">
        <f aca="false">IF(C701="","",IFERROR(INDEX(Produk!$J$2:$J$100,MATCH(C701,Produk!$A$2:$A$100,0)),"PRODUK?"))</f>
        <v/>
      </c>
      <c r="G701" s="29" t="str">
        <f aca="false">IF(A701="","",IF(COUNTIF(Anggota!$A$2:$A$2001,A701)=0,"TIDAK ADA","OK"))</f>
        <v/>
      </c>
    </row>
    <row r="702" customFormat="false" ht="15" hidden="false" customHeight="false" outlineLevel="0" collapsed="false">
      <c r="A702" s="21"/>
      <c r="B702" s="22"/>
      <c r="C702" s="21"/>
      <c r="D702" s="24"/>
      <c r="E702" s="22"/>
      <c r="F702" s="29" t="str">
        <f aca="false">IF(C702="","",IFERROR(INDEX(Produk!$J$2:$J$100,MATCH(C702,Produk!$A$2:$A$100,0)),"PRODUK?"))</f>
        <v/>
      </c>
      <c r="G702" s="29" t="str">
        <f aca="false">IF(A702="","",IF(COUNTIF(Anggota!$A$2:$A$2001,A702)=0,"TIDAK ADA","OK"))</f>
        <v/>
      </c>
    </row>
    <row r="703" customFormat="false" ht="15" hidden="false" customHeight="false" outlineLevel="0" collapsed="false">
      <c r="A703" s="21"/>
      <c r="B703" s="22"/>
      <c r="C703" s="21"/>
      <c r="D703" s="24"/>
      <c r="E703" s="22"/>
      <c r="F703" s="29" t="str">
        <f aca="false">IF(C703="","",IFERROR(INDEX(Produk!$J$2:$J$100,MATCH(C703,Produk!$A$2:$A$100,0)),"PRODUK?"))</f>
        <v/>
      </c>
      <c r="G703" s="29" t="str">
        <f aca="false">IF(A703="","",IF(COUNTIF(Anggota!$A$2:$A$2001,A703)=0,"TIDAK ADA","OK"))</f>
        <v/>
      </c>
    </row>
    <row r="704" customFormat="false" ht="15" hidden="false" customHeight="false" outlineLevel="0" collapsed="false">
      <c r="A704" s="21"/>
      <c r="B704" s="22"/>
      <c r="C704" s="21"/>
      <c r="D704" s="24"/>
      <c r="E704" s="22"/>
      <c r="F704" s="29" t="str">
        <f aca="false">IF(C704="","",IFERROR(INDEX(Produk!$J$2:$J$100,MATCH(C704,Produk!$A$2:$A$100,0)),"PRODUK?"))</f>
        <v/>
      </c>
      <c r="G704" s="29" t="str">
        <f aca="false">IF(A704="","",IF(COUNTIF(Anggota!$A$2:$A$2001,A704)=0,"TIDAK ADA","OK"))</f>
        <v/>
      </c>
    </row>
    <row r="705" customFormat="false" ht="15" hidden="false" customHeight="false" outlineLevel="0" collapsed="false">
      <c r="A705" s="21"/>
      <c r="B705" s="22"/>
      <c r="C705" s="21"/>
      <c r="D705" s="24"/>
      <c r="E705" s="22"/>
      <c r="F705" s="29" t="str">
        <f aca="false">IF(C705="","",IFERROR(INDEX(Produk!$J$2:$J$100,MATCH(C705,Produk!$A$2:$A$100,0)),"PRODUK?"))</f>
        <v/>
      </c>
      <c r="G705" s="29" t="str">
        <f aca="false">IF(A705="","",IF(COUNTIF(Anggota!$A$2:$A$2001,A705)=0,"TIDAK ADA","OK"))</f>
        <v/>
      </c>
    </row>
    <row r="706" customFormat="false" ht="15" hidden="false" customHeight="false" outlineLevel="0" collapsed="false">
      <c r="A706" s="21"/>
      <c r="B706" s="22"/>
      <c r="C706" s="21"/>
      <c r="D706" s="24"/>
      <c r="E706" s="22"/>
      <c r="F706" s="29" t="str">
        <f aca="false">IF(C706="","",IFERROR(INDEX(Produk!$J$2:$J$100,MATCH(C706,Produk!$A$2:$A$100,0)),"PRODUK?"))</f>
        <v/>
      </c>
      <c r="G706" s="29" t="str">
        <f aca="false">IF(A706="","",IF(COUNTIF(Anggota!$A$2:$A$2001,A706)=0,"TIDAK ADA","OK"))</f>
        <v/>
      </c>
    </row>
    <row r="707" customFormat="false" ht="15" hidden="false" customHeight="false" outlineLevel="0" collapsed="false">
      <c r="A707" s="21"/>
      <c r="B707" s="22"/>
      <c r="C707" s="21"/>
      <c r="D707" s="24"/>
      <c r="E707" s="22"/>
      <c r="F707" s="29" t="str">
        <f aca="false">IF(C707="","",IFERROR(INDEX(Produk!$J$2:$J$100,MATCH(C707,Produk!$A$2:$A$100,0)),"PRODUK?"))</f>
        <v/>
      </c>
      <c r="G707" s="29" t="str">
        <f aca="false">IF(A707="","",IF(COUNTIF(Anggota!$A$2:$A$2001,A707)=0,"TIDAK ADA","OK"))</f>
        <v/>
      </c>
    </row>
    <row r="708" customFormat="false" ht="15" hidden="false" customHeight="false" outlineLevel="0" collapsed="false">
      <c r="A708" s="21"/>
      <c r="B708" s="22"/>
      <c r="C708" s="21"/>
      <c r="D708" s="24"/>
      <c r="E708" s="22"/>
      <c r="F708" s="29" t="str">
        <f aca="false">IF(C708="","",IFERROR(INDEX(Produk!$J$2:$J$100,MATCH(C708,Produk!$A$2:$A$100,0)),"PRODUK?"))</f>
        <v/>
      </c>
      <c r="G708" s="29" t="str">
        <f aca="false">IF(A708="","",IF(COUNTIF(Anggota!$A$2:$A$2001,A708)=0,"TIDAK ADA","OK"))</f>
        <v/>
      </c>
    </row>
    <row r="709" customFormat="false" ht="15" hidden="false" customHeight="false" outlineLevel="0" collapsed="false">
      <c r="A709" s="21"/>
      <c r="B709" s="22"/>
      <c r="C709" s="21"/>
      <c r="D709" s="24"/>
      <c r="E709" s="22"/>
      <c r="F709" s="29" t="str">
        <f aca="false">IF(C709="","",IFERROR(INDEX(Produk!$J$2:$J$100,MATCH(C709,Produk!$A$2:$A$100,0)),"PRODUK?"))</f>
        <v/>
      </c>
      <c r="G709" s="29" t="str">
        <f aca="false">IF(A709="","",IF(COUNTIF(Anggota!$A$2:$A$2001,A709)=0,"TIDAK ADA","OK"))</f>
        <v/>
      </c>
    </row>
    <row r="710" customFormat="false" ht="15" hidden="false" customHeight="false" outlineLevel="0" collapsed="false">
      <c r="A710" s="21"/>
      <c r="B710" s="22"/>
      <c r="C710" s="21"/>
      <c r="D710" s="24"/>
      <c r="E710" s="22"/>
      <c r="F710" s="29" t="str">
        <f aca="false">IF(C710="","",IFERROR(INDEX(Produk!$J$2:$J$100,MATCH(C710,Produk!$A$2:$A$100,0)),"PRODUK?"))</f>
        <v/>
      </c>
      <c r="G710" s="29" t="str">
        <f aca="false">IF(A710="","",IF(COUNTIF(Anggota!$A$2:$A$2001,A710)=0,"TIDAK ADA","OK"))</f>
        <v/>
      </c>
    </row>
    <row r="711" customFormat="false" ht="15" hidden="false" customHeight="false" outlineLevel="0" collapsed="false">
      <c r="A711" s="21"/>
      <c r="B711" s="22"/>
      <c r="C711" s="21"/>
      <c r="D711" s="24"/>
      <c r="E711" s="22"/>
      <c r="F711" s="29" t="str">
        <f aca="false">IF(C711="","",IFERROR(INDEX(Produk!$J$2:$J$100,MATCH(C711,Produk!$A$2:$A$100,0)),"PRODUK?"))</f>
        <v/>
      </c>
      <c r="G711" s="29" t="str">
        <f aca="false">IF(A711="","",IF(COUNTIF(Anggota!$A$2:$A$2001,A711)=0,"TIDAK ADA","OK"))</f>
        <v/>
      </c>
    </row>
    <row r="712" customFormat="false" ht="15" hidden="false" customHeight="false" outlineLevel="0" collapsed="false">
      <c r="A712" s="21"/>
      <c r="B712" s="22"/>
      <c r="C712" s="21"/>
      <c r="D712" s="24"/>
      <c r="E712" s="22"/>
      <c r="F712" s="29" t="str">
        <f aca="false">IF(C712="","",IFERROR(INDEX(Produk!$J$2:$J$100,MATCH(C712,Produk!$A$2:$A$100,0)),"PRODUK?"))</f>
        <v/>
      </c>
      <c r="G712" s="29" t="str">
        <f aca="false">IF(A712="","",IF(COUNTIF(Anggota!$A$2:$A$2001,A712)=0,"TIDAK ADA","OK"))</f>
        <v/>
      </c>
    </row>
    <row r="713" customFormat="false" ht="15" hidden="false" customHeight="false" outlineLevel="0" collapsed="false">
      <c r="A713" s="21"/>
      <c r="B713" s="22"/>
      <c r="C713" s="21"/>
      <c r="D713" s="24"/>
      <c r="E713" s="22"/>
      <c r="F713" s="29" t="str">
        <f aca="false">IF(C713="","",IFERROR(INDEX(Produk!$J$2:$J$100,MATCH(C713,Produk!$A$2:$A$100,0)),"PRODUK?"))</f>
        <v/>
      </c>
      <c r="G713" s="29" t="str">
        <f aca="false">IF(A713="","",IF(COUNTIF(Anggota!$A$2:$A$2001,A713)=0,"TIDAK ADA","OK"))</f>
        <v/>
      </c>
    </row>
    <row r="714" customFormat="false" ht="15" hidden="false" customHeight="false" outlineLevel="0" collapsed="false">
      <c r="A714" s="21"/>
      <c r="B714" s="22"/>
      <c r="C714" s="21"/>
      <c r="D714" s="24"/>
      <c r="E714" s="22"/>
      <c r="F714" s="29" t="str">
        <f aca="false">IF(C714="","",IFERROR(INDEX(Produk!$J$2:$J$100,MATCH(C714,Produk!$A$2:$A$100,0)),"PRODUK?"))</f>
        <v/>
      </c>
      <c r="G714" s="29" t="str">
        <f aca="false">IF(A714="","",IF(COUNTIF(Anggota!$A$2:$A$2001,A714)=0,"TIDAK ADA","OK"))</f>
        <v/>
      </c>
    </row>
    <row r="715" customFormat="false" ht="15" hidden="false" customHeight="false" outlineLevel="0" collapsed="false">
      <c r="A715" s="21"/>
      <c r="B715" s="22"/>
      <c r="C715" s="21"/>
      <c r="D715" s="24"/>
      <c r="E715" s="22"/>
      <c r="F715" s="29" t="str">
        <f aca="false">IF(C715="","",IFERROR(INDEX(Produk!$J$2:$J$100,MATCH(C715,Produk!$A$2:$A$100,0)),"PRODUK?"))</f>
        <v/>
      </c>
      <c r="G715" s="29" t="str">
        <f aca="false">IF(A715="","",IF(COUNTIF(Anggota!$A$2:$A$2001,A715)=0,"TIDAK ADA","OK"))</f>
        <v/>
      </c>
    </row>
    <row r="716" customFormat="false" ht="15" hidden="false" customHeight="false" outlineLevel="0" collapsed="false">
      <c r="A716" s="21"/>
      <c r="B716" s="22"/>
      <c r="C716" s="21"/>
      <c r="D716" s="24"/>
      <c r="E716" s="22"/>
      <c r="F716" s="29" t="str">
        <f aca="false">IF(C716="","",IFERROR(INDEX(Produk!$J$2:$J$100,MATCH(C716,Produk!$A$2:$A$100,0)),"PRODUK?"))</f>
        <v/>
      </c>
      <c r="G716" s="29" t="str">
        <f aca="false">IF(A716="","",IF(COUNTIF(Anggota!$A$2:$A$2001,A716)=0,"TIDAK ADA","OK"))</f>
        <v/>
      </c>
    </row>
    <row r="717" customFormat="false" ht="15" hidden="false" customHeight="false" outlineLevel="0" collapsed="false">
      <c r="A717" s="21"/>
      <c r="B717" s="22"/>
      <c r="C717" s="21"/>
      <c r="D717" s="24"/>
      <c r="E717" s="22"/>
      <c r="F717" s="29" t="str">
        <f aca="false">IF(C717="","",IFERROR(INDEX(Produk!$J$2:$J$100,MATCH(C717,Produk!$A$2:$A$100,0)),"PRODUK?"))</f>
        <v/>
      </c>
      <c r="G717" s="29" t="str">
        <f aca="false">IF(A717="","",IF(COUNTIF(Anggota!$A$2:$A$2001,A717)=0,"TIDAK ADA","OK"))</f>
        <v/>
      </c>
    </row>
    <row r="718" customFormat="false" ht="15" hidden="false" customHeight="false" outlineLevel="0" collapsed="false">
      <c r="A718" s="21"/>
      <c r="B718" s="22"/>
      <c r="C718" s="21"/>
      <c r="D718" s="24"/>
      <c r="E718" s="22"/>
      <c r="F718" s="29" t="str">
        <f aca="false">IF(C718="","",IFERROR(INDEX(Produk!$J$2:$J$100,MATCH(C718,Produk!$A$2:$A$100,0)),"PRODUK?"))</f>
        <v/>
      </c>
      <c r="G718" s="29" t="str">
        <f aca="false">IF(A718="","",IF(COUNTIF(Anggota!$A$2:$A$2001,A718)=0,"TIDAK ADA","OK"))</f>
        <v/>
      </c>
    </row>
    <row r="719" customFormat="false" ht="15" hidden="false" customHeight="false" outlineLevel="0" collapsed="false">
      <c r="A719" s="21"/>
      <c r="B719" s="22"/>
      <c r="C719" s="21"/>
      <c r="D719" s="24"/>
      <c r="E719" s="22"/>
      <c r="F719" s="29" t="str">
        <f aca="false">IF(C719="","",IFERROR(INDEX(Produk!$J$2:$J$100,MATCH(C719,Produk!$A$2:$A$100,0)),"PRODUK?"))</f>
        <v/>
      </c>
      <c r="G719" s="29" t="str">
        <f aca="false">IF(A719="","",IF(COUNTIF(Anggota!$A$2:$A$2001,A719)=0,"TIDAK ADA","OK"))</f>
        <v/>
      </c>
    </row>
    <row r="720" customFormat="false" ht="15" hidden="false" customHeight="false" outlineLevel="0" collapsed="false">
      <c r="A720" s="21"/>
      <c r="B720" s="22"/>
      <c r="C720" s="21"/>
      <c r="D720" s="24"/>
      <c r="E720" s="22"/>
      <c r="F720" s="29" t="str">
        <f aca="false">IF(C720="","",IFERROR(INDEX(Produk!$J$2:$J$100,MATCH(C720,Produk!$A$2:$A$100,0)),"PRODUK?"))</f>
        <v/>
      </c>
      <c r="G720" s="29" t="str">
        <f aca="false">IF(A720="","",IF(COUNTIF(Anggota!$A$2:$A$2001,A720)=0,"TIDAK ADA","OK"))</f>
        <v/>
      </c>
    </row>
    <row r="721" customFormat="false" ht="15" hidden="false" customHeight="false" outlineLevel="0" collapsed="false">
      <c r="A721" s="21"/>
      <c r="B721" s="22"/>
      <c r="C721" s="21"/>
      <c r="D721" s="24"/>
      <c r="E721" s="22"/>
      <c r="F721" s="29" t="str">
        <f aca="false">IF(C721="","",IFERROR(INDEX(Produk!$J$2:$J$100,MATCH(C721,Produk!$A$2:$A$100,0)),"PRODUK?"))</f>
        <v/>
      </c>
      <c r="G721" s="29" t="str">
        <f aca="false">IF(A721="","",IF(COUNTIF(Anggota!$A$2:$A$2001,A721)=0,"TIDAK ADA","OK"))</f>
        <v/>
      </c>
    </row>
    <row r="722" customFormat="false" ht="15" hidden="false" customHeight="false" outlineLevel="0" collapsed="false">
      <c r="A722" s="21"/>
      <c r="B722" s="22"/>
      <c r="C722" s="21"/>
      <c r="D722" s="24"/>
      <c r="E722" s="22"/>
      <c r="F722" s="29" t="str">
        <f aca="false">IF(C722="","",IFERROR(INDEX(Produk!$J$2:$J$100,MATCH(C722,Produk!$A$2:$A$100,0)),"PRODUK?"))</f>
        <v/>
      </c>
      <c r="G722" s="29" t="str">
        <f aca="false">IF(A722="","",IF(COUNTIF(Anggota!$A$2:$A$2001,A722)=0,"TIDAK ADA","OK"))</f>
        <v/>
      </c>
    </row>
    <row r="723" customFormat="false" ht="15" hidden="false" customHeight="false" outlineLevel="0" collapsed="false">
      <c r="A723" s="21"/>
      <c r="B723" s="22"/>
      <c r="C723" s="21"/>
      <c r="D723" s="24"/>
      <c r="E723" s="22"/>
      <c r="F723" s="29" t="str">
        <f aca="false">IF(C723="","",IFERROR(INDEX(Produk!$J$2:$J$100,MATCH(C723,Produk!$A$2:$A$100,0)),"PRODUK?"))</f>
        <v/>
      </c>
      <c r="G723" s="29" t="str">
        <f aca="false">IF(A723="","",IF(COUNTIF(Anggota!$A$2:$A$2001,A723)=0,"TIDAK ADA","OK"))</f>
        <v/>
      </c>
    </row>
    <row r="724" customFormat="false" ht="15" hidden="false" customHeight="false" outlineLevel="0" collapsed="false">
      <c r="A724" s="21"/>
      <c r="B724" s="22"/>
      <c r="C724" s="21"/>
      <c r="D724" s="24"/>
      <c r="E724" s="22"/>
      <c r="F724" s="29" t="str">
        <f aca="false">IF(C724="","",IFERROR(INDEX(Produk!$J$2:$J$100,MATCH(C724,Produk!$A$2:$A$100,0)),"PRODUK?"))</f>
        <v/>
      </c>
      <c r="G724" s="29" t="str">
        <f aca="false">IF(A724="","",IF(COUNTIF(Anggota!$A$2:$A$2001,A724)=0,"TIDAK ADA","OK"))</f>
        <v/>
      </c>
    </row>
    <row r="725" customFormat="false" ht="15" hidden="false" customHeight="false" outlineLevel="0" collapsed="false">
      <c r="A725" s="21"/>
      <c r="B725" s="22"/>
      <c r="C725" s="21"/>
      <c r="D725" s="24"/>
      <c r="E725" s="22"/>
      <c r="F725" s="29" t="str">
        <f aca="false">IF(C725="","",IFERROR(INDEX(Produk!$J$2:$J$100,MATCH(C725,Produk!$A$2:$A$100,0)),"PRODUK?"))</f>
        <v/>
      </c>
      <c r="G725" s="29" t="str">
        <f aca="false">IF(A725="","",IF(COUNTIF(Anggota!$A$2:$A$2001,A725)=0,"TIDAK ADA","OK"))</f>
        <v/>
      </c>
    </row>
    <row r="726" customFormat="false" ht="15" hidden="false" customHeight="false" outlineLevel="0" collapsed="false">
      <c r="A726" s="21"/>
      <c r="B726" s="22"/>
      <c r="C726" s="21"/>
      <c r="D726" s="24"/>
      <c r="E726" s="22"/>
      <c r="F726" s="29" t="str">
        <f aca="false">IF(C726="","",IFERROR(INDEX(Produk!$J$2:$J$100,MATCH(C726,Produk!$A$2:$A$100,0)),"PRODUK?"))</f>
        <v/>
      </c>
      <c r="G726" s="29" t="str">
        <f aca="false">IF(A726="","",IF(COUNTIF(Anggota!$A$2:$A$2001,A726)=0,"TIDAK ADA","OK"))</f>
        <v/>
      </c>
    </row>
    <row r="727" customFormat="false" ht="15" hidden="false" customHeight="false" outlineLevel="0" collapsed="false">
      <c r="A727" s="21"/>
      <c r="B727" s="22"/>
      <c r="C727" s="21"/>
      <c r="D727" s="24"/>
      <c r="E727" s="22"/>
      <c r="F727" s="29" t="str">
        <f aca="false">IF(C727="","",IFERROR(INDEX(Produk!$J$2:$J$100,MATCH(C727,Produk!$A$2:$A$100,0)),"PRODUK?"))</f>
        <v/>
      </c>
      <c r="G727" s="29" t="str">
        <f aca="false">IF(A727="","",IF(COUNTIF(Anggota!$A$2:$A$2001,A727)=0,"TIDAK ADA","OK"))</f>
        <v/>
      </c>
    </row>
    <row r="728" customFormat="false" ht="15" hidden="false" customHeight="false" outlineLevel="0" collapsed="false">
      <c r="A728" s="21"/>
      <c r="B728" s="22"/>
      <c r="C728" s="21"/>
      <c r="D728" s="24"/>
      <c r="E728" s="22"/>
      <c r="F728" s="29" t="str">
        <f aca="false">IF(C728="","",IFERROR(INDEX(Produk!$J$2:$J$100,MATCH(C728,Produk!$A$2:$A$100,0)),"PRODUK?"))</f>
        <v/>
      </c>
      <c r="G728" s="29" t="str">
        <f aca="false">IF(A728="","",IF(COUNTIF(Anggota!$A$2:$A$2001,A728)=0,"TIDAK ADA","OK"))</f>
        <v/>
      </c>
    </row>
    <row r="729" customFormat="false" ht="15" hidden="false" customHeight="false" outlineLevel="0" collapsed="false">
      <c r="A729" s="21"/>
      <c r="B729" s="22"/>
      <c r="C729" s="21"/>
      <c r="D729" s="24"/>
      <c r="E729" s="22"/>
      <c r="F729" s="29" t="str">
        <f aca="false">IF(C729="","",IFERROR(INDEX(Produk!$J$2:$J$100,MATCH(C729,Produk!$A$2:$A$100,0)),"PRODUK?"))</f>
        <v/>
      </c>
      <c r="G729" s="29" t="str">
        <f aca="false">IF(A729="","",IF(COUNTIF(Anggota!$A$2:$A$2001,A729)=0,"TIDAK ADA","OK"))</f>
        <v/>
      </c>
    </row>
    <row r="730" customFormat="false" ht="15" hidden="false" customHeight="false" outlineLevel="0" collapsed="false">
      <c r="A730" s="21"/>
      <c r="B730" s="22"/>
      <c r="C730" s="21"/>
      <c r="D730" s="24"/>
      <c r="E730" s="22"/>
      <c r="F730" s="29" t="str">
        <f aca="false">IF(C730="","",IFERROR(INDEX(Produk!$J$2:$J$100,MATCH(C730,Produk!$A$2:$A$100,0)),"PRODUK?"))</f>
        <v/>
      </c>
      <c r="G730" s="29" t="str">
        <f aca="false">IF(A730="","",IF(COUNTIF(Anggota!$A$2:$A$2001,A730)=0,"TIDAK ADA","OK"))</f>
        <v/>
      </c>
    </row>
    <row r="731" customFormat="false" ht="15" hidden="false" customHeight="false" outlineLevel="0" collapsed="false">
      <c r="A731" s="21"/>
      <c r="B731" s="22"/>
      <c r="C731" s="21"/>
      <c r="D731" s="24"/>
      <c r="E731" s="22"/>
      <c r="F731" s="29" t="str">
        <f aca="false">IF(C731="","",IFERROR(INDEX(Produk!$J$2:$J$100,MATCH(C731,Produk!$A$2:$A$100,0)),"PRODUK?"))</f>
        <v/>
      </c>
      <c r="G731" s="29" t="str">
        <f aca="false">IF(A731="","",IF(COUNTIF(Anggota!$A$2:$A$2001,A731)=0,"TIDAK ADA","OK"))</f>
        <v/>
      </c>
    </row>
    <row r="732" customFormat="false" ht="15" hidden="false" customHeight="false" outlineLevel="0" collapsed="false">
      <c r="A732" s="21"/>
      <c r="B732" s="22"/>
      <c r="C732" s="21"/>
      <c r="D732" s="24"/>
      <c r="E732" s="22"/>
      <c r="F732" s="29" t="str">
        <f aca="false">IF(C732="","",IFERROR(INDEX(Produk!$J$2:$J$100,MATCH(C732,Produk!$A$2:$A$100,0)),"PRODUK?"))</f>
        <v/>
      </c>
      <c r="G732" s="29" t="str">
        <f aca="false">IF(A732="","",IF(COUNTIF(Anggota!$A$2:$A$2001,A732)=0,"TIDAK ADA","OK"))</f>
        <v/>
      </c>
    </row>
    <row r="733" customFormat="false" ht="15" hidden="false" customHeight="false" outlineLevel="0" collapsed="false">
      <c r="A733" s="21"/>
      <c r="B733" s="22"/>
      <c r="C733" s="21"/>
      <c r="D733" s="24"/>
      <c r="E733" s="22"/>
      <c r="F733" s="29" t="str">
        <f aca="false">IF(C733="","",IFERROR(INDEX(Produk!$J$2:$J$100,MATCH(C733,Produk!$A$2:$A$100,0)),"PRODUK?"))</f>
        <v/>
      </c>
      <c r="G733" s="29" t="str">
        <f aca="false">IF(A733="","",IF(COUNTIF(Anggota!$A$2:$A$2001,A733)=0,"TIDAK ADA","OK"))</f>
        <v/>
      </c>
    </row>
    <row r="734" customFormat="false" ht="15" hidden="false" customHeight="false" outlineLevel="0" collapsed="false">
      <c r="A734" s="21"/>
      <c r="B734" s="22"/>
      <c r="C734" s="21"/>
      <c r="D734" s="24"/>
      <c r="E734" s="22"/>
      <c r="F734" s="29" t="str">
        <f aca="false">IF(C734="","",IFERROR(INDEX(Produk!$J$2:$J$100,MATCH(C734,Produk!$A$2:$A$100,0)),"PRODUK?"))</f>
        <v/>
      </c>
      <c r="G734" s="29" t="str">
        <f aca="false">IF(A734="","",IF(COUNTIF(Anggota!$A$2:$A$2001,A734)=0,"TIDAK ADA","OK"))</f>
        <v/>
      </c>
    </row>
    <row r="735" customFormat="false" ht="15" hidden="false" customHeight="false" outlineLevel="0" collapsed="false">
      <c r="A735" s="21"/>
      <c r="B735" s="22"/>
      <c r="C735" s="21"/>
      <c r="D735" s="24"/>
      <c r="E735" s="22"/>
      <c r="F735" s="29" t="str">
        <f aca="false">IF(C735="","",IFERROR(INDEX(Produk!$J$2:$J$100,MATCH(C735,Produk!$A$2:$A$100,0)),"PRODUK?"))</f>
        <v/>
      </c>
      <c r="G735" s="29" t="str">
        <f aca="false">IF(A735="","",IF(COUNTIF(Anggota!$A$2:$A$2001,A735)=0,"TIDAK ADA","OK"))</f>
        <v/>
      </c>
    </row>
    <row r="736" customFormat="false" ht="15" hidden="false" customHeight="false" outlineLevel="0" collapsed="false">
      <c r="A736" s="21"/>
      <c r="B736" s="22"/>
      <c r="C736" s="21"/>
      <c r="D736" s="24"/>
      <c r="E736" s="22"/>
      <c r="F736" s="29" t="str">
        <f aca="false">IF(C736="","",IFERROR(INDEX(Produk!$J$2:$J$100,MATCH(C736,Produk!$A$2:$A$100,0)),"PRODUK?"))</f>
        <v/>
      </c>
      <c r="G736" s="29" t="str">
        <f aca="false">IF(A736="","",IF(COUNTIF(Anggota!$A$2:$A$2001,A736)=0,"TIDAK ADA","OK"))</f>
        <v/>
      </c>
    </row>
    <row r="737" customFormat="false" ht="15" hidden="false" customHeight="false" outlineLevel="0" collapsed="false">
      <c r="A737" s="21"/>
      <c r="B737" s="22"/>
      <c r="C737" s="21"/>
      <c r="D737" s="24"/>
      <c r="E737" s="22"/>
      <c r="F737" s="29" t="str">
        <f aca="false">IF(C737="","",IFERROR(INDEX(Produk!$J$2:$J$100,MATCH(C737,Produk!$A$2:$A$100,0)),"PRODUK?"))</f>
        <v/>
      </c>
      <c r="G737" s="29" t="str">
        <f aca="false">IF(A737="","",IF(COUNTIF(Anggota!$A$2:$A$2001,A737)=0,"TIDAK ADA","OK"))</f>
        <v/>
      </c>
    </row>
    <row r="738" customFormat="false" ht="15" hidden="false" customHeight="false" outlineLevel="0" collapsed="false">
      <c r="A738" s="21"/>
      <c r="B738" s="22"/>
      <c r="C738" s="21"/>
      <c r="D738" s="24"/>
      <c r="E738" s="22"/>
      <c r="F738" s="29" t="str">
        <f aca="false">IF(C738="","",IFERROR(INDEX(Produk!$J$2:$J$100,MATCH(C738,Produk!$A$2:$A$100,0)),"PRODUK?"))</f>
        <v/>
      </c>
      <c r="G738" s="29" t="str">
        <f aca="false">IF(A738="","",IF(COUNTIF(Anggota!$A$2:$A$2001,A738)=0,"TIDAK ADA","OK"))</f>
        <v/>
      </c>
    </row>
    <row r="739" customFormat="false" ht="15" hidden="false" customHeight="false" outlineLevel="0" collapsed="false">
      <c r="A739" s="21"/>
      <c r="B739" s="22"/>
      <c r="C739" s="21"/>
      <c r="D739" s="24"/>
      <c r="E739" s="22"/>
      <c r="F739" s="29" t="str">
        <f aca="false">IF(C739="","",IFERROR(INDEX(Produk!$J$2:$J$100,MATCH(C739,Produk!$A$2:$A$100,0)),"PRODUK?"))</f>
        <v/>
      </c>
      <c r="G739" s="29" t="str">
        <f aca="false">IF(A739="","",IF(COUNTIF(Anggota!$A$2:$A$2001,A739)=0,"TIDAK ADA","OK"))</f>
        <v/>
      </c>
    </row>
    <row r="740" customFormat="false" ht="15" hidden="false" customHeight="false" outlineLevel="0" collapsed="false">
      <c r="A740" s="21"/>
      <c r="B740" s="22"/>
      <c r="C740" s="21"/>
      <c r="D740" s="24"/>
      <c r="E740" s="22"/>
      <c r="F740" s="29" t="str">
        <f aca="false">IF(C740="","",IFERROR(INDEX(Produk!$J$2:$J$100,MATCH(C740,Produk!$A$2:$A$100,0)),"PRODUK?"))</f>
        <v/>
      </c>
      <c r="G740" s="29" t="str">
        <f aca="false">IF(A740="","",IF(COUNTIF(Anggota!$A$2:$A$2001,A740)=0,"TIDAK ADA","OK"))</f>
        <v/>
      </c>
    </row>
    <row r="741" customFormat="false" ht="15" hidden="false" customHeight="false" outlineLevel="0" collapsed="false">
      <c r="A741" s="21"/>
      <c r="B741" s="22"/>
      <c r="C741" s="21"/>
      <c r="D741" s="24"/>
      <c r="E741" s="22"/>
      <c r="F741" s="29" t="str">
        <f aca="false">IF(C741="","",IFERROR(INDEX(Produk!$J$2:$J$100,MATCH(C741,Produk!$A$2:$A$100,0)),"PRODUK?"))</f>
        <v/>
      </c>
      <c r="G741" s="29" t="str">
        <f aca="false">IF(A741="","",IF(COUNTIF(Anggota!$A$2:$A$2001,A741)=0,"TIDAK ADA","OK"))</f>
        <v/>
      </c>
    </row>
    <row r="742" customFormat="false" ht="15" hidden="false" customHeight="false" outlineLevel="0" collapsed="false">
      <c r="A742" s="21"/>
      <c r="B742" s="22"/>
      <c r="C742" s="21"/>
      <c r="D742" s="24"/>
      <c r="E742" s="22"/>
      <c r="F742" s="29" t="str">
        <f aca="false">IF(C742="","",IFERROR(INDEX(Produk!$J$2:$J$100,MATCH(C742,Produk!$A$2:$A$100,0)),"PRODUK?"))</f>
        <v/>
      </c>
      <c r="G742" s="29" t="str">
        <f aca="false">IF(A742="","",IF(COUNTIF(Anggota!$A$2:$A$2001,A742)=0,"TIDAK ADA","OK"))</f>
        <v/>
      </c>
    </row>
    <row r="743" customFormat="false" ht="15" hidden="false" customHeight="false" outlineLevel="0" collapsed="false">
      <c r="A743" s="21"/>
      <c r="B743" s="22"/>
      <c r="C743" s="21"/>
      <c r="D743" s="24"/>
      <c r="E743" s="22"/>
      <c r="F743" s="29" t="str">
        <f aca="false">IF(C743="","",IFERROR(INDEX(Produk!$J$2:$J$100,MATCH(C743,Produk!$A$2:$A$100,0)),"PRODUK?"))</f>
        <v/>
      </c>
      <c r="G743" s="29" t="str">
        <f aca="false">IF(A743="","",IF(COUNTIF(Anggota!$A$2:$A$2001,A743)=0,"TIDAK ADA","OK"))</f>
        <v/>
      </c>
    </row>
    <row r="744" customFormat="false" ht="15" hidden="false" customHeight="false" outlineLevel="0" collapsed="false">
      <c r="A744" s="21"/>
      <c r="B744" s="22"/>
      <c r="C744" s="21"/>
      <c r="D744" s="24"/>
      <c r="E744" s="22"/>
      <c r="F744" s="29" t="str">
        <f aca="false">IF(C744="","",IFERROR(INDEX(Produk!$J$2:$J$100,MATCH(C744,Produk!$A$2:$A$100,0)),"PRODUK?"))</f>
        <v/>
      </c>
      <c r="G744" s="29" t="str">
        <f aca="false">IF(A744="","",IF(COUNTIF(Anggota!$A$2:$A$2001,A744)=0,"TIDAK ADA","OK"))</f>
        <v/>
      </c>
    </row>
    <row r="745" customFormat="false" ht="15" hidden="false" customHeight="false" outlineLevel="0" collapsed="false">
      <c r="A745" s="21"/>
      <c r="B745" s="22"/>
      <c r="C745" s="21"/>
      <c r="D745" s="24"/>
      <c r="E745" s="22"/>
      <c r="F745" s="29" t="str">
        <f aca="false">IF(C745="","",IFERROR(INDEX(Produk!$J$2:$J$100,MATCH(C745,Produk!$A$2:$A$100,0)),"PRODUK?"))</f>
        <v/>
      </c>
      <c r="G745" s="29" t="str">
        <f aca="false">IF(A745="","",IF(COUNTIF(Anggota!$A$2:$A$2001,A745)=0,"TIDAK ADA","OK"))</f>
        <v/>
      </c>
    </row>
    <row r="746" customFormat="false" ht="15" hidden="false" customHeight="false" outlineLevel="0" collapsed="false">
      <c r="A746" s="21"/>
      <c r="B746" s="22"/>
      <c r="C746" s="21"/>
      <c r="D746" s="24"/>
      <c r="E746" s="22"/>
      <c r="F746" s="29" t="str">
        <f aca="false">IF(C746="","",IFERROR(INDEX(Produk!$J$2:$J$100,MATCH(C746,Produk!$A$2:$A$100,0)),"PRODUK?"))</f>
        <v/>
      </c>
      <c r="G746" s="29" t="str">
        <f aca="false">IF(A746="","",IF(COUNTIF(Anggota!$A$2:$A$2001,A746)=0,"TIDAK ADA","OK"))</f>
        <v/>
      </c>
    </row>
    <row r="747" customFormat="false" ht="15" hidden="false" customHeight="false" outlineLevel="0" collapsed="false">
      <c r="A747" s="21"/>
      <c r="B747" s="22"/>
      <c r="C747" s="21"/>
      <c r="D747" s="24"/>
      <c r="E747" s="22"/>
      <c r="F747" s="29" t="str">
        <f aca="false">IF(C747="","",IFERROR(INDEX(Produk!$J$2:$J$100,MATCH(C747,Produk!$A$2:$A$100,0)),"PRODUK?"))</f>
        <v/>
      </c>
      <c r="G747" s="29" t="str">
        <f aca="false">IF(A747="","",IF(COUNTIF(Anggota!$A$2:$A$2001,A747)=0,"TIDAK ADA","OK"))</f>
        <v/>
      </c>
    </row>
    <row r="748" customFormat="false" ht="15" hidden="false" customHeight="false" outlineLevel="0" collapsed="false">
      <c r="A748" s="21"/>
      <c r="B748" s="22"/>
      <c r="C748" s="21"/>
      <c r="D748" s="24"/>
      <c r="E748" s="22"/>
      <c r="F748" s="29" t="str">
        <f aca="false">IF(C748="","",IFERROR(INDEX(Produk!$J$2:$J$100,MATCH(C748,Produk!$A$2:$A$100,0)),"PRODUK?"))</f>
        <v/>
      </c>
      <c r="G748" s="29" t="str">
        <f aca="false">IF(A748="","",IF(COUNTIF(Anggota!$A$2:$A$2001,A748)=0,"TIDAK ADA","OK"))</f>
        <v/>
      </c>
    </row>
    <row r="749" customFormat="false" ht="15" hidden="false" customHeight="false" outlineLevel="0" collapsed="false">
      <c r="A749" s="21"/>
      <c r="B749" s="22"/>
      <c r="C749" s="21"/>
      <c r="D749" s="24"/>
      <c r="E749" s="22"/>
      <c r="F749" s="29" t="str">
        <f aca="false">IF(C749="","",IFERROR(INDEX(Produk!$J$2:$J$100,MATCH(C749,Produk!$A$2:$A$100,0)),"PRODUK?"))</f>
        <v/>
      </c>
      <c r="G749" s="29" t="str">
        <f aca="false">IF(A749="","",IF(COUNTIF(Anggota!$A$2:$A$2001,A749)=0,"TIDAK ADA","OK"))</f>
        <v/>
      </c>
    </row>
    <row r="750" customFormat="false" ht="15" hidden="false" customHeight="false" outlineLevel="0" collapsed="false">
      <c r="A750" s="21"/>
      <c r="B750" s="22"/>
      <c r="C750" s="21"/>
      <c r="D750" s="24"/>
      <c r="E750" s="22"/>
      <c r="F750" s="29" t="str">
        <f aca="false">IF(C750="","",IFERROR(INDEX(Produk!$J$2:$J$100,MATCH(C750,Produk!$A$2:$A$100,0)),"PRODUK?"))</f>
        <v/>
      </c>
      <c r="G750" s="29" t="str">
        <f aca="false">IF(A750="","",IF(COUNTIF(Anggota!$A$2:$A$2001,A750)=0,"TIDAK ADA","OK"))</f>
        <v/>
      </c>
    </row>
    <row r="751" customFormat="false" ht="15" hidden="false" customHeight="false" outlineLevel="0" collapsed="false">
      <c r="A751" s="21"/>
      <c r="B751" s="22"/>
      <c r="C751" s="21"/>
      <c r="D751" s="24"/>
      <c r="E751" s="22"/>
      <c r="F751" s="29" t="str">
        <f aca="false">IF(C751="","",IFERROR(INDEX(Produk!$J$2:$J$100,MATCH(C751,Produk!$A$2:$A$100,0)),"PRODUK?"))</f>
        <v/>
      </c>
      <c r="G751" s="29" t="str">
        <f aca="false">IF(A751="","",IF(COUNTIF(Anggota!$A$2:$A$2001,A751)=0,"TIDAK ADA","OK"))</f>
        <v/>
      </c>
    </row>
    <row r="752" customFormat="false" ht="15" hidden="false" customHeight="false" outlineLevel="0" collapsed="false">
      <c r="A752" s="21"/>
      <c r="B752" s="22"/>
      <c r="C752" s="21"/>
      <c r="D752" s="24"/>
      <c r="E752" s="22"/>
      <c r="F752" s="29" t="str">
        <f aca="false">IF(C752="","",IFERROR(INDEX(Produk!$J$2:$J$100,MATCH(C752,Produk!$A$2:$A$100,0)),"PRODUK?"))</f>
        <v/>
      </c>
      <c r="G752" s="29" t="str">
        <f aca="false">IF(A752="","",IF(COUNTIF(Anggota!$A$2:$A$2001,A752)=0,"TIDAK ADA","OK"))</f>
        <v/>
      </c>
    </row>
    <row r="753" customFormat="false" ht="15" hidden="false" customHeight="false" outlineLevel="0" collapsed="false">
      <c r="A753" s="21"/>
      <c r="B753" s="22"/>
      <c r="C753" s="21"/>
      <c r="D753" s="24"/>
      <c r="E753" s="22"/>
      <c r="F753" s="29" t="str">
        <f aca="false">IF(C753="","",IFERROR(INDEX(Produk!$J$2:$J$100,MATCH(C753,Produk!$A$2:$A$100,0)),"PRODUK?"))</f>
        <v/>
      </c>
      <c r="G753" s="29" t="str">
        <f aca="false">IF(A753="","",IF(COUNTIF(Anggota!$A$2:$A$2001,A753)=0,"TIDAK ADA","OK"))</f>
        <v/>
      </c>
    </row>
    <row r="754" customFormat="false" ht="15" hidden="false" customHeight="false" outlineLevel="0" collapsed="false">
      <c r="A754" s="21"/>
      <c r="B754" s="22"/>
      <c r="C754" s="21"/>
      <c r="D754" s="24"/>
      <c r="E754" s="22"/>
      <c r="F754" s="29" t="str">
        <f aca="false">IF(C754="","",IFERROR(INDEX(Produk!$J$2:$J$100,MATCH(C754,Produk!$A$2:$A$100,0)),"PRODUK?"))</f>
        <v/>
      </c>
      <c r="G754" s="29" t="str">
        <f aca="false">IF(A754="","",IF(COUNTIF(Anggota!$A$2:$A$2001,A754)=0,"TIDAK ADA","OK"))</f>
        <v/>
      </c>
    </row>
    <row r="755" customFormat="false" ht="15" hidden="false" customHeight="false" outlineLevel="0" collapsed="false">
      <c r="A755" s="21"/>
      <c r="B755" s="22"/>
      <c r="C755" s="21"/>
      <c r="D755" s="24"/>
      <c r="E755" s="22"/>
      <c r="F755" s="29" t="str">
        <f aca="false">IF(C755="","",IFERROR(INDEX(Produk!$J$2:$J$100,MATCH(C755,Produk!$A$2:$A$100,0)),"PRODUK?"))</f>
        <v/>
      </c>
      <c r="G755" s="29" t="str">
        <f aca="false">IF(A755="","",IF(COUNTIF(Anggota!$A$2:$A$2001,A755)=0,"TIDAK ADA","OK"))</f>
        <v/>
      </c>
    </row>
    <row r="756" customFormat="false" ht="15" hidden="false" customHeight="false" outlineLevel="0" collapsed="false">
      <c r="A756" s="21"/>
      <c r="B756" s="22"/>
      <c r="C756" s="21"/>
      <c r="D756" s="24"/>
      <c r="E756" s="22"/>
      <c r="F756" s="29" t="str">
        <f aca="false">IF(C756="","",IFERROR(INDEX(Produk!$J$2:$J$100,MATCH(C756,Produk!$A$2:$A$100,0)),"PRODUK?"))</f>
        <v/>
      </c>
      <c r="G756" s="29" t="str">
        <f aca="false">IF(A756="","",IF(COUNTIF(Anggota!$A$2:$A$2001,A756)=0,"TIDAK ADA","OK"))</f>
        <v/>
      </c>
    </row>
    <row r="757" customFormat="false" ht="15" hidden="false" customHeight="false" outlineLevel="0" collapsed="false">
      <c r="A757" s="21"/>
      <c r="B757" s="22"/>
      <c r="C757" s="21"/>
      <c r="D757" s="24"/>
      <c r="E757" s="22"/>
      <c r="F757" s="29" t="str">
        <f aca="false">IF(C757="","",IFERROR(INDEX(Produk!$J$2:$J$100,MATCH(C757,Produk!$A$2:$A$100,0)),"PRODUK?"))</f>
        <v/>
      </c>
      <c r="G757" s="29" t="str">
        <f aca="false">IF(A757="","",IF(COUNTIF(Anggota!$A$2:$A$2001,A757)=0,"TIDAK ADA","OK"))</f>
        <v/>
      </c>
    </row>
    <row r="758" customFormat="false" ht="15" hidden="false" customHeight="false" outlineLevel="0" collapsed="false">
      <c r="A758" s="21"/>
      <c r="B758" s="22"/>
      <c r="C758" s="21"/>
      <c r="D758" s="24"/>
      <c r="E758" s="22"/>
      <c r="F758" s="29" t="str">
        <f aca="false">IF(C758="","",IFERROR(INDEX(Produk!$J$2:$J$100,MATCH(C758,Produk!$A$2:$A$100,0)),"PRODUK?"))</f>
        <v/>
      </c>
      <c r="G758" s="29" t="str">
        <f aca="false">IF(A758="","",IF(COUNTIF(Anggota!$A$2:$A$2001,A758)=0,"TIDAK ADA","OK"))</f>
        <v/>
      </c>
    </row>
    <row r="759" customFormat="false" ht="15" hidden="false" customHeight="false" outlineLevel="0" collapsed="false">
      <c r="A759" s="21"/>
      <c r="B759" s="22"/>
      <c r="C759" s="21"/>
      <c r="D759" s="24"/>
      <c r="E759" s="22"/>
      <c r="F759" s="29" t="str">
        <f aca="false">IF(C759="","",IFERROR(INDEX(Produk!$J$2:$J$100,MATCH(C759,Produk!$A$2:$A$100,0)),"PRODUK?"))</f>
        <v/>
      </c>
      <c r="G759" s="29" t="str">
        <f aca="false">IF(A759="","",IF(COUNTIF(Anggota!$A$2:$A$2001,A759)=0,"TIDAK ADA","OK"))</f>
        <v/>
      </c>
    </row>
    <row r="760" customFormat="false" ht="15" hidden="false" customHeight="false" outlineLevel="0" collapsed="false">
      <c r="A760" s="21"/>
      <c r="B760" s="22"/>
      <c r="C760" s="21"/>
      <c r="D760" s="24"/>
      <c r="E760" s="22"/>
      <c r="F760" s="29" t="str">
        <f aca="false">IF(C760="","",IFERROR(INDEX(Produk!$J$2:$J$100,MATCH(C760,Produk!$A$2:$A$100,0)),"PRODUK?"))</f>
        <v/>
      </c>
      <c r="G760" s="29" t="str">
        <f aca="false">IF(A760="","",IF(COUNTIF(Anggota!$A$2:$A$2001,A760)=0,"TIDAK ADA","OK"))</f>
        <v/>
      </c>
    </row>
    <row r="761" customFormat="false" ht="15" hidden="false" customHeight="false" outlineLevel="0" collapsed="false">
      <c r="A761" s="21"/>
      <c r="B761" s="22"/>
      <c r="C761" s="21"/>
      <c r="D761" s="24"/>
      <c r="E761" s="22"/>
      <c r="F761" s="29" t="str">
        <f aca="false">IF(C761="","",IFERROR(INDEX(Produk!$J$2:$J$100,MATCH(C761,Produk!$A$2:$A$100,0)),"PRODUK?"))</f>
        <v/>
      </c>
      <c r="G761" s="29" t="str">
        <f aca="false">IF(A761="","",IF(COUNTIF(Anggota!$A$2:$A$2001,A761)=0,"TIDAK ADA","OK"))</f>
        <v/>
      </c>
    </row>
    <row r="762" customFormat="false" ht="15" hidden="false" customHeight="false" outlineLevel="0" collapsed="false">
      <c r="A762" s="21"/>
      <c r="B762" s="22"/>
      <c r="C762" s="21"/>
      <c r="D762" s="24"/>
      <c r="E762" s="22"/>
      <c r="F762" s="29" t="str">
        <f aca="false">IF(C762="","",IFERROR(INDEX(Produk!$J$2:$J$100,MATCH(C762,Produk!$A$2:$A$100,0)),"PRODUK?"))</f>
        <v/>
      </c>
      <c r="G762" s="29" t="str">
        <f aca="false">IF(A762="","",IF(COUNTIF(Anggota!$A$2:$A$2001,A762)=0,"TIDAK ADA","OK"))</f>
        <v/>
      </c>
    </row>
    <row r="763" customFormat="false" ht="15" hidden="false" customHeight="false" outlineLevel="0" collapsed="false">
      <c r="A763" s="21"/>
      <c r="B763" s="22"/>
      <c r="C763" s="21"/>
      <c r="D763" s="24"/>
      <c r="E763" s="22"/>
      <c r="F763" s="29" t="str">
        <f aca="false">IF(C763="","",IFERROR(INDEX(Produk!$J$2:$J$100,MATCH(C763,Produk!$A$2:$A$100,0)),"PRODUK?"))</f>
        <v/>
      </c>
      <c r="G763" s="29" t="str">
        <f aca="false">IF(A763="","",IF(COUNTIF(Anggota!$A$2:$A$2001,A763)=0,"TIDAK ADA","OK"))</f>
        <v/>
      </c>
    </row>
    <row r="764" customFormat="false" ht="15" hidden="false" customHeight="false" outlineLevel="0" collapsed="false">
      <c r="A764" s="21"/>
      <c r="B764" s="22"/>
      <c r="C764" s="21"/>
      <c r="D764" s="24"/>
      <c r="E764" s="22"/>
      <c r="F764" s="29" t="str">
        <f aca="false">IF(C764="","",IFERROR(INDEX(Produk!$J$2:$J$100,MATCH(C764,Produk!$A$2:$A$100,0)),"PRODUK?"))</f>
        <v/>
      </c>
      <c r="G764" s="29" t="str">
        <f aca="false">IF(A764="","",IF(COUNTIF(Anggota!$A$2:$A$2001,A764)=0,"TIDAK ADA","OK"))</f>
        <v/>
      </c>
    </row>
    <row r="765" customFormat="false" ht="15" hidden="false" customHeight="false" outlineLevel="0" collapsed="false">
      <c r="A765" s="21"/>
      <c r="B765" s="22"/>
      <c r="C765" s="21"/>
      <c r="D765" s="24"/>
      <c r="E765" s="22"/>
      <c r="F765" s="29" t="str">
        <f aca="false">IF(C765="","",IFERROR(INDEX(Produk!$J$2:$J$100,MATCH(C765,Produk!$A$2:$A$100,0)),"PRODUK?"))</f>
        <v/>
      </c>
      <c r="G765" s="29" t="str">
        <f aca="false">IF(A765="","",IF(COUNTIF(Anggota!$A$2:$A$2001,A765)=0,"TIDAK ADA","OK"))</f>
        <v/>
      </c>
    </row>
    <row r="766" customFormat="false" ht="15" hidden="false" customHeight="false" outlineLevel="0" collapsed="false">
      <c r="A766" s="21"/>
      <c r="B766" s="22"/>
      <c r="C766" s="21"/>
      <c r="D766" s="24"/>
      <c r="E766" s="22"/>
      <c r="F766" s="29" t="str">
        <f aca="false">IF(C766="","",IFERROR(INDEX(Produk!$J$2:$J$100,MATCH(C766,Produk!$A$2:$A$100,0)),"PRODUK?"))</f>
        <v/>
      </c>
      <c r="G766" s="29" t="str">
        <f aca="false">IF(A766="","",IF(COUNTIF(Anggota!$A$2:$A$2001,A766)=0,"TIDAK ADA","OK"))</f>
        <v/>
      </c>
    </row>
    <row r="767" customFormat="false" ht="15" hidden="false" customHeight="false" outlineLevel="0" collapsed="false">
      <c r="A767" s="21"/>
      <c r="B767" s="22"/>
      <c r="C767" s="21"/>
      <c r="D767" s="24"/>
      <c r="E767" s="22"/>
      <c r="F767" s="29" t="str">
        <f aca="false">IF(C767="","",IFERROR(INDEX(Produk!$J$2:$J$100,MATCH(C767,Produk!$A$2:$A$100,0)),"PRODUK?"))</f>
        <v/>
      </c>
      <c r="G767" s="29" t="str">
        <f aca="false">IF(A767="","",IF(COUNTIF(Anggota!$A$2:$A$2001,A767)=0,"TIDAK ADA","OK"))</f>
        <v/>
      </c>
    </row>
    <row r="768" customFormat="false" ht="15" hidden="false" customHeight="false" outlineLevel="0" collapsed="false">
      <c r="A768" s="21"/>
      <c r="B768" s="22"/>
      <c r="C768" s="21"/>
      <c r="D768" s="24"/>
      <c r="E768" s="22"/>
      <c r="F768" s="29" t="str">
        <f aca="false">IF(C768="","",IFERROR(INDEX(Produk!$J$2:$J$100,MATCH(C768,Produk!$A$2:$A$100,0)),"PRODUK?"))</f>
        <v/>
      </c>
      <c r="G768" s="29" t="str">
        <f aca="false">IF(A768="","",IF(COUNTIF(Anggota!$A$2:$A$2001,A768)=0,"TIDAK ADA","OK"))</f>
        <v/>
      </c>
    </row>
    <row r="769" customFormat="false" ht="15" hidden="false" customHeight="false" outlineLevel="0" collapsed="false">
      <c r="A769" s="21"/>
      <c r="B769" s="22"/>
      <c r="C769" s="21"/>
      <c r="D769" s="24"/>
      <c r="E769" s="22"/>
      <c r="F769" s="29" t="str">
        <f aca="false">IF(C769="","",IFERROR(INDEX(Produk!$J$2:$J$100,MATCH(C769,Produk!$A$2:$A$100,0)),"PRODUK?"))</f>
        <v/>
      </c>
      <c r="G769" s="29" t="str">
        <f aca="false">IF(A769="","",IF(COUNTIF(Anggota!$A$2:$A$2001,A769)=0,"TIDAK ADA","OK"))</f>
        <v/>
      </c>
    </row>
    <row r="770" customFormat="false" ht="15" hidden="false" customHeight="false" outlineLevel="0" collapsed="false">
      <c r="A770" s="21"/>
      <c r="B770" s="22"/>
      <c r="C770" s="21"/>
      <c r="D770" s="24"/>
      <c r="E770" s="22"/>
      <c r="F770" s="29" t="str">
        <f aca="false">IF(C770="","",IFERROR(INDEX(Produk!$J$2:$J$100,MATCH(C770,Produk!$A$2:$A$100,0)),"PRODUK?"))</f>
        <v/>
      </c>
      <c r="G770" s="29" t="str">
        <f aca="false">IF(A770="","",IF(COUNTIF(Anggota!$A$2:$A$2001,A770)=0,"TIDAK ADA","OK"))</f>
        <v/>
      </c>
    </row>
    <row r="771" customFormat="false" ht="15" hidden="false" customHeight="false" outlineLevel="0" collapsed="false">
      <c r="A771" s="21"/>
      <c r="B771" s="22"/>
      <c r="C771" s="21"/>
      <c r="D771" s="24"/>
      <c r="E771" s="22"/>
      <c r="F771" s="29" t="str">
        <f aca="false">IF(C771="","",IFERROR(INDEX(Produk!$J$2:$J$100,MATCH(C771,Produk!$A$2:$A$100,0)),"PRODUK?"))</f>
        <v/>
      </c>
      <c r="G771" s="29" t="str">
        <f aca="false">IF(A771="","",IF(COUNTIF(Anggota!$A$2:$A$2001,A771)=0,"TIDAK ADA","OK"))</f>
        <v/>
      </c>
    </row>
    <row r="772" customFormat="false" ht="15" hidden="false" customHeight="false" outlineLevel="0" collapsed="false">
      <c r="A772" s="21"/>
      <c r="B772" s="22"/>
      <c r="C772" s="21"/>
      <c r="D772" s="24"/>
      <c r="E772" s="22"/>
      <c r="F772" s="29" t="str">
        <f aca="false">IF(C772="","",IFERROR(INDEX(Produk!$J$2:$J$100,MATCH(C772,Produk!$A$2:$A$100,0)),"PRODUK?"))</f>
        <v/>
      </c>
      <c r="G772" s="29" t="str">
        <f aca="false">IF(A772="","",IF(COUNTIF(Anggota!$A$2:$A$2001,A772)=0,"TIDAK ADA","OK"))</f>
        <v/>
      </c>
    </row>
    <row r="773" customFormat="false" ht="15" hidden="false" customHeight="false" outlineLevel="0" collapsed="false">
      <c r="A773" s="21"/>
      <c r="B773" s="22"/>
      <c r="C773" s="21"/>
      <c r="D773" s="24"/>
      <c r="E773" s="22"/>
      <c r="F773" s="29" t="str">
        <f aca="false">IF(C773="","",IFERROR(INDEX(Produk!$J$2:$J$100,MATCH(C773,Produk!$A$2:$A$100,0)),"PRODUK?"))</f>
        <v/>
      </c>
      <c r="G773" s="29" t="str">
        <f aca="false">IF(A773="","",IF(COUNTIF(Anggota!$A$2:$A$2001,A773)=0,"TIDAK ADA","OK"))</f>
        <v/>
      </c>
    </row>
    <row r="774" customFormat="false" ht="15" hidden="false" customHeight="false" outlineLevel="0" collapsed="false">
      <c r="A774" s="21"/>
      <c r="B774" s="22"/>
      <c r="C774" s="21"/>
      <c r="D774" s="24"/>
      <c r="E774" s="22"/>
      <c r="F774" s="29" t="str">
        <f aca="false">IF(C774="","",IFERROR(INDEX(Produk!$J$2:$J$100,MATCH(C774,Produk!$A$2:$A$100,0)),"PRODUK?"))</f>
        <v/>
      </c>
      <c r="G774" s="29" t="str">
        <f aca="false">IF(A774="","",IF(COUNTIF(Anggota!$A$2:$A$2001,A774)=0,"TIDAK ADA","OK"))</f>
        <v/>
      </c>
    </row>
    <row r="775" customFormat="false" ht="15" hidden="false" customHeight="false" outlineLevel="0" collapsed="false">
      <c r="A775" s="21"/>
      <c r="B775" s="22"/>
      <c r="C775" s="21"/>
      <c r="D775" s="24"/>
      <c r="E775" s="22"/>
      <c r="F775" s="29" t="str">
        <f aca="false">IF(C775="","",IFERROR(INDEX(Produk!$J$2:$J$100,MATCH(C775,Produk!$A$2:$A$100,0)),"PRODUK?"))</f>
        <v/>
      </c>
      <c r="G775" s="29" t="str">
        <f aca="false">IF(A775="","",IF(COUNTIF(Anggota!$A$2:$A$2001,A775)=0,"TIDAK ADA","OK"))</f>
        <v/>
      </c>
    </row>
    <row r="776" customFormat="false" ht="15" hidden="false" customHeight="false" outlineLevel="0" collapsed="false">
      <c r="A776" s="21"/>
      <c r="B776" s="22"/>
      <c r="C776" s="21"/>
      <c r="D776" s="24"/>
      <c r="E776" s="22"/>
      <c r="F776" s="29" t="str">
        <f aca="false">IF(C776="","",IFERROR(INDEX(Produk!$J$2:$J$100,MATCH(C776,Produk!$A$2:$A$100,0)),"PRODUK?"))</f>
        <v/>
      </c>
      <c r="G776" s="29" t="str">
        <f aca="false">IF(A776="","",IF(COUNTIF(Anggota!$A$2:$A$2001,A776)=0,"TIDAK ADA","OK"))</f>
        <v/>
      </c>
    </row>
    <row r="777" customFormat="false" ht="15" hidden="false" customHeight="false" outlineLevel="0" collapsed="false">
      <c r="A777" s="21"/>
      <c r="B777" s="22"/>
      <c r="C777" s="21"/>
      <c r="D777" s="24"/>
      <c r="E777" s="22"/>
      <c r="F777" s="29" t="str">
        <f aca="false">IF(C777="","",IFERROR(INDEX(Produk!$J$2:$J$100,MATCH(C777,Produk!$A$2:$A$100,0)),"PRODUK?"))</f>
        <v/>
      </c>
      <c r="G777" s="29" t="str">
        <f aca="false">IF(A777="","",IF(COUNTIF(Anggota!$A$2:$A$2001,A777)=0,"TIDAK ADA","OK"))</f>
        <v/>
      </c>
    </row>
    <row r="778" customFormat="false" ht="15" hidden="false" customHeight="false" outlineLevel="0" collapsed="false">
      <c r="A778" s="21"/>
      <c r="B778" s="22"/>
      <c r="C778" s="21"/>
      <c r="D778" s="24"/>
      <c r="E778" s="22"/>
      <c r="F778" s="29" t="str">
        <f aca="false">IF(C778="","",IFERROR(INDEX(Produk!$J$2:$J$100,MATCH(C778,Produk!$A$2:$A$100,0)),"PRODUK?"))</f>
        <v/>
      </c>
      <c r="G778" s="29" t="str">
        <f aca="false">IF(A778="","",IF(COUNTIF(Anggota!$A$2:$A$2001,A778)=0,"TIDAK ADA","OK"))</f>
        <v/>
      </c>
    </row>
    <row r="779" customFormat="false" ht="15" hidden="false" customHeight="false" outlineLevel="0" collapsed="false">
      <c r="A779" s="21"/>
      <c r="B779" s="22"/>
      <c r="C779" s="21"/>
      <c r="D779" s="24"/>
      <c r="E779" s="22"/>
      <c r="F779" s="29" t="str">
        <f aca="false">IF(C779="","",IFERROR(INDEX(Produk!$J$2:$J$100,MATCH(C779,Produk!$A$2:$A$100,0)),"PRODUK?"))</f>
        <v/>
      </c>
      <c r="G779" s="29" t="str">
        <f aca="false">IF(A779="","",IF(COUNTIF(Anggota!$A$2:$A$2001,A779)=0,"TIDAK ADA","OK"))</f>
        <v/>
      </c>
    </row>
    <row r="780" customFormat="false" ht="15" hidden="false" customHeight="false" outlineLevel="0" collapsed="false">
      <c r="A780" s="21"/>
      <c r="B780" s="22"/>
      <c r="C780" s="21"/>
      <c r="D780" s="24"/>
      <c r="E780" s="22"/>
      <c r="F780" s="29" t="str">
        <f aca="false">IF(C780="","",IFERROR(INDEX(Produk!$J$2:$J$100,MATCH(C780,Produk!$A$2:$A$100,0)),"PRODUK?"))</f>
        <v/>
      </c>
      <c r="G780" s="29" t="str">
        <f aca="false">IF(A780="","",IF(COUNTIF(Anggota!$A$2:$A$2001,A780)=0,"TIDAK ADA","OK"))</f>
        <v/>
      </c>
    </row>
    <row r="781" customFormat="false" ht="15" hidden="false" customHeight="false" outlineLevel="0" collapsed="false">
      <c r="A781" s="21"/>
      <c r="B781" s="22"/>
      <c r="C781" s="21"/>
      <c r="D781" s="24"/>
      <c r="E781" s="22"/>
      <c r="F781" s="29" t="str">
        <f aca="false">IF(C781="","",IFERROR(INDEX(Produk!$J$2:$J$100,MATCH(C781,Produk!$A$2:$A$100,0)),"PRODUK?"))</f>
        <v/>
      </c>
      <c r="G781" s="29" t="str">
        <f aca="false">IF(A781="","",IF(COUNTIF(Anggota!$A$2:$A$2001,A781)=0,"TIDAK ADA","OK"))</f>
        <v/>
      </c>
    </row>
    <row r="782" customFormat="false" ht="15" hidden="false" customHeight="false" outlineLevel="0" collapsed="false">
      <c r="A782" s="21"/>
      <c r="B782" s="22"/>
      <c r="C782" s="21"/>
      <c r="D782" s="24"/>
      <c r="E782" s="22"/>
      <c r="F782" s="29" t="str">
        <f aca="false">IF(C782="","",IFERROR(INDEX(Produk!$J$2:$J$100,MATCH(C782,Produk!$A$2:$A$100,0)),"PRODUK?"))</f>
        <v/>
      </c>
      <c r="G782" s="29" t="str">
        <f aca="false">IF(A782="","",IF(COUNTIF(Anggota!$A$2:$A$2001,A782)=0,"TIDAK ADA","OK"))</f>
        <v/>
      </c>
    </row>
    <row r="783" customFormat="false" ht="15" hidden="false" customHeight="false" outlineLevel="0" collapsed="false">
      <c r="A783" s="21"/>
      <c r="B783" s="22"/>
      <c r="C783" s="21"/>
      <c r="D783" s="24"/>
      <c r="E783" s="22"/>
      <c r="F783" s="29" t="str">
        <f aca="false">IF(C783="","",IFERROR(INDEX(Produk!$J$2:$J$100,MATCH(C783,Produk!$A$2:$A$100,0)),"PRODUK?"))</f>
        <v/>
      </c>
      <c r="G783" s="29" t="str">
        <f aca="false">IF(A783="","",IF(COUNTIF(Anggota!$A$2:$A$2001,A783)=0,"TIDAK ADA","OK"))</f>
        <v/>
      </c>
    </row>
    <row r="784" customFormat="false" ht="15" hidden="false" customHeight="false" outlineLevel="0" collapsed="false">
      <c r="A784" s="21"/>
      <c r="B784" s="22"/>
      <c r="C784" s="21"/>
      <c r="D784" s="24"/>
      <c r="E784" s="22"/>
      <c r="F784" s="29" t="str">
        <f aca="false">IF(C784="","",IFERROR(INDEX(Produk!$J$2:$J$100,MATCH(C784,Produk!$A$2:$A$100,0)),"PRODUK?"))</f>
        <v/>
      </c>
      <c r="G784" s="29" t="str">
        <f aca="false">IF(A784="","",IF(COUNTIF(Anggota!$A$2:$A$2001,A784)=0,"TIDAK ADA","OK"))</f>
        <v/>
      </c>
    </row>
    <row r="785" customFormat="false" ht="15" hidden="false" customHeight="false" outlineLevel="0" collapsed="false">
      <c r="A785" s="21"/>
      <c r="B785" s="22"/>
      <c r="C785" s="21"/>
      <c r="D785" s="24"/>
      <c r="E785" s="22"/>
      <c r="F785" s="29" t="str">
        <f aca="false">IF(C785="","",IFERROR(INDEX(Produk!$J$2:$J$100,MATCH(C785,Produk!$A$2:$A$100,0)),"PRODUK?"))</f>
        <v/>
      </c>
      <c r="G785" s="29" t="str">
        <f aca="false">IF(A785="","",IF(COUNTIF(Anggota!$A$2:$A$2001,A785)=0,"TIDAK ADA","OK"))</f>
        <v/>
      </c>
    </row>
    <row r="786" customFormat="false" ht="15" hidden="false" customHeight="false" outlineLevel="0" collapsed="false">
      <c r="A786" s="21"/>
      <c r="B786" s="22"/>
      <c r="C786" s="21"/>
      <c r="D786" s="24"/>
      <c r="E786" s="22"/>
      <c r="F786" s="29" t="str">
        <f aca="false">IF(C786="","",IFERROR(INDEX(Produk!$J$2:$J$100,MATCH(C786,Produk!$A$2:$A$100,0)),"PRODUK?"))</f>
        <v/>
      </c>
      <c r="G786" s="29" t="str">
        <f aca="false">IF(A786="","",IF(COUNTIF(Anggota!$A$2:$A$2001,A786)=0,"TIDAK ADA","OK"))</f>
        <v/>
      </c>
    </row>
    <row r="787" customFormat="false" ht="15" hidden="false" customHeight="false" outlineLevel="0" collapsed="false">
      <c r="A787" s="21"/>
      <c r="B787" s="22"/>
      <c r="C787" s="21"/>
      <c r="D787" s="24"/>
      <c r="E787" s="22"/>
      <c r="F787" s="29" t="str">
        <f aca="false">IF(C787="","",IFERROR(INDEX(Produk!$J$2:$J$100,MATCH(C787,Produk!$A$2:$A$100,0)),"PRODUK?"))</f>
        <v/>
      </c>
      <c r="G787" s="29" t="str">
        <f aca="false">IF(A787="","",IF(COUNTIF(Anggota!$A$2:$A$2001,A787)=0,"TIDAK ADA","OK"))</f>
        <v/>
      </c>
    </row>
    <row r="788" customFormat="false" ht="15" hidden="false" customHeight="false" outlineLevel="0" collapsed="false">
      <c r="A788" s="21"/>
      <c r="B788" s="22"/>
      <c r="C788" s="21"/>
      <c r="D788" s="24"/>
      <c r="E788" s="22"/>
      <c r="F788" s="29" t="str">
        <f aca="false">IF(C788="","",IFERROR(INDEX(Produk!$J$2:$J$100,MATCH(C788,Produk!$A$2:$A$100,0)),"PRODUK?"))</f>
        <v/>
      </c>
      <c r="G788" s="29" t="str">
        <f aca="false">IF(A788="","",IF(COUNTIF(Anggota!$A$2:$A$2001,A788)=0,"TIDAK ADA","OK"))</f>
        <v/>
      </c>
    </row>
    <row r="789" customFormat="false" ht="15" hidden="false" customHeight="false" outlineLevel="0" collapsed="false">
      <c r="A789" s="21"/>
      <c r="B789" s="22"/>
      <c r="C789" s="21"/>
      <c r="D789" s="24"/>
      <c r="E789" s="22"/>
      <c r="F789" s="29" t="str">
        <f aca="false">IF(C789="","",IFERROR(INDEX(Produk!$J$2:$J$100,MATCH(C789,Produk!$A$2:$A$100,0)),"PRODUK?"))</f>
        <v/>
      </c>
      <c r="G789" s="29" t="str">
        <f aca="false">IF(A789="","",IF(COUNTIF(Anggota!$A$2:$A$2001,A789)=0,"TIDAK ADA","OK"))</f>
        <v/>
      </c>
    </row>
    <row r="790" customFormat="false" ht="15" hidden="false" customHeight="false" outlineLevel="0" collapsed="false">
      <c r="A790" s="21"/>
      <c r="B790" s="22"/>
      <c r="C790" s="21"/>
      <c r="D790" s="24"/>
      <c r="E790" s="22"/>
      <c r="F790" s="29" t="str">
        <f aca="false">IF(C790="","",IFERROR(INDEX(Produk!$J$2:$J$100,MATCH(C790,Produk!$A$2:$A$100,0)),"PRODUK?"))</f>
        <v/>
      </c>
      <c r="G790" s="29" t="str">
        <f aca="false">IF(A790="","",IF(COUNTIF(Anggota!$A$2:$A$2001,A790)=0,"TIDAK ADA","OK"))</f>
        <v/>
      </c>
    </row>
    <row r="791" customFormat="false" ht="15" hidden="false" customHeight="false" outlineLevel="0" collapsed="false">
      <c r="A791" s="21"/>
      <c r="B791" s="22"/>
      <c r="C791" s="21"/>
      <c r="D791" s="24"/>
      <c r="E791" s="22"/>
      <c r="F791" s="29" t="str">
        <f aca="false">IF(C791="","",IFERROR(INDEX(Produk!$J$2:$J$100,MATCH(C791,Produk!$A$2:$A$100,0)),"PRODUK?"))</f>
        <v/>
      </c>
      <c r="G791" s="29" t="str">
        <f aca="false">IF(A791="","",IF(COUNTIF(Anggota!$A$2:$A$2001,A791)=0,"TIDAK ADA","OK"))</f>
        <v/>
      </c>
    </row>
    <row r="792" customFormat="false" ht="15" hidden="false" customHeight="false" outlineLevel="0" collapsed="false">
      <c r="A792" s="21"/>
      <c r="B792" s="22"/>
      <c r="C792" s="21"/>
      <c r="D792" s="24"/>
      <c r="E792" s="22"/>
      <c r="F792" s="29" t="str">
        <f aca="false">IF(C792="","",IFERROR(INDEX(Produk!$J$2:$J$100,MATCH(C792,Produk!$A$2:$A$100,0)),"PRODUK?"))</f>
        <v/>
      </c>
      <c r="G792" s="29" t="str">
        <f aca="false">IF(A792="","",IF(COUNTIF(Anggota!$A$2:$A$2001,A792)=0,"TIDAK ADA","OK"))</f>
        <v/>
      </c>
    </row>
    <row r="793" customFormat="false" ht="15" hidden="false" customHeight="false" outlineLevel="0" collapsed="false">
      <c r="A793" s="21"/>
      <c r="B793" s="22"/>
      <c r="C793" s="21"/>
      <c r="D793" s="24"/>
      <c r="E793" s="22"/>
      <c r="F793" s="29" t="str">
        <f aca="false">IF(C793="","",IFERROR(INDEX(Produk!$J$2:$J$100,MATCH(C793,Produk!$A$2:$A$100,0)),"PRODUK?"))</f>
        <v/>
      </c>
      <c r="G793" s="29" t="str">
        <f aca="false">IF(A793="","",IF(COUNTIF(Anggota!$A$2:$A$2001,A793)=0,"TIDAK ADA","OK"))</f>
        <v/>
      </c>
    </row>
    <row r="794" customFormat="false" ht="15" hidden="false" customHeight="false" outlineLevel="0" collapsed="false">
      <c r="A794" s="21"/>
      <c r="B794" s="22"/>
      <c r="C794" s="21"/>
      <c r="D794" s="24"/>
      <c r="E794" s="22"/>
      <c r="F794" s="29" t="str">
        <f aca="false">IF(C794="","",IFERROR(INDEX(Produk!$J$2:$J$100,MATCH(C794,Produk!$A$2:$A$100,0)),"PRODUK?"))</f>
        <v/>
      </c>
      <c r="G794" s="29" t="str">
        <f aca="false">IF(A794="","",IF(COUNTIF(Anggota!$A$2:$A$2001,A794)=0,"TIDAK ADA","OK"))</f>
        <v/>
      </c>
    </row>
    <row r="795" customFormat="false" ht="15" hidden="false" customHeight="false" outlineLevel="0" collapsed="false">
      <c r="A795" s="21"/>
      <c r="B795" s="22"/>
      <c r="C795" s="21"/>
      <c r="D795" s="24"/>
      <c r="E795" s="22"/>
      <c r="F795" s="29" t="str">
        <f aca="false">IF(C795="","",IFERROR(INDEX(Produk!$J$2:$J$100,MATCH(C795,Produk!$A$2:$A$100,0)),"PRODUK?"))</f>
        <v/>
      </c>
      <c r="G795" s="29" t="str">
        <f aca="false">IF(A795="","",IF(COUNTIF(Anggota!$A$2:$A$2001,A795)=0,"TIDAK ADA","OK"))</f>
        <v/>
      </c>
    </row>
    <row r="796" customFormat="false" ht="15" hidden="false" customHeight="false" outlineLevel="0" collapsed="false">
      <c r="A796" s="21"/>
      <c r="B796" s="22"/>
      <c r="C796" s="21"/>
      <c r="D796" s="24"/>
      <c r="E796" s="22"/>
      <c r="F796" s="29" t="str">
        <f aca="false">IF(C796="","",IFERROR(INDEX(Produk!$J$2:$J$100,MATCH(C796,Produk!$A$2:$A$100,0)),"PRODUK?"))</f>
        <v/>
      </c>
      <c r="G796" s="29" t="str">
        <f aca="false">IF(A796="","",IF(COUNTIF(Anggota!$A$2:$A$2001,A796)=0,"TIDAK ADA","OK"))</f>
        <v/>
      </c>
    </row>
    <row r="797" customFormat="false" ht="15" hidden="false" customHeight="false" outlineLevel="0" collapsed="false">
      <c r="A797" s="21"/>
      <c r="B797" s="22"/>
      <c r="C797" s="21"/>
      <c r="D797" s="24"/>
      <c r="E797" s="22"/>
      <c r="F797" s="29" t="str">
        <f aca="false">IF(C797="","",IFERROR(INDEX(Produk!$J$2:$J$100,MATCH(C797,Produk!$A$2:$A$100,0)),"PRODUK?"))</f>
        <v/>
      </c>
      <c r="G797" s="29" t="str">
        <f aca="false">IF(A797="","",IF(COUNTIF(Anggota!$A$2:$A$2001,A797)=0,"TIDAK ADA","OK"))</f>
        <v/>
      </c>
    </row>
    <row r="798" customFormat="false" ht="15" hidden="false" customHeight="false" outlineLevel="0" collapsed="false">
      <c r="A798" s="21"/>
      <c r="B798" s="22"/>
      <c r="C798" s="21"/>
      <c r="D798" s="24"/>
      <c r="E798" s="22"/>
      <c r="F798" s="29" t="str">
        <f aca="false">IF(C798="","",IFERROR(INDEX(Produk!$J$2:$J$100,MATCH(C798,Produk!$A$2:$A$100,0)),"PRODUK?"))</f>
        <v/>
      </c>
      <c r="G798" s="29" t="str">
        <f aca="false">IF(A798="","",IF(COUNTIF(Anggota!$A$2:$A$2001,A798)=0,"TIDAK ADA","OK"))</f>
        <v/>
      </c>
    </row>
    <row r="799" customFormat="false" ht="15" hidden="false" customHeight="false" outlineLevel="0" collapsed="false">
      <c r="A799" s="21"/>
      <c r="B799" s="22"/>
      <c r="C799" s="21"/>
      <c r="D799" s="24"/>
      <c r="E799" s="22"/>
      <c r="F799" s="29" t="str">
        <f aca="false">IF(C799="","",IFERROR(INDEX(Produk!$J$2:$J$100,MATCH(C799,Produk!$A$2:$A$100,0)),"PRODUK?"))</f>
        <v/>
      </c>
      <c r="G799" s="29" t="str">
        <f aca="false">IF(A799="","",IF(COUNTIF(Anggota!$A$2:$A$2001,A799)=0,"TIDAK ADA","OK"))</f>
        <v/>
      </c>
    </row>
    <row r="800" customFormat="false" ht="15" hidden="false" customHeight="false" outlineLevel="0" collapsed="false">
      <c r="A800" s="21"/>
      <c r="B800" s="22"/>
      <c r="C800" s="21"/>
      <c r="D800" s="24"/>
      <c r="E800" s="22"/>
      <c r="F800" s="29" t="str">
        <f aca="false">IF(C800="","",IFERROR(INDEX(Produk!$J$2:$J$100,MATCH(C800,Produk!$A$2:$A$100,0)),"PRODUK?"))</f>
        <v/>
      </c>
      <c r="G800" s="29" t="str">
        <f aca="false">IF(A800="","",IF(COUNTIF(Anggota!$A$2:$A$2001,A800)=0,"TIDAK ADA","OK"))</f>
        <v/>
      </c>
    </row>
    <row r="801" customFormat="false" ht="15" hidden="false" customHeight="false" outlineLevel="0" collapsed="false">
      <c r="A801" s="21"/>
      <c r="B801" s="22"/>
      <c r="C801" s="21"/>
      <c r="D801" s="24"/>
      <c r="E801" s="22"/>
      <c r="F801" s="29" t="str">
        <f aca="false">IF(C801="","",IFERROR(INDEX(Produk!$J$2:$J$100,MATCH(C801,Produk!$A$2:$A$100,0)),"PRODUK?"))</f>
        <v/>
      </c>
      <c r="G801" s="29" t="str">
        <f aca="false">IF(A801="","",IF(COUNTIF(Anggota!$A$2:$A$2001,A801)=0,"TIDAK ADA","OK"))</f>
        <v/>
      </c>
    </row>
    <row r="802" customFormat="false" ht="15" hidden="false" customHeight="false" outlineLevel="0" collapsed="false">
      <c r="A802" s="21"/>
      <c r="B802" s="22"/>
      <c r="C802" s="21"/>
      <c r="D802" s="24"/>
      <c r="E802" s="22"/>
      <c r="F802" s="29" t="str">
        <f aca="false">IF(C802="","",IFERROR(INDEX(Produk!$J$2:$J$100,MATCH(C802,Produk!$A$2:$A$100,0)),"PRODUK?"))</f>
        <v/>
      </c>
      <c r="G802" s="29" t="str">
        <f aca="false">IF(A802="","",IF(COUNTIF(Anggota!$A$2:$A$2001,A802)=0,"TIDAK ADA","OK"))</f>
        <v/>
      </c>
    </row>
    <row r="803" customFormat="false" ht="15" hidden="false" customHeight="false" outlineLevel="0" collapsed="false">
      <c r="A803" s="21"/>
      <c r="B803" s="22"/>
      <c r="C803" s="21"/>
      <c r="D803" s="24"/>
      <c r="E803" s="22"/>
      <c r="F803" s="29" t="str">
        <f aca="false">IF(C803="","",IFERROR(INDEX(Produk!$J$2:$J$100,MATCH(C803,Produk!$A$2:$A$100,0)),"PRODUK?"))</f>
        <v/>
      </c>
      <c r="G803" s="29" t="str">
        <f aca="false">IF(A803="","",IF(COUNTIF(Anggota!$A$2:$A$2001,A803)=0,"TIDAK ADA","OK"))</f>
        <v/>
      </c>
    </row>
    <row r="804" customFormat="false" ht="15" hidden="false" customHeight="false" outlineLevel="0" collapsed="false">
      <c r="A804" s="21"/>
      <c r="B804" s="22"/>
      <c r="C804" s="21"/>
      <c r="D804" s="24"/>
      <c r="E804" s="22"/>
      <c r="F804" s="29" t="str">
        <f aca="false">IF(C804="","",IFERROR(INDEX(Produk!$J$2:$J$100,MATCH(C804,Produk!$A$2:$A$100,0)),"PRODUK?"))</f>
        <v/>
      </c>
      <c r="G804" s="29" t="str">
        <f aca="false">IF(A804="","",IF(COUNTIF(Anggota!$A$2:$A$2001,A804)=0,"TIDAK ADA","OK"))</f>
        <v/>
      </c>
    </row>
    <row r="805" customFormat="false" ht="15" hidden="false" customHeight="false" outlineLevel="0" collapsed="false">
      <c r="A805" s="21"/>
      <c r="B805" s="22"/>
      <c r="C805" s="21"/>
      <c r="D805" s="24"/>
      <c r="E805" s="22"/>
      <c r="F805" s="29" t="str">
        <f aca="false">IF(C805="","",IFERROR(INDEX(Produk!$J$2:$J$100,MATCH(C805,Produk!$A$2:$A$100,0)),"PRODUK?"))</f>
        <v/>
      </c>
      <c r="G805" s="29" t="str">
        <f aca="false">IF(A805="","",IF(COUNTIF(Anggota!$A$2:$A$2001,A805)=0,"TIDAK ADA","OK"))</f>
        <v/>
      </c>
    </row>
    <row r="806" customFormat="false" ht="15" hidden="false" customHeight="false" outlineLevel="0" collapsed="false">
      <c r="A806" s="21"/>
      <c r="B806" s="22"/>
      <c r="C806" s="21"/>
      <c r="D806" s="24"/>
      <c r="E806" s="22"/>
      <c r="F806" s="29" t="str">
        <f aca="false">IF(C806="","",IFERROR(INDEX(Produk!$J$2:$J$100,MATCH(C806,Produk!$A$2:$A$100,0)),"PRODUK?"))</f>
        <v/>
      </c>
      <c r="G806" s="29" t="str">
        <f aca="false">IF(A806="","",IF(COUNTIF(Anggota!$A$2:$A$2001,A806)=0,"TIDAK ADA","OK"))</f>
        <v/>
      </c>
    </row>
    <row r="807" customFormat="false" ht="15" hidden="false" customHeight="false" outlineLevel="0" collapsed="false">
      <c r="A807" s="21"/>
      <c r="B807" s="22"/>
      <c r="C807" s="21"/>
      <c r="D807" s="24"/>
      <c r="E807" s="22"/>
      <c r="F807" s="29" t="str">
        <f aca="false">IF(C807="","",IFERROR(INDEX(Produk!$J$2:$J$100,MATCH(C807,Produk!$A$2:$A$100,0)),"PRODUK?"))</f>
        <v/>
      </c>
      <c r="G807" s="29" t="str">
        <f aca="false">IF(A807="","",IF(COUNTIF(Anggota!$A$2:$A$2001,A807)=0,"TIDAK ADA","OK"))</f>
        <v/>
      </c>
    </row>
    <row r="808" customFormat="false" ht="15" hidden="false" customHeight="false" outlineLevel="0" collapsed="false">
      <c r="A808" s="21"/>
      <c r="B808" s="22"/>
      <c r="C808" s="21"/>
      <c r="D808" s="24"/>
      <c r="E808" s="22"/>
      <c r="F808" s="29" t="str">
        <f aca="false">IF(C808="","",IFERROR(INDEX(Produk!$J$2:$J$100,MATCH(C808,Produk!$A$2:$A$100,0)),"PRODUK?"))</f>
        <v/>
      </c>
      <c r="G808" s="29" t="str">
        <f aca="false">IF(A808="","",IF(COUNTIF(Anggota!$A$2:$A$2001,A808)=0,"TIDAK ADA","OK"))</f>
        <v/>
      </c>
    </row>
    <row r="809" customFormat="false" ht="15" hidden="false" customHeight="false" outlineLevel="0" collapsed="false">
      <c r="A809" s="21"/>
      <c r="B809" s="22"/>
      <c r="C809" s="21"/>
      <c r="D809" s="24"/>
      <c r="E809" s="22"/>
      <c r="F809" s="29" t="str">
        <f aca="false">IF(C809="","",IFERROR(INDEX(Produk!$J$2:$J$100,MATCH(C809,Produk!$A$2:$A$100,0)),"PRODUK?"))</f>
        <v/>
      </c>
      <c r="G809" s="29" t="str">
        <f aca="false">IF(A809="","",IF(COUNTIF(Anggota!$A$2:$A$2001,A809)=0,"TIDAK ADA","OK"))</f>
        <v/>
      </c>
    </row>
    <row r="810" customFormat="false" ht="15" hidden="false" customHeight="false" outlineLevel="0" collapsed="false">
      <c r="A810" s="21"/>
      <c r="B810" s="22"/>
      <c r="C810" s="21"/>
      <c r="D810" s="24"/>
      <c r="E810" s="22"/>
      <c r="F810" s="29" t="str">
        <f aca="false">IF(C810="","",IFERROR(INDEX(Produk!$J$2:$J$100,MATCH(C810,Produk!$A$2:$A$100,0)),"PRODUK?"))</f>
        <v/>
      </c>
      <c r="G810" s="29" t="str">
        <f aca="false">IF(A810="","",IF(COUNTIF(Anggota!$A$2:$A$2001,A810)=0,"TIDAK ADA","OK"))</f>
        <v/>
      </c>
    </row>
    <row r="811" customFormat="false" ht="15" hidden="false" customHeight="false" outlineLevel="0" collapsed="false">
      <c r="A811" s="21"/>
      <c r="B811" s="22"/>
      <c r="C811" s="21"/>
      <c r="D811" s="24"/>
      <c r="E811" s="22"/>
      <c r="F811" s="29" t="str">
        <f aca="false">IF(C811="","",IFERROR(INDEX(Produk!$J$2:$J$100,MATCH(C811,Produk!$A$2:$A$100,0)),"PRODUK?"))</f>
        <v/>
      </c>
      <c r="G811" s="29" t="str">
        <f aca="false">IF(A811="","",IF(COUNTIF(Anggota!$A$2:$A$2001,A811)=0,"TIDAK ADA","OK"))</f>
        <v/>
      </c>
    </row>
    <row r="812" customFormat="false" ht="15" hidden="false" customHeight="false" outlineLevel="0" collapsed="false">
      <c r="A812" s="21"/>
      <c r="B812" s="22"/>
      <c r="C812" s="21"/>
      <c r="D812" s="24"/>
      <c r="E812" s="22"/>
      <c r="F812" s="29" t="str">
        <f aca="false">IF(C812="","",IFERROR(INDEX(Produk!$J$2:$J$100,MATCH(C812,Produk!$A$2:$A$100,0)),"PRODUK?"))</f>
        <v/>
      </c>
      <c r="G812" s="29" t="str">
        <f aca="false">IF(A812="","",IF(COUNTIF(Anggota!$A$2:$A$2001,A812)=0,"TIDAK ADA","OK"))</f>
        <v/>
      </c>
    </row>
    <row r="813" customFormat="false" ht="15" hidden="false" customHeight="false" outlineLevel="0" collapsed="false">
      <c r="A813" s="21"/>
      <c r="B813" s="22"/>
      <c r="C813" s="21"/>
      <c r="D813" s="24"/>
      <c r="E813" s="22"/>
      <c r="F813" s="29" t="str">
        <f aca="false">IF(C813="","",IFERROR(INDEX(Produk!$J$2:$J$100,MATCH(C813,Produk!$A$2:$A$100,0)),"PRODUK?"))</f>
        <v/>
      </c>
      <c r="G813" s="29" t="str">
        <f aca="false">IF(A813="","",IF(COUNTIF(Anggota!$A$2:$A$2001,A813)=0,"TIDAK ADA","OK"))</f>
        <v/>
      </c>
    </row>
    <row r="814" customFormat="false" ht="15" hidden="false" customHeight="false" outlineLevel="0" collapsed="false">
      <c r="A814" s="21"/>
      <c r="B814" s="22"/>
      <c r="C814" s="21"/>
      <c r="D814" s="24"/>
      <c r="E814" s="22"/>
      <c r="F814" s="29" t="str">
        <f aca="false">IF(C814="","",IFERROR(INDEX(Produk!$J$2:$J$100,MATCH(C814,Produk!$A$2:$A$100,0)),"PRODUK?"))</f>
        <v/>
      </c>
      <c r="G814" s="29" t="str">
        <f aca="false">IF(A814="","",IF(COUNTIF(Anggota!$A$2:$A$2001,A814)=0,"TIDAK ADA","OK"))</f>
        <v/>
      </c>
    </row>
    <row r="815" customFormat="false" ht="15" hidden="false" customHeight="false" outlineLevel="0" collapsed="false">
      <c r="A815" s="21"/>
      <c r="B815" s="22"/>
      <c r="C815" s="21"/>
      <c r="D815" s="24"/>
      <c r="E815" s="22"/>
      <c r="F815" s="29" t="str">
        <f aca="false">IF(C815="","",IFERROR(INDEX(Produk!$J$2:$J$100,MATCH(C815,Produk!$A$2:$A$100,0)),"PRODUK?"))</f>
        <v/>
      </c>
      <c r="G815" s="29" t="str">
        <f aca="false">IF(A815="","",IF(COUNTIF(Anggota!$A$2:$A$2001,A815)=0,"TIDAK ADA","OK"))</f>
        <v/>
      </c>
    </row>
    <row r="816" customFormat="false" ht="15" hidden="false" customHeight="false" outlineLevel="0" collapsed="false">
      <c r="A816" s="21"/>
      <c r="B816" s="22"/>
      <c r="C816" s="21"/>
      <c r="D816" s="24"/>
      <c r="E816" s="22"/>
      <c r="F816" s="29" t="str">
        <f aca="false">IF(C816="","",IFERROR(INDEX(Produk!$J$2:$J$100,MATCH(C816,Produk!$A$2:$A$100,0)),"PRODUK?"))</f>
        <v/>
      </c>
      <c r="G816" s="29" t="str">
        <f aca="false">IF(A816="","",IF(COUNTIF(Anggota!$A$2:$A$2001,A816)=0,"TIDAK ADA","OK"))</f>
        <v/>
      </c>
    </row>
    <row r="817" customFormat="false" ht="15" hidden="false" customHeight="false" outlineLevel="0" collapsed="false">
      <c r="A817" s="21"/>
      <c r="B817" s="22"/>
      <c r="C817" s="21"/>
      <c r="D817" s="24"/>
      <c r="E817" s="22"/>
      <c r="F817" s="29" t="str">
        <f aca="false">IF(C817="","",IFERROR(INDEX(Produk!$J$2:$J$100,MATCH(C817,Produk!$A$2:$A$100,0)),"PRODUK?"))</f>
        <v/>
      </c>
      <c r="G817" s="29" t="str">
        <f aca="false">IF(A817="","",IF(COUNTIF(Anggota!$A$2:$A$2001,A817)=0,"TIDAK ADA","OK"))</f>
        <v/>
      </c>
    </row>
    <row r="818" customFormat="false" ht="15" hidden="false" customHeight="false" outlineLevel="0" collapsed="false">
      <c r="A818" s="21"/>
      <c r="B818" s="22"/>
      <c r="C818" s="21"/>
      <c r="D818" s="24"/>
      <c r="E818" s="22"/>
      <c r="F818" s="29" t="str">
        <f aca="false">IF(C818="","",IFERROR(INDEX(Produk!$J$2:$J$100,MATCH(C818,Produk!$A$2:$A$100,0)),"PRODUK?"))</f>
        <v/>
      </c>
      <c r="G818" s="29" t="str">
        <f aca="false">IF(A818="","",IF(COUNTIF(Anggota!$A$2:$A$2001,A818)=0,"TIDAK ADA","OK"))</f>
        <v/>
      </c>
    </row>
    <row r="819" customFormat="false" ht="15" hidden="false" customHeight="false" outlineLevel="0" collapsed="false">
      <c r="A819" s="21"/>
      <c r="B819" s="22"/>
      <c r="C819" s="21"/>
      <c r="D819" s="24"/>
      <c r="E819" s="22"/>
      <c r="F819" s="29" t="str">
        <f aca="false">IF(C819="","",IFERROR(INDEX(Produk!$J$2:$J$100,MATCH(C819,Produk!$A$2:$A$100,0)),"PRODUK?"))</f>
        <v/>
      </c>
      <c r="G819" s="29" t="str">
        <f aca="false">IF(A819="","",IF(COUNTIF(Anggota!$A$2:$A$2001,A819)=0,"TIDAK ADA","OK"))</f>
        <v/>
      </c>
    </row>
    <row r="820" customFormat="false" ht="15" hidden="false" customHeight="false" outlineLevel="0" collapsed="false">
      <c r="A820" s="21"/>
      <c r="B820" s="22"/>
      <c r="C820" s="21"/>
      <c r="D820" s="24"/>
      <c r="E820" s="22"/>
      <c r="F820" s="29" t="str">
        <f aca="false">IF(C820="","",IFERROR(INDEX(Produk!$J$2:$J$100,MATCH(C820,Produk!$A$2:$A$100,0)),"PRODUK?"))</f>
        <v/>
      </c>
      <c r="G820" s="29" t="str">
        <f aca="false">IF(A820="","",IF(COUNTIF(Anggota!$A$2:$A$2001,A820)=0,"TIDAK ADA","OK"))</f>
        <v/>
      </c>
    </row>
    <row r="821" customFormat="false" ht="15" hidden="false" customHeight="false" outlineLevel="0" collapsed="false">
      <c r="A821" s="21"/>
      <c r="B821" s="22"/>
      <c r="C821" s="21"/>
      <c r="D821" s="24"/>
      <c r="E821" s="22"/>
      <c r="F821" s="29" t="str">
        <f aca="false">IF(C821="","",IFERROR(INDEX(Produk!$J$2:$J$100,MATCH(C821,Produk!$A$2:$A$100,0)),"PRODUK?"))</f>
        <v/>
      </c>
      <c r="G821" s="29" t="str">
        <f aca="false">IF(A821="","",IF(COUNTIF(Anggota!$A$2:$A$2001,A821)=0,"TIDAK ADA","OK"))</f>
        <v/>
      </c>
    </row>
    <row r="822" customFormat="false" ht="15" hidden="false" customHeight="false" outlineLevel="0" collapsed="false">
      <c r="A822" s="21"/>
      <c r="B822" s="22"/>
      <c r="C822" s="21"/>
      <c r="D822" s="24"/>
      <c r="E822" s="22"/>
      <c r="F822" s="29" t="str">
        <f aca="false">IF(C822="","",IFERROR(INDEX(Produk!$J$2:$J$100,MATCH(C822,Produk!$A$2:$A$100,0)),"PRODUK?"))</f>
        <v/>
      </c>
      <c r="G822" s="29" t="str">
        <f aca="false">IF(A822="","",IF(COUNTIF(Anggota!$A$2:$A$2001,A822)=0,"TIDAK ADA","OK"))</f>
        <v/>
      </c>
    </row>
    <row r="823" customFormat="false" ht="15" hidden="false" customHeight="false" outlineLevel="0" collapsed="false">
      <c r="A823" s="21"/>
      <c r="B823" s="22"/>
      <c r="C823" s="21"/>
      <c r="D823" s="24"/>
      <c r="E823" s="22"/>
      <c r="F823" s="29" t="str">
        <f aca="false">IF(C823="","",IFERROR(INDEX(Produk!$J$2:$J$100,MATCH(C823,Produk!$A$2:$A$100,0)),"PRODUK?"))</f>
        <v/>
      </c>
      <c r="G823" s="29" t="str">
        <f aca="false">IF(A823="","",IF(COUNTIF(Anggota!$A$2:$A$2001,A823)=0,"TIDAK ADA","OK"))</f>
        <v/>
      </c>
    </row>
    <row r="824" customFormat="false" ht="15" hidden="false" customHeight="false" outlineLevel="0" collapsed="false">
      <c r="A824" s="21"/>
      <c r="B824" s="22"/>
      <c r="C824" s="21"/>
      <c r="D824" s="24"/>
      <c r="E824" s="22"/>
      <c r="F824" s="29" t="str">
        <f aca="false">IF(C824="","",IFERROR(INDEX(Produk!$J$2:$J$100,MATCH(C824,Produk!$A$2:$A$100,0)),"PRODUK?"))</f>
        <v/>
      </c>
      <c r="G824" s="29" t="str">
        <f aca="false">IF(A824="","",IF(COUNTIF(Anggota!$A$2:$A$2001,A824)=0,"TIDAK ADA","OK"))</f>
        <v/>
      </c>
    </row>
    <row r="825" customFormat="false" ht="15" hidden="false" customHeight="false" outlineLevel="0" collapsed="false">
      <c r="A825" s="21"/>
      <c r="B825" s="22"/>
      <c r="C825" s="21"/>
      <c r="D825" s="24"/>
      <c r="E825" s="22"/>
      <c r="F825" s="29" t="str">
        <f aca="false">IF(C825="","",IFERROR(INDEX(Produk!$J$2:$J$100,MATCH(C825,Produk!$A$2:$A$100,0)),"PRODUK?"))</f>
        <v/>
      </c>
      <c r="G825" s="29" t="str">
        <f aca="false">IF(A825="","",IF(COUNTIF(Anggota!$A$2:$A$2001,A825)=0,"TIDAK ADA","OK"))</f>
        <v/>
      </c>
    </row>
    <row r="826" customFormat="false" ht="15" hidden="false" customHeight="false" outlineLevel="0" collapsed="false">
      <c r="A826" s="21"/>
      <c r="B826" s="22"/>
      <c r="C826" s="21"/>
      <c r="D826" s="24"/>
      <c r="E826" s="22"/>
      <c r="F826" s="29" t="str">
        <f aca="false">IF(C826="","",IFERROR(INDEX(Produk!$J$2:$J$100,MATCH(C826,Produk!$A$2:$A$100,0)),"PRODUK?"))</f>
        <v/>
      </c>
      <c r="G826" s="29" t="str">
        <f aca="false">IF(A826="","",IF(COUNTIF(Anggota!$A$2:$A$2001,A826)=0,"TIDAK ADA","OK"))</f>
        <v/>
      </c>
    </row>
    <row r="827" customFormat="false" ht="15" hidden="false" customHeight="false" outlineLevel="0" collapsed="false">
      <c r="A827" s="21"/>
      <c r="B827" s="22"/>
      <c r="C827" s="21"/>
      <c r="D827" s="24"/>
      <c r="E827" s="22"/>
      <c r="F827" s="29" t="str">
        <f aca="false">IF(C827="","",IFERROR(INDEX(Produk!$J$2:$J$100,MATCH(C827,Produk!$A$2:$A$100,0)),"PRODUK?"))</f>
        <v/>
      </c>
      <c r="G827" s="29" t="str">
        <f aca="false">IF(A827="","",IF(COUNTIF(Anggota!$A$2:$A$2001,A827)=0,"TIDAK ADA","OK"))</f>
        <v/>
      </c>
    </row>
    <row r="828" customFormat="false" ht="15" hidden="false" customHeight="false" outlineLevel="0" collapsed="false">
      <c r="A828" s="21"/>
      <c r="B828" s="22"/>
      <c r="C828" s="21"/>
      <c r="D828" s="24"/>
      <c r="E828" s="22"/>
      <c r="F828" s="29" t="str">
        <f aca="false">IF(C828="","",IFERROR(INDEX(Produk!$J$2:$J$100,MATCH(C828,Produk!$A$2:$A$100,0)),"PRODUK?"))</f>
        <v/>
      </c>
      <c r="G828" s="29" t="str">
        <f aca="false">IF(A828="","",IF(COUNTIF(Anggota!$A$2:$A$2001,A828)=0,"TIDAK ADA","OK"))</f>
        <v/>
      </c>
    </row>
    <row r="829" customFormat="false" ht="15" hidden="false" customHeight="false" outlineLevel="0" collapsed="false">
      <c r="A829" s="21"/>
      <c r="B829" s="22"/>
      <c r="C829" s="21"/>
      <c r="D829" s="24"/>
      <c r="E829" s="22"/>
      <c r="F829" s="29" t="str">
        <f aca="false">IF(C829="","",IFERROR(INDEX(Produk!$J$2:$J$100,MATCH(C829,Produk!$A$2:$A$100,0)),"PRODUK?"))</f>
        <v/>
      </c>
      <c r="G829" s="29" t="str">
        <f aca="false">IF(A829="","",IF(COUNTIF(Anggota!$A$2:$A$2001,A829)=0,"TIDAK ADA","OK"))</f>
        <v/>
      </c>
    </row>
    <row r="830" customFormat="false" ht="15" hidden="false" customHeight="false" outlineLevel="0" collapsed="false">
      <c r="A830" s="21"/>
      <c r="B830" s="22"/>
      <c r="C830" s="21"/>
      <c r="D830" s="24"/>
      <c r="E830" s="22"/>
      <c r="F830" s="29" t="str">
        <f aca="false">IF(C830="","",IFERROR(INDEX(Produk!$J$2:$J$100,MATCH(C830,Produk!$A$2:$A$100,0)),"PRODUK?"))</f>
        <v/>
      </c>
      <c r="G830" s="29" t="str">
        <f aca="false">IF(A830="","",IF(COUNTIF(Anggota!$A$2:$A$2001,A830)=0,"TIDAK ADA","OK"))</f>
        <v/>
      </c>
    </row>
    <row r="831" customFormat="false" ht="15" hidden="false" customHeight="false" outlineLevel="0" collapsed="false">
      <c r="A831" s="21"/>
      <c r="B831" s="22"/>
      <c r="C831" s="21"/>
      <c r="D831" s="24"/>
      <c r="E831" s="22"/>
      <c r="F831" s="29" t="str">
        <f aca="false">IF(C831="","",IFERROR(INDEX(Produk!$J$2:$J$100,MATCH(C831,Produk!$A$2:$A$100,0)),"PRODUK?"))</f>
        <v/>
      </c>
      <c r="G831" s="29" t="str">
        <f aca="false">IF(A831="","",IF(COUNTIF(Anggota!$A$2:$A$2001,A831)=0,"TIDAK ADA","OK"))</f>
        <v/>
      </c>
    </row>
    <row r="832" customFormat="false" ht="15" hidden="false" customHeight="false" outlineLevel="0" collapsed="false">
      <c r="A832" s="21"/>
      <c r="B832" s="22"/>
      <c r="C832" s="21"/>
      <c r="D832" s="24"/>
      <c r="E832" s="22"/>
      <c r="F832" s="29" t="str">
        <f aca="false">IF(C832="","",IFERROR(INDEX(Produk!$J$2:$J$100,MATCH(C832,Produk!$A$2:$A$100,0)),"PRODUK?"))</f>
        <v/>
      </c>
      <c r="G832" s="29" t="str">
        <f aca="false">IF(A832="","",IF(COUNTIF(Anggota!$A$2:$A$2001,A832)=0,"TIDAK ADA","OK"))</f>
        <v/>
      </c>
    </row>
    <row r="833" customFormat="false" ht="15" hidden="false" customHeight="false" outlineLevel="0" collapsed="false">
      <c r="A833" s="21"/>
      <c r="B833" s="22"/>
      <c r="C833" s="21"/>
      <c r="D833" s="24"/>
      <c r="E833" s="22"/>
      <c r="F833" s="29" t="str">
        <f aca="false">IF(C833="","",IFERROR(INDEX(Produk!$J$2:$J$100,MATCH(C833,Produk!$A$2:$A$100,0)),"PRODUK?"))</f>
        <v/>
      </c>
      <c r="G833" s="29" t="str">
        <f aca="false">IF(A833="","",IF(COUNTIF(Anggota!$A$2:$A$2001,A833)=0,"TIDAK ADA","OK"))</f>
        <v/>
      </c>
    </row>
    <row r="834" customFormat="false" ht="15" hidden="false" customHeight="false" outlineLevel="0" collapsed="false">
      <c r="A834" s="21"/>
      <c r="B834" s="22"/>
      <c r="C834" s="21"/>
      <c r="D834" s="24"/>
      <c r="E834" s="22"/>
      <c r="F834" s="29" t="str">
        <f aca="false">IF(C834="","",IFERROR(INDEX(Produk!$J$2:$J$100,MATCH(C834,Produk!$A$2:$A$100,0)),"PRODUK?"))</f>
        <v/>
      </c>
      <c r="G834" s="29" t="str">
        <f aca="false">IF(A834="","",IF(COUNTIF(Anggota!$A$2:$A$2001,A834)=0,"TIDAK ADA","OK"))</f>
        <v/>
      </c>
    </row>
    <row r="835" customFormat="false" ht="15" hidden="false" customHeight="false" outlineLevel="0" collapsed="false">
      <c r="A835" s="21"/>
      <c r="B835" s="22"/>
      <c r="C835" s="21"/>
      <c r="D835" s="24"/>
      <c r="E835" s="22"/>
      <c r="F835" s="29" t="str">
        <f aca="false">IF(C835="","",IFERROR(INDEX(Produk!$J$2:$J$100,MATCH(C835,Produk!$A$2:$A$100,0)),"PRODUK?"))</f>
        <v/>
      </c>
      <c r="G835" s="29" t="str">
        <f aca="false">IF(A835="","",IF(COUNTIF(Anggota!$A$2:$A$2001,A835)=0,"TIDAK ADA","OK"))</f>
        <v/>
      </c>
    </row>
    <row r="836" customFormat="false" ht="15" hidden="false" customHeight="false" outlineLevel="0" collapsed="false">
      <c r="A836" s="21"/>
      <c r="B836" s="22"/>
      <c r="C836" s="21"/>
      <c r="D836" s="24"/>
      <c r="E836" s="22"/>
      <c r="F836" s="29" t="str">
        <f aca="false">IF(C836="","",IFERROR(INDEX(Produk!$J$2:$J$100,MATCH(C836,Produk!$A$2:$A$100,0)),"PRODUK?"))</f>
        <v/>
      </c>
      <c r="G836" s="29" t="str">
        <f aca="false">IF(A836="","",IF(COUNTIF(Anggota!$A$2:$A$2001,A836)=0,"TIDAK ADA","OK"))</f>
        <v/>
      </c>
    </row>
    <row r="837" customFormat="false" ht="15" hidden="false" customHeight="false" outlineLevel="0" collapsed="false">
      <c r="A837" s="21"/>
      <c r="B837" s="22"/>
      <c r="C837" s="21"/>
      <c r="D837" s="24"/>
      <c r="E837" s="22"/>
      <c r="F837" s="29" t="str">
        <f aca="false">IF(C837="","",IFERROR(INDEX(Produk!$J$2:$J$100,MATCH(C837,Produk!$A$2:$A$100,0)),"PRODUK?"))</f>
        <v/>
      </c>
      <c r="G837" s="29" t="str">
        <f aca="false">IF(A837="","",IF(COUNTIF(Anggota!$A$2:$A$2001,A837)=0,"TIDAK ADA","OK"))</f>
        <v/>
      </c>
    </row>
    <row r="838" customFormat="false" ht="15" hidden="false" customHeight="false" outlineLevel="0" collapsed="false">
      <c r="A838" s="21"/>
      <c r="B838" s="22"/>
      <c r="C838" s="21"/>
      <c r="D838" s="24"/>
      <c r="E838" s="22"/>
      <c r="F838" s="29" t="str">
        <f aca="false">IF(C838="","",IFERROR(INDEX(Produk!$J$2:$J$100,MATCH(C838,Produk!$A$2:$A$100,0)),"PRODUK?"))</f>
        <v/>
      </c>
      <c r="G838" s="29" t="str">
        <f aca="false">IF(A838="","",IF(COUNTIF(Anggota!$A$2:$A$2001,A838)=0,"TIDAK ADA","OK"))</f>
        <v/>
      </c>
    </row>
    <row r="839" customFormat="false" ht="15" hidden="false" customHeight="false" outlineLevel="0" collapsed="false">
      <c r="A839" s="21"/>
      <c r="B839" s="22"/>
      <c r="C839" s="21"/>
      <c r="D839" s="24"/>
      <c r="E839" s="22"/>
      <c r="F839" s="29" t="str">
        <f aca="false">IF(C839="","",IFERROR(INDEX(Produk!$J$2:$J$100,MATCH(C839,Produk!$A$2:$A$100,0)),"PRODUK?"))</f>
        <v/>
      </c>
      <c r="G839" s="29" t="str">
        <f aca="false">IF(A839="","",IF(COUNTIF(Anggota!$A$2:$A$2001,A839)=0,"TIDAK ADA","OK"))</f>
        <v/>
      </c>
    </row>
    <row r="840" customFormat="false" ht="15" hidden="false" customHeight="false" outlineLevel="0" collapsed="false">
      <c r="A840" s="21"/>
      <c r="B840" s="22"/>
      <c r="C840" s="21"/>
      <c r="D840" s="24"/>
      <c r="E840" s="22"/>
      <c r="F840" s="29" t="str">
        <f aca="false">IF(C840="","",IFERROR(INDEX(Produk!$J$2:$J$100,MATCH(C840,Produk!$A$2:$A$100,0)),"PRODUK?"))</f>
        <v/>
      </c>
      <c r="G840" s="29" t="str">
        <f aca="false">IF(A840="","",IF(COUNTIF(Anggota!$A$2:$A$2001,A840)=0,"TIDAK ADA","OK"))</f>
        <v/>
      </c>
    </row>
    <row r="841" customFormat="false" ht="15" hidden="false" customHeight="false" outlineLevel="0" collapsed="false">
      <c r="A841" s="21"/>
      <c r="B841" s="22"/>
      <c r="C841" s="21"/>
      <c r="D841" s="24"/>
      <c r="E841" s="22"/>
      <c r="F841" s="29" t="str">
        <f aca="false">IF(C841="","",IFERROR(INDEX(Produk!$J$2:$J$100,MATCH(C841,Produk!$A$2:$A$100,0)),"PRODUK?"))</f>
        <v/>
      </c>
      <c r="G841" s="29" t="str">
        <f aca="false">IF(A841="","",IF(COUNTIF(Anggota!$A$2:$A$2001,A841)=0,"TIDAK ADA","OK"))</f>
        <v/>
      </c>
    </row>
    <row r="842" customFormat="false" ht="15" hidden="false" customHeight="false" outlineLevel="0" collapsed="false">
      <c r="A842" s="21"/>
      <c r="B842" s="22"/>
      <c r="C842" s="21"/>
      <c r="D842" s="24"/>
      <c r="E842" s="22"/>
      <c r="F842" s="29" t="str">
        <f aca="false">IF(C842="","",IFERROR(INDEX(Produk!$J$2:$J$100,MATCH(C842,Produk!$A$2:$A$100,0)),"PRODUK?"))</f>
        <v/>
      </c>
      <c r="G842" s="29" t="str">
        <f aca="false">IF(A842="","",IF(COUNTIF(Anggota!$A$2:$A$2001,A842)=0,"TIDAK ADA","OK"))</f>
        <v/>
      </c>
    </row>
    <row r="843" customFormat="false" ht="15" hidden="false" customHeight="false" outlineLevel="0" collapsed="false">
      <c r="A843" s="21"/>
      <c r="B843" s="22"/>
      <c r="C843" s="21"/>
      <c r="D843" s="24"/>
      <c r="E843" s="22"/>
      <c r="F843" s="29" t="str">
        <f aca="false">IF(C843="","",IFERROR(INDEX(Produk!$J$2:$J$100,MATCH(C843,Produk!$A$2:$A$100,0)),"PRODUK?"))</f>
        <v/>
      </c>
      <c r="G843" s="29" t="str">
        <f aca="false">IF(A843="","",IF(COUNTIF(Anggota!$A$2:$A$2001,A843)=0,"TIDAK ADA","OK"))</f>
        <v/>
      </c>
    </row>
    <row r="844" customFormat="false" ht="15" hidden="false" customHeight="false" outlineLevel="0" collapsed="false">
      <c r="A844" s="21"/>
      <c r="B844" s="22"/>
      <c r="C844" s="21"/>
      <c r="D844" s="24"/>
      <c r="E844" s="22"/>
      <c r="F844" s="29" t="str">
        <f aca="false">IF(C844="","",IFERROR(INDEX(Produk!$J$2:$J$100,MATCH(C844,Produk!$A$2:$A$100,0)),"PRODUK?"))</f>
        <v/>
      </c>
      <c r="G844" s="29" t="str">
        <f aca="false">IF(A844="","",IF(COUNTIF(Anggota!$A$2:$A$2001,A844)=0,"TIDAK ADA","OK"))</f>
        <v/>
      </c>
    </row>
    <row r="845" customFormat="false" ht="15" hidden="false" customHeight="false" outlineLevel="0" collapsed="false">
      <c r="A845" s="21"/>
      <c r="B845" s="22"/>
      <c r="C845" s="21"/>
      <c r="D845" s="24"/>
      <c r="E845" s="22"/>
      <c r="F845" s="29" t="str">
        <f aca="false">IF(C845="","",IFERROR(INDEX(Produk!$J$2:$J$100,MATCH(C845,Produk!$A$2:$A$100,0)),"PRODUK?"))</f>
        <v/>
      </c>
      <c r="G845" s="29" t="str">
        <f aca="false">IF(A845="","",IF(COUNTIF(Anggota!$A$2:$A$2001,A845)=0,"TIDAK ADA","OK"))</f>
        <v/>
      </c>
    </row>
    <row r="846" customFormat="false" ht="15" hidden="false" customHeight="false" outlineLevel="0" collapsed="false">
      <c r="A846" s="21"/>
      <c r="B846" s="22"/>
      <c r="C846" s="21"/>
      <c r="D846" s="24"/>
      <c r="E846" s="22"/>
      <c r="F846" s="29" t="str">
        <f aca="false">IF(C846="","",IFERROR(INDEX(Produk!$J$2:$J$100,MATCH(C846,Produk!$A$2:$A$100,0)),"PRODUK?"))</f>
        <v/>
      </c>
      <c r="G846" s="29" t="str">
        <f aca="false">IF(A846="","",IF(COUNTIF(Anggota!$A$2:$A$2001,A846)=0,"TIDAK ADA","OK"))</f>
        <v/>
      </c>
    </row>
    <row r="847" customFormat="false" ht="15" hidden="false" customHeight="false" outlineLevel="0" collapsed="false">
      <c r="A847" s="21"/>
      <c r="B847" s="22"/>
      <c r="C847" s="21"/>
      <c r="D847" s="24"/>
      <c r="E847" s="22"/>
      <c r="F847" s="29" t="str">
        <f aca="false">IF(C847="","",IFERROR(INDEX(Produk!$J$2:$J$100,MATCH(C847,Produk!$A$2:$A$100,0)),"PRODUK?"))</f>
        <v/>
      </c>
      <c r="G847" s="29" t="str">
        <f aca="false">IF(A847="","",IF(COUNTIF(Anggota!$A$2:$A$2001,A847)=0,"TIDAK ADA","OK"))</f>
        <v/>
      </c>
    </row>
    <row r="848" customFormat="false" ht="15" hidden="false" customHeight="false" outlineLevel="0" collapsed="false">
      <c r="A848" s="21"/>
      <c r="B848" s="22"/>
      <c r="C848" s="21"/>
      <c r="D848" s="24"/>
      <c r="E848" s="22"/>
      <c r="F848" s="29" t="str">
        <f aca="false">IF(C848="","",IFERROR(INDEX(Produk!$J$2:$J$100,MATCH(C848,Produk!$A$2:$A$100,0)),"PRODUK?"))</f>
        <v/>
      </c>
      <c r="G848" s="29" t="str">
        <f aca="false">IF(A848="","",IF(COUNTIF(Anggota!$A$2:$A$2001,A848)=0,"TIDAK ADA","OK"))</f>
        <v/>
      </c>
    </row>
    <row r="849" customFormat="false" ht="15" hidden="false" customHeight="false" outlineLevel="0" collapsed="false">
      <c r="A849" s="21"/>
      <c r="B849" s="22"/>
      <c r="C849" s="21"/>
      <c r="D849" s="24"/>
      <c r="E849" s="22"/>
      <c r="F849" s="29" t="str">
        <f aca="false">IF(C849="","",IFERROR(INDEX(Produk!$J$2:$J$100,MATCH(C849,Produk!$A$2:$A$100,0)),"PRODUK?"))</f>
        <v/>
      </c>
      <c r="G849" s="29" t="str">
        <f aca="false">IF(A849="","",IF(COUNTIF(Anggota!$A$2:$A$2001,A849)=0,"TIDAK ADA","OK"))</f>
        <v/>
      </c>
    </row>
    <row r="850" customFormat="false" ht="15" hidden="false" customHeight="false" outlineLevel="0" collapsed="false">
      <c r="A850" s="21"/>
      <c r="B850" s="22"/>
      <c r="C850" s="21"/>
      <c r="D850" s="24"/>
      <c r="E850" s="22"/>
      <c r="F850" s="29" t="str">
        <f aca="false">IF(C850="","",IFERROR(INDEX(Produk!$J$2:$J$100,MATCH(C850,Produk!$A$2:$A$100,0)),"PRODUK?"))</f>
        <v/>
      </c>
      <c r="G850" s="29" t="str">
        <f aca="false">IF(A850="","",IF(COUNTIF(Anggota!$A$2:$A$2001,A850)=0,"TIDAK ADA","OK"))</f>
        <v/>
      </c>
    </row>
    <row r="851" customFormat="false" ht="15" hidden="false" customHeight="false" outlineLevel="0" collapsed="false">
      <c r="A851" s="21"/>
      <c r="B851" s="22"/>
      <c r="C851" s="21"/>
      <c r="D851" s="24"/>
      <c r="E851" s="22"/>
      <c r="F851" s="29" t="str">
        <f aca="false">IF(C851="","",IFERROR(INDEX(Produk!$J$2:$J$100,MATCH(C851,Produk!$A$2:$A$100,0)),"PRODUK?"))</f>
        <v/>
      </c>
      <c r="G851" s="29" t="str">
        <f aca="false">IF(A851="","",IF(COUNTIF(Anggota!$A$2:$A$2001,A851)=0,"TIDAK ADA","OK"))</f>
        <v/>
      </c>
    </row>
    <row r="852" customFormat="false" ht="15" hidden="false" customHeight="false" outlineLevel="0" collapsed="false">
      <c r="A852" s="21"/>
      <c r="B852" s="22"/>
      <c r="C852" s="21"/>
      <c r="D852" s="24"/>
      <c r="E852" s="22"/>
      <c r="F852" s="29" t="str">
        <f aca="false">IF(C852="","",IFERROR(INDEX(Produk!$J$2:$J$100,MATCH(C852,Produk!$A$2:$A$100,0)),"PRODUK?"))</f>
        <v/>
      </c>
      <c r="G852" s="29" t="str">
        <f aca="false">IF(A852="","",IF(COUNTIF(Anggota!$A$2:$A$2001,A852)=0,"TIDAK ADA","OK"))</f>
        <v/>
      </c>
    </row>
    <row r="853" customFormat="false" ht="15" hidden="false" customHeight="false" outlineLevel="0" collapsed="false">
      <c r="A853" s="21"/>
      <c r="B853" s="22"/>
      <c r="C853" s="21"/>
      <c r="D853" s="24"/>
      <c r="E853" s="22"/>
      <c r="F853" s="29" t="str">
        <f aca="false">IF(C853="","",IFERROR(INDEX(Produk!$J$2:$J$100,MATCH(C853,Produk!$A$2:$A$100,0)),"PRODUK?"))</f>
        <v/>
      </c>
      <c r="G853" s="29" t="str">
        <f aca="false">IF(A853="","",IF(COUNTIF(Anggota!$A$2:$A$2001,A853)=0,"TIDAK ADA","OK"))</f>
        <v/>
      </c>
    </row>
    <row r="854" customFormat="false" ht="15" hidden="false" customHeight="false" outlineLevel="0" collapsed="false">
      <c r="A854" s="21"/>
      <c r="B854" s="22"/>
      <c r="C854" s="21"/>
      <c r="D854" s="24"/>
      <c r="E854" s="22"/>
      <c r="F854" s="29" t="str">
        <f aca="false">IF(C854="","",IFERROR(INDEX(Produk!$J$2:$J$100,MATCH(C854,Produk!$A$2:$A$100,0)),"PRODUK?"))</f>
        <v/>
      </c>
      <c r="G854" s="29" t="str">
        <f aca="false">IF(A854="","",IF(COUNTIF(Anggota!$A$2:$A$2001,A854)=0,"TIDAK ADA","OK"))</f>
        <v/>
      </c>
    </row>
    <row r="855" customFormat="false" ht="15" hidden="false" customHeight="false" outlineLevel="0" collapsed="false">
      <c r="A855" s="21"/>
      <c r="B855" s="22"/>
      <c r="C855" s="21"/>
      <c r="D855" s="24"/>
      <c r="E855" s="22"/>
      <c r="F855" s="29" t="str">
        <f aca="false">IF(C855="","",IFERROR(INDEX(Produk!$J$2:$J$100,MATCH(C855,Produk!$A$2:$A$100,0)),"PRODUK?"))</f>
        <v/>
      </c>
      <c r="G855" s="29" t="str">
        <f aca="false">IF(A855="","",IF(COUNTIF(Anggota!$A$2:$A$2001,A855)=0,"TIDAK ADA","OK"))</f>
        <v/>
      </c>
    </row>
    <row r="856" customFormat="false" ht="15" hidden="false" customHeight="false" outlineLevel="0" collapsed="false">
      <c r="A856" s="21"/>
      <c r="B856" s="22"/>
      <c r="C856" s="21"/>
      <c r="D856" s="24"/>
      <c r="E856" s="22"/>
      <c r="F856" s="29" t="str">
        <f aca="false">IF(C856="","",IFERROR(INDEX(Produk!$J$2:$J$100,MATCH(C856,Produk!$A$2:$A$100,0)),"PRODUK?"))</f>
        <v/>
      </c>
      <c r="G856" s="29" t="str">
        <f aca="false">IF(A856="","",IF(COUNTIF(Anggota!$A$2:$A$2001,A856)=0,"TIDAK ADA","OK"))</f>
        <v/>
      </c>
    </row>
    <row r="857" customFormat="false" ht="15" hidden="false" customHeight="false" outlineLevel="0" collapsed="false">
      <c r="A857" s="21"/>
      <c r="B857" s="22"/>
      <c r="C857" s="21"/>
      <c r="D857" s="24"/>
      <c r="E857" s="22"/>
      <c r="F857" s="29" t="str">
        <f aca="false">IF(C857="","",IFERROR(INDEX(Produk!$J$2:$J$100,MATCH(C857,Produk!$A$2:$A$100,0)),"PRODUK?"))</f>
        <v/>
      </c>
      <c r="G857" s="29" t="str">
        <f aca="false">IF(A857="","",IF(COUNTIF(Anggota!$A$2:$A$2001,A857)=0,"TIDAK ADA","OK"))</f>
        <v/>
      </c>
    </row>
    <row r="858" customFormat="false" ht="15" hidden="false" customHeight="false" outlineLevel="0" collapsed="false">
      <c r="A858" s="21"/>
      <c r="B858" s="22"/>
      <c r="C858" s="21"/>
      <c r="D858" s="24"/>
      <c r="E858" s="22"/>
      <c r="F858" s="29" t="str">
        <f aca="false">IF(C858="","",IFERROR(INDEX(Produk!$J$2:$J$100,MATCH(C858,Produk!$A$2:$A$100,0)),"PRODUK?"))</f>
        <v/>
      </c>
      <c r="G858" s="29" t="str">
        <f aca="false">IF(A858="","",IF(COUNTIF(Anggota!$A$2:$A$2001,A858)=0,"TIDAK ADA","OK"))</f>
        <v/>
      </c>
    </row>
    <row r="859" customFormat="false" ht="15" hidden="false" customHeight="false" outlineLevel="0" collapsed="false">
      <c r="A859" s="21"/>
      <c r="B859" s="22"/>
      <c r="C859" s="21"/>
      <c r="D859" s="24"/>
      <c r="E859" s="22"/>
      <c r="F859" s="29" t="str">
        <f aca="false">IF(C859="","",IFERROR(INDEX(Produk!$J$2:$J$100,MATCH(C859,Produk!$A$2:$A$100,0)),"PRODUK?"))</f>
        <v/>
      </c>
      <c r="G859" s="29" t="str">
        <f aca="false">IF(A859="","",IF(COUNTIF(Anggota!$A$2:$A$2001,A859)=0,"TIDAK ADA","OK"))</f>
        <v/>
      </c>
    </row>
    <row r="860" customFormat="false" ht="15" hidden="false" customHeight="false" outlineLevel="0" collapsed="false">
      <c r="A860" s="21"/>
      <c r="B860" s="22"/>
      <c r="C860" s="21"/>
      <c r="D860" s="24"/>
      <c r="E860" s="22"/>
      <c r="F860" s="29" t="str">
        <f aca="false">IF(C860="","",IFERROR(INDEX(Produk!$J$2:$J$100,MATCH(C860,Produk!$A$2:$A$100,0)),"PRODUK?"))</f>
        <v/>
      </c>
      <c r="G860" s="29" t="str">
        <f aca="false">IF(A860="","",IF(COUNTIF(Anggota!$A$2:$A$2001,A860)=0,"TIDAK ADA","OK"))</f>
        <v/>
      </c>
    </row>
    <row r="861" customFormat="false" ht="15" hidden="false" customHeight="false" outlineLevel="0" collapsed="false">
      <c r="A861" s="21"/>
      <c r="B861" s="22"/>
      <c r="C861" s="21"/>
      <c r="D861" s="24"/>
      <c r="E861" s="22"/>
      <c r="F861" s="29" t="str">
        <f aca="false">IF(C861="","",IFERROR(INDEX(Produk!$J$2:$J$100,MATCH(C861,Produk!$A$2:$A$100,0)),"PRODUK?"))</f>
        <v/>
      </c>
      <c r="G861" s="29" t="str">
        <f aca="false">IF(A861="","",IF(COUNTIF(Anggota!$A$2:$A$2001,A861)=0,"TIDAK ADA","OK"))</f>
        <v/>
      </c>
    </row>
    <row r="862" customFormat="false" ht="15" hidden="false" customHeight="false" outlineLevel="0" collapsed="false">
      <c r="A862" s="21"/>
      <c r="B862" s="22"/>
      <c r="C862" s="21"/>
      <c r="D862" s="24"/>
      <c r="E862" s="22"/>
      <c r="F862" s="29" t="str">
        <f aca="false">IF(C862="","",IFERROR(INDEX(Produk!$J$2:$J$100,MATCH(C862,Produk!$A$2:$A$100,0)),"PRODUK?"))</f>
        <v/>
      </c>
      <c r="G862" s="29" t="str">
        <f aca="false">IF(A862="","",IF(COUNTIF(Anggota!$A$2:$A$2001,A862)=0,"TIDAK ADA","OK"))</f>
        <v/>
      </c>
    </row>
    <row r="863" customFormat="false" ht="15" hidden="false" customHeight="false" outlineLevel="0" collapsed="false">
      <c r="A863" s="21"/>
      <c r="B863" s="22"/>
      <c r="C863" s="21"/>
      <c r="D863" s="24"/>
      <c r="E863" s="22"/>
      <c r="F863" s="29" t="str">
        <f aca="false">IF(C863="","",IFERROR(INDEX(Produk!$J$2:$J$100,MATCH(C863,Produk!$A$2:$A$100,0)),"PRODUK?"))</f>
        <v/>
      </c>
      <c r="G863" s="29" t="str">
        <f aca="false">IF(A863="","",IF(COUNTIF(Anggota!$A$2:$A$2001,A863)=0,"TIDAK ADA","OK"))</f>
        <v/>
      </c>
    </row>
    <row r="864" customFormat="false" ht="15" hidden="false" customHeight="false" outlineLevel="0" collapsed="false">
      <c r="A864" s="21"/>
      <c r="B864" s="22"/>
      <c r="C864" s="21"/>
      <c r="D864" s="24"/>
      <c r="E864" s="22"/>
      <c r="F864" s="29" t="str">
        <f aca="false">IF(C864="","",IFERROR(INDEX(Produk!$J$2:$J$100,MATCH(C864,Produk!$A$2:$A$100,0)),"PRODUK?"))</f>
        <v/>
      </c>
      <c r="G864" s="29" t="str">
        <f aca="false">IF(A864="","",IF(COUNTIF(Anggota!$A$2:$A$2001,A864)=0,"TIDAK ADA","OK"))</f>
        <v/>
      </c>
    </row>
    <row r="865" customFormat="false" ht="15" hidden="false" customHeight="false" outlineLevel="0" collapsed="false">
      <c r="A865" s="21"/>
      <c r="B865" s="22"/>
      <c r="C865" s="21"/>
      <c r="D865" s="24"/>
      <c r="E865" s="22"/>
      <c r="F865" s="29" t="str">
        <f aca="false">IF(C865="","",IFERROR(INDEX(Produk!$J$2:$J$100,MATCH(C865,Produk!$A$2:$A$100,0)),"PRODUK?"))</f>
        <v/>
      </c>
      <c r="G865" s="29" t="str">
        <f aca="false">IF(A865="","",IF(COUNTIF(Anggota!$A$2:$A$2001,A865)=0,"TIDAK ADA","OK"))</f>
        <v/>
      </c>
    </row>
    <row r="866" customFormat="false" ht="15" hidden="false" customHeight="false" outlineLevel="0" collapsed="false">
      <c r="A866" s="21"/>
      <c r="B866" s="22"/>
      <c r="C866" s="21"/>
      <c r="D866" s="24"/>
      <c r="E866" s="22"/>
      <c r="F866" s="29" t="str">
        <f aca="false">IF(C866="","",IFERROR(INDEX(Produk!$J$2:$J$100,MATCH(C866,Produk!$A$2:$A$100,0)),"PRODUK?"))</f>
        <v/>
      </c>
      <c r="G866" s="29" t="str">
        <f aca="false">IF(A866="","",IF(COUNTIF(Anggota!$A$2:$A$2001,A866)=0,"TIDAK ADA","OK"))</f>
        <v/>
      </c>
    </row>
    <row r="867" customFormat="false" ht="15" hidden="false" customHeight="false" outlineLevel="0" collapsed="false">
      <c r="A867" s="21"/>
      <c r="B867" s="22"/>
      <c r="C867" s="21"/>
      <c r="D867" s="24"/>
      <c r="E867" s="22"/>
      <c r="F867" s="29" t="str">
        <f aca="false">IF(C867="","",IFERROR(INDEX(Produk!$J$2:$J$100,MATCH(C867,Produk!$A$2:$A$100,0)),"PRODUK?"))</f>
        <v/>
      </c>
      <c r="G867" s="29" t="str">
        <f aca="false">IF(A867="","",IF(COUNTIF(Anggota!$A$2:$A$2001,A867)=0,"TIDAK ADA","OK"))</f>
        <v/>
      </c>
    </row>
    <row r="868" customFormat="false" ht="15" hidden="false" customHeight="false" outlineLevel="0" collapsed="false">
      <c r="A868" s="21"/>
      <c r="B868" s="22"/>
      <c r="C868" s="21"/>
      <c r="D868" s="24"/>
      <c r="E868" s="22"/>
      <c r="F868" s="29" t="str">
        <f aca="false">IF(C868="","",IFERROR(INDEX(Produk!$J$2:$J$100,MATCH(C868,Produk!$A$2:$A$100,0)),"PRODUK?"))</f>
        <v/>
      </c>
      <c r="G868" s="29" t="str">
        <f aca="false">IF(A868="","",IF(COUNTIF(Anggota!$A$2:$A$2001,A868)=0,"TIDAK ADA","OK"))</f>
        <v/>
      </c>
    </row>
    <row r="869" customFormat="false" ht="15" hidden="false" customHeight="false" outlineLevel="0" collapsed="false">
      <c r="A869" s="21"/>
      <c r="B869" s="22"/>
      <c r="C869" s="21"/>
      <c r="D869" s="24"/>
      <c r="E869" s="22"/>
      <c r="F869" s="29" t="str">
        <f aca="false">IF(C869="","",IFERROR(INDEX(Produk!$J$2:$J$100,MATCH(C869,Produk!$A$2:$A$100,0)),"PRODUK?"))</f>
        <v/>
      </c>
      <c r="G869" s="29" t="str">
        <f aca="false">IF(A869="","",IF(COUNTIF(Anggota!$A$2:$A$2001,A869)=0,"TIDAK ADA","OK"))</f>
        <v/>
      </c>
    </row>
    <row r="870" customFormat="false" ht="15" hidden="false" customHeight="false" outlineLevel="0" collapsed="false">
      <c r="A870" s="21"/>
      <c r="B870" s="22"/>
      <c r="C870" s="21"/>
      <c r="D870" s="24"/>
      <c r="E870" s="22"/>
      <c r="F870" s="29" t="str">
        <f aca="false">IF(C870="","",IFERROR(INDEX(Produk!$J$2:$J$100,MATCH(C870,Produk!$A$2:$A$100,0)),"PRODUK?"))</f>
        <v/>
      </c>
      <c r="G870" s="29" t="str">
        <f aca="false">IF(A870="","",IF(COUNTIF(Anggota!$A$2:$A$2001,A870)=0,"TIDAK ADA","OK"))</f>
        <v/>
      </c>
    </row>
    <row r="871" customFormat="false" ht="15" hidden="false" customHeight="false" outlineLevel="0" collapsed="false">
      <c r="A871" s="21"/>
      <c r="B871" s="22"/>
      <c r="C871" s="21"/>
      <c r="D871" s="24"/>
      <c r="E871" s="22"/>
      <c r="F871" s="29" t="str">
        <f aca="false">IF(C871="","",IFERROR(INDEX(Produk!$J$2:$J$100,MATCH(C871,Produk!$A$2:$A$100,0)),"PRODUK?"))</f>
        <v/>
      </c>
      <c r="G871" s="29" t="str">
        <f aca="false">IF(A871="","",IF(COUNTIF(Anggota!$A$2:$A$2001,A871)=0,"TIDAK ADA","OK"))</f>
        <v/>
      </c>
    </row>
    <row r="872" customFormat="false" ht="15" hidden="false" customHeight="false" outlineLevel="0" collapsed="false">
      <c r="A872" s="21"/>
      <c r="B872" s="22"/>
      <c r="C872" s="21"/>
      <c r="D872" s="24"/>
      <c r="E872" s="22"/>
      <c r="F872" s="29" t="str">
        <f aca="false">IF(C872="","",IFERROR(INDEX(Produk!$J$2:$J$100,MATCH(C872,Produk!$A$2:$A$100,0)),"PRODUK?"))</f>
        <v/>
      </c>
      <c r="G872" s="29" t="str">
        <f aca="false">IF(A872="","",IF(COUNTIF(Anggota!$A$2:$A$2001,A872)=0,"TIDAK ADA","OK"))</f>
        <v/>
      </c>
    </row>
    <row r="873" customFormat="false" ht="15" hidden="false" customHeight="false" outlineLevel="0" collapsed="false">
      <c r="A873" s="21"/>
      <c r="B873" s="22"/>
      <c r="C873" s="21"/>
      <c r="D873" s="24"/>
      <c r="E873" s="22"/>
      <c r="F873" s="29" t="str">
        <f aca="false">IF(C873="","",IFERROR(INDEX(Produk!$J$2:$J$100,MATCH(C873,Produk!$A$2:$A$100,0)),"PRODUK?"))</f>
        <v/>
      </c>
      <c r="G873" s="29" t="str">
        <f aca="false">IF(A873="","",IF(COUNTIF(Anggota!$A$2:$A$2001,A873)=0,"TIDAK ADA","OK"))</f>
        <v/>
      </c>
    </row>
    <row r="874" customFormat="false" ht="15" hidden="false" customHeight="false" outlineLevel="0" collapsed="false">
      <c r="A874" s="21"/>
      <c r="B874" s="22"/>
      <c r="C874" s="21"/>
      <c r="D874" s="24"/>
      <c r="E874" s="22"/>
      <c r="F874" s="29" t="str">
        <f aca="false">IF(C874="","",IFERROR(INDEX(Produk!$J$2:$J$100,MATCH(C874,Produk!$A$2:$A$100,0)),"PRODUK?"))</f>
        <v/>
      </c>
      <c r="G874" s="29" t="str">
        <f aca="false">IF(A874="","",IF(COUNTIF(Anggota!$A$2:$A$2001,A874)=0,"TIDAK ADA","OK"))</f>
        <v/>
      </c>
    </row>
    <row r="875" customFormat="false" ht="15" hidden="false" customHeight="false" outlineLevel="0" collapsed="false">
      <c r="A875" s="21"/>
      <c r="B875" s="22"/>
      <c r="C875" s="21"/>
      <c r="D875" s="24"/>
      <c r="E875" s="22"/>
      <c r="F875" s="29" t="str">
        <f aca="false">IF(C875="","",IFERROR(INDEX(Produk!$J$2:$J$100,MATCH(C875,Produk!$A$2:$A$100,0)),"PRODUK?"))</f>
        <v/>
      </c>
      <c r="G875" s="29" t="str">
        <f aca="false">IF(A875="","",IF(COUNTIF(Anggota!$A$2:$A$2001,A875)=0,"TIDAK ADA","OK"))</f>
        <v/>
      </c>
    </row>
    <row r="876" customFormat="false" ht="15" hidden="false" customHeight="false" outlineLevel="0" collapsed="false">
      <c r="A876" s="21"/>
      <c r="B876" s="22"/>
      <c r="C876" s="21"/>
      <c r="D876" s="24"/>
      <c r="E876" s="22"/>
      <c r="F876" s="29" t="str">
        <f aca="false">IF(C876="","",IFERROR(INDEX(Produk!$J$2:$J$100,MATCH(C876,Produk!$A$2:$A$100,0)),"PRODUK?"))</f>
        <v/>
      </c>
      <c r="G876" s="29" t="str">
        <f aca="false">IF(A876="","",IF(COUNTIF(Anggota!$A$2:$A$2001,A876)=0,"TIDAK ADA","OK"))</f>
        <v/>
      </c>
    </row>
    <row r="877" customFormat="false" ht="15" hidden="false" customHeight="false" outlineLevel="0" collapsed="false">
      <c r="A877" s="21"/>
      <c r="B877" s="22"/>
      <c r="C877" s="21"/>
      <c r="D877" s="24"/>
      <c r="E877" s="22"/>
      <c r="F877" s="29" t="str">
        <f aca="false">IF(C877="","",IFERROR(INDEX(Produk!$J$2:$J$100,MATCH(C877,Produk!$A$2:$A$100,0)),"PRODUK?"))</f>
        <v/>
      </c>
      <c r="G877" s="29" t="str">
        <f aca="false">IF(A877="","",IF(COUNTIF(Anggota!$A$2:$A$2001,A877)=0,"TIDAK ADA","OK"))</f>
        <v/>
      </c>
    </row>
    <row r="878" customFormat="false" ht="15" hidden="false" customHeight="false" outlineLevel="0" collapsed="false">
      <c r="A878" s="21"/>
      <c r="B878" s="22"/>
      <c r="C878" s="21"/>
      <c r="D878" s="24"/>
      <c r="E878" s="22"/>
      <c r="F878" s="29" t="str">
        <f aca="false">IF(C878="","",IFERROR(INDEX(Produk!$J$2:$J$100,MATCH(C878,Produk!$A$2:$A$100,0)),"PRODUK?"))</f>
        <v/>
      </c>
      <c r="G878" s="29" t="str">
        <f aca="false">IF(A878="","",IF(COUNTIF(Anggota!$A$2:$A$2001,A878)=0,"TIDAK ADA","OK"))</f>
        <v/>
      </c>
    </row>
    <row r="879" customFormat="false" ht="15" hidden="false" customHeight="false" outlineLevel="0" collapsed="false">
      <c r="A879" s="21"/>
      <c r="B879" s="22"/>
      <c r="C879" s="21"/>
      <c r="D879" s="24"/>
      <c r="E879" s="22"/>
      <c r="F879" s="29" t="str">
        <f aca="false">IF(C879="","",IFERROR(INDEX(Produk!$J$2:$J$100,MATCH(C879,Produk!$A$2:$A$100,0)),"PRODUK?"))</f>
        <v/>
      </c>
      <c r="G879" s="29" t="str">
        <f aca="false">IF(A879="","",IF(COUNTIF(Anggota!$A$2:$A$2001,A879)=0,"TIDAK ADA","OK"))</f>
        <v/>
      </c>
    </row>
    <row r="880" customFormat="false" ht="15" hidden="false" customHeight="false" outlineLevel="0" collapsed="false">
      <c r="A880" s="21"/>
      <c r="B880" s="22"/>
      <c r="C880" s="21"/>
      <c r="D880" s="24"/>
      <c r="E880" s="22"/>
      <c r="F880" s="29" t="str">
        <f aca="false">IF(C880="","",IFERROR(INDEX(Produk!$J$2:$J$100,MATCH(C880,Produk!$A$2:$A$100,0)),"PRODUK?"))</f>
        <v/>
      </c>
      <c r="G880" s="29" t="str">
        <f aca="false">IF(A880="","",IF(COUNTIF(Anggota!$A$2:$A$2001,A880)=0,"TIDAK ADA","OK"))</f>
        <v/>
      </c>
    </row>
    <row r="881" customFormat="false" ht="15" hidden="false" customHeight="false" outlineLevel="0" collapsed="false">
      <c r="A881" s="21"/>
      <c r="B881" s="22"/>
      <c r="C881" s="21"/>
      <c r="D881" s="24"/>
      <c r="E881" s="22"/>
      <c r="F881" s="29" t="str">
        <f aca="false">IF(C881="","",IFERROR(INDEX(Produk!$J$2:$J$100,MATCH(C881,Produk!$A$2:$A$100,0)),"PRODUK?"))</f>
        <v/>
      </c>
      <c r="G881" s="29" t="str">
        <f aca="false">IF(A881="","",IF(COUNTIF(Anggota!$A$2:$A$2001,A881)=0,"TIDAK ADA","OK"))</f>
        <v/>
      </c>
    </row>
    <row r="882" customFormat="false" ht="15" hidden="false" customHeight="false" outlineLevel="0" collapsed="false">
      <c r="A882" s="21"/>
      <c r="B882" s="22"/>
      <c r="C882" s="21"/>
      <c r="D882" s="24"/>
      <c r="E882" s="22"/>
      <c r="F882" s="29" t="str">
        <f aca="false">IF(C882="","",IFERROR(INDEX(Produk!$J$2:$J$100,MATCH(C882,Produk!$A$2:$A$100,0)),"PRODUK?"))</f>
        <v/>
      </c>
      <c r="G882" s="29" t="str">
        <f aca="false">IF(A882="","",IF(COUNTIF(Anggota!$A$2:$A$2001,A882)=0,"TIDAK ADA","OK"))</f>
        <v/>
      </c>
    </row>
    <row r="883" customFormat="false" ht="15" hidden="false" customHeight="false" outlineLevel="0" collapsed="false">
      <c r="A883" s="21"/>
      <c r="B883" s="22"/>
      <c r="C883" s="21"/>
      <c r="D883" s="24"/>
      <c r="E883" s="22"/>
      <c r="F883" s="29" t="str">
        <f aca="false">IF(C883="","",IFERROR(INDEX(Produk!$J$2:$J$100,MATCH(C883,Produk!$A$2:$A$100,0)),"PRODUK?"))</f>
        <v/>
      </c>
      <c r="G883" s="29" t="str">
        <f aca="false">IF(A883="","",IF(COUNTIF(Anggota!$A$2:$A$2001,A883)=0,"TIDAK ADA","OK"))</f>
        <v/>
      </c>
    </row>
    <row r="884" customFormat="false" ht="15" hidden="false" customHeight="false" outlineLevel="0" collapsed="false">
      <c r="A884" s="21"/>
      <c r="B884" s="22"/>
      <c r="C884" s="21"/>
      <c r="D884" s="24"/>
      <c r="E884" s="22"/>
      <c r="F884" s="29" t="str">
        <f aca="false">IF(C884="","",IFERROR(INDEX(Produk!$J$2:$J$100,MATCH(C884,Produk!$A$2:$A$100,0)),"PRODUK?"))</f>
        <v/>
      </c>
      <c r="G884" s="29" t="str">
        <f aca="false">IF(A884="","",IF(COUNTIF(Anggota!$A$2:$A$2001,A884)=0,"TIDAK ADA","OK"))</f>
        <v/>
      </c>
    </row>
    <row r="885" customFormat="false" ht="15" hidden="false" customHeight="false" outlineLevel="0" collapsed="false">
      <c r="A885" s="21"/>
      <c r="B885" s="22"/>
      <c r="C885" s="21"/>
      <c r="D885" s="24"/>
      <c r="E885" s="22"/>
      <c r="F885" s="29" t="str">
        <f aca="false">IF(C885="","",IFERROR(INDEX(Produk!$J$2:$J$100,MATCH(C885,Produk!$A$2:$A$100,0)),"PRODUK?"))</f>
        <v/>
      </c>
      <c r="G885" s="29" t="str">
        <f aca="false">IF(A885="","",IF(COUNTIF(Anggota!$A$2:$A$2001,A885)=0,"TIDAK ADA","OK"))</f>
        <v/>
      </c>
    </row>
    <row r="886" customFormat="false" ht="15" hidden="false" customHeight="false" outlineLevel="0" collapsed="false">
      <c r="A886" s="21"/>
      <c r="B886" s="22"/>
      <c r="C886" s="21"/>
      <c r="D886" s="24"/>
      <c r="E886" s="22"/>
      <c r="F886" s="29" t="str">
        <f aca="false">IF(C886="","",IFERROR(INDEX(Produk!$J$2:$J$100,MATCH(C886,Produk!$A$2:$A$100,0)),"PRODUK?"))</f>
        <v/>
      </c>
      <c r="G886" s="29" t="str">
        <f aca="false">IF(A886="","",IF(COUNTIF(Anggota!$A$2:$A$2001,A886)=0,"TIDAK ADA","OK"))</f>
        <v/>
      </c>
    </row>
    <row r="887" customFormat="false" ht="15" hidden="false" customHeight="false" outlineLevel="0" collapsed="false">
      <c r="A887" s="21"/>
      <c r="B887" s="22"/>
      <c r="C887" s="21"/>
      <c r="D887" s="24"/>
      <c r="E887" s="22"/>
      <c r="F887" s="29" t="str">
        <f aca="false">IF(C887="","",IFERROR(INDEX(Produk!$J$2:$J$100,MATCH(C887,Produk!$A$2:$A$100,0)),"PRODUK?"))</f>
        <v/>
      </c>
      <c r="G887" s="29" t="str">
        <f aca="false">IF(A887="","",IF(COUNTIF(Anggota!$A$2:$A$2001,A887)=0,"TIDAK ADA","OK"))</f>
        <v/>
      </c>
    </row>
    <row r="888" customFormat="false" ht="15" hidden="false" customHeight="false" outlineLevel="0" collapsed="false">
      <c r="A888" s="21"/>
      <c r="B888" s="22"/>
      <c r="C888" s="21"/>
      <c r="D888" s="24"/>
      <c r="E888" s="22"/>
      <c r="F888" s="29" t="str">
        <f aca="false">IF(C888="","",IFERROR(INDEX(Produk!$J$2:$J$100,MATCH(C888,Produk!$A$2:$A$100,0)),"PRODUK?"))</f>
        <v/>
      </c>
      <c r="G888" s="29" t="str">
        <f aca="false">IF(A888="","",IF(COUNTIF(Anggota!$A$2:$A$2001,A888)=0,"TIDAK ADA","OK"))</f>
        <v/>
      </c>
    </row>
    <row r="889" customFormat="false" ht="15" hidden="false" customHeight="false" outlineLevel="0" collapsed="false">
      <c r="A889" s="21"/>
      <c r="B889" s="22"/>
      <c r="C889" s="21"/>
      <c r="D889" s="24"/>
      <c r="E889" s="22"/>
      <c r="F889" s="29" t="str">
        <f aca="false">IF(C889="","",IFERROR(INDEX(Produk!$J$2:$J$100,MATCH(C889,Produk!$A$2:$A$100,0)),"PRODUK?"))</f>
        <v/>
      </c>
      <c r="G889" s="29" t="str">
        <f aca="false">IF(A889="","",IF(COUNTIF(Anggota!$A$2:$A$2001,A889)=0,"TIDAK ADA","OK"))</f>
        <v/>
      </c>
    </row>
    <row r="890" customFormat="false" ht="15" hidden="false" customHeight="false" outlineLevel="0" collapsed="false">
      <c r="A890" s="21"/>
      <c r="B890" s="22"/>
      <c r="C890" s="21"/>
      <c r="D890" s="24"/>
      <c r="E890" s="22"/>
      <c r="F890" s="29" t="str">
        <f aca="false">IF(C890="","",IFERROR(INDEX(Produk!$J$2:$J$100,MATCH(C890,Produk!$A$2:$A$100,0)),"PRODUK?"))</f>
        <v/>
      </c>
      <c r="G890" s="29" t="str">
        <f aca="false">IF(A890="","",IF(COUNTIF(Anggota!$A$2:$A$2001,A890)=0,"TIDAK ADA","OK"))</f>
        <v/>
      </c>
    </row>
    <row r="891" customFormat="false" ht="15" hidden="false" customHeight="false" outlineLevel="0" collapsed="false">
      <c r="A891" s="21"/>
      <c r="B891" s="22"/>
      <c r="C891" s="21"/>
      <c r="D891" s="24"/>
      <c r="E891" s="22"/>
      <c r="F891" s="29" t="str">
        <f aca="false">IF(C891="","",IFERROR(INDEX(Produk!$J$2:$J$100,MATCH(C891,Produk!$A$2:$A$100,0)),"PRODUK?"))</f>
        <v/>
      </c>
      <c r="G891" s="29" t="str">
        <f aca="false">IF(A891="","",IF(COUNTIF(Anggota!$A$2:$A$2001,A891)=0,"TIDAK ADA","OK"))</f>
        <v/>
      </c>
    </row>
    <row r="892" customFormat="false" ht="15" hidden="false" customHeight="false" outlineLevel="0" collapsed="false">
      <c r="A892" s="21"/>
      <c r="B892" s="22"/>
      <c r="C892" s="21"/>
      <c r="D892" s="24"/>
      <c r="E892" s="22"/>
      <c r="F892" s="29" t="str">
        <f aca="false">IF(C892="","",IFERROR(INDEX(Produk!$J$2:$J$100,MATCH(C892,Produk!$A$2:$A$100,0)),"PRODUK?"))</f>
        <v/>
      </c>
      <c r="G892" s="29" t="str">
        <f aca="false">IF(A892="","",IF(COUNTIF(Anggota!$A$2:$A$2001,A892)=0,"TIDAK ADA","OK"))</f>
        <v/>
      </c>
    </row>
    <row r="893" customFormat="false" ht="15" hidden="false" customHeight="false" outlineLevel="0" collapsed="false">
      <c r="A893" s="21"/>
      <c r="B893" s="22"/>
      <c r="C893" s="21"/>
      <c r="D893" s="24"/>
      <c r="E893" s="22"/>
      <c r="F893" s="29" t="str">
        <f aca="false">IF(C893="","",IFERROR(INDEX(Produk!$J$2:$J$100,MATCH(C893,Produk!$A$2:$A$100,0)),"PRODUK?"))</f>
        <v/>
      </c>
      <c r="G893" s="29" t="str">
        <f aca="false">IF(A893="","",IF(COUNTIF(Anggota!$A$2:$A$2001,A893)=0,"TIDAK ADA","OK"))</f>
        <v/>
      </c>
    </row>
    <row r="894" customFormat="false" ht="15" hidden="false" customHeight="false" outlineLevel="0" collapsed="false">
      <c r="A894" s="21"/>
      <c r="B894" s="22"/>
      <c r="C894" s="21"/>
      <c r="D894" s="24"/>
      <c r="E894" s="22"/>
      <c r="F894" s="29" t="str">
        <f aca="false">IF(C894="","",IFERROR(INDEX(Produk!$J$2:$J$100,MATCH(C894,Produk!$A$2:$A$100,0)),"PRODUK?"))</f>
        <v/>
      </c>
      <c r="G894" s="29" t="str">
        <f aca="false">IF(A894="","",IF(COUNTIF(Anggota!$A$2:$A$2001,A894)=0,"TIDAK ADA","OK"))</f>
        <v/>
      </c>
    </row>
    <row r="895" customFormat="false" ht="15" hidden="false" customHeight="false" outlineLevel="0" collapsed="false">
      <c r="A895" s="21"/>
      <c r="B895" s="22"/>
      <c r="C895" s="21"/>
      <c r="D895" s="24"/>
      <c r="E895" s="22"/>
      <c r="F895" s="29" t="str">
        <f aca="false">IF(C895="","",IFERROR(INDEX(Produk!$J$2:$J$100,MATCH(C895,Produk!$A$2:$A$100,0)),"PRODUK?"))</f>
        <v/>
      </c>
      <c r="G895" s="29" t="str">
        <f aca="false">IF(A895="","",IF(COUNTIF(Anggota!$A$2:$A$2001,A895)=0,"TIDAK ADA","OK"))</f>
        <v/>
      </c>
    </row>
    <row r="896" customFormat="false" ht="15" hidden="false" customHeight="false" outlineLevel="0" collapsed="false">
      <c r="A896" s="21"/>
      <c r="B896" s="22"/>
      <c r="C896" s="21"/>
      <c r="D896" s="24"/>
      <c r="E896" s="22"/>
      <c r="F896" s="29" t="str">
        <f aca="false">IF(C896="","",IFERROR(INDEX(Produk!$J$2:$J$100,MATCH(C896,Produk!$A$2:$A$100,0)),"PRODUK?"))</f>
        <v/>
      </c>
      <c r="G896" s="29" t="str">
        <f aca="false">IF(A896="","",IF(COUNTIF(Anggota!$A$2:$A$2001,A896)=0,"TIDAK ADA","OK"))</f>
        <v/>
      </c>
    </row>
    <row r="897" customFormat="false" ht="15" hidden="false" customHeight="false" outlineLevel="0" collapsed="false">
      <c r="A897" s="21"/>
      <c r="B897" s="22"/>
      <c r="C897" s="21"/>
      <c r="D897" s="24"/>
      <c r="E897" s="22"/>
      <c r="F897" s="29" t="str">
        <f aca="false">IF(C897="","",IFERROR(INDEX(Produk!$J$2:$J$100,MATCH(C897,Produk!$A$2:$A$100,0)),"PRODUK?"))</f>
        <v/>
      </c>
      <c r="G897" s="29" t="str">
        <f aca="false">IF(A897="","",IF(COUNTIF(Anggota!$A$2:$A$2001,A897)=0,"TIDAK ADA","OK"))</f>
        <v/>
      </c>
    </row>
    <row r="898" customFormat="false" ht="15" hidden="false" customHeight="false" outlineLevel="0" collapsed="false">
      <c r="A898" s="21"/>
      <c r="B898" s="22"/>
      <c r="C898" s="21"/>
      <c r="D898" s="24"/>
      <c r="E898" s="22"/>
      <c r="F898" s="29" t="str">
        <f aca="false">IF(C898="","",IFERROR(INDEX(Produk!$J$2:$J$100,MATCH(C898,Produk!$A$2:$A$100,0)),"PRODUK?"))</f>
        <v/>
      </c>
      <c r="G898" s="29" t="str">
        <f aca="false">IF(A898="","",IF(COUNTIF(Anggota!$A$2:$A$2001,A898)=0,"TIDAK ADA","OK"))</f>
        <v/>
      </c>
    </row>
    <row r="899" customFormat="false" ht="15" hidden="false" customHeight="false" outlineLevel="0" collapsed="false">
      <c r="A899" s="21"/>
      <c r="B899" s="22"/>
      <c r="C899" s="21"/>
      <c r="D899" s="24"/>
      <c r="E899" s="22"/>
      <c r="F899" s="29" t="str">
        <f aca="false">IF(C899="","",IFERROR(INDEX(Produk!$J$2:$J$100,MATCH(C899,Produk!$A$2:$A$100,0)),"PRODUK?"))</f>
        <v/>
      </c>
      <c r="G899" s="29" t="str">
        <f aca="false">IF(A899="","",IF(COUNTIF(Anggota!$A$2:$A$2001,A899)=0,"TIDAK ADA","OK"))</f>
        <v/>
      </c>
    </row>
    <row r="900" customFormat="false" ht="15" hidden="false" customHeight="false" outlineLevel="0" collapsed="false">
      <c r="A900" s="21"/>
      <c r="B900" s="22"/>
      <c r="C900" s="21"/>
      <c r="D900" s="24"/>
      <c r="E900" s="22"/>
      <c r="F900" s="29" t="str">
        <f aca="false">IF(C900="","",IFERROR(INDEX(Produk!$J$2:$J$100,MATCH(C900,Produk!$A$2:$A$100,0)),"PRODUK?"))</f>
        <v/>
      </c>
      <c r="G900" s="29" t="str">
        <f aca="false">IF(A900="","",IF(COUNTIF(Anggota!$A$2:$A$2001,A900)=0,"TIDAK ADA","OK"))</f>
        <v/>
      </c>
    </row>
    <row r="901" customFormat="false" ht="15" hidden="false" customHeight="false" outlineLevel="0" collapsed="false">
      <c r="A901" s="21"/>
      <c r="B901" s="22"/>
      <c r="C901" s="21"/>
      <c r="D901" s="24"/>
      <c r="E901" s="22"/>
      <c r="F901" s="29" t="str">
        <f aca="false">IF(C901="","",IFERROR(INDEX(Produk!$J$2:$J$100,MATCH(C901,Produk!$A$2:$A$100,0)),"PRODUK?"))</f>
        <v/>
      </c>
      <c r="G901" s="29" t="str">
        <f aca="false">IF(A901="","",IF(COUNTIF(Anggota!$A$2:$A$2001,A901)=0,"TIDAK ADA","OK"))</f>
        <v/>
      </c>
    </row>
    <row r="902" customFormat="false" ht="15" hidden="false" customHeight="false" outlineLevel="0" collapsed="false">
      <c r="A902" s="21"/>
      <c r="B902" s="22"/>
      <c r="C902" s="21"/>
      <c r="D902" s="24"/>
      <c r="E902" s="22"/>
      <c r="F902" s="29" t="str">
        <f aca="false">IF(C902="","",IFERROR(INDEX(Produk!$J$2:$J$100,MATCH(C902,Produk!$A$2:$A$100,0)),"PRODUK?"))</f>
        <v/>
      </c>
      <c r="G902" s="29" t="str">
        <f aca="false">IF(A902="","",IF(COUNTIF(Anggota!$A$2:$A$2001,A902)=0,"TIDAK ADA","OK"))</f>
        <v/>
      </c>
    </row>
    <row r="903" customFormat="false" ht="15" hidden="false" customHeight="false" outlineLevel="0" collapsed="false">
      <c r="A903" s="21"/>
      <c r="B903" s="22"/>
      <c r="C903" s="21"/>
      <c r="D903" s="24"/>
      <c r="E903" s="22"/>
      <c r="F903" s="29" t="str">
        <f aca="false">IF(C903="","",IFERROR(INDEX(Produk!$J$2:$J$100,MATCH(C903,Produk!$A$2:$A$100,0)),"PRODUK?"))</f>
        <v/>
      </c>
      <c r="G903" s="29" t="str">
        <f aca="false">IF(A903="","",IF(COUNTIF(Anggota!$A$2:$A$2001,A903)=0,"TIDAK ADA","OK"))</f>
        <v/>
      </c>
    </row>
    <row r="904" customFormat="false" ht="15" hidden="false" customHeight="false" outlineLevel="0" collapsed="false">
      <c r="A904" s="21"/>
      <c r="B904" s="22"/>
      <c r="C904" s="21"/>
      <c r="D904" s="24"/>
      <c r="E904" s="22"/>
      <c r="F904" s="29" t="str">
        <f aca="false">IF(C904="","",IFERROR(INDEX(Produk!$J$2:$J$100,MATCH(C904,Produk!$A$2:$A$100,0)),"PRODUK?"))</f>
        <v/>
      </c>
      <c r="G904" s="29" t="str">
        <f aca="false">IF(A904="","",IF(COUNTIF(Anggota!$A$2:$A$2001,A904)=0,"TIDAK ADA","OK"))</f>
        <v/>
      </c>
    </row>
    <row r="905" customFormat="false" ht="15" hidden="false" customHeight="false" outlineLevel="0" collapsed="false">
      <c r="A905" s="21"/>
      <c r="B905" s="22"/>
      <c r="C905" s="21"/>
      <c r="D905" s="24"/>
      <c r="E905" s="22"/>
      <c r="F905" s="29" t="str">
        <f aca="false">IF(C905="","",IFERROR(INDEX(Produk!$J$2:$J$100,MATCH(C905,Produk!$A$2:$A$100,0)),"PRODUK?"))</f>
        <v/>
      </c>
      <c r="G905" s="29" t="str">
        <f aca="false">IF(A905="","",IF(COUNTIF(Anggota!$A$2:$A$2001,A905)=0,"TIDAK ADA","OK"))</f>
        <v/>
      </c>
    </row>
    <row r="906" customFormat="false" ht="15" hidden="false" customHeight="false" outlineLevel="0" collapsed="false">
      <c r="A906" s="21"/>
      <c r="B906" s="22"/>
      <c r="C906" s="21"/>
      <c r="D906" s="24"/>
      <c r="E906" s="22"/>
      <c r="F906" s="29" t="str">
        <f aca="false">IF(C906="","",IFERROR(INDEX(Produk!$J$2:$J$100,MATCH(C906,Produk!$A$2:$A$100,0)),"PRODUK?"))</f>
        <v/>
      </c>
      <c r="G906" s="29" t="str">
        <f aca="false">IF(A906="","",IF(COUNTIF(Anggota!$A$2:$A$2001,A906)=0,"TIDAK ADA","OK"))</f>
        <v/>
      </c>
    </row>
    <row r="907" customFormat="false" ht="15" hidden="false" customHeight="false" outlineLevel="0" collapsed="false">
      <c r="A907" s="21"/>
      <c r="B907" s="22"/>
      <c r="C907" s="21"/>
      <c r="D907" s="24"/>
      <c r="E907" s="22"/>
      <c r="F907" s="29" t="str">
        <f aca="false">IF(C907="","",IFERROR(INDEX(Produk!$J$2:$J$100,MATCH(C907,Produk!$A$2:$A$100,0)),"PRODUK?"))</f>
        <v/>
      </c>
      <c r="G907" s="29" t="str">
        <f aca="false">IF(A907="","",IF(COUNTIF(Anggota!$A$2:$A$2001,A907)=0,"TIDAK ADA","OK"))</f>
        <v/>
      </c>
    </row>
    <row r="908" customFormat="false" ht="15" hidden="false" customHeight="false" outlineLevel="0" collapsed="false">
      <c r="A908" s="21"/>
      <c r="B908" s="22"/>
      <c r="C908" s="21"/>
      <c r="D908" s="24"/>
      <c r="E908" s="22"/>
      <c r="F908" s="29" t="str">
        <f aca="false">IF(C908="","",IFERROR(INDEX(Produk!$J$2:$J$100,MATCH(C908,Produk!$A$2:$A$100,0)),"PRODUK?"))</f>
        <v/>
      </c>
      <c r="G908" s="29" t="str">
        <f aca="false">IF(A908="","",IF(COUNTIF(Anggota!$A$2:$A$2001,A908)=0,"TIDAK ADA","OK"))</f>
        <v/>
      </c>
    </row>
    <row r="909" customFormat="false" ht="15" hidden="false" customHeight="false" outlineLevel="0" collapsed="false">
      <c r="A909" s="21"/>
      <c r="B909" s="22"/>
      <c r="C909" s="21"/>
      <c r="D909" s="24"/>
      <c r="E909" s="22"/>
      <c r="F909" s="29" t="str">
        <f aca="false">IF(C909="","",IFERROR(INDEX(Produk!$J$2:$J$100,MATCH(C909,Produk!$A$2:$A$100,0)),"PRODUK?"))</f>
        <v/>
      </c>
      <c r="G909" s="29" t="str">
        <f aca="false">IF(A909="","",IF(COUNTIF(Anggota!$A$2:$A$2001,A909)=0,"TIDAK ADA","OK"))</f>
        <v/>
      </c>
    </row>
    <row r="910" customFormat="false" ht="15" hidden="false" customHeight="false" outlineLevel="0" collapsed="false">
      <c r="A910" s="21"/>
      <c r="B910" s="22"/>
      <c r="C910" s="21"/>
      <c r="D910" s="24"/>
      <c r="E910" s="22"/>
      <c r="F910" s="29" t="str">
        <f aca="false">IF(C910="","",IFERROR(INDEX(Produk!$J$2:$J$100,MATCH(C910,Produk!$A$2:$A$100,0)),"PRODUK?"))</f>
        <v/>
      </c>
      <c r="G910" s="29" t="str">
        <f aca="false">IF(A910="","",IF(COUNTIF(Anggota!$A$2:$A$2001,A910)=0,"TIDAK ADA","OK"))</f>
        <v/>
      </c>
    </row>
    <row r="911" customFormat="false" ht="15" hidden="false" customHeight="false" outlineLevel="0" collapsed="false">
      <c r="A911" s="21"/>
      <c r="B911" s="22"/>
      <c r="C911" s="21"/>
      <c r="D911" s="24"/>
      <c r="E911" s="22"/>
      <c r="F911" s="29" t="str">
        <f aca="false">IF(C911="","",IFERROR(INDEX(Produk!$J$2:$J$100,MATCH(C911,Produk!$A$2:$A$100,0)),"PRODUK?"))</f>
        <v/>
      </c>
      <c r="G911" s="29" t="str">
        <f aca="false">IF(A911="","",IF(COUNTIF(Anggota!$A$2:$A$2001,A911)=0,"TIDAK ADA","OK"))</f>
        <v/>
      </c>
    </row>
    <row r="912" customFormat="false" ht="15" hidden="false" customHeight="false" outlineLevel="0" collapsed="false">
      <c r="A912" s="21"/>
      <c r="B912" s="22"/>
      <c r="C912" s="21"/>
      <c r="D912" s="24"/>
      <c r="E912" s="22"/>
      <c r="F912" s="29" t="str">
        <f aca="false">IF(C912="","",IFERROR(INDEX(Produk!$J$2:$J$100,MATCH(C912,Produk!$A$2:$A$100,0)),"PRODUK?"))</f>
        <v/>
      </c>
      <c r="G912" s="29" t="str">
        <f aca="false">IF(A912="","",IF(COUNTIF(Anggota!$A$2:$A$2001,A912)=0,"TIDAK ADA","OK"))</f>
        <v/>
      </c>
    </row>
    <row r="913" customFormat="false" ht="15" hidden="false" customHeight="false" outlineLevel="0" collapsed="false">
      <c r="A913" s="21"/>
      <c r="B913" s="22"/>
      <c r="C913" s="21"/>
      <c r="D913" s="24"/>
      <c r="E913" s="22"/>
      <c r="F913" s="29" t="str">
        <f aca="false">IF(C913="","",IFERROR(INDEX(Produk!$J$2:$J$100,MATCH(C913,Produk!$A$2:$A$100,0)),"PRODUK?"))</f>
        <v/>
      </c>
      <c r="G913" s="29" t="str">
        <f aca="false">IF(A913="","",IF(COUNTIF(Anggota!$A$2:$A$2001,A913)=0,"TIDAK ADA","OK"))</f>
        <v/>
      </c>
    </row>
    <row r="914" customFormat="false" ht="15" hidden="false" customHeight="false" outlineLevel="0" collapsed="false">
      <c r="A914" s="21"/>
      <c r="B914" s="22"/>
      <c r="C914" s="21"/>
      <c r="D914" s="24"/>
      <c r="E914" s="22"/>
      <c r="F914" s="29" t="str">
        <f aca="false">IF(C914="","",IFERROR(INDEX(Produk!$J$2:$J$100,MATCH(C914,Produk!$A$2:$A$100,0)),"PRODUK?"))</f>
        <v/>
      </c>
      <c r="G914" s="29" t="str">
        <f aca="false">IF(A914="","",IF(COUNTIF(Anggota!$A$2:$A$2001,A914)=0,"TIDAK ADA","OK"))</f>
        <v/>
      </c>
    </row>
    <row r="915" customFormat="false" ht="15" hidden="false" customHeight="false" outlineLevel="0" collapsed="false">
      <c r="A915" s="21"/>
      <c r="B915" s="22"/>
      <c r="C915" s="21"/>
      <c r="D915" s="24"/>
      <c r="E915" s="22"/>
      <c r="F915" s="29" t="str">
        <f aca="false">IF(C915="","",IFERROR(INDEX(Produk!$J$2:$J$100,MATCH(C915,Produk!$A$2:$A$100,0)),"PRODUK?"))</f>
        <v/>
      </c>
      <c r="G915" s="29" t="str">
        <f aca="false">IF(A915="","",IF(COUNTIF(Anggota!$A$2:$A$2001,A915)=0,"TIDAK ADA","OK"))</f>
        <v/>
      </c>
    </row>
    <row r="916" customFormat="false" ht="15" hidden="false" customHeight="false" outlineLevel="0" collapsed="false">
      <c r="A916" s="21"/>
      <c r="B916" s="22"/>
      <c r="C916" s="21"/>
      <c r="D916" s="24"/>
      <c r="E916" s="22"/>
      <c r="F916" s="29" t="str">
        <f aca="false">IF(C916="","",IFERROR(INDEX(Produk!$J$2:$J$100,MATCH(C916,Produk!$A$2:$A$100,0)),"PRODUK?"))</f>
        <v/>
      </c>
      <c r="G916" s="29" t="str">
        <f aca="false">IF(A916="","",IF(COUNTIF(Anggota!$A$2:$A$2001,A916)=0,"TIDAK ADA","OK"))</f>
        <v/>
      </c>
    </row>
    <row r="917" customFormat="false" ht="15" hidden="false" customHeight="false" outlineLevel="0" collapsed="false">
      <c r="A917" s="21"/>
      <c r="B917" s="22"/>
      <c r="C917" s="21"/>
      <c r="D917" s="24"/>
      <c r="E917" s="22"/>
      <c r="F917" s="29" t="str">
        <f aca="false">IF(C917="","",IFERROR(INDEX(Produk!$J$2:$J$100,MATCH(C917,Produk!$A$2:$A$100,0)),"PRODUK?"))</f>
        <v/>
      </c>
      <c r="G917" s="29" t="str">
        <f aca="false">IF(A917="","",IF(COUNTIF(Anggota!$A$2:$A$2001,A917)=0,"TIDAK ADA","OK"))</f>
        <v/>
      </c>
    </row>
    <row r="918" customFormat="false" ht="15" hidden="false" customHeight="false" outlineLevel="0" collapsed="false">
      <c r="A918" s="21"/>
      <c r="B918" s="22"/>
      <c r="C918" s="21"/>
      <c r="D918" s="24"/>
      <c r="E918" s="22"/>
      <c r="F918" s="29" t="str">
        <f aca="false">IF(C918="","",IFERROR(INDEX(Produk!$J$2:$J$100,MATCH(C918,Produk!$A$2:$A$100,0)),"PRODUK?"))</f>
        <v/>
      </c>
      <c r="G918" s="29" t="str">
        <f aca="false">IF(A918="","",IF(COUNTIF(Anggota!$A$2:$A$2001,A918)=0,"TIDAK ADA","OK"))</f>
        <v/>
      </c>
    </row>
    <row r="919" customFormat="false" ht="15" hidden="false" customHeight="false" outlineLevel="0" collapsed="false">
      <c r="A919" s="21"/>
      <c r="B919" s="22"/>
      <c r="C919" s="21"/>
      <c r="D919" s="24"/>
      <c r="E919" s="22"/>
      <c r="F919" s="29" t="str">
        <f aca="false">IF(C919="","",IFERROR(INDEX(Produk!$J$2:$J$100,MATCH(C919,Produk!$A$2:$A$100,0)),"PRODUK?"))</f>
        <v/>
      </c>
      <c r="G919" s="29" t="str">
        <f aca="false">IF(A919="","",IF(COUNTIF(Anggota!$A$2:$A$2001,A919)=0,"TIDAK ADA","OK"))</f>
        <v/>
      </c>
    </row>
    <row r="920" customFormat="false" ht="15" hidden="false" customHeight="false" outlineLevel="0" collapsed="false">
      <c r="A920" s="21"/>
      <c r="B920" s="22"/>
      <c r="C920" s="21"/>
      <c r="D920" s="24"/>
      <c r="E920" s="22"/>
      <c r="F920" s="29" t="str">
        <f aca="false">IF(C920="","",IFERROR(INDEX(Produk!$J$2:$J$100,MATCH(C920,Produk!$A$2:$A$100,0)),"PRODUK?"))</f>
        <v/>
      </c>
      <c r="G920" s="29" t="str">
        <f aca="false">IF(A920="","",IF(COUNTIF(Anggota!$A$2:$A$2001,A920)=0,"TIDAK ADA","OK"))</f>
        <v/>
      </c>
    </row>
    <row r="921" customFormat="false" ht="15" hidden="false" customHeight="false" outlineLevel="0" collapsed="false">
      <c r="A921" s="21"/>
      <c r="B921" s="22"/>
      <c r="C921" s="21"/>
      <c r="D921" s="24"/>
      <c r="E921" s="22"/>
      <c r="F921" s="29" t="str">
        <f aca="false">IF(C921="","",IFERROR(INDEX(Produk!$J$2:$J$100,MATCH(C921,Produk!$A$2:$A$100,0)),"PRODUK?"))</f>
        <v/>
      </c>
      <c r="G921" s="29" t="str">
        <f aca="false">IF(A921="","",IF(COUNTIF(Anggota!$A$2:$A$2001,A921)=0,"TIDAK ADA","OK"))</f>
        <v/>
      </c>
    </row>
    <row r="922" customFormat="false" ht="15" hidden="false" customHeight="false" outlineLevel="0" collapsed="false">
      <c r="A922" s="21"/>
      <c r="B922" s="22"/>
      <c r="C922" s="21"/>
      <c r="D922" s="24"/>
      <c r="E922" s="22"/>
      <c r="F922" s="29" t="str">
        <f aca="false">IF(C922="","",IFERROR(INDEX(Produk!$J$2:$J$100,MATCH(C922,Produk!$A$2:$A$100,0)),"PRODUK?"))</f>
        <v/>
      </c>
      <c r="G922" s="29" t="str">
        <f aca="false">IF(A922="","",IF(COUNTIF(Anggota!$A$2:$A$2001,A922)=0,"TIDAK ADA","OK"))</f>
        <v/>
      </c>
    </row>
    <row r="923" customFormat="false" ht="15" hidden="false" customHeight="false" outlineLevel="0" collapsed="false">
      <c r="A923" s="21"/>
      <c r="B923" s="22"/>
      <c r="C923" s="21"/>
      <c r="D923" s="24"/>
      <c r="E923" s="22"/>
      <c r="F923" s="29" t="str">
        <f aca="false">IF(C923="","",IFERROR(INDEX(Produk!$J$2:$J$100,MATCH(C923,Produk!$A$2:$A$100,0)),"PRODUK?"))</f>
        <v/>
      </c>
      <c r="G923" s="29" t="str">
        <f aca="false">IF(A923="","",IF(COUNTIF(Anggota!$A$2:$A$2001,A923)=0,"TIDAK ADA","OK"))</f>
        <v/>
      </c>
    </row>
    <row r="924" customFormat="false" ht="15" hidden="false" customHeight="false" outlineLevel="0" collapsed="false">
      <c r="A924" s="21"/>
      <c r="B924" s="22"/>
      <c r="C924" s="21"/>
      <c r="D924" s="24"/>
      <c r="E924" s="22"/>
      <c r="F924" s="29" t="str">
        <f aca="false">IF(C924="","",IFERROR(INDEX(Produk!$J$2:$J$100,MATCH(C924,Produk!$A$2:$A$100,0)),"PRODUK?"))</f>
        <v/>
      </c>
      <c r="G924" s="29" t="str">
        <f aca="false">IF(A924="","",IF(COUNTIF(Anggota!$A$2:$A$2001,A924)=0,"TIDAK ADA","OK"))</f>
        <v/>
      </c>
    </row>
    <row r="925" customFormat="false" ht="15" hidden="false" customHeight="false" outlineLevel="0" collapsed="false">
      <c r="A925" s="21"/>
      <c r="B925" s="22"/>
      <c r="C925" s="21"/>
      <c r="D925" s="24"/>
      <c r="E925" s="22"/>
      <c r="F925" s="29" t="str">
        <f aca="false">IF(C925="","",IFERROR(INDEX(Produk!$J$2:$J$100,MATCH(C925,Produk!$A$2:$A$100,0)),"PRODUK?"))</f>
        <v/>
      </c>
      <c r="G925" s="29" t="str">
        <f aca="false">IF(A925="","",IF(COUNTIF(Anggota!$A$2:$A$2001,A925)=0,"TIDAK ADA","OK"))</f>
        <v/>
      </c>
    </row>
    <row r="926" customFormat="false" ht="15" hidden="false" customHeight="false" outlineLevel="0" collapsed="false">
      <c r="A926" s="21"/>
      <c r="B926" s="22"/>
      <c r="C926" s="21"/>
      <c r="D926" s="24"/>
      <c r="E926" s="22"/>
      <c r="F926" s="29" t="str">
        <f aca="false">IF(C926="","",IFERROR(INDEX(Produk!$J$2:$J$100,MATCH(C926,Produk!$A$2:$A$100,0)),"PRODUK?"))</f>
        <v/>
      </c>
      <c r="G926" s="29" t="str">
        <f aca="false">IF(A926="","",IF(COUNTIF(Anggota!$A$2:$A$2001,A926)=0,"TIDAK ADA","OK"))</f>
        <v/>
      </c>
    </row>
    <row r="927" customFormat="false" ht="15" hidden="false" customHeight="false" outlineLevel="0" collapsed="false">
      <c r="A927" s="21"/>
      <c r="B927" s="22"/>
      <c r="C927" s="21"/>
      <c r="D927" s="24"/>
      <c r="E927" s="22"/>
      <c r="F927" s="29" t="str">
        <f aca="false">IF(C927="","",IFERROR(INDEX(Produk!$J$2:$J$100,MATCH(C927,Produk!$A$2:$A$100,0)),"PRODUK?"))</f>
        <v/>
      </c>
      <c r="G927" s="29" t="str">
        <f aca="false">IF(A927="","",IF(COUNTIF(Anggota!$A$2:$A$2001,A927)=0,"TIDAK ADA","OK"))</f>
        <v/>
      </c>
    </row>
    <row r="928" customFormat="false" ht="15" hidden="false" customHeight="false" outlineLevel="0" collapsed="false">
      <c r="A928" s="21"/>
      <c r="B928" s="22"/>
      <c r="C928" s="21"/>
      <c r="D928" s="24"/>
      <c r="E928" s="22"/>
      <c r="F928" s="29" t="str">
        <f aca="false">IF(C928="","",IFERROR(INDEX(Produk!$J$2:$J$100,MATCH(C928,Produk!$A$2:$A$100,0)),"PRODUK?"))</f>
        <v/>
      </c>
      <c r="G928" s="29" t="str">
        <f aca="false">IF(A928="","",IF(COUNTIF(Anggota!$A$2:$A$2001,A928)=0,"TIDAK ADA","OK"))</f>
        <v/>
      </c>
    </row>
    <row r="929" customFormat="false" ht="15" hidden="false" customHeight="false" outlineLevel="0" collapsed="false">
      <c r="A929" s="21"/>
      <c r="B929" s="22"/>
      <c r="C929" s="21"/>
      <c r="D929" s="24"/>
      <c r="E929" s="22"/>
      <c r="F929" s="29" t="str">
        <f aca="false">IF(C929="","",IFERROR(INDEX(Produk!$J$2:$J$100,MATCH(C929,Produk!$A$2:$A$100,0)),"PRODUK?"))</f>
        <v/>
      </c>
      <c r="G929" s="29" t="str">
        <f aca="false">IF(A929="","",IF(COUNTIF(Anggota!$A$2:$A$2001,A929)=0,"TIDAK ADA","OK"))</f>
        <v/>
      </c>
    </row>
    <row r="930" customFormat="false" ht="15" hidden="false" customHeight="false" outlineLevel="0" collapsed="false">
      <c r="A930" s="21"/>
      <c r="B930" s="22"/>
      <c r="C930" s="21"/>
      <c r="D930" s="24"/>
      <c r="E930" s="22"/>
      <c r="F930" s="29" t="str">
        <f aca="false">IF(C930="","",IFERROR(INDEX(Produk!$J$2:$J$100,MATCH(C930,Produk!$A$2:$A$100,0)),"PRODUK?"))</f>
        <v/>
      </c>
      <c r="G930" s="29" t="str">
        <f aca="false">IF(A930="","",IF(COUNTIF(Anggota!$A$2:$A$2001,A930)=0,"TIDAK ADA","OK"))</f>
        <v/>
      </c>
    </row>
    <row r="931" customFormat="false" ht="15" hidden="false" customHeight="false" outlineLevel="0" collapsed="false">
      <c r="A931" s="21"/>
      <c r="B931" s="22"/>
      <c r="C931" s="21"/>
      <c r="D931" s="24"/>
      <c r="E931" s="22"/>
      <c r="F931" s="29" t="str">
        <f aca="false">IF(C931="","",IFERROR(INDEX(Produk!$J$2:$J$100,MATCH(C931,Produk!$A$2:$A$100,0)),"PRODUK?"))</f>
        <v/>
      </c>
      <c r="G931" s="29" t="str">
        <f aca="false">IF(A931="","",IF(COUNTIF(Anggota!$A$2:$A$2001,A931)=0,"TIDAK ADA","OK"))</f>
        <v/>
      </c>
    </row>
    <row r="932" customFormat="false" ht="15" hidden="false" customHeight="false" outlineLevel="0" collapsed="false">
      <c r="A932" s="21"/>
      <c r="B932" s="22"/>
      <c r="C932" s="21"/>
      <c r="D932" s="24"/>
      <c r="E932" s="22"/>
      <c r="F932" s="29" t="str">
        <f aca="false">IF(C932="","",IFERROR(INDEX(Produk!$J$2:$J$100,MATCH(C932,Produk!$A$2:$A$100,0)),"PRODUK?"))</f>
        <v/>
      </c>
      <c r="G932" s="29" t="str">
        <f aca="false">IF(A932="","",IF(COUNTIF(Anggota!$A$2:$A$2001,A932)=0,"TIDAK ADA","OK"))</f>
        <v/>
      </c>
    </row>
    <row r="933" customFormat="false" ht="15" hidden="false" customHeight="false" outlineLevel="0" collapsed="false">
      <c r="A933" s="21"/>
      <c r="B933" s="22"/>
      <c r="C933" s="21"/>
      <c r="D933" s="24"/>
      <c r="E933" s="22"/>
      <c r="F933" s="29" t="str">
        <f aca="false">IF(C933="","",IFERROR(INDEX(Produk!$J$2:$J$100,MATCH(C933,Produk!$A$2:$A$100,0)),"PRODUK?"))</f>
        <v/>
      </c>
      <c r="G933" s="29" t="str">
        <f aca="false">IF(A933="","",IF(COUNTIF(Anggota!$A$2:$A$2001,A933)=0,"TIDAK ADA","OK"))</f>
        <v/>
      </c>
    </row>
    <row r="934" customFormat="false" ht="15" hidden="false" customHeight="false" outlineLevel="0" collapsed="false">
      <c r="A934" s="21"/>
      <c r="B934" s="22"/>
      <c r="C934" s="21"/>
      <c r="D934" s="24"/>
      <c r="E934" s="22"/>
      <c r="F934" s="29" t="str">
        <f aca="false">IF(C934="","",IFERROR(INDEX(Produk!$J$2:$J$100,MATCH(C934,Produk!$A$2:$A$100,0)),"PRODUK?"))</f>
        <v/>
      </c>
      <c r="G934" s="29" t="str">
        <f aca="false">IF(A934="","",IF(COUNTIF(Anggota!$A$2:$A$2001,A934)=0,"TIDAK ADA","OK"))</f>
        <v/>
      </c>
    </row>
    <row r="935" customFormat="false" ht="15" hidden="false" customHeight="false" outlineLevel="0" collapsed="false">
      <c r="A935" s="21"/>
      <c r="B935" s="22"/>
      <c r="C935" s="21"/>
      <c r="D935" s="24"/>
      <c r="E935" s="22"/>
      <c r="F935" s="29" t="str">
        <f aca="false">IF(C935="","",IFERROR(INDEX(Produk!$J$2:$J$100,MATCH(C935,Produk!$A$2:$A$100,0)),"PRODUK?"))</f>
        <v/>
      </c>
      <c r="G935" s="29" t="str">
        <f aca="false">IF(A935="","",IF(COUNTIF(Anggota!$A$2:$A$2001,A935)=0,"TIDAK ADA","OK"))</f>
        <v/>
      </c>
    </row>
    <row r="936" customFormat="false" ht="15" hidden="false" customHeight="false" outlineLevel="0" collapsed="false">
      <c r="A936" s="21"/>
      <c r="B936" s="22"/>
      <c r="C936" s="21"/>
      <c r="D936" s="24"/>
      <c r="E936" s="22"/>
      <c r="F936" s="29" t="str">
        <f aca="false">IF(C936="","",IFERROR(INDEX(Produk!$J$2:$J$100,MATCH(C936,Produk!$A$2:$A$100,0)),"PRODUK?"))</f>
        <v/>
      </c>
      <c r="G936" s="29" t="str">
        <f aca="false">IF(A936="","",IF(COUNTIF(Anggota!$A$2:$A$2001,A936)=0,"TIDAK ADA","OK"))</f>
        <v/>
      </c>
    </row>
    <row r="937" customFormat="false" ht="15" hidden="false" customHeight="false" outlineLevel="0" collapsed="false">
      <c r="A937" s="21"/>
      <c r="B937" s="22"/>
      <c r="C937" s="21"/>
      <c r="D937" s="24"/>
      <c r="E937" s="22"/>
      <c r="F937" s="29" t="str">
        <f aca="false">IF(C937="","",IFERROR(INDEX(Produk!$J$2:$J$100,MATCH(C937,Produk!$A$2:$A$100,0)),"PRODUK?"))</f>
        <v/>
      </c>
      <c r="G937" s="29" t="str">
        <f aca="false">IF(A937="","",IF(COUNTIF(Anggota!$A$2:$A$2001,A937)=0,"TIDAK ADA","OK"))</f>
        <v/>
      </c>
    </row>
    <row r="938" customFormat="false" ht="15" hidden="false" customHeight="false" outlineLevel="0" collapsed="false">
      <c r="A938" s="21"/>
      <c r="B938" s="22"/>
      <c r="C938" s="21"/>
      <c r="D938" s="24"/>
      <c r="E938" s="22"/>
      <c r="F938" s="29" t="str">
        <f aca="false">IF(C938="","",IFERROR(INDEX(Produk!$J$2:$J$100,MATCH(C938,Produk!$A$2:$A$100,0)),"PRODUK?"))</f>
        <v/>
      </c>
      <c r="G938" s="29" t="str">
        <f aca="false">IF(A938="","",IF(COUNTIF(Anggota!$A$2:$A$2001,A938)=0,"TIDAK ADA","OK"))</f>
        <v/>
      </c>
    </row>
    <row r="939" customFormat="false" ht="15" hidden="false" customHeight="false" outlineLevel="0" collapsed="false">
      <c r="A939" s="21"/>
      <c r="B939" s="22"/>
      <c r="C939" s="21"/>
      <c r="D939" s="24"/>
      <c r="E939" s="22"/>
      <c r="F939" s="29" t="str">
        <f aca="false">IF(C939="","",IFERROR(INDEX(Produk!$J$2:$J$100,MATCH(C939,Produk!$A$2:$A$100,0)),"PRODUK?"))</f>
        <v/>
      </c>
      <c r="G939" s="29" t="str">
        <f aca="false">IF(A939="","",IF(COUNTIF(Anggota!$A$2:$A$2001,A939)=0,"TIDAK ADA","OK"))</f>
        <v/>
      </c>
    </row>
    <row r="940" customFormat="false" ht="15" hidden="false" customHeight="false" outlineLevel="0" collapsed="false">
      <c r="A940" s="21"/>
      <c r="B940" s="22"/>
      <c r="C940" s="21"/>
      <c r="D940" s="24"/>
      <c r="E940" s="22"/>
      <c r="F940" s="29" t="str">
        <f aca="false">IF(C940="","",IFERROR(INDEX(Produk!$J$2:$J$100,MATCH(C940,Produk!$A$2:$A$100,0)),"PRODUK?"))</f>
        <v/>
      </c>
      <c r="G940" s="29" t="str">
        <f aca="false">IF(A940="","",IF(COUNTIF(Anggota!$A$2:$A$2001,A940)=0,"TIDAK ADA","OK"))</f>
        <v/>
      </c>
    </row>
    <row r="941" customFormat="false" ht="15" hidden="false" customHeight="false" outlineLevel="0" collapsed="false">
      <c r="A941" s="21"/>
      <c r="B941" s="22"/>
      <c r="C941" s="21"/>
      <c r="D941" s="24"/>
      <c r="E941" s="22"/>
      <c r="F941" s="29" t="str">
        <f aca="false">IF(C941="","",IFERROR(INDEX(Produk!$J$2:$J$100,MATCH(C941,Produk!$A$2:$A$100,0)),"PRODUK?"))</f>
        <v/>
      </c>
      <c r="G941" s="29" t="str">
        <f aca="false">IF(A941="","",IF(COUNTIF(Anggota!$A$2:$A$2001,A941)=0,"TIDAK ADA","OK"))</f>
        <v/>
      </c>
    </row>
    <row r="942" customFormat="false" ht="15" hidden="false" customHeight="false" outlineLevel="0" collapsed="false">
      <c r="A942" s="21"/>
      <c r="B942" s="22"/>
      <c r="C942" s="21"/>
      <c r="D942" s="24"/>
      <c r="E942" s="22"/>
      <c r="F942" s="29" t="str">
        <f aca="false">IF(C942="","",IFERROR(INDEX(Produk!$J$2:$J$100,MATCH(C942,Produk!$A$2:$A$100,0)),"PRODUK?"))</f>
        <v/>
      </c>
      <c r="G942" s="29" t="str">
        <f aca="false">IF(A942="","",IF(COUNTIF(Anggota!$A$2:$A$2001,A942)=0,"TIDAK ADA","OK"))</f>
        <v/>
      </c>
    </row>
    <row r="943" customFormat="false" ht="15" hidden="false" customHeight="false" outlineLevel="0" collapsed="false">
      <c r="A943" s="21"/>
      <c r="B943" s="22"/>
      <c r="C943" s="21"/>
      <c r="D943" s="24"/>
      <c r="E943" s="22"/>
      <c r="F943" s="29" t="str">
        <f aca="false">IF(C943="","",IFERROR(INDEX(Produk!$J$2:$J$100,MATCH(C943,Produk!$A$2:$A$100,0)),"PRODUK?"))</f>
        <v/>
      </c>
      <c r="G943" s="29" t="str">
        <f aca="false">IF(A943="","",IF(COUNTIF(Anggota!$A$2:$A$2001,A943)=0,"TIDAK ADA","OK"))</f>
        <v/>
      </c>
    </row>
    <row r="944" customFormat="false" ht="15" hidden="false" customHeight="false" outlineLevel="0" collapsed="false">
      <c r="A944" s="21"/>
      <c r="B944" s="22"/>
      <c r="C944" s="21"/>
      <c r="D944" s="24"/>
      <c r="E944" s="22"/>
      <c r="F944" s="29" t="str">
        <f aca="false">IF(C944="","",IFERROR(INDEX(Produk!$J$2:$J$100,MATCH(C944,Produk!$A$2:$A$100,0)),"PRODUK?"))</f>
        <v/>
      </c>
      <c r="G944" s="29" t="str">
        <f aca="false">IF(A944="","",IF(COUNTIF(Anggota!$A$2:$A$2001,A944)=0,"TIDAK ADA","OK"))</f>
        <v/>
      </c>
    </row>
    <row r="945" customFormat="false" ht="15" hidden="false" customHeight="false" outlineLevel="0" collapsed="false">
      <c r="A945" s="21"/>
      <c r="B945" s="22"/>
      <c r="C945" s="21"/>
      <c r="D945" s="24"/>
      <c r="E945" s="22"/>
      <c r="F945" s="29" t="str">
        <f aca="false">IF(C945="","",IFERROR(INDEX(Produk!$J$2:$J$100,MATCH(C945,Produk!$A$2:$A$100,0)),"PRODUK?"))</f>
        <v/>
      </c>
      <c r="G945" s="29" t="str">
        <f aca="false">IF(A945="","",IF(COUNTIF(Anggota!$A$2:$A$2001,A945)=0,"TIDAK ADA","OK"))</f>
        <v/>
      </c>
    </row>
    <row r="946" customFormat="false" ht="15" hidden="false" customHeight="false" outlineLevel="0" collapsed="false">
      <c r="A946" s="21"/>
      <c r="B946" s="22"/>
      <c r="C946" s="21"/>
      <c r="D946" s="24"/>
      <c r="E946" s="22"/>
      <c r="F946" s="29" t="str">
        <f aca="false">IF(C946="","",IFERROR(INDEX(Produk!$J$2:$J$100,MATCH(C946,Produk!$A$2:$A$100,0)),"PRODUK?"))</f>
        <v/>
      </c>
      <c r="G946" s="29" t="str">
        <f aca="false">IF(A946="","",IF(COUNTIF(Anggota!$A$2:$A$2001,A946)=0,"TIDAK ADA","OK"))</f>
        <v/>
      </c>
    </row>
    <row r="947" customFormat="false" ht="15" hidden="false" customHeight="false" outlineLevel="0" collapsed="false">
      <c r="A947" s="21"/>
      <c r="B947" s="22"/>
      <c r="C947" s="21"/>
      <c r="D947" s="24"/>
      <c r="E947" s="22"/>
      <c r="F947" s="29" t="str">
        <f aca="false">IF(C947="","",IFERROR(INDEX(Produk!$J$2:$J$100,MATCH(C947,Produk!$A$2:$A$100,0)),"PRODUK?"))</f>
        <v/>
      </c>
      <c r="G947" s="29" t="str">
        <f aca="false">IF(A947="","",IF(COUNTIF(Anggota!$A$2:$A$2001,A947)=0,"TIDAK ADA","OK"))</f>
        <v/>
      </c>
    </row>
    <row r="948" customFormat="false" ht="15" hidden="false" customHeight="false" outlineLevel="0" collapsed="false">
      <c r="A948" s="21"/>
      <c r="B948" s="22"/>
      <c r="C948" s="21"/>
      <c r="D948" s="24"/>
      <c r="E948" s="22"/>
      <c r="F948" s="29" t="str">
        <f aca="false">IF(C948="","",IFERROR(INDEX(Produk!$J$2:$J$100,MATCH(C948,Produk!$A$2:$A$100,0)),"PRODUK?"))</f>
        <v/>
      </c>
      <c r="G948" s="29" t="str">
        <f aca="false">IF(A948="","",IF(COUNTIF(Anggota!$A$2:$A$2001,A948)=0,"TIDAK ADA","OK"))</f>
        <v/>
      </c>
    </row>
    <row r="949" customFormat="false" ht="15" hidden="false" customHeight="false" outlineLevel="0" collapsed="false">
      <c r="A949" s="21"/>
      <c r="B949" s="22"/>
      <c r="C949" s="21"/>
      <c r="D949" s="24"/>
      <c r="E949" s="22"/>
      <c r="F949" s="29" t="str">
        <f aca="false">IF(C949="","",IFERROR(INDEX(Produk!$J$2:$J$100,MATCH(C949,Produk!$A$2:$A$100,0)),"PRODUK?"))</f>
        <v/>
      </c>
      <c r="G949" s="29" t="str">
        <f aca="false">IF(A949="","",IF(COUNTIF(Anggota!$A$2:$A$2001,A949)=0,"TIDAK ADA","OK"))</f>
        <v/>
      </c>
    </row>
    <row r="950" customFormat="false" ht="15" hidden="false" customHeight="false" outlineLevel="0" collapsed="false">
      <c r="A950" s="21"/>
      <c r="B950" s="22"/>
      <c r="C950" s="21"/>
      <c r="D950" s="24"/>
      <c r="E950" s="22"/>
      <c r="F950" s="29" t="str">
        <f aca="false">IF(C950="","",IFERROR(INDEX(Produk!$J$2:$J$100,MATCH(C950,Produk!$A$2:$A$100,0)),"PRODUK?"))</f>
        <v/>
      </c>
      <c r="G950" s="29" t="str">
        <f aca="false">IF(A950="","",IF(COUNTIF(Anggota!$A$2:$A$2001,A950)=0,"TIDAK ADA","OK"))</f>
        <v/>
      </c>
    </row>
    <row r="951" customFormat="false" ht="15" hidden="false" customHeight="false" outlineLevel="0" collapsed="false">
      <c r="A951" s="21"/>
      <c r="B951" s="22"/>
      <c r="C951" s="21"/>
      <c r="D951" s="24"/>
      <c r="E951" s="22"/>
      <c r="F951" s="29" t="str">
        <f aca="false">IF(C951="","",IFERROR(INDEX(Produk!$J$2:$J$100,MATCH(C951,Produk!$A$2:$A$100,0)),"PRODUK?"))</f>
        <v/>
      </c>
      <c r="G951" s="29" t="str">
        <f aca="false">IF(A951="","",IF(COUNTIF(Anggota!$A$2:$A$2001,A951)=0,"TIDAK ADA","OK"))</f>
        <v/>
      </c>
    </row>
    <row r="952" customFormat="false" ht="15" hidden="false" customHeight="false" outlineLevel="0" collapsed="false">
      <c r="A952" s="21"/>
      <c r="B952" s="22"/>
      <c r="C952" s="21"/>
      <c r="D952" s="24"/>
      <c r="E952" s="22"/>
      <c r="F952" s="29" t="str">
        <f aca="false">IF(C952="","",IFERROR(INDEX(Produk!$J$2:$J$100,MATCH(C952,Produk!$A$2:$A$100,0)),"PRODUK?"))</f>
        <v/>
      </c>
      <c r="G952" s="29" t="str">
        <f aca="false">IF(A952="","",IF(COUNTIF(Anggota!$A$2:$A$2001,A952)=0,"TIDAK ADA","OK"))</f>
        <v/>
      </c>
    </row>
    <row r="953" customFormat="false" ht="15" hidden="false" customHeight="false" outlineLevel="0" collapsed="false">
      <c r="A953" s="21"/>
      <c r="B953" s="22"/>
      <c r="C953" s="21"/>
      <c r="D953" s="24"/>
      <c r="E953" s="22"/>
      <c r="F953" s="29" t="str">
        <f aca="false">IF(C953="","",IFERROR(INDEX(Produk!$J$2:$J$100,MATCH(C953,Produk!$A$2:$A$100,0)),"PRODUK?"))</f>
        <v/>
      </c>
      <c r="G953" s="29" t="str">
        <f aca="false">IF(A953="","",IF(COUNTIF(Anggota!$A$2:$A$2001,A953)=0,"TIDAK ADA","OK"))</f>
        <v/>
      </c>
    </row>
    <row r="954" customFormat="false" ht="15" hidden="false" customHeight="false" outlineLevel="0" collapsed="false">
      <c r="A954" s="21"/>
      <c r="B954" s="22"/>
      <c r="C954" s="21"/>
      <c r="D954" s="24"/>
      <c r="E954" s="22"/>
      <c r="F954" s="29" t="str">
        <f aca="false">IF(C954="","",IFERROR(INDEX(Produk!$J$2:$J$100,MATCH(C954,Produk!$A$2:$A$100,0)),"PRODUK?"))</f>
        <v/>
      </c>
      <c r="G954" s="29" t="str">
        <f aca="false">IF(A954="","",IF(COUNTIF(Anggota!$A$2:$A$2001,A954)=0,"TIDAK ADA","OK"))</f>
        <v/>
      </c>
    </row>
    <row r="955" customFormat="false" ht="15" hidden="false" customHeight="false" outlineLevel="0" collapsed="false">
      <c r="A955" s="21"/>
      <c r="B955" s="22"/>
      <c r="C955" s="21"/>
      <c r="D955" s="24"/>
      <c r="E955" s="22"/>
      <c r="F955" s="29" t="str">
        <f aca="false">IF(C955="","",IFERROR(INDEX(Produk!$J$2:$J$100,MATCH(C955,Produk!$A$2:$A$100,0)),"PRODUK?"))</f>
        <v/>
      </c>
      <c r="G955" s="29" t="str">
        <f aca="false">IF(A955="","",IF(COUNTIF(Anggota!$A$2:$A$2001,A955)=0,"TIDAK ADA","OK"))</f>
        <v/>
      </c>
    </row>
    <row r="956" customFormat="false" ht="15" hidden="false" customHeight="false" outlineLevel="0" collapsed="false">
      <c r="A956" s="21"/>
      <c r="B956" s="22"/>
      <c r="C956" s="21"/>
      <c r="D956" s="24"/>
      <c r="E956" s="22"/>
      <c r="F956" s="29" t="str">
        <f aca="false">IF(C956="","",IFERROR(INDEX(Produk!$J$2:$J$100,MATCH(C956,Produk!$A$2:$A$100,0)),"PRODUK?"))</f>
        <v/>
      </c>
      <c r="G956" s="29" t="str">
        <f aca="false">IF(A956="","",IF(COUNTIF(Anggota!$A$2:$A$2001,A956)=0,"TIDAK ADA","OK"))</f>
        <v/>
      </c>
    </row>
    <row r="957" customFormat="false" ht="15" hidden="false" customHeight="false" outlineLevel="0" collapsed="false">
      <c r="A957" s="21"/>
      <c r="B957" s="22"/>
      <c r="C957" s="21"/>
      <c r="D957" s="24"/>
      <c r="E957" s="22"/>
      <c r="F957" s="29" t="str">
        <f aca="false">IF(C957="","",IFERROR(INDEX(Produk!$J$2:$J$100,MATCH(C957,Produk!$A$2:$A$100,0)),"PRODUK?"))</f>
        <v/>
      </c>
      <c r="G957" s="29" t="str">
        <f aca="false">IF(A957="","",IF(COUNTIF(Anggota!$A$2:$A$2001,A957)=0,"TIDAK ADA","OK"))</f>
        <v/>
      </c>
    </row>
    <row r="958" customFormat="false" ht="15" hidden="false" customHeight="false" outlineLevel="0" collapsed="false">
      <c r="A958" s="21"/>
      <c r="B958" s="22"/>
      <c r="C958" s="21"/>
      <c r="D958" s="24"/>
      <c r="E958" s="22"/>
      <c r="F958" s="29" t="str">
        <f aca="false">IF(C958="","",IFERROR(INDEX(Produk!$J$2:$J$100,MATCH(C958,Produk!$A$2:$A$100,0)),"PRODUK?"))</f>
        <v/>
      </c>
      <c r="G958" s="29" t="str">
        <f aca="false">IF(A958="","",IF(COUNTIF(Anggota!$A$2:$A$2001,A958)=0,"TIDAK ADA","OK"))</f>
        <v/>
      </c>
    </row>
    <row r="959" customFormat="false" ht="15" hidden="false" customHeight="false" outlineLevel="0" collapsed="false">
      <c r="A959" s="21"/>
      <c r="B959" s="22"/>
      <c r="C959" s="21"/>
      <c r="D959" s="24"/>
      <c r="E959" s="22"/>
      <c r="F959" s="29" t="str">
        <f aca="false">IF(C959="","",IFERROR(INDEX(Produk!$J$2:$J$100,MATCH(C959,Produk!$A$2:$A$100,0)),"PRODUK?"))</f>
        <v/>
      </c>
      <c r="G959" s="29" t="str">
        <f aca="false">IF(A959="","",IF(COUNTIF(Anggota!$A$2:$A$2001,A959)=0,"TIDAK ADA","OK"))</f>
        <v/>
      </c>
    </row>
    <row r="960" customFormat="false" ht="15" hidden="false" customHeight="false" outlineLevel="0" collapsed="false">
      <c r="A960" s="21"/>
      <c r="B960" s="22"/>
      <c r="C960" s="21"/>
      <c r="D960" s="24"/>
      <c r="E960" s="22"/>
      <c r="F960" s="29" t="str">
        <f aca="false">IF(C960="","",IFERROR(INDEX(Produk!$J$2:$J$100,MATCH(C960,Produk!$A$2:$A$100,0)),"PRODUK?"))</f>
        <v/>
      </c>
      <c r="G960" s="29" t="str">
        <f aca="false">IF(A960="","",IF(COUNTIF(Anggota!$A$2:$A$2001,A960)=0,"TIDAK ADA","OK"))</f>
        <v/>
      </c>
    </row>
    <row r="961" customFormat="false" ht="15" hidden="false" customHeight="false" outlineLevel="0" collapsed="false">
      <c r="A961" s="21"/>
      <c r="B961" s="22"/>
      <c r="C961" s="21"/>
      <c r="D961" s="24"/>
      <c r="E961" s="22"/>
      <c r="F961" s="29" t="str">
        <f aca="false">IF(C961="","",IFERROR(INDEX(Produk!$J$2:$J$100,MATCH(C961,Produk!$A$2:$A$100,0)),"PRODUK?"))</f>
        <v/>
      </c>
      <c r="G961" s="29" t="str">
        <f aca="false">IF(A961="","",IF(COUNTIF(Anggota!$A$2:$A$2001,A961)=0,"TIDAK ADA","OK"))</f>
        <v/>
      </c>
    </row>
    <row r="962" customFormat="false" ht="15" hidden="false" customHeight="false" outlineLevel="0" collapsed="false">
      <c r="A962" s="21"/>
      <c r="B962" s="22"/>
      <c r="C962" s="21"/>
      <c r="D962" s="24"/>
      <c r="E962" s="22"/>
      <c r="F962" s="29" t="str">
        <f aca="false">IF(C962="","",IFERROR(INDEX(Produk!$J$2:$J$100,MATCH(C962,Produk!$A$2:$A$100,0)),"PRODUK?"))</f>
        <v/>
      </c>
      <c r="G962" s="29" t="str">
        <f aca="false">IF(A962="","",IF(COUNTIF(Anggota!$A$2:$A$2001,A962)=0,"TIDAK ADA","OK"))</f>
        <v/>
      </c>
    </row>
    <row r="963" customFormat="false" ht="15" hidden="false" customHeight="false" outlineLevel="0" collapsed="false">
      <c r="A963" s="21"/>
      <c r="B963" s="22"/>
      <c r="C963" s="21"/>
      <c r="D963" s="24"/>
      <c r="E963" s="22"/>
      <c r="F963" s="29" t="str">
        <f aca="false">IF(C963="","",IFERROR(INDEX(Produk!$J$2:$J$100,MATCH(C963,Produk!$A$2:$A$100,0)),"PRODUK?"))</f>
        <v/>
      </c>
      <c r="G963" s="29" t="str">
        <f aca="false">IF(A963="","",IF(COUNTIF(Anggota!$A$2:$A$2001,A963)=0,"TIDAK ADA","OK"))</f>
        <v/>
      </c>
    </row>
    <row r="964" customFormat="false" ht="15" hidden="false" customHeight="false" outlineLevel="0" collapsed="false">
      <c r="A964" s="21"/>
      <c r="B964" s="22"/>
      <c r="C964" s="21"/>
      <c r="D964" s="24"/>
      <c r="E964" s="22"/>
      <c r="F964" s="29" t="str">
        <f aca="false">IF(C964="","",IFERROR(INDEX(Produk!$J$2:$J$100,MATCH(C964,Produk!$A$2:$A$100,0)),"PRODUK?"))</f>
        <v/>
      </c>
      <c r="G964" s="29" t="str">
        <f aca="false">IF(A964="","",IF(COUNTIF(Anggota!$A$2:$A$2001,A964)=0,"TIDAK ADA","OK"))</f>
        <v/>
      </c>
    </row>
    <row r="965" customFormat="false" ht="15" hidden="false" customHeight="false" outlineLevel="0" collapsed="false">
      <c r="A965" s="21"/>
      <c r="B965" s="22"/>
      <c r="C965" s="21"/>
      <c r="D965" s="24"/>
      <c r="E965" s="22"/>
      <c r="F965" s="29" t="str">
        <f aca="false">IF(C965="","",IFERROR(INDEX(Produk!$J$2:$J$100,MATCH(C965,Produk!$A$2:$A$100,0)),"PRODUK?"))</f>
        <v/>
      </c>
      <c r="G965" s="29" t="str">
        <f aca="false">IF(A965="","",IF(COUNTIF(Anggota!$A$2:$A$2001,A965)=0,"TIDAK ADA","OK"))</f>
        <v/>
      </c>
    </row>
    <row r="966" customFormat="false" ht="15" hidden="false" customHeight="false" outlineLevel="0" collapsed="false">
      <c r="A966" s="21"/>
      <c r="B966" s="22"/>
      <c r="C966" s="21"/>
      <c r="D966" s="24"/>
      <c r="E966" s="22"/>
      <c r="F966" s="29" t="str">
        <f aca="false">IF(C966="","",IFERROR(INDEX(Produk!$J$2:$J$100,MATCH(C966,Produk!$A$2:$A$100,0)),"PRODUK?"))</f>
        <v/>
      </c>
      <c r="G966" s="29" t="str">
        <f aca="false">IF(A966="","",IF(COUNTIF(Anggota!$A$2:$A$2001,A966)=0,"TIDAK ADA","OK"))</f>
        <v/>
      </c>
    </row>
    <row r="967" customFormat="false" ht="15" hidden="false" customHeight="false" outlineLevel="0" collapsed="false">
      <c r="A967" s="21"/>
      <c r="B967" s="22"/>
      <c r="C967" s="21"/>
      <c r="D967" s="24"/>
      <c r="E967" s="22"/>
      <c r="F967" s="29" t="str">
        <f aca="false">IF(C967="","",IFERROR(INDEX(Produk!$J$2:$J$100,MATCH(C967,Produk!$A$2:$A$100,0)),"PRODUK?"))</f>
        <v/>
      </c>
      <c r="G967" s="29" t="str">
        <f aca="false">IF(A967="","",IF(COUNTIF(Anggota!$A$2:$A$2001,A967)=0,"TIDAK ADA","OK"))</f>
        <v/>
      </c>
    </row>
    <row r="968" customFormat="false" ht="15" hidden="false" customHeight="false" outlineLevel="0" collapsed="false">
      <c r="A968" s="21"/>
      <c r="B968" s="22"/>
      <c r="C968" s="21"/>
      <c r="D968" s="24"/>
      <c r="E968" s="22"/>
      <c r="F968" s="29" t="str">
        <f aca="false">IF(C968="","",IFERROR(INDEX(Produk!$J$2:$J$100,MATCH(C968,Produk!$A$2:$A$100,0)),"PRODUK?"))</f>
        <v/>
      </c>
      <c r="G968" s="29" t="str">
        <f aca="false">IF(A968="","",IF(COUNTIF(Anggota!$A$2:$A$2001,A968)=0,"TIDAK ADA","OK"))</f>
        <v/>
      </c>
    </row>
    <row r="969" customFormat="false" ht="15" hidden="false" customHeight="false" outlineLevel="0" collapsed="false">
      <c r="A969" s="21"/>
      <c r="B969" s="22"/>
      <c r="C969" s="21"/>
      <c r="D969" s="24"/>
      <c r="E969" s="22"/>
      <c r="F969" s="29" t="str">
        <f aca="false">IF(C969="","",IFERROR(INDEX(Produk!$J$2:$J$100,MATCH(C969,Produk!$A$2:$A$100,0)),"PRODUK?"))</f>
        <v/>
      </c>
      <c r="G969" s="29" t="str">
        <f aca="false">IF(A969="","",IF(COUNTIF(Anggota!$A$2:$A$2001,A969)=0,"TIDAK ADA","OK"))</f>
        <v/>
      </c>
    </row>
    <row r="970" customFormat="false" ht="15" hidden="false" customHeight="false" outlineLevel="0" collapsed="false">
      <c r="A970" s="21"/>
      <c r="B970" s="22"/>
      <c r="C970" s="21"/>
      <c r="D970" s="24"/>
      <c r="E970" s="22"/>
      <c r="F970" s="29" t="str">
        <f aca="false">IF(C970="","",IFERROR(INDEX(Produk!$J$2:$J$100,MATCH(C970,Produk!$A$2:$A$100,0)),"PRODUK?"))</f>
        <v/>
      </c>
      <c r="G970" s="29" t="str">
        <f aca="false">IF(A970="","",IF(COUNTIF(Anggota!$A$2:$A$2001,A970)=0,"TIDAK ADA","OK"))</f>
        <v/>
      </c>
    </row>
    <row r="971" customFormat="false" ht="15" hidden="false" customHeight="false" outlineLevel="0" collapsed="false">
      <c r="A971" s="21"/>
      <c r="B971" s="22"/>
      <c r="C971" s="21"/>
      <c r="D971" s="24"/>
      <c r="E971" s="22"/>
      <c r="F971" s="29" t="str">
        <f aca="false">IF(C971="","",IFERROR(INDEX(Produk!$J$2:$J$100,MATCH(C971,Produk!$A$2:$A$100,0)),"PRODUK?"))</f>
        <v/>
      </c>
      <c r="G971" s="29" t="str">
        <f aca="false">IF(A971="","",IF(COUNTIF(Anggota!$A$2:$A$2001,A971)=0,"TIDAK ADA","OK"))</f>
        <v/>
      </c>
    </row>
    <row r="972" customFormat="false" ht="15" hidden="false" customHeight="false" outlineLevel="0" collapsed="false">
      <c r="A972" s="21"/>
      <c r="B972" s="22"/>
      <c r="C972" s="21"/>
      <c r="D972" s="24"/>
      <c r="E972" s="22"/>
      <c r="F972" s="29" t="str">
        <f aca="false">IF(C972="","",IFERROR(INDEX(Produk!$J$2:$J$100,MATCH(C972,Produk!$A$2:$A$100,0)),"PRODUK?"))</f>
        <v/>
      </c>
      <c r="G972" s="29" t="str">
        <f aca="false">IF(A972="","",IF(COUNTIF(Anggota!$A$2:$A$2001,A972)=0,"TIDAK ADA","OK"))</f>
        <v/>
      </c>
    </row>
    <row r="973" customFormat="false" ht="15" hidden="false" customHeight="false" outlineLevel="0" collapsed="false">
      <c r="A973" s="21"/>
      <c r="B973" s="22"/>
      <c r="C973" s="21"/>
      <c r="D973" s="24"/>
      <c r="E973" s="22"/>
      <c r="F973" s="29" t="str">
        <f aca="false">IF(C973="","",IFERROR(INDEX(Produk!$J$2:$J$100,MATCH(C973,Produk!$A$2:$A$100,0)),"PRODUK?"))</f>
        <v/>
      </c>
      <c r="G973" s="29" t="str">
        <f aca="false">IF(A973="","",IF(COUNTIF(Anggota!$A$2:$A$2001,A973)=0,"TIDAK ADA","OK"))</f>
        <v/>
      </c>
    </row>
    <row r="974" customFormat="false" ht="15" hidden="false" customHeight="false" outlineLevel="0" collapsed="false">
      <c r="A974" s="21"/>
      <c r="B974" s="22"/>
      <c r="C974" s="21"/>
      <c r="D974" s="24"/>
      <c r="E974" s="22"/>
      <c r="F974" s="29" t="str">
        <f aca="false">IF(C974="","",IFERROR(INDEX(Produk!$J$2:$J$100,MATCH(C974,Produk!$A$2:$A$100,0)),"PRODUK?"))</f>
        <v/>
      </c>
      <c r="G974" s="29" t="str">
        <f aca="false">IF(A974="","",IF(COUNTIF(Anggota!$A$2:$A$2001,A974)=0,"TIDAK ADA","OK"))</f>
        <v/>
      </c>
    </row>
    <row r="975" customFormat="false" ht="15" hidden="false" customHeight="false" outlineLevel="0" collapsed="false">
      <c r="A975" s="21"/>
      <c r="B975" s="22"/>
      <c r="C975" s="21"/>
      <c r="D975" s="24"/>
      <c r="E975" s="22"/>
      <c r="F975" s="29" t="str">
        <f aca="false">IF(C975="","",IFERROR(INDEX(Produk!$J$2:$J$100,MATCH(C975,Produk!$A$2:$A$100,0)),"PRODUK?"))</f>
        <v/>
      </c>
      <c r="G975" s="29" t="str">
        <f aca="false">IF(A975="","",IF(COUNTIF(Anggota!$A$2:$A$2001,A975)=0,"TIDAK ADA","OK"))</f>
        <v/>
      </c>
    </row>
    <row r="976" customFormat="false" ht="15" hidden="false" customHeight="false" outlineLevel="0" collapsed="false">
      <c r="A976" s="21"/>
      <c r="B976" s="22"/>
      <c r="C976" s="21"/>
      <c r="D976" s="24"/>
      <c r="E976" s="22"/>
      <c r="F976" s="29" t="str">
        <f aca="false">IF(C976="","",IFERROR(INDEX(Produk!$J$2:$J$100,MATCH(C976,Produk!$A$2:$A$100,0)),"PRODUK?"))</f>
        <v/>
      </c>
      <c r="G976" s="29" t="str">
        <f aca="false">IF(A976="","",IF(COUNTIF(Anggota!$A$2:$A$2001,A976)=0,"TIDAK ADA","OK"))</f>
        <v/>
      </c>
    </row>
    <row r="977" customFormat="false" ht="15" hidden="false" customHeight="false" outlineLevel="0" collapsed="false">
      <c r="A977" s="21"/>
      <c r="B977" s="22"/>
      <c r="C977" s="21"/>
      <c r="D977" s="24"/>
      <c r="E977" s="22"/>
      <c r="F977" s="29" t="str">
        <f aca="false">IF(C977="","",IFERROR(INDEX(Produk!$J$2:$J$100,MATCH(C977,Produk!$A$2:$A$100,0)),"PRODUK?"))</f>
        <v/>
      </c>
      <c r="G977" s="29" t="str">
        <f aca="false">IF(A977="","",IF(COUNTIF(Anggota!$A$2:$A$2001,A977)=0,"TIDAK ADA","OK"))</f>
        <v/>
      </c>
    </row>
    <row r="978" customFormat="false" ht="15" hidden="false" customHeight="false" outlineLevel="0" collapsed="false">
      <c r="A978" s="21"/>
      <c r="B978" s="22"/>
      <c r="C978" s="21"/>
      <c r="D978" s="24"/>
      <c r="E978" s="22"/>
      <c r="F978" s="29" t="str">
        <f aca="false">IF(C978="","",IFERROR(INDEX(Produk!$J$2:$J$100,MATCH(C978,Produk!$A$2:$A$100,0)),"PRODUK?"))</f>
        <v/>
      </c>
      <c r="G978" s="29" t="str">
        <f aca="false">IF(A978="","",IF(COUNTIF(Anggota!$A$2:$A$2001,A978)=0,"TIDAK ADA","OK"))</f>
        <v/>
      </c>
    </row>
    <row r="979" customFormat="false" ht="15" hidden="false" customHeight="false" outlineLevel="0" collapsed="false">
      <c r="A979" s="21"/>
      <c r="B979" s="22"/>
      <c r="C979" s="21"/>
      <c r="D979" s="24"/>
      <c r="E979" s="22"/>
      <c r="F979" s="29" t="str">
        <f aca="false">IF(C979="","",IFERROR(INDEX(Produk!$J$2:$J$100,MATCH(C979,Produk!$A$2:$A$100,0)),"PRODUK?"))</f>
        <v/>
      </c>
      <c r="G979" s="29" t="str">
        <f aca="false">IF(A979="","",IF(COUNTIF(Anggota!$A$2:$A$2001,A979)=0,"TIDAK ADA","OK"))</f>
        <v/>
      </c>
    </row>
    <row r="980" customFormat="false" ht="15" hidden="false" customHeight="false" outlineLevel="0" collapsed="false">
      <c r="A980" s="21"/>
      <c r="B980" s="22"/>
      <c r="C980" s="21"/>
      <c r="D980" s="24"/>
      <c r="E980" s="22"/>
      <c r="F980" s="29" t="str">
        <f aca="false">IF(C980="","",IFERROR(INDEX(Produk!$J$2:$J$100,MATCH(C980,Produk!$A$2:$A$100,0)),"PRODUK?"))</f>
        <v/>
      </c>
      <c r="G980" s="29" t="str">
        <f aca="false">IF(A980="","",IF(COUNTIF(Anggota!$A$2:$A$2001,A980)=0,"TIDAK ADA","OK"))</f>
        <v/>
      </c>
    </row>
    <row r="981" customFormat="false" ht="15" hidden="false" customHeight="false" outlineLevel="0" collapsed="false">
      <c r="A981" s="21"/>
      <c r="B981" s="22"/>
      <c r="C981" s="21"/>
      <c r="D981" s="24"/>
      <c r="E981" s="22"/>
      <c r="F981" s="29" t="str">
        <f aca="false">IF(C981="","",IFERROR(INDEX(Produk!$J$2:$J$100,MATCH(C981,Produk!$A$2:$A$100,0)),"PRODUK?"))</f>
        <v/>
      </c>
      <c r="G981" s="29" t="str">
        <f aca="false">IF(A981="","",IF(COUNTIF(Anggota!$A$2:$A$2001,A981)=0,"TIDAK ADA","OK"))</f>
        <v/>
      </c>
    </row>
    <row r="982" customFormat="false" ht="15" hidden="false" customHeight="false" outlineLevel="0" collapsed="false">
      <c r="A982" s="21"/>
      <c r="B982" s="22"/>
      <c r="C982" s="21"/>
      <c r="D982" s="24"/>
      <c r="E982" s="22"/>
      <c r="F982" s="29" t="str">
        <f aca="false">IF(C982="","",IFERROR(INDEX(Produk!$J$2:$J$100,MATCH(C982,Produk!$A$2:$A$100,0)),"PRODUK?"))</f>
        <v/>
      </c>
      <c r="G982" s="29" t="str">
        <f aca="false">IF(A982="","",IF(COUNTIF(Anggota!$A$2:$A$2001,A982)=0,"TIDAK ADA","OK"))</f>
        <v/>
      </c>
    </row>
    <row r="983" customFormat="false" ht="15" hidden="false" customHeight="false" outlineLevel="0" collapsed="false">
      <c r="A983" s="21"/>
      <c r="B983" s="22"/>
      <c r="C983" s="21"/>
      <c r="D983" s="24"/>
      <c r="E983" s="22"/>
      <c r="F983" s="29" t="str">
        <f aca="false">IF(C983="","",IFERROR(INDEX(Produk!$J$2:$J$100,MATCH(C983,Produk!$A$2:$A$100,0)),"PRODUK?"))</f>
        <v/>
      </c>
      <c r="G983" s="29" t="str">
        <f aca="false">IF(A983="","",IF(COUNTIF(Anggota!$A$2:$A$2001,A983)=0,"TIDAK ADA","OK"))</f>
        <v/>
      </c>
    </row>
    <row r="984" customFormat="false" ht="15" hidden="false" customHeight="false" outlineLevel="0" collapsed="false">
      <c r="A984" s="21"/>
      <c r="B984" s="22"/>
      <c r="C984" s="21"/>
      <c r="D984" s="24"/>
      <c r="E984" s="22"/>
      <c r="F984" s="29" t="str">
        <f aca="false">IF(C984="","",IFERROR(INDEX(Produk!$J$2:$J$100,MATCH(C984,Produk!$A$2:$A$100,0)),"PRODUK?"))</f>
        <v/>
      </c>
      <c r="G984" s="29" t="str">
        <f aca="false">IF(A984="","",IF(COUNTIF(Anggota!$A$2:$A$2001,A984)=0,"TIDAK ADA","OK"))</f>
        <v/>
      </c>
    </row>
    <row r="985" customFormat="false" ht="15" hidden="false" customHeight="false" outlineLevel="0" collapsed="false">
      <c r="A985" s="21"/>
      <c r="B985" s="22"/>
      <c r="C985" s="21"/>
      <c r="D985" s="24"/>
      <c r="E985" s="22"/>
      <c r="F985" s="29" t="str">
        <f aca="false">IF(C985="","",IFERROR(INDEX(Produk!$J$2:$J$100,MATCH(C985,Produk!$A$2:$A$100,0)),"PRODUK?"))</f>
        <v/>
      </c>
      <c r="G985" s="29" t="str">
        <f aca="false">IF(A985="","",IF(COUNTIF(Anggota!$A$2:$A$2001,A985)=0,"TIDAK ADA","OK"))</f>
        <v/>
      </c>
    </row>
    <row r="986" customFormat="false" ht="15" hidden="false" customHeight="false" outlineLevel="0" collapsed="false">
      <c r="A986" s="21"/>
      <c r="B986" s="22"/>
      <c r="C986" s="21"/>
      <c r="D986" s="24"/>
      <c r="E986" s="22"/>
      <c r="F986" s="29" t="str">
        <f aca="false">IF(C986="","",IFERROR(INDEX(Produk!$J$2:$J$100,MATCH(C986,Produk!$A$2:$A$100,0)),"PRODUK?"))</f>
        <v/>
      </c>
      <c r="G986" s="29" t="str">
        <f aca="false">IF(A986="","",IF(COUNTIF(Anggota!$A$2:$A$2001,A986)=0,"TIDAK ADA","OK"))</f>
        <v/>
      </c>
    </row>
    <row r="987" customFormat="false" ht="15" hidden="false" customHeight="false" outlineLevel="0" collapsed="false">
      <c r="A987" s="21"/>
      <c r="B987" s="22"/>
      <c r="C987" s="21"/>
      <c r="D987" s="24"/>
      <c r="E987" s="22"/>
      <c r="F987" s="29" t="str">
        <f aca="false">IF(C987="","",IFERROR(INDEX(Produk!$J$2:$J$100,MATCH(C987,Produk!$A$2:$A$100,0)),"PRODUK?"))</f>
        <v/>
      </c>
      <c r="G987" s="29" t="str">
        <f aca="false">IF(A987="","",IF(COUNTIF(Anggota!$A$2:$A$2001,A987)=0,"TIDAK ADA","OK"))</f>
        <v/>
      </c>
    </row>
    <row r="988" customFormat="false" ht="15" hidden="false" customHeight="false" outlineLevel="0" collapsed="false">
      <c r="A988" s="21"/>
      <c r="B988" s="22"/>
      <c r="C988" s="21"/>
      <c r="D988" s="24"/>
      <c r="E988" s="22"/>
      <c r="F988" s="29" t="str">
        <f aca="false">IF(C988="","",IFERROR(INDEX(Produk!$J$2:$J$100,MATCH(C988,Produk!$A$2:$A$100,0)),"PRODUK?"))</f>
        <v/>
      </c>
      <c r="G988" s="29" t="str">
        <f aca="false">IF(A988="","",IF(COUNTIF(Anggota!$A$2:$A$2001,A988)=0,"TIDAK ADA","OK"))</f>
        <v/>
      </c>
    </row>
    <row r="989" customFormat="false" ht="15" hidden="false" customHeight="false" outlineLevel="0" collapsed="false">
      <c r="A989" s="21"/>
      <c r="B989" s="22"/>
      <c r="C989" s="21"/>
      <c r="D989" s="24"/>
      <c r="E989" s="22"/>
      <c r="F989" s="29" t="str">
        <f aca="false">IF(C989="","",IFERROR(INDEX(Produk!$J$2:$J$100,MATCH(C989,Produk!$A$2:$A$100,0)),"PRODUK?"))</f>
        <v/>
      </c>
      <c r="G989" s="29" t="str">
        <f aca="false">IF(A989="","",IF(COUNTIF(Anggota!$A$2:$A$2001,A989)=0,"TIDAK ADA","OK"))</f>
        <v/>
      </c>
    </row>
    <row r="990" customFormat="false" ht="15" hidden="false" customHeight="false" outlineLevel="0" collapsed="false">
      <c r="A990" s="21"/>
      <c r="B990" s="22"/>
      <c r="C990" s="21"/>
      <c r="D990" s="24"/>
      <c r="E990" s="22"/>
      <c r="F990" s="29" t="str">
        <f aca="false">IF(C990="","",IFERROR(INDEX(Produk!$J$2:$J$100,MATCH(C990,Produk!$A$2:$A$100,0)),"PRODUK?"))</f>
        <v/>
      </c>
      <c r="G990" s="29" t="str">
        <f aca="false">IF(A990="","",IF(COUNTIF(Anggota!$A$2:$A$2001,A990)=0,"TIDAK ADA","OK"))</f>
        <v/>
      </c>
    </row>
    <row r="991" customFormat="false" ht="15" hidden="false" customHeight="false" outlineLevel="0" collapsed="false">
      <c r="A991" s="21"/>
      <c r="B991" s="22"/>
      <c r="C991" s="21"/>
      <c r="D991" s="24"/>
      <c r="E991" s="22"/>
      <c r="F991" s="29" t="str">
        <f aca="false">IF(C991="","",IFERROR(INDEX(Produk!$J$2:$J$100,MATCH(C991,Produk!$A$2:$A$100,0)),"PRODUK?"))</f>
        <v/>
      </c>
      <c r="G991" s="29" t="str">
        <f aca="false">IF(A991="","",IF(COUNTIF(Anggota!$A$2:$A$2001,A991)=0,"TIDAK ADA","OK"))</f>
        <v/>
      </c>
    </row>
    <row r="992" customFormat="false" ht="15" hidden="false" customHeight="false" outlineLevel="0" collapsed="false">
      <c r="A992" s="21"/>
      <c r="B992" s="22"/>
      <c r="C992" s="21"/>
      <c r="D992" s="24"/>
      <c r="E992" s="22"/>
      <c r="F992" s="29" t="str">
        <f aca="false">IF(C992="","",IFERROR(INDEX(Produk!$J$2:$J$100,MATCH(C992,Produk!$A$2:$A$100,0)),"PRODUK?"))</f>
        <v/>
      </c>
      <c r="G992" s="29" t="str">
        <f aca="false">IF(A992="","",IF(COUNTIF(Anggota!$A$2:$A$2001,A992)=0,"TIDAK ADA","OK"))</f>
        <v/>
      </c>
    </row>
    <row r="993" customFormat="false" ht="15" hidden="false" customHeight="false" outlineLevel="0" collapsed="false">
      <c r="A993" s="21"/>
      <c r="B993" s="22"/>
      <c r="C993" s="21"/>
      <c r="D993" s="24"/>
      <c r="E993" s="22"/>
      <c r="F993" s="29" t="str">
        <f aca="false">IF(C993="","",IFERROR(INDEX(Produk!$J$2:$J$100,MATCH(C993,Produk!$A$2:$A$100,0)),"PRODUK?"))</f>
        <v/>
      </c>
      <c r="G993" s="29" t="str">
        <f aca="false">IF(A993="","",IF(COUNTIF(Anggota!$A$2:$A$2001,A993)=0,"TIDAK ADA","OK"))</f>
        <v/>
      </c>
    </row>
    <row r="994" customFormat="false" ht="15" hidden="false" customHeight="false" outlineLevel="0" collapsed="false">
      <c r="A994" s="21"/>
      <c r="B994" s="22"/>
      <c r="C994" s="21"/>
      <c r="D994" s="24"/>
      <c r="E994" s="22"/>
      <c r="F994" s="29" t="str">
        <f aca="false">IF(C994="","",IFERROR(INDEX(Produk!$J$2:$J$100,MATCH(C994,Produk!$A$2:$A$100,0)),"PRODUK?"))</f>
        <v/>
      </c>
      <c r="G994" s="29" t="str">
        <f aca="false">IF(A994="","",IF(COUNTIF(Anggota!$A$2:$A$2001,A994)=0,"TIDAK ADA","OK"))</f>
        <v/>
      </c>
    </row>
    <row r="995" customFormat="false" ht="15" hidden="false" customHeight="false" outlineLevel="0" collapsed="false">
      <c r="A995" s="21"/>
      <c r="B995" s="22"/>
      <c r="C995" s="21"/>
      <c r="D995" s="24"/>
      <c r="E995" s="22"/>
      <c r="F995" s="29" t="str">
        <f aca="false">IF(C995="","",IFERROR(INDEX(Produk!$J$2:$J$100,MATCH(C995,Produk!$A$2:$A$100,0)),"PRODUK?"))</f>
        <v/>
      </c>
      <c r="G995" s="29" t="str">
        <f aca="false">IF(A995="","",IF(COUNTIF(Anggota!$A$2:$A$2001,A995)=0,"TIDAK ADA","OK"))</f>
        <v/>
      </c>
    </row>
    <row r="996" customFormat="false" ht="15" hidden="false" customHeight="false" outlineLevel="0" collapsed="false">
      <c r="A996" s="21"/>
      <c r="B996" s="22"/>
      <c r="C996" s="21"/>
      <c r="D996" s="24"/>
      <c r="E996" s="22"/>
      <c r="F996" s="29" t="str">
        <f aca="false">IF(C996="","",IFERROR(INDEX(Produk!$J$2:$J$100,MATCH(C996,Produk!$A$2:$A$100,0)),"PRODUK?"))</f>
        <v/>
      </c>
      <c r="G996" s="29" t="str">
        <f aca="false">IF(A996="","",IF(COUNTIF(Anggota!$A$2:$A$2001,A996)=0,"TIDAK ADA","OK"))</f>
        <v/>
      </c>
    </row>
    <row r="997" customFormat="false" ht="15" hidden="false" customHeight="false" outlineLevel="0" collapsed="false">
      <c r="A997" s="21"/>
      <c r="B997" s="22"/>
      <c r="C997" s="21"/>
      <c r="D997" s="24"/>
      <c r="E997" s="22"/>
      <c r="F997" s="29" t="str">
        <f aca="false">IF(C997="","",IFERROR(INDEX(Produk!$J$2:$J$100,MATCH(C997,Produk!$A$2:$A$100,0)),"PRODUK?"))</f>
        <v/>
      </c>
      <c r="G997" s="29" t="str">
        <f aca="false">IF(A997="","",IF(COUNTIF(Anggota!$A$2:$A$2001,A997)=0,"TIDAK ADA","OK"))</f>
        <v/>
      </c>
    </row>
    <row r="998" customFormat="false" ht="15" hidden="false" customHeight="false" outlineLevel="0" collapsed="false">
      <c r="A998" s="21"/>
      <c r="B998" s="22"/>
      <c r="C998" s="21"/>
      <c r="D998" s="24"/>
      <c r="E998" s="22"/>
      <c r="F998" s="29" t="str">
        <f aca="false">IF(C998="","",IFERROR(INDEX(Produk!$J$2:$J$100,MATCH(C998,Produk!$A$2:$A$100,0)),"PRODUK?"))</f>
        <v/>
      </c>
      <c r="G998" s="29" t="str">
        <f aca="false">IF(A998="","",IF(COUNTIF(Anggota!$A$2:$A$2001,A998)=0,"TIDAK ADA","OK"))</f>
        <v/>
      </c>
    </row>
    <row r="999" customFormat="false" ht="15" hidden="false" customHeight="false" outlineLevel="0" collapsed="false">
      <c r="A999" s="21"/>
      <c r="B999" s="22"/>
      <c r="C999" s="21"/>
      <c r="D999" s="24"/>
      <c r="E999" s="22"/>
      <c r="F999" s="29" t="str">
        <f aca="false">IF(C999="","",IFERROR(INDEX(Produk!$J$2:$J$100,MATCH(C999,Produk!$A$2:$A$100,0)),"PRODUK?"))</f>
        <v/>
      </c>
      <c r="G999" s="29" t="str">
        <f aca="false">IF(A999="","",IF(COUNTIF(Anggota!$A$2:$A$2001,A999)=0,"TIDAK ADA","OK"))</f>
        <v/>
      </c>
    </row>
    <row r="1000" customFormat="false" ht="15" hidden="false" customHeight="false" outlineLevel="0" collapsed="false">
      <c r="A1000" s="21"/>
      <c r="B1000" s="22"/>
      <c r="C1000" s="21"/>
      <c r="D1000" s="24"/>
      <c r="E1000" s="22"/>
      <c r="F1000" s="29" t="str">
        <f aca="false">IF(C1000="","",IFERROR(INDEX(Produk!$J$2:$J$100,MATCH(C1000,Produk!$A$2:$A$100,0)),"PRODUK?"))</f>
        <v/>
      </c>
      <c r="G1000" s="29" t="str">
        <f aca="false">IF(A1000="","",IF(COUNTIF(Anggota!$A$2:$A$2001,A1000)=0,"TIDAK ADA","OK"))</f>
        <v/>
      </c>
    </row>
    <row r="1001" customFormat="false" ht="15" hidden="false" customHeight="false" outlineLevel="0" collapsed="false">
      <c r="A1001" s="21"/>
      <c r="B1001" s="22"/>
      <c r="C1001" s="21"/>
      <c r="D1001" s="24"/>
      <c r="E1001" s="22"/>
      <c r="F1001" s="29" t="str">
        <f aca="false">IF(C1001="","",IFERROR(INDEX(Produk!$J$2:$J$100,MATCH(C1001,Produk!$A$2:$A$100,0)),"PRODUK?"))</f>
        <v/>
      </c>
      <c r="G1001" s="29" t="str">
        <f aca="false">IF(A1001="","",IF(COUNTIF(Anggota!$A$2:$A$2001,A1001)=0,"TIDAK ADA","OK"))</f>
        <v/>
      </c>
    </row>
    <row r="1002" customFormat="false" ht="15" hidden="false" customHeight="false" outlineLevel="0" collapsed="false">
      <c r="A1002" s="21"/>
      <c r="B1002" s="22"/>
      <c r="C1002" s="21"/>
      <c r="D1002" s="24"/>
      <c r="E1002" s="22"/>
      <c r="F1002" s="29" t="str">
        <f aca="false">IF(C1002="","",IFERROR(INDEX(Produk!$J$2:$J$100,MATCH(C1002,Produk!$A$2:$A$100,0)),"PRODUK?"))</f>
        <v/>
      </c>
      <c r="G1002" s="29" t="str">
        <f aca="false">IF(A1002="","",IF(COUNTIF(Anggota!$A$2:$A$2001,A1002)=0,"TIDAK ADA","OK"))</f>
        <v/>
      </c>
    </row>
    <row r="1003" customFormat="false" ht="15" hidden="false" customHeight="false" outlineLevel="0" collapsed="false">
      <c r="A1003" s="21"/>
      <c r="B1003" s="22"/>
      <c r="C1003" s="21"/>
      <c r="D1003" s="24"/>
      <c r="E1003" s="22"/>
      <c r="F1003" s="29" t="str">
        <f aca="false">IF(C1003="","",IFERROR(INDEX(Produk!$J$2:$J$100,MATCH(C1003,Produk!$A$2:$A$100,0)),"PRODUK?"))</f>
        <v/>
      </c>
      <c r="G1003" s="29" t="str">
        <f aca="false">IF(A1003="","",IF(COUNTIF(Anggota!$A$2:$A$2001,A1003)=0,"TIDAK ADA","OK"))</f>
        <v/>
      </c>
    </row>
    <row r="1004" customFormat="false" ht="15" hidden="false" customHeight="false" outlineLevel="0" collapsed="false">
      <c r="A1004" s="21"/>
      <c r="B1004" s="22"/>
      <c r="C1004" s="21"/>
      <c r="D1004" s="24"/>
      <c r="E1004" s="22"/>
      <c r="F1004" s="29" t="str">
        <f aca="false">IF(C1004="","",IFERROR(INDEX(Produk!$J$2:$J$100,MATCH(C1004,Produk!$A$2:$A$100,0)),"PRODUK?"))</f>
        <v/>
      </c>
      <c r="G1004" s="29" t="str">
        <f aca="false">IF(A1004="","",IF(COUNTIF(Anggota!$A$2:$A$2001,A1004)=0,"TIDAK ADA","OK"))</f>
        <v/>
      </c>
    </row>
    <row r="1005" customFormat="false" ht="15" hidden="false" customHeight="false" outlineLevel="0" collapsed="false">
      <c r="A1005" s="21"/>
      <c r="B1005" s="22"/>
      <c r="C1005" s="21"/>
      <c r="D1005" s="24"/>
      <c r="E1005" s="22"/>
      <c r="F1005" s="29" t="str">
        <f aca="false">IF(C1005="","",IFERROR(INDEX(Produk!$J$2:$J$100,MATCH(C1005,Produk!$A$2:$A$100,0)),"PRODUK?"))</f>
        <v/>
      </c>
      <c r="G1005" s="29" t="str">
        <f aca="false">IF(A1005="","",IF(COUNTIF(Anggota!$A$2:$A$2001,A1005)=0,"TIDAK ADA","OK"))</f>
        <v/>
      </c>
    </row>
    <row r="1006" customFormat="false" ht="15" hidden="false" customHeight="false" outlineLevel="0" collapsed="false">
      <c r="A1006" s="21"/>
      <c r="B1006" s="22"/>
      <c r="C1006" s="21"/>
      <c r="D1006" s="24"/>
      <c r="E1006" s="22"/>
      <c r="F1006" s="29" t="str">
        <f aca="false">IF(C1006="","",IFERROR(INDEX(Produk!$J$2:$J$100,MATCH(C1006,Produk!$A$2:$A$100,0)),"PRODUK?"))</f>
        <v/>
      </c>
      <c r="G1006" s="29" t="str">
        <f aca="false">IF(A1006="","",IF(COUNTIF(Anggota!$A$2:$A$2001,A1006)=0,"TIDAK ADA","OK"))</f>
        <v/>
      </c>
    </row>
    <row r="1007" customFormat="false" ht="15" hidden="false" customHeight="false" outlineLevel="0" collapsed="false">
      <c r="A1007" s="21"/>
      <c r="B1007" s="22"/>
      <c r="C1007" s="21"/>
      <c r="D1007" s="24"/>
      <c r="E1007" s="22"/>
      <c r="F1007" s="29" t="str">
        <f aca="false">IF(C1007="","",IFERROR(INDEX(Produk!$J$2:$J$100,MATCH(C1007,Produk!$A$2:$A$100,0)),"PRODUK?"))</f>
        <v/>
      </c>
      <c r="G1007" s="29" t="str">
        <f aca="false">IF(A1007="","",IF(COUNTIF(Anggota!$A$2:$A$2001,A1007)=0,"TIDAK ADA","OK"))</f>
        <v/>
      </c>
    </row>
    <row r="1008" customFormat="false" ht="15" hidden="false" customHeight="false" outlineLevel="0" collapsed="false">
      <c r="A1008" s="21"/>
      <c r="B1008" s="22"/>
      <c r="C1008" s="21"/>
      <c r="D1008" s="24"/>
      <c r="E1008" s="22"/>
      <c r="F1008" s="29" t="str">
        <f aca="false">IF(C1008="","",IFERROR(INDEX(Produk!$J$2:$J$100,MATCH(C1008,Produk!$A$2:$A$100,0)),"PRODUK?"))</f>
        <v/>
      </c>
      <c r="G1008" s="29" t="str">
        <f aca="false">IF(A1008="","",IF(COUNTIF(Anggota!$A$2:$A$2001,A1008)=0,"TIDAK ADA","OK"))</f>
        <v/>
      </c>
    </row>
    <row r="1009" customFormat="false" ht="15" hidden="false" customHeight="false" outlineLevel="0" collapsed="false">
      <c r="A1009" s="21"/>
      <c r="B1009" s="22"/>
      <c r="C1009" s="21"/>
      <c r="D1009" s="24"/>
      <c r="E1009" s="22"/>
      <c r="F1009" s="29" t="str">
        <f aca="false">IF(C1009="","",IFERROR(INDEX(Produk!$J$2:$J$100,MATCH(C1009,Produk!$A$2:$A$100,0)),"PRODUK?"))</f>
        <v/>
      </c>
      <c r="G1009" s="29" t="str">
        <f aca="false">IF(A1009="","",IF(COUNTIF(Anggota!$A$2:$A$2001,A1009)=0,"TIDAK ADA","OK"))</f>
        <v/>
      </c>
    </row>
    <row r="1010" customFormat="false" ht="15" hidden="false" customHeight="false" outlineLevel="0" collapsed="false">
      <c r="A1010" s="21"/>
      <c r="B1010" s="22"/>
      <c r="C1010" s="21"/>
      <c r="D1010" s="24"/>
      <c r="E1010" s="22"/>
      <c r="F1010" s="29" t="str">
        <f aca="false">IF(C1010="","",IFERROR(INDEX(Produk!$J$2:$J$100,MATCH(C1010,Produk!$A$2:$A$100,0)),"PRODUK?"))</f>
        <v/>
      </c>
      <c r="G1010" s="29" t="str">
        <f aca="false">IF(A1010="","",IF(COUNTIF(Anggota!$A$2:$A$2001,A1010)=0,"TIDAK ADA","OK"))</f>
        <v/>
      </c>
    </row>
    <row r="1011" customFormat="false" ht="15" hidden="false" customHeight="false" outlineLevel="0" collapsed="false">
      <c r="A1011" s="21"/>
      <c r="B1011" s="22"/>
      <c r="C1011" s="21"/>
      <c r="D1011" s="24"/>
      <c r="E1011" s="22"/>
      <c r="F1011" s="29" t="str">
        <f aca="false">IF(C1011="","",IFERROR(INDEX(Produk!$J$2:$J$100,MATCH(C1011,Produk!$A$2:$A$100,0)),"PRODUK?"))</f>
        <v/>
      </c>
      <c r="G1011" s="29" t="str">
        <f aca="false">IF(A1011="","",IF(COUNTIF(Anggota!$A$2:$A$2001,A1011)=0,"TIDAK ADA","OK"))</f>
        <v/>
      </c>
    </row>
    <row r="1012" customFormat="false" ht="15" hidden="false" customHeight="false" outlineLevel="0" collapsed="false">
      <c r="A1012" s="21"/>
      <c r="B1012" s="22"/>
      <c r="C1012" s="21"/>
      <c r="D1012" s="24"/>
      <c r="E1012" s="22"/>
      <c r="F1012" s="29" t="str">
        <f aca="false">IF(C1012="","",IFERROR(INDEX(Produk!$J$2:$J$100,MATCH(C1012,Produk!$A$2:$A$100,0)),"PRODUK?"))</f>
        <v/>
      </c>
      <c r="G1012" s="29" t="str">
        <f aca="false">IF(A1012="","",IF(COUNTIF(Anggota!$A$2:$A$2001,A1012)=0,"TIDAK ADA","OK"))</f>
        <v/>
      </c>
    </row>
    <row r="1013" customFormat="false" ht="15" hidden="false" customHeight="false" outlineLevel="0" collapsed="false">
      <c r="A1013" s="21"/>
      <c r="B1013" s="22"/>
      <c r="C1013" s="21"/>
      <c r="D1013" s="24"/>
      <c r="E1013" s="22"/>
      <c r="F1013" s="29" t="str">
        <f aca="false">IF(C1013="","",IFERROR(INDEX(Produk!$J$2:$J$100,MATCH(C1013,Produk!$A$2:$A$100,0)),"PRODUK?"))</f>
        <v/>
      </c>
      <c r="G1013" s="29" t="str">
        <f aca="false">IF(A1013="","",IF(COUNTIF(Anggota!$A$2:$A$2001,A1013)=0,"TIDAK ADA","OK"))</f>
        <v/>
      </c>
    </row>
    <row r="1014" customFormat="false" ht="15" hidden="false" customHeight="false" outlineLevel="0" collapsed="false">
      <c r="A1014" s="21"/>
      <c r="B1014" s="22"/>
      <c r="C1014" s="21"/>
      <c r="D1014" s="24"/>
      <c r="E1014" s="22"/>
      <c r="F1014" s="29" t="str">
        <f aca="false">IF(C1014="","",IFERROR(INDEX(Produk!$J$2:$J$100,MATCH(C1014,Produk!$A$2:$A$100,0)),"PRODUK?"))</f>
        <v/>
      </c>
      <c r="G1014" s="29" t="str">
        <f aca="false">IF(A1014="","",IF(COUNTIF(Anggota!$A$2:$A$2001,A1014)=0,"TIDAK ADA","OK"))</f>
        <v/>
      </c>
    </row>
    <row r="1015" customFormat="false" ht="15" hidden="false" customHeight="false" outlineLevel="0" collapsed="false">
      <c r="A1015" s="21"/>
      <c r="B1015" s="22"/>
      <c r="C1015" s="21"/>
      <c r="D1015" s="24"/>
      <c r="E1015" s="22"/>
      <c r="F1015" s="29" t="str">
        <f aca="false">IF(C1015="","",IFERROR(INDEX(Produk!$J$2:$J$100,MATCH(C1015,Produk!$A$2:$A$100,0)),"PRODUK?"))</f>
        <v/>
      </c>
      <c r="G1015" s="29" t="str">
        <f aca="false">IF(A1015="","",IF(COUNTIF(Anggota!$A$2:$A$2001,A1015)=0,"TIDAK ADA","OK"))</f>
        <v/>
      </c>
    </row>
    <row r="1016" customFormat="false" ht="15" hidden="false" customHeight="false" outlineLevel="0" collapsed="false">
      <c r="A1016" s="21"/>
      <c r="B1016" s="22"/>
      <c r="C1016" s="21"/>
      <c r="D1016" s="24"/>
      <c r="E1016" s="22"/>
      <c r="F1016" s="29" t="str">
        <f aca="false">IF(C1016="","",IFERROR(INDEX(Produk!$J$2:$J$100,MATCH(C1016,Produk!$A$2:$A$100,0)),"PRODUK?"))</f>
        <v/>
      </c>
      <c r="G1016" s="29" t="str">
        <f aca="false">IF(A1016="","",IF(COUNTIF(Anggota!$A$2:$A$2001,A1016)=0,"TIDAK ADA","OK"))</f>
        <v/>
      </c>
    </row>
    <row r="1017" customFormat="false" ht="15" hidden="false" customHeight="false" outlineLevel="0" collapsed="false">
      <c r="A1017" s="21"/>
      <c r="B1017" s="22"/>
      <c r="C1017" s="21"/>
      <c r="D1017" s="24"/>
      <c r="E1017" s="22"/>
      <c r="F1017" s="29" t="str">
        <f aca="false">IF(C1017="","",IFERROR(INDEX(Produk!$J$2:$J$100,MATCH(C1017,Produk!$A$2:$A$100,0)),"PRODUK?"))</f>
        <v/>
      </c>
      <c r="G1017" s="29" t="str">
        <f aca="false">IF(A1017="","",IF(COUNTIF(Anggota!$A$2:$A$2001,A1017)=0,"TIDAK ADA","OK"))</f>
        <v/>
      </c>
    </row>
    <row r="1018" customFormat="false" ht="15" hidden="false" customHeight="false" outlineLevel="0" collapsed="false">
      <c r="A1018" s="21"/>
      <c r="B1018" s="22"/>
      <c r="C1018" s="21"/>
      <c r="D1018" s="24"/>
      <c r="E1018" s="22"/>
      <c r="F1018" s="29" t="str">
        <f aca="false">IF(C1018="","",IFERROR(INDEX(Produk!$J$2:$J$100,MATCH(C1018,Produk!$A$2:$A$100,0)),"PRODUK?"))</f>
        <v/>
      </c>
      <c r="G1018" s="29" t="str">
        <f aca="false">IF(A1018="","",IF(COUNTIF(Anggota!$A$2:$A$2001,A1018)=0,"TIDAK ADA","OK"))</f>
        <v/>
      </c>
    </row>
    <row r="1019" customFormat="false" ht="15" hidden="false" customHeight="false" outlineLevel="0" collapsed="false">
      <c r="A1019" s="21"/>
      <c r="B1019" s="22"/>
      <c r="C1019" s="21"/>
      <c r="D1019" s="24"/>
      <c r="E1019" s="22"/>
      <c r="F1019" s="29" t="str">
        <f aca="false">IF(C1019="","",IFERROR(INDEX(Produk!$J$2:$J$100,MATCH(C1019,Produk!$A$2:$A$100,0)),"PRODUK?"))</f>
        <v/>
      </c>
      <c r="G1019" s="29" t="str">
        <f aca="false">IF(A1019="","",IF(COUNTIF(Anggota!$A$2:$A$2001,A1019)=0,"TIDAK ADA","OK"))</f>
        <v/>
      </c>
    </row>
    <row r="1020" customFormat="false" ht="15" hidden="false" customHeight="false" outlineLevel="0" collapsed="false">
      <c r="A1020" s="21"/>
      <c r="B1020" s="22"/>
      <c r="C1020" s="21"/>
      <c r="D1020" s="24"/>
      <c r="E1020" s="22"/>
      <c r="F1020" s="29" t="str">
        <f aca="false">IF(C1020="","",IFERROR(INDEX(Produk!$J$2:$J$100,MATCH(C1020,Produk!$A$2:$A$100,0)),"PRODUK?"))</f>
        <v/>
      </c>
      <c r="G1020" s="29" t="str">
        <f aca="false">IF(A1020="","",IF(COUNTIF(Anggota!$A$2:$A$2001,A1020)=0,"TIDAK ADA","OK"))</f>
        <v/>
      </c>
    </row>
    <row r="1021" customFormat="false" ht="15" hidden="false" customHeight="false" outlineLevel="0" collapsed="false">
      <c r="A1021" s="21"/>
      <c r="B1021" s="22"/>
      <c r="C1021" s="21"/>
      <c r="D1021" s="24"/>
      <c r="E1021" s="22"/>
      <c r="F1021" s="29" t="str">
        <f aca="false">IF(C1021="","",IFERROR(INDEX(Produk!$J$2:$J$100,MATCH(C1021,Produk!$A$2:$A$100,0)),"PRODUK?"))</f>
        <v/>
      </c>
      <c r="G1021" s="29" t="str">
        <f aca="false">IF(A1021="","",IF(COUNTIF(Anggota!$A$2:$A$2001,A1021)=0,"TIDAK ADA","OK"))</f>
        <v/>
      </c>
    </row>
    <row r="1022" customFormat="false" ht="15" hidden="false" customHeight="false" outlineLevel="0" collapsed="false">
      <c r="A1022" s="21"/>
      <c r="B1022" s="22"/>
      <c r="C1022" s="21"/>
      <c r="D1022" s="24"/>
      <c r="E1022" s="22"/>
      <c r="F1022" s="29" t="str">
        <f aca="false">IF(C1022="","",IFERROR(INDEX(Produk!$J$2:$J$100,MATCH(C1022,Produk!$A$2:$A$100,0)),"PRODUK?"))</f>
        <v/>
      </c>
      <c r="G1022" s="29" t="str">
        <f aca="false">IF(A1022="","",IF(COUNTIF(Anggota!$A$2:$A$2001,A1022)=0,"TIDAK ADA","OK"))</f>
        <v/>
      </c>
    </row>
    <row r="1023" customFormat="false" ht="15" hidden="false" customHeight="false" outlineLevel="0" collapsed="false">
      <c r="A1023" s="21"/>
      <c r="B1023" s="22"/>
      <c r="C1023" s="21"/>
      <c r="D1023" s="24"/>
      <c r="E1023" s="22"/>
      <c r="F1023" s="29" t="str">
        <f aca="false">IF(C1023="","",IFERROR(INDEX(Produk!$J$2:$J$100,MATCH(C1023,Produk!$A$2:$A$100,0)),"PRODUK?"))</f>
        <v/>
      </c>
      <c r="G1023" s="29" t="str">
        <f aca="false">IF(A1023="","",IF(COUNTIF(Anggota!$A$2:$A$2001,A1023)=0,"TIDAK ADA","OK"))</f>
        <v/>
      </c>
    </row>
    <row r="1024" customFormat="false" ht="15" hidden="false" customHeight="false" outlineLevel="0" collapsed="false">
      <c r="A1024" s="21"/>
      <c r="B1024" s="22"/>
      <c r="C1024" s="21"/>
      <c r="D1024" s="24"/>
      <c r="E1024" s="22"/>
      <c r="F1024" s="29" t="str">
        <f aca="false">IF(C1024="","",IFERROR(INDEX(Produk!$J$2:$J$100,MATCH(C1024,Produk!$A$2:$A$100,0)),"PRODUK?"))</f>
        <v/>
      </c>
      <c r="G1024" s="29" t="str">
        <f aca="false">IF(A1024="","",IF(COUNTIF(Anggota!$A$2:$A$2001,A1024)=0,"TIDAK ADA","OK"))</f>
        <v/>
      </c>
    </row>
    <row r="1025" customFormat="false" ht="15" hidden="false" customHeight="false" outlineLevel="0" collapsed="false">
      <c r="A1025" s="21"/>
      <c r="B1025" s="22"/>
      <c r="C1025" s="21"/>
      <c r="D1025" s="24"/>
      <c r="E1025" s="22"/>
      <c r="F1025" s="29" t="str">
        <f aca="false">IF(C1025="","",IFERROR(INDEX(Produk!$J$2:$J$100,MATCH(C1025,Produk!$A$2:$A$100,0)),"PRODUK?"))</f>
        <v/>
      </c>
      <c r="G1025" s="29" t="str">
        <f aca="false">IF(A1025="","",IF(COUNTIF(Anggota!$A$2:$A$2001,A1025)=0,"TIDAK ADA","OK"))</f>
        <v/>
      </c>
    </row>
    <row r="1026" customFormat="false" ht="15" hidden="false" customHeight="false" outlineLevel="0" collapsed="false">
      <c r="A1026" s="21"/>
      <c r="B1026" s="22"/>
      <c r="C1026" s="21"/>
      <c r="D1026" s="24"/>
      <c r="E1026" s="22"/>
      <c r="F1026" s="29" t="str">
        <f aca="false">IF(C1026="","",IFERROR(INDEX(Produk!$J$2:$J$100,MATCH(C1026,Produk!$A$2:$A$100,0)),"PRODUK?"))</f>
        <v/>
      </c>
      <c r="G1026" s="29" t="str">
        <f aca="false">IF(A1026="","",IF(COUNTIF(Anggota!$A$2:$A$2001,A1026)=0,"TIDAK ADA","OK"))</f>
        <v/>
      </c>
    </row>
    <row r="1027" customFormat="false" ht="15" hidden="false" customHeight="false" outlineLevel="0" collapsed="false">
      <c r="A1027" s="21"/>
      <c r="B1027" s="22"/>
      <c r="C1027" s="21"/>
      <c r="D1027" s="24"/>
      <c r="E1027" s="22"/>
      <c r="F1027" s="29" t="str">
        <f aca="false">IF(C1027="","",IFERROR(INDEX(Produk!$J$2:$J$100,MATCH(C1027,Produk!$A$2:$A$100,0)),"PRODUK?"))</f>
        <v/>
      </c>
      <c r="G1027" s="29" t="str">
        <f aca="false">IF(A1027="","",IF(COUNTIF(Anggota!$A$2:$A$2001,A1027)=0,"TIDAK ADA","OK"))</f>
        <v/>
      </c>
    </row>
    <row r="1028" customFormat="false" ht="15" hidden="false" customHeight="false" outlineLevel="0" collapsed="false">
      <c r="A1028" s="21"/>
      <c r="B1028" s="22"/>
      <c r="C1028" s="21"/>
      <c r="D1028" s="24"/>
      <c r="E1028" s="22"/>
      <c r="F1028" s="29" t="str">
        <f aca="false">IF(C1028="","",IFERROR(INDEX(Produk!$J$2:$J$100,MATCH(C1028,Produk!$A$2:$A$100,0)),"PRODUK?"))</f>
        <v/>
      </c>
      <c r="G1028" s="29" t="str">
        <f aca="false">IF(A1028="","",IF(COUNTIF(Anggota!$A$2:$A$2001,A1028)=0,"TIDAK ADA","OK"))</f>
        <v/>
      </c>
    </row>
    <row r="1029" customFormat="false" ht="15" hidden="false" customHeight="false" outlineLevel="0" collapsed="false">
      <c r="A1029" s="21"/>
      <c r="B1029" s="22"/>
      <c r="C1029" s="21"/>
      <c r="D1029" s="24"/>
      <c r="E1029" s="22"/>
      <c r="F1029" s="29" t="str">
        <f aca="false">IF(C1029="","",IFERROR(INDEX(Produk!$J$2:$J$100,MATCH(C1029,Produk!$A$2:$A$100,0)),"PRODUK?"))</f>
        <v/>
      </c>
      <c r="G1029" s="29" t="str">
        <f aca="false">IF(A1029="","",IF(COUNTIF(Anggota!$A$2:$A$2001,A1029)=0,"TIDAK ADA","OK"))</f>
        <v/>
      </c>
    </row>
    <row r="1030" customFormat="false" ht="15" hidden="false" customHeight="false" outlineLevel="0" collapsed="false">
      <c r="A1030" s="21"/>
      <c r="B1030" s="22"/>
      <c r="C1030" s="21"/>
      <c r="D1030" s="24"/>
      <c r="E1030" s="22"/>
      <c r="F1030" s="29" t="str">
        <f aca="false">IF(C1030="","",IFERROR(INDEX(Produk!$J$2:$J$100,MATCH(C1030,Produk!$A$2:$A$100,0)),"PRODUK?"))</f>
        <v/>
      </c>
      <c r="G1030" s="29" t="str">
        <f aca="false">IF(A1030="","",IF(COUNTIF(Anggota!$A$2:$A$2001,A1030)=0,"TIDAK ADA","OK"))</f>
        <v/>
      </c>
    </row>
    <row r="1031" customFormat="false" ht="15" hidden="false" customHeight="false" outlineLevel="0" collapsed="false">
      <c r="A1031" s="21"/>
      <c r="B1031" s="22"/>
      <c r="C1031" s="21"/>
      <c r="D1031" s="24"/>
      <c r="E1031" s="22"/>
      <c r="F1031" s="29" t="str">
        <f aca="false">IF(C1031="","",IFERROR(INDEX(Produk!$J$2:$J$100,MATCH(C1031,Produk!$A$2:$A$100,0)),"PRODUK?"))</f>
        <v/>
      </c>
      <c r="G1031" s="29" t="str">
        <f aca="false">IF(A1031="","",IF(COUNTIF(Anggota!$A$2:$A$2001,A1031)=0,"TIDAK ADA","OK"))</f>
        <v/>
      </c>
    </row>
    <row r="1032" customFormat="false" ht="15" hidden="false" customHeight="false" outlineLevel="0" collapsed="false">
      <c r="A1032" s="21"/>
      <c r="B1032" s="22"/>
      <c r="C1032" s="21"/>
      <c r="D1032" s="24"/>
      <c r="E1032" s="22"/>
      <c r="F1032" s="29" t="str">
        <f aca="false">IF(C1032="","",IFERROR(INDEX(Produk!$J$2:$J$100,MATCH(C1032,Produk!$A$2:$A$100,0)),"PRODUK?"))</f>
        <v/>
      </c>
      <c r="G1032" s="29" t="str">
        <f aca="false">IF(A1032="","",IF(COUNTIF(Anggota!$A$2:$A$2001,A1032)=0,"TIDAK ADA","OK"))</f>
        <v/>
      </c>
    </row>
    <row r="1033" customFormat="false" ht="15" hidden="false" customHeight="false" outlineLevel="0" collapsed="false">
      <c r="A1033" s="21"/>
      <c r="B1033" s="22"/>
      <c r="C1033" s="21"/>
      <c r="D1033" s="24"/>
      <c r="E1033" s="22"/>
      <c r="F1033" s="29" t="str">
        <f aca="false">IF(C1033="","",IFERROR(INDEX(Produk!$J$2:$J$100,MATCH(C1033,Produk!$A$2:$A$100,0)),"PRODUK?"))</f>
        <v/>
      </c>
      <c r="G1033" s="29" t="str">
        <f aca="false">IF(A1033="","",IF(COUNTIF(Anggota!$A$2:$A$2001,A1033)=0,"TIDAK ADA","OK"))</f>
        <v/>
      </c>
    </row>
    <row r="1034" customFormat="false" ht="15" hidden="false" customHeight="false" outlineLevel="0" collapsed="false">
      <c r="A1034" s="21"/>
      <c r="B1034" s="22"/>
      <c r="C1034" s="21"/>
      <c r="D1034" s="24"/>
      <c r="E1034" s="22"/>
      <c r="F1034" s="29" t="str">
        <f aca="false">IF(C1034="","",IFERROR(INDEX(Produk!$J$2:$J$100,MATCH(C1034,Produk!$A$2:$A$100,0)),"PRODUK?"))</f>
        <v/>
      </c>
      <c r="G1034" s="29" t="str">
        <f aca="false">IF(A1034="","",IF(COUNTIF(Anggota!$A$2:$A$2001,A1034)=0,"TIDAK ADA","OK"))</f>
        <v/>
      </c>
    </row>
    <row r="1035" customFormat="false" ht="15" hidden="false" customHeight="false" outlineLevel="0" collapsed="false">
      <c r="A1035" s="21"/>
      <c r="B1035" s="22"/>
      <c r="C1035" s="21"/>
      <c r="D1035" s="24"/>
      <c r="E1035" s="22"/>
      <c r="F1035" s="29" t="str">
        <f aca="false">IF(C1035="","",IFERROR(INDEX(Produk!$J$2:$J$100,MATCH(C1035,Produk!$A$2:$A$100,0)),"PRODUK?"))</f>
        <v/>
      </c>
      <c r="G1035" s="29" t="str">
        <f aca="false">IF(A1035="","",IF(COUNTIF(Anggota!$A$2:$A$2001,A1035)=0,"TIDAK ADA","OK"))</f>
        <v/>
      </c>
    </row>
    <row r="1036" customFormat="false" ht="15" hidden="false" customHeight="false" outlineLevel="0" collapsed="false">
      <c r="A1036" s="21"/>
      <c r="B1036" s="22"/>
      <c r="C1036" s="21"/>
      <c r="D1036" s="24"/>
      <c r="E1036" s="22"/>
      <c r="F1036" s="29" t="str">
        <f aca="false">IF(C1036="","",IFERROR(INDEX(Produk!$J$2:$J$100,MATCH(C1036,Produk!$A$2:$A$100,0)),"PRODUK?"))</f>
        <v/>
      </c>
      <c r="G1036" s="29" t="str">
        <f aca="false">IF(A1036="","",IF(COUNTIF(Anggota!$A$2:$A$2001,A1036)=0,"TIDAK ADA","OK"))</f>
        <v/>
      </c>
    </row>
    <row r="1037" customFormat="false" ht="15" hidden="false" customHeight="false" outlineLevel="0" collapsed="false">
      <c r="A1037" s="21"/>
      <c r="B1037" s="22"/>
      <c r="C1037" s="21"/>
      <c r="D1037" s="24"/>
      <c r="E1037" s="22"/>
      <c r="F1037" s="29" t="str">
        <f aca="false">IF(C1037="","",IFERROR(INDEX(Produk!$J$2:$J$100,MATCH(C1037,Produk!$A$2:$A$100,0)),"PRODUK?"))</f>
        <v/>
      </c>
      <c r="G1037" s="29" t="str">
        <f aca="false">IF(A1037="","",IF(COUNTIF(Anggota!$A$2:$A$2001,A1037)=0,"TIDAK ADA","OK"))</f>
        <v/>
      </c>
    </row>
    <row r="1038" customFormat="false" ht="15" hidden="false" customHeight="false" outlineLevel="0" collapsed="false">
      <c r="A1038" s="21"/>
      <c r="B1038" s="22"/>
      <c r="C1038" s="21"/>
      <c r="D1038" s="24"/>
      <c r="E1038" s="22"/>
      <c r="F1038" s="29" t="str">
        <f aca="false">IF(C1038="","",IFERROR(INDEX(Produk!$J$2:$J$100,MATCH(C1038,Produk!$A$2:$A$100,0)),"PRODUK?"))</f>
        <v/>
      </c>
      <c r="G1038" s="29" t="str">
        <f aca="false">IF(A1038="","",IF(COUNTIF(Anggota!$A$2:$A$2001,A1038)=0,"TIDAK ADA","OK"))</f>
        <v/>
      </c>
    </row>
    <row r="1039" customFormat="false" ht="15" hidden="false" customHeight="false" outlineLevel="0" collapsed="false">
      <c r="A1039" s="21"/>
      <c r="B1039" s="22"/>
      <c r="C1039" s="21"/>
      <c r="D1039" s="24"/>
      <c r="E1039" s="22"/>
      <c r="F1039" s="29" t="str">
        <f aca="false">IF(C1039="","",IFERROR(INDEX(Produk!$J$2:$J$100,MATCH(C1039,Produk!$A$2:$A$100,0)),"PRODUK?"))</f>
        <v/>
      </c>
      <c r="G1039" s="29" t="str">
        <f aca="false">IF(A1039="","",IF(COUNTIF(Anggota!$A$2:$A$2001,A1039)=0,"TIDAK ADA","OK"))</f>
        <v/>
      </c>
    </row>
    <row r="1040" customFormat="false" ht="15" hidden="false" customHeight="false" outlineLevel="0" collapsed="false">
      <c r="A1040" s="21"/>
      <c r="B1040" s="22"/>
      <c r="C1040" s="21"/>
      <c r="D1040" s="24"/>
      <c r="E1040" s="22"/>
      <c r="F1040" s="29" t="str">
        <f aca="false">IF(C1040="","",IFERROR(INDEX(Produk!$J$2:$J$100,MATCH(C1040,Produk!$A$2:$A$100,0)),"PRODUK?"))</f>
        <v/>
      </c>
      <c r="G1040" s="29" t="str">
        <f aca="false">IF(A1040="","",IF(COUNTIF(Anggota!$A$2:$A$2001,A1040)=0,"TIDAK ADA","OK"))</f>
        <v/>
      </c>
    </row>
    <row r="1041" customFormat="false" ht="15" hidden="false" customHeight="false" outlineLevel="0" collapsed="false">
      <c r="A1041" s="21"/>
      <c r="B1041" s="22"/>
      <c r="C1041" s="21"/>
      <c r="D1041" s="24"/>
      <c r="E1041" s="22"/>
      <c r="F1041" s="29" t="str">
        <f aca="false">IF(C1041="","",IFERROR(INDEX(Produk!$J$2:$J$100,MATCH(C1041,Produk!$A$2:$A$100,0)),"PRODUK?"))</f>
        <v/>
      </c>
      <c r="G1041" s="29" t="str">
        <f aca="false">IF(A1041="","",IF(COUNTIF(Anggota!$A$2:$A$2001,A1041)=0,"TIDAK ADA","OK"))</f>
        <v/>
      </c>
    </row>
    <row r="1042" customFormat="false" ht="15" hidden="false" customHeight="false" outlineLevel="0" collapsed="false">
      <c r="A1042" s="21"/>
      <c r="B1042" s="22"/>
      <c r="C1042" s="21"/>
      <c r="D1042" s="24"/>
      <c r="E1042" s="22"/>
      <c r="F1042" s="29" t="str">
        <f aca="false">IF(C1042="","",IFERROR(INDEX(Produk!$J$2:$J$100,MATCH(C1042,Produk!$A$2:$A$100,0)),"PRODUK?"))</f>
        <v/>
      </c>
      <c r="G1042" s="29" t="str">
        <f aca="false">IF(A1042="","",IF(COUNTIF(Anggota!$A$2:$A$2001,A1042)=0,"TIDAK ADA","OK"))</f>
        <v/>
      </c>
    </row>
    <row r="1043" customFormat="false" ht="15" hidden="false" customHeight="false" outlineLevel="0" collapsed="false">
      <c r="A1043" s="21"/>
      <c r="B1043" s="22"/>
      <c r="C1043" s="21"/>
      <c r="D1043" s="24"/>
      <c r="E1043" s="22"/>
      <c r="F1043" s="29" t="str">
        <f aca="false">IF(C1043="","",IFERROR(INDEX(Produk!$J$2:$J$100,MATCH(C1043,Produk!$A$2:$A$100,0)),"PRODUK?"))</f>
        <v/>
      </c>
      <c r="G1043" s="29" t="str">
        <f aca="false">IF(A1043="","",IF(COUNTIF(Anggota!$A$2:$A$2001,A1043)=0,"TIDAK ADA","OK"))</f>
        <v/>
      </c>
    </row>
    <row r="1044" customFormat="false" ht="15" hidden="false" customHeight="false" outlineLevel="0" collapsed="false">
      <c r="A1044" s="21"/>
      <c r="B1044" s="22"/>
      <c r="C1044" s="21"/>
      <c r="D1044" s="24"/>
      <c r="E1044" s="22"/>
      <c r="F1044" s="29" t="str">
        <f aca="false">IF(C1044="","",IFERROR(INDEX(Produk!$J$2:$J$100,MATCH(C1044,Produk!$A$2:$A$100,0)),"PRODUK?"))</f>
        <v/>
      </c>
      <c r="G1044" s="29" t="str">
        <f aca="false">IF(A1044="","",IF(COUNTIF(Anggota!$A$2:$A$2001,A1044)=0,"TIDAK ADA","OK"))</f>
        <v/>
      </c>
    </row>
    <row r="1045" customFormat="false" ht="15" hidden="false" customHeight="false" outlineLevel="0" collapsed="false">
      <c r="A1045" s="21"/>
      <c r="B1045" s="22"/>
      <c r="C1045" s="21"/>
      <c r="D1045" s="24"/>
      <c r="E1045" s="22"/>
      <c r="F1045" s="29" t="str">
        <f aca="false">IF(C1045="","",IFERROR(INDEX(Produk!$J$2:$J$100,MATCH(C1045,Produk!$A$2:$A$100,0)),"PRODUK?"))</f>
        <v/>
      </c>
      <c r="G1045" s="29" t="str">
        <f aca="false">IF(A1045="","",IF(COUNTIF(Anggota!$A$2:$A$2001,A1045)=0,"TIDAK ADA","OK"))</f>
        <v/>
      </c>
    </row>
    <row r="1046" customFormat="false" ht="15" hidden="false" customHeight="false" outlineLevel="0" collapsed="false">
      <c r="A1046" s="21"/>
      <c r="B1046" s="22"/>
      <c r="C1046" s="21"/>
      <c r="D1046" s="24"/>
      <c r="E1046" s="22"/>
      <c r="F1046" s="29" t="str">
        <f aca="false">IF(C1046="","",IFERROR(INDEX(Produk!$J$2:$J$100,MATCH(C1046,Produk!$A$2:$A$100,0)),"PRODUK?"))</f>
        <v/>
      </c>
      <c r="G1046" s="29" t="str">
        <f aca="false">IF(A1046="","",IF(COUNTIF(Anggota!$A$2:$A$2001,A1046)=0,"TIDAK ADA","OK"))</f>
        <v/>
      </c>
    </row>
    <row r="1047" customFormat="false" ht="15" hidden="false" customHeight="false" outlineLevel="0" collapsed="false">
      <c r="A1047" s="21"/>
      <c r="B1047" s="22"/>
      <c r="C1047" s="21"/>
      <c r="D1047" s="24"/>
      <c r="E1047" s="22"/>
      <c r="F1047" s="29" t="str">
        <f aca="false">IF(C1047="","",IFERROR(INDEX(Produk!$J$2:$J$100,MATCH(C1047,Produk!$A$2:$A$100,0)),"PRODUK?"))</f>
        <v/>
      </c>
      <c r="G1047" s="29" t="str">
        <f aca="false">IF(A1047="","",IF(COUNTIF(Anggota!$A$2:$A$2001,A1047)=0,"TIDAK ADA","OK"))</f>
        <v/>
      </c>
    </row>
    <row r="1048" customFormat="false" ht="15" hidden="false" customHeight="false" outlineLevel="0" collapsed="false">
      <c r="A1048" s="21"/>
      <c r="B1048" s="22"/>
      <c r="C1048" s="21"/>
      <c r="D1048" s="24"/>
      <c r="E1048" s="22"/>
      <c r="F1048" s="29" t="str">
        <f aca="false">IF(C1048="","",IFERROR(INDEX(Produk!$J$2:$J$100,MATCH(C1048,Produk!$A$2:$A$100,0)),"PRODUK?"))</f>
        <v/>
      </c>
      <c r="G1048" s="29" t="str">
        <f aca="false">IF(A1048="","",IF(COUNTIF(Anggota!$A$2:$A$2001,A1048)=0,"TIDAK ADA","OK"))</f>
        <v/>
      </c>
    </row>
    <row r="1049" customFormat="false" ht="15" hidden="false" customHeight="false" outlineLevel="0" collapsed="false">
      <c r="A1049" s="21"/>
      <c r="B1049" s="22"/>
      <c r="C1049" s="21"/>
      <c r="D1049" s="24"/>
      <c r="E1049" s="22"/>
      <c r="F1049" s="29" t="str">
        <f aca="false">IF(C1049="","",IFERROR(INDEX(Produk!$J$2:$J$100,MATCH(C1049,Produk!$A$2:$A$100,0)),"PRODUK?"))</f>
        <v/>
      </c>
      <c r="G1049" s="29" t="str">
        <f aca="false">IF(A1049="","",IF(COUNTIF(Anggota!$A$2:$A$2001,A1049)=0,"TIDAK ADA","OK"))</f>
        <v/>
      </c>
    </row>
    <row r="1050" customFormat="false" ht="15" hidden="false" customHeight="false" outlineLevel="0" collapsed="false">
      <c r="A1050" s="21"/>
      <c r="B1050" s="22"/>
      <c r="C1050" s="21"/>
      <c r="D1050" s="24"/>
      <c r="E1050" s="22"/>
      <c r="F1050" s="29" t="str">
        <f aca="false">IF(C1050="","",IFERROR(INDEX(Produk!$J$2:$J$100,MATCH(C1050,Produk!$A$2:$A$100,0)),"PRODUK?"))</f>
        <v/>
      </c>
      <c r="G1050" s="29" t="str">
        <f aca="false">IF(A1050="","",IF(COUNTIF(Anggota!$A$2:$A$2001,A1050)=0,"TIDAK ADA","OK"))</f>
        <v/>
      </c>
    </row>
    <row r="1051" customFormat="false" ht="15" hidden="false" customHeight="false" outlineLevel="0" collapsed="false">
      <c r="A1051" s="21"/>
      <c r="B1051" s="22"/>
      <c r="C1051" s="21"/>
      <c r="D1051" s="24"/>
      <c r="E1051" s="22"/>
      <c r="F1051" s="29" t="str">
        <f aca="false">IF(C1051="","",IFERROR(INDEX(Produk!$J$2:$J$100,MATCH(C1051,Produk!$A$2:$A$100,0)),"PRODUK?"))</f>
        <v/>
      </c>
      <c r="G1051" s="29" t="str">
        <f aca="false">IF(A1051="","",IF(COUNTIF(Anggota!$A$2:$A$2001,A1051)=0,"TIDAK ADA","OK"))</f>
        <v/>
      </c>
    </row>
    <row r="1052" customFormat="false" ht="15" hidden="false" customHeight="false" outlineLevel="0" collapsed="false">
      <c r="A1052" s="21"/>
      <c r="B1052" s="22"/>
      <c r="C1052" s="21"/>
      <c r="D1052" s="24"/>
      <c r="E1052" s="22"/>
      <c r="F1052" s="29" t="str">
        <f aca="false">IF(C1052="","",IFERROR(INDEX(Produk!$J$2:$J$100,MATCH(C1052,Produk!$A$2:$A$100,0)),"PRODUK?"))</f>
        <v/>
      </c>
      <c r="G1052" s="29" t="str">
        <f aca="false">IF(A1052="","",IF(COUNTIF(Anggota!$A$2:$A$2001,A1052)=0,"TIDAK ADA","OK"))</f>
        <v/>
      </c>
    </row>
    <row r="1053" customFormat="false" ht="15" hidden="false" customHeight="false" outlineLevel="0" collapsed="false">
      <c r="A1053" s="21"/>
      <c r="B1053" s="22"/>
      <c r="C1053" s="21"/>
      <c r="D1053" s="24"/>
      <c r="E1053" s="22"/>
      <c r="F1053" s="29" t="str">
        <f aca="false">IF(C1053="","",IFERROR(INDEX(Produk!$J$2:$J$100,MATCH(C1053,Produk!$A$2:$A$100,0)),"PRODUK?"))</f>
        <v/>
      </c>
      <c r="G1053" s="29" t="str">
        <f aca="false">IF(A1053="","",IF(COUNTIF(Anggota!$A$2:$A$2001,A1053)=0,"TIDAK ADA","OK"))</f>
        <v/>
      </c>
    </row>
    <row r="1054" customFormat="false" ht="15" hidden="false" customHeight="false" outlineLevel="0" collapsed="false">
      <c r="A1054" s="21"/>
      <c r="B1054" s="22"/>
      <c r="C1054" s="21"/>
      <c r="D1054" s="24"/>
      <c r="E1054" s="22"/>
      <c r="F1054" s="29" t="str">
        <f aca="false">IF(C1054="","",IFERROR(INDEX(Produk!$J$2:$J$100,MATCH(C1054,Produk!$A$2:$A$100,0)),"PRODUK?"))</f>
        <v/>
      </c>
      <c r="G1054" s="29" t="str">
        <f aca="false">IF(A1054="","",IF(COUNTIF(Anggota!$A$2:$A$2001,A1054)=0,"TIDAK ADA","OK"))</f>
        <v/>
      </c>
    </row>
    <row r="1055" customFormat="false" ht="15" hidden="false" customHeight="false" outlineLevel="0" collapsed="false">
      <c r="A1055" s="21"/>
      <c r="B1055" s="22"/>
      <c r="C1055" s="21"/>
      <c r="D1055" s="24"/>
      <c r="E1055" s="22"/>
      <c r="F1055" s="29" t="str">
        <f aca="false">IF(C1055="","",IFERROR(INDEX(Produk!$J$2:$J$100,MATCH(C1055,Produk!$A$2:$A$100,0)),"PRODUK?"))</f>
        <v/>
      </c>
      <c r="G1055" s="29" t="str">
        <f aca="false">IF(A1055="","",IF(COUNTIF(Anggota!$A$2:$A$2001,A1055)=0,"TIDAK ADA","OK"))</f>
        <v/>
      </c>
    </row>
    <row r="1056" customFormat="false" ht="15" hidden="false" customHeight="false" outlineLevel="0" collapsed="false">
      <c r="A1056" s="21"/>
      <c r="B1056" s="22"/>
      <c r="C1056" s="21"/>
      <c r="D1056" s="24"/>
      <c r="E1056" s="22"/>
      <c r="F1056" s="29" t="str">
        <f aca="false">IF(C1056="","",IFERROR(INDEX(Produk!$J$2:$J$100,MATCH(C1056,Produk!$A$2:$A$100,0)),"PRODUK?"))</f>
        <v/>
      </c>
      <c r="G1056" s="29" t="str">
        <f aca="false">IF(A1056="","",IF(COUNTIF(Anggota!$A$2:$A$2001,A1056)=0,"TIDAK ADA","OK"))</f>
        <v/>
      </c>
    </row>
    <row r="1057" customFormat="false" ht="15" hidden="false" customHeight="false" outlineLevel="0" collapsed="false">
      <c r="A1057" s="21"/>
      <c r="B1057" s="22"/>
      <c r="C1057" s="21"/>
      <c r="D1057" s="24"/>
      <c r="E1057" s="22"/>
      <c r="F1057" s="29" t="str">
        <f aca="false">IF(C1057="","",IFERROR(INDEX(Produk!$J$2:$J$100,MATCH(C1057,Produk!$A$2:$A$100,0)),"PRODUK?"))</f>
        <v/>
      </c>
      <c r="G1057" s="29" t="str">
        <f aca="false">IF(A1057="","",IF(COUNTIF(Anggota!$A$2:$A$2001,A1057)=0,"TIDAK ADA","OK"))</f>
        <v/>
      </c>
    </row>
    <row r="1058" customFormat="false" ht="15" hidden="false" customHeight="false" outlineLevel="0" collapsed="false">
      <c r="A1058" s="21"/>
      <c r="B1058" s="22"/>
      <c r="C1058" s="21"/>
      <c r="D1058" s="24"/>
      <c r="E1058" s="22"/>
      <c r="F1058" s="29" t="str">
        <f aca="false">IF(C1058="","",IFERROR(INDEX(Produk!$J$2:$J$100,MATCH(C1058,Produk!$A$2:$A$100,0)),"PRODUK?"))</f>
        <v/>
      </c>
      <c r="G1058" s="29" t="str">
        <f aca="false">IF(A1058="","",IF(COUNTIF(Anggota!$A$2:$A$2001,A1058)=0,"TIDAK ADA","OK"))</f>
        <v/>
      </c>
    </row>
    <row r="1059" customFormat="false" ht="15" hidden="false" customHeight="false" outlineLevel="0" collapsed="false">
      <c r="A1059" s="21"/>
      <c r="B1059" s="22"/>
      <c r="C1059" s="21"/>
      <c r="D1059" s="24"/>
      <c r="E1059" s="22"/>
      <c r="F1059" s="29" t="str">
        <f aca="false">IF(C1059="","",IFERROR(INDEX(Produk!$J$2:$J$100,MATCH(C1059,Produk!$A$2:$A$100,0)),"PRODUK?"))</f>
        <v/>
      </c>
      <c r="G1059" s="29" t="str">
        <f aca="false">IF(A1059="","",IF(COUNTIF(Anggota!$A$2:$A$2001,A1059)=0,"TIDAK ADA","OK"))</f>
        <v/>
      </c>
    </row>
    <row r="1060" customFormat="false" ht="15" hidden="false" customHeight="false" outlineLevel="0" collapsed="false">
      <c r="A1060" s="21"/>
      <c r="B1060" s="22"/>
      <c r="C1060" s="21"/>
      <c r="D1060" s="24"/>
      <c r="E1060" s="22"/>
      <c r="F1060" s="29" t="str">
        <f aca="false">IF(C1060="","",IFERROR(INDEX(Produk!$J$2:$J$100,MATCH(C1060,Produk!$A$2:$A$100,0)),"PRODUK?"))</f>
        <v/>
      </c>
      <c r="G1060" s="29" t="str">
        <f aca="false">IF(A1060="","",IF(COUNTIF(Anggota!$A$2:$A$2001,A1060)=0,"TIDAK ADA","OK"))</f>
        <v/>
      </c>
    </row>
    <row r="1061" customFormat="false" ht="15" hidden="false" customHeight="false" outlineLevel="0" collapsed="false">
      <c r="A1061" s="21"/>
      <c r="B1061" s="22"/>
      <c r="C1061" s="21"/>
      <c r="D1061" s="24"/>
      <c r="E1061" s="22"/>
      <c r="F1061" s="29" t="str">
        <f aca="false">IF(C1061="","",IFERROR(INDEX(Produk!$J$2:$J$100,MATCH(C1061,Produk!$A$2:$A$100,0)),"PRODUK?"))</f>
        <v/>
      </c>
      <c r="G1061" s="29" t="str">
        <f aca="false">IF(A1061="","",IF(COUNTIF(Anggota!$A$2:$A$2001,A1061)=0,"TIDAK ADA","OK"))</f>
        <v/>
      </c>
    </row>
    <row r="1062" customFormat="false" ht="15" hidden="false" customHeight="false" outlineLevel="0" collapsed="false">
      <c r="A1062" s="21"/>
      <c r="B1062" s="22"/>
      <c r="C1062" s="21"/>
      <c r="D1062" s="24"/>
      <c r="E1062" s="22"/>
      <c r="F1062" s="29" t="str">
        <f aca="false">IF(C1062="","",IFERROR(INDEX(Produk!$J$2:$J$100,MATCH(C1062,Produk!$A$2:$A$100,0)),"PRODUK?"))</f>
        <v/>
      </c>
      <c r="G1062" s="29" t="str">
        <f aca="false">IF(A1062="","",IF(COUNTIF(Anggota!$A$2:$A$2001,A1062)=0,"TIDAK ADA","OK"))</f>
        <v/>
      </c>
    </row>
    <row r="1063" customFormat="false" ht="15" hidden="false" customHeight="false" outlineLevel="0" collapsed="false">
      <c r="A1063" s="21"/>
      <c r="B1063" s="22"/>
      <c r="C1063" s="21"/>
      <c r="D1063" s="24"/>
      <c r="E1063" s="22"/>
      <c r="F1063" s="29" t="str">
        <f aca="false">IF(C1063="","",IFERROR(INDEX(Produk!$J$2:$J$100,MATCH(C1063,Produk!$A$2:$A$100,0)),"PRODUK?"))</f>
        <v/>
      </c>
      <c r="G1063" s="29" t="str">
        <f aca="false">IF(A1063="","",IF(COUNTIF(Anggota!$A$2:$A$2001,A1063)=0,"TIDAK ADA","OK"))</f>
        <v/>
      </c>
    </row>
    <row r="1064" customFormat="false" ht="15" hidden="false" customHeight="false" outlineLevel="0" collapsed="false">
      <c r="A1064" s="21"/>
      <c r="B1064" s="22"/>
      <c r="C1064" s="21"/>
      <c r="D1064" s="24"/>
      <c r="E1064" s="22"/>
      <c r="F1064" s="29" t="str">
        <f aca="false">IF(C1064="","",IFERROR(INDEX(Produk!$J$2:$J$100,MATCH(C1064,Produk!$A$2:$A$100,0)),"PRODUK?"))</f>
        <v/>
      </c>
      <c r="G1064" s="29" t="str">
        <f aca="false">IF(A1064="","",IF(COUNTIF(Anggota!$A$2:$A$2001,A1064)=0,"TIDAK ADA","OK"))</f>
        <v/>
      </c>
    </row>
    <row r="1065" customFormat="false" ht="15" hidden="false" customHeight="false" outlineLevel="0" collapsed="false">
      <c r="A1065" s="21"/>
      <c r="B1065" s="22"/>
      <c r="C1065" s="21"/>
      <c r="D1065" s="24"/>
      <c r="E1065" s="22"/>
      <c r="F1065" s="29" t="str">
        <f aca="false">IF(C1065="","",IFERROR(INDEX(Produk!$J$2:$J$100,MATCH(C1065,Produk!$A$2:$A$100,0)),"PRODUK?"))</f>
        <v/>
      </c>
      <c r="G1065" s="29" t="str">
        <f aca="false">IF(A1065="","",IF(COUNTIF(Anggota!$A$2:$A$2001,A1065)=0,"TIDAK ADA","OK"))</f>
        <v/>
      </c>
    </row>
    <row r="1066" customFormat="false" ht="15" hidden="false" customHeight="false" outlineLevel="0" collapsed="false">
      <c r="A1066" s="21"/>
      <c r="B1066" s="22"/>
      <c r="C1066" s="21"/>
      <c r="D1066" s="24"/>
      <c r="E1066" s="22"/>
      <c r="F1066" s="29" t="str">
        <f aca="false">IF(C1066="","",IFERROR(INDEX(Produk!$J$2:$J$100,MATCH(C1066,Produk!$A$2:$A$100,0)),"PRODUK?"))</f>
        <v/>
      </c>
      <c r="G1066" s="29" t="str">
        <f aca="false">IF(A1066="","",IF(COUNTIF(Anggota!$A$2:$A$2001,A1066)=0,"TIDAK ADA","OK"))</f>
        <v/>
      </c>
    </row>
    <row r="1067" customFormat="false" ht="15" hidden="false" customHeight="false" outlineLevel="0" collapsed="false">
      <c r="A1067" s="21"/>
      <c r="B1067" s="22"/>
      <c r="C1067" s="21"/>
      <c r="D1067" s="24"/>
      <c r="E1067" s="22"/>
      <c r="F1067" s="29" t="str">
        <f aca="false">IF(C1067="","",IFERROR(INDEX(Produk!$J$2:$J$100,MATCH(C1067,Produk!$A$2:$A$100,0)),"PRODUK?"))</f>
        <v/>
      </c>
      <c r="G1067" s="29" t="str">
        <f aca="false">IF(A1067="","",IF(COUNTIF(Anggota!$A$2:$A$2001,A1067)=0,"TIDAK ADA","OK"))</f>
        <v/>
      </c>
    </row>
    <row r="1068" customFormat="false" ht="15" hidden="false" customHeight="false" outlineLevel="0" collapsed="false">
      <c r="A1068" s="21"/>
      <c r="B1068" s="22"/>
      <c r="C1068" s="21"/>
      <c r="D1068" s="24"/>
      <c r="E1068" s="22"/>
      <c r="F1068" s="29" t="str">
        <f aca="false">IF(C1068="","",IFERROR(INDEX(Produk!$J$2:$J$100,MATCH(C1068,Produk!$A$2:$A$100,0)),"PRODUK?"))</f>
        <v/>
      </c>
      <c r="G1068" s="29" t="str">
        <f aca="false">IF(A1068="","",IF(COUNTIF(Anggota!$A$2:$A$2001,A1068)=0,"TIDAK ADA","OK"))</f>
        <v/>
      </c>
    </row>
    <row r="1069" customFormat="false" ht="15" hidden="false" customHeight="false" outlineLevel="0" collapsed="false">
      <c r="A1069" s="21"/>
      <c r="B1069" s="22"/>
      <c r="C1069" s="21"/>
      <c r="D1069" s="24"/>
      <c r="E1069" s="22"/>
      <c r="F1069" s="29" t="str">
        <f aca="false">IF(C1069="","",IFERROR(INDEX(Produk!$J$2:$J$100,MATCH(C1069,Produk!$A$2:$A$100,0)),"PRODUK?"))</f>
        <v/>
      </c>
      <c r="G1069" s="29" t="str">
        <f aca="false">IF(A1069="","",IF(COUNTIF(Anggota!$A$2:$A$2001,A1069)=0,"TIDAK ADA","OK"))</f>
        <v/>
      </c>
    </row>
    <row r="1070" customFormat="false" ht="15" hidden="false" customHeight="false" outlineLevel="0" collapsed="false">
      <c r="A1070" s="21"/>
      <c r="B1070" s="22"/>
      <c r="C1070" s="21"/>
      <c r="D1070" s="24"/>
      <c r="E1070" s="22"/>
      <c r="F1070" s="29" t="str">
        <f aca="false">IF(C1070="","",IFERROR(INDEX(Produk!$J$2:$J$100,MATCH(C1070,Produk!$A$2:$A$100,0)),"PRODUK?"))</f>
        <v/>
      </c>
      <c r="G1070" s="29" t="str">
        <f aca="false">IF(A1070="","",IF(COUNTIF(Anggota!$A$2:$A$2001,A1070)=0,"TIDAK ADA","OK"))</f>
        <v/>
      </c>
    </row>
    <row r="1071" customFormat="false" ht="15" hidden="false" customHeight="false" outlineLevel="0" collapsed="false">
      <c r="A1071" s="21"/>
      <c r="B1071" s="22"/>
      <c r="C1071" s="21"/>
      <c r="D1071" s="24"/>
      <c r="E1071" s="22"/>
      <c r="F1071" s="29" t="str">
        <f aca="false">IF(C1071="","",IFERROR(INDEX(Produk!$J$2:$J$100,MATCH(C1071,Produk!$A$2:$A$100,0)),"PRODUK?"))</f>
        <v/>
      </c>
      <c r="G1071" s="29" t="str">
        <f aca="false">IF(A1071="","",IF(COUNTIF(Anggota!$A$2:$A$2001,A1071)=0,"TIDAK ADA","OK"))</f>
        <v/>
      </c>
    </row>
    <row r="1072" customFormat="false" ht="15" hidden="false" customHeight="false" outlineLevel="0" collapsed="false">
      <c r="A1072" s="21"/>
      <c r="B1072" s="22"/>
      <c r="C1072" s="21"/>
      <c r="D1072" s="24"/>
      <c r="E1072" s="22"/>
      <c r="F1072" s="29" t="str">
        <f aca="false">IF(C1072="","",IFERROR(INDEX(Produk!$J$2:$J$100,MATCH(C1072,Produk!$A$2:$A$100,0)),"PRODUK?"))</f>
        <v/>
      </c>
      <c r="G1072" s="29" t="str">
        <f aca="false">IF(A1072="","",IF(COUNTIF(Anggota!$A$2:$A$2001,A1072)=0,"TIDAK ADA","OK"))</f>
        <v/>
      </c>
    </row>
    <row r="1073" customFormat="false" ht="15" hidden="false" customHeight="false" outlineLevel="0" collapsed="false">
      <c r="A1073" s="21"/>
      <c r="B1073" s="22"/>
      <c r="C1073" s="21"/>
      <c r="D1073" s="24"/>
      <c r="E1073" s="22"/>
      <c r="F1073" s="29" t="str">
        <f aca="false">IF(C1073="","",IFERROR(INDEX(Produk!$J$2:$J$100,MATCH(C1073,Produk!$A$2:$A$100,0)),"PRODUK?"))</f>
        <v/>
      </c>
      <c r="G1073" s="29" t="str">
        <f aca="false">IF(A1073="","",IF(COUNTIF(Anggota!$A$2:$A$2001,A1073)=0,"TIDAK ADA","OK"))</f>
        <v/>
      </c>
    </row>
    <row r="1074" customFormat="false" ht="15" hidden="false" customHeight="false" outlineLevel="0" collapsed="false">
      <c r="A1074" s="21"/>
      <c r="B1074" s="22"/>
      <c r="C1074" s="21"/>
      <c r="D1074" s="24"/>
      <c r="E1074" s="22"/>
      <c r="F1074" s="29" t="str">
        <f aca="false">IF(C1074="","",IFERROR(INDEX(Produk!$J$2:$J$100,MATCH(C1074,Produk!$A$2:$A$100,0)),"PRODUK?"))</f>
        <v/>
      </c>
      <c r="G1074" s="29" t="str">
        <f aca="false">IF(A1074="","",IF(COUNTIF(Anggota!$A$2:$A$2001,A1074)=0,"TIDAK ADA","OK"))</f>
        <v/>
      </c>
    </row>
    <row r="1075" customFormat="false" ht="15" hidden="false" customHeight="false" outlineLevel="0" collapsed="false">
      <c r="A1075" s="21"/>
      <c r="B1075" s="22"/>
      <c r="C1075" s="21"/>
      <c r="D1075" s="24"/>
      <c r="E1075" s="22"/>
      <c r="F1075" s="29" t="str">
        <f aca="false">IF(C1075="","",IFERROR(INDEX(Produk!$J$2:$J$100,MATCH(C1075,Produk!$A$2:$A$100,0)),"PRODUK?"))</f>
        <v/>
      </c>
      <c r="G1075" s="29" t="str">
        <f aca="false">IF(A1075="","",IF(COUNTIF(Anggota!$A$2:$A$2001,A1075)=0,"TIDAK ADA","OK"))</f>
        <v/>
      </c>
    </row>
    <row r="1076" customFormat="false" ht="15" hidden="false" customHeight="false" outlineLevel="0" collapsed="false">
      <c r="A1076" s="21"/>
      <c r="B1076" s="22"/>
      <c r="C1076" s="21"/>
      <c r="D1076" s="24"/>
      <c r="E1076" s="22"/>
      <c r="F1076" s="29" t="str">
        <f aca="false">IF(C1076="","",IFERROR(INDEX(Produk!$J$2:$J$100,MATCH(C1076,Produk!$A$2:$A$100,0)),"PRODUK?"))</f>
        <v/>
      </c>
      <c r="G1076" s="29" t="str">
        <f aca="false">IF(A1076="","",IF(COUNTIF(Anggota!$A$2:$A$2001,A1076)=0,"TIDAK ADA","OK"))</f>
        <v/>
      </c>
    </row>
    <row r="1077" customFormat="false" ht="15" hidden="false" customHeight="false" outlineLevel="0" collapsed="false">
      <c r="A1077" s="21"/>
      <c r="B1077" s="22"/>
      <c r="C1077" s="21"/>
      <c r="D1077" s="24"/>
      <c r="E1077" s="22"/>
      <c r="F1077" s="29" t="str">
        <f aca="false">IF(C1077="","",IFERROR(INDEX(Produk!$J$2:$J$100,MATCH(C1077,Produk!$A$2:$A$100,0)),"PRODUK?"))</f>
        <v/>
      </c>
      <c r="G1077" s="29" t="str">
        <f aca="false">IF(A1077="","",IF(COUNTIF(Anggota!$A$2:$A$2001,A1077)=0,"TIDAK ADA","OK"))</f>
        <v/>
      </c>
    </row>
    <row r="1078" customFormat="false" ht="15" hidden="false" customHeight="false" outlineLevel="0" collapsed="false">
      <c r="A1078" s="21"/>
      <c r="B1078" s="22"/>
      <c r="C1078" s="21"/>
      <c r="D1078" s="24"/>
      <c r="E1078" s="22"/>
      <c r="F1078" s="29" t="str">
        <f aca="false">IF(C1078="","",IFERROR(INDEX(Produk!$J$2:$J$100,MATCH(C1078,Produk!$A$2:$A$100,0)),"PRODUK?"))</f>
        <v/>
      </c>
      <c r="G1078" s="29" t="str">
        <f aca="false">IF(A1078="","",IF(COUNTIF(Anggota!$A$2:$A$2001,A1078)=0,"TIDAK ADA","OK"))</f>
        <v/>
      </c>
    </row>
    <row r="1079" customFormat="false" ht="15" hidden="false" customHeight="false" outlineLevel="0" collapsed="false">
      <c r="A1079" s="21"/>
      <c r="B1079" s="22"/>
      <c r="C1079" s="21"/>
      <c r="D1079" s="24"/>
      <c r="E1079" s="22"/>
      <c r="F1079" s="29" t="str">
        <f aca="false">IF(C1079="","",IFERROR(INDEX(Produk!$J$2:$J$100,MATCH(C1079,Produk!$A$2:$A$100,0)),"PRODUK?"))</f>
        <v/>
      </c>
      <c r="G1079" s="29" t="str">
        <f aca="false">IF(A1079="","",IF(COUNTIF(Anggota!$A$2:$A$2001,A1079)=0,"TIDAK ADA","OK"))</f>
        <v/>
      </c>
    </row>
    <row r="1080" customFormat="false" ht="15" hidden="false" customHeight="false" outlineLevel="0" collapsed="false">
      <c r="A1080" s="21"/>
      <c r="B1080" s="22"/>
      <c r="C1080" s="21"/>
      <c r="D1080" s="24"/>
      <c r="E1080" s="22"/>
      <c r="F1080" s="29" t="str">
        <f aca="false">IF(C1080="","",IFERROR(INDEX(Produk!$J$2:$J$100,MATCH(C1080,Produk!$A$2:$A$100,0)),"PRODUK?"))</f>
        <v/>
      </c>
      <c r="G1080" s="29" t="str">
        <f aca="false">IF(A1080="","",IF(COUNTIF(Anggota!$A$2:$A$2001,A1080)=0,"TIDAK ADA","OK"))</f>
        <v/>
      </c>
    </row>
    <row r="1081" customFormat="false" ht="15" hidden="false" customHeight="false" outlineLevel="0" collapsed="false">
      <c r="A1081" s="21"/>
      <c r="B1081" s="22"/>
      <c r="C1081" s="21"/>
      <c r="D1081" s="24"/>
      <c r="E1081" s="22"/>
      <c r="F1081" s="29" t="str">
        <f aca="false">IF(C1081="","",IFERROR(INDEX(Produk!$J$2:$J$100,MATCH(C1081,Produk!$A$2:$A$100,0)),"PRODUK?"))</f>
        <v/>
      </c>
      <c r="G1081" s="29" t="str">
        <f aca="false">IF(A1081="","",IF(COUNTIF(Anggota!$A$2:$A$2001,A1081)=0,"TIDAK ADA","OK"))</f>
        <v/>
      </c>
    </row>
    <row r="1082" customFormat="false" ht="15" hidden="false" customHeight="false" outlineLevel="0" collapsed="false">
      <c r="A1082" s="21"/>
      <c r="B1082" s="22"/>
      <c r="C1082" s="21"/>
      <c r="D1082" s="24"/>
      <c r="E1082" s="22"/>
      <c r="F1082" s="29" t="str">
        <f aca="false">IF(C1082="","",IFERROR(INDEX(Produk!$J$2:$J$100,MATCH(C1082,Produk!$A$2:$A$100,0)),"PRODUK?"))</f>
        <v/>
      </c>
      <c r="G1082" s="29" t="str">
        <f aca="false">IF(A1082="","",IF(COUNTIF(Anggota!$A$2:$A$2001,A1082)=0,"TIDAK ADA","OK"))</f>
        <v/>
      </c>
    </row>
    <row r="1083" customFormat="false" ht="15" hidden="false" customHeight="false" outlineLevel="0" collapsed="false">
      <c r="A1083" s="21"/>
      <c r="B1083" s="22"/>
      <c r="C1083" s="21"/>
      <c r="D1083" s="24"/>
      <c r="E1083" s="22"/>
      <c r="F1083" s="29" t="str">
        <f aca="false">IF(C1083="","",IFERROR(INDEX(Produk!$J$2:$J$100,MATCH(C1083,Produk!$A$2:$A$100,0)),"PRODUK?"))</f>
        <v/>
      </c>
      <c r="G1083" s="29" t="str">
        <f aca="false">IF(A1083="","",IF(COUNTIF(Anggota!$A$2:$A$2001,A1083)=0,"TIDAK ADA","OK"))</f>
        <v/>
      </c>
    </row>
    <row r="1084" customFormat="false" ht="15" hidden="false" customHeight="false" outlineLevel="0" collapsed="false">
      <c r="A1084" s="21"/>
      <c r="B1084" s="22"/>
      <c r="C1084" s="21"/>
      <c r="D1084" s="24"/>
      <c r="E1084" s="22"/>
      <c r="F1084" s="29" t="str">
        <f aca="false">IF(C1084="","",IFERROR(INDEX(Produk!$J$2:$J$100,MATCH(C1084,Produk!$A$2:$A$100,0)),"PRODUK?"))</f>
        <v/>
      </c>
      <c r="G1084" s="29" t="str">
        <f aca="false">IF(A1084="","",IF(COUNTIF(Anggota!$A$2:$A$2001,A1084)=0,"TIDAK ADA","OK"))</f>
        <v/>
      </c>
    </row>
    <row r="1085" customFormat="false" ht="15" hidden="false" customHeight="false" outlineLevel="0" collapsed="false">
      <c r="A1085" s="21"/>
      <c r="B1085" s="22"/>
      <c r="C1085" s="21"/>
      <c r="D1085" s="24"/>
      <c r="E1085" s="22"/>
      <c r="F1085" s="29" t="str">
        <f aca="false">IF(C1085="","",IFERROR(INDEX(Produk!$J$2:$J$100,MATCH(C1085,Produk!$A$2:$A$100,0)),"PRODUK?"))</f>
        <v/>
      </c>
      <c r="G1085" s="29" t="str">
        <f aca="false">IF(A1085="","",IF(COUNTIF(Anggota!$A$2:$A$2001,A1085)=0,"TIDAK ADA","OK"))</f>
        <v/>
      </c>
    </row>
    <row r="1086" customFormat="false" ht="15" hidden="false" customHeight="false" outlineLevel="0" collapsed="false">
      <c r="A1086" s="21"/>
      <c r="B1086" s="22"/>
      <c r="C1086" s="21"/>
      <c r="D1086" s="24"/>
      <c r="E1086" s="22"/>
      <c r="F1086" s="29" t="str">
        <f aca="false">IF(C1086="","",IFERROR(INDEX(Produk!$J$2:$J$100,MATCH(C1086,Produk!$A$2:$A$100,0)),"PRODUK?"))</f>
        <v/>
      </c>
      <c r="G1086" s="29" t="str">
        <f aca="false">IF(A1086="","",IF(COUNTIF(Anggota!$A$2:$A$2001,A1086)=0,"TIDAK ADA","OK"))</f>
        <v/>
      </c>
    </row>
    <row r="1087" customFormat="false" ht="15" hidden="false" customHeight="false" outlineLevel="0" collapsed="false">
      <c r="A1087" s="21"/>
      <c r="B1087" s="22"/>
      <c r="C1087" s="21"/>
      <c r="D1087" s="24"/>
      <c r="E1087" s="22"/>
      <c r="F1087" s="29" t="str">
        <f aca="false">IF(C1087="","",IFERROR(INDEX(Produk!$J$2:$J$100,MATCH(C1087,Produk!$A$2:$A$100,0)),"PRODUK?"))</f>
        <v/>
      </c>
      <c r="G1087" s="29" t="str">
        <f aca="false">IF(A1087="","",IF(COUNTIF(Anggota!$A$2:$A$2001,A1087)=0,"TIDAK ADA","OK"))</f>
        <v/>
      </c>
    </row>
    <row r="1088" customFormat="false" ht="15" hidden="false" customHeight="false" outlineLevel="0" collapsed="false">
      <c r="A1088" s="21"/>
      <c r="B1088" s="22"/>
      <c r="C1088" s="21"/>
      <c r="D1088" s="24"/>
      <c r="E1088" s="22"/>
      <c r="F1088" s="29" t="str">
        <f aca="false">IF(C1088="","",IFERROR(INDEX(Produk!$J$2:$J$100,MATCH(C1088,Produk!$A$2:$A$100,0)),"PRODUK?"))</f>
        <v/>
      </c>
      <c r="G1088" s="29" t="str">
        <f aca="false">IF(A1088="","",IF(COUNTIF(Anggota!$A$2:$A$2001,A1088)=0,"TIDAK ADA","OK"))</f>
        <v/>
      </c>
    </row>
    <row r="1089" customFormat="false" ht="15" hidden="false" customHeight="false" outlineLevel="0" collapsed="false">
      <c r="A1089" s="21"/>
      <c r="B1089" s="22"/>
      <c r="C1089" s="21"/>
      <c r="D1089" s="24"/>
      <c r="E1089" s="22"/>
      <c r="F1089" s="29" t="str">
        <f aca="false">IF(C1089="","",IFERROR(INDEX(Produk!$J$2:$J$100,MATCH(C1089,Produk!$A$2:$A$100,0)),"PRODUK?"))</f>
        <v/>
      </c>
      <c r="G1089" s="29" t="str">
        <f aca="false">IF(A1089="","",IF(COUNTIF(Anggota!$A$2:$A$2001,A1089)=0,"TIDAK ADA","OK"))</f>
        <v/>
      </c>
    </row>
    <row r="1090" customFormat="false" ht="15" hidden="false" customHeight="false" outlineLevel="0" collapsed="false">
      <c r="A1090" s="21"/>
      <c r="B1090" s="22"/>
      <c r="C1090" s="21"/>
      <c r="D1090" s="24"/>
      <c r="E1090" s="22"/>
      <c r="F1090" s="29" t="str">
        <f aca="false">IF(C1090="","",IFERROR(INDEX(Produk!$J$2:$J$100,MATCH(C1090,Produk!$A$2:$A$100,0)),"PRODUK?"))</f>
        <v/>
      </c>
      <c r="G1090" s="29" t="str">
        <f aca="false">IF(A1090="","",IF(COUNTIF(Anggota!$A$2:$A$2001,A1090)=0,"TIDAK ADA","OK"))</f>
        <v/>
      </c>
    </row>
    <row r="1091" customFormat="false" ht="15" hidden="false" customHeight="false" outlineLevel="0" collapsed="false">
      <c r="A1091" s="21"/>
      <c r="B1091" s="22"/>
      <c r="C1091" s="21"/>
      <c r="D1091" s="24"/>
      <c r="E1091" s="22"/>
      <c r="F1091" s="29" t="str">
        <f aca="false">IF(C1091="","",IFERROR(INDEX(Produk!$J$2:$J$100,MATCH(C1091,Produk!$A$2:$A$100,0)),"PRODUK?"))</f>
        <v/>
      </c>
      <c r="G1091" s="29" t="str">
        <f aca="false">IF(A1091="","",IF(COUNTIF(Anggota!$A$2:$A$2001,A1091)=0,"TIDAK ADA","OK"))</f>
        <v/>
      </c>
    </row>
    <row r="1092" customFormat="false" ht="15" hidden="false" customHeight="false" outlineLevel="0" collapsed="false">
      <c r="A1092" s="21"/>
      <c r="B1092" s="22"/>
      <c r="C1092" s="21"/>
      <c r="D1092" s="24"/>
      <c r="E1092" s="22"/>
      <c r="F1092" s="29" t="str">
        <f aca="false">IF(C1092="","",IFERROR(INDEX(Produk!$J$2:$J$100,MATCH(C1092,Produk!$A$2:$A$100,0)),"PRODUK?"))</f>
        <v/>
      </c>
      <c r="G1092" s="29" t="str">
        <f aca="false">IF(A1092="","",IF(COUNTIF(Anggota!$A$2:$A$2001,A1092)=0,"TIDAK ADA","OK"))</f>
        <v/>
      </c>
    </row>
    <row r="1093" customFormat="false" ht="15" hidden="false" customHeight="false" outlineLevel="0" collapsed="false">
      <c r="A1093" s="21"/>
      <c r="B1093" s="22"/>
      <c r="C1093" s="21"/>
      <c r="D1093" s="24"/>
      <c r="E1093" s="22"/>
      <c r="F1093" s="29" t="str">
        <f aca="false">IF(C1093="","",IFERROR(INDEX(Produk!$J$2:$J$100,MATCH(C1093,Produk!$A$2:$A$100,0)),"PRODUK?"))</f>
        <v/>
      </c>
      <c r="G1093" s="29" t="str">
        <f aca="false">IF(A1093="","",IF(COUNTIF(Anggota!$A$2:$A$2001,A1093)=0,"TIDAK ADA","OK"))</f>
        <v/>
      </c>
    </row>
    <row r="1094" customFormat="false" ht="15" hidden="false" customHeight="false" outlineLevel="0" collapsed="false">
      <c r="A1094" s="21"/>
      <c r="B1094" s="22"/>
      <c r="C1094" s="21"/>
      <c r="D1094" s="24"/>
      <c r="E1094" s="22"/>
      <c r="F1094" s="29" t="str">
        <f aca="false">IF(C1094="","",IFERROR(INDEX(Produk!$J$2:$J$100,MATCH(C1094,Produk!$A$2:$A$100,0)),"PRODUK?"))</f>
        <v/>
      </c>
      <c r="G1094" s="29" t="str">
        <f aca="false">IF(A1094="","",IF(COUNTIF(Anggota!$A$2:$A$2001,A1094)=0,"TIDAK ADA","OK"))</f>
        <v/>
      </c>
    </row>
    <row r="1095" customFormat="false" ht="15" hidden="false" customHeight="false" outlineLevel="0" collapsed="false">
      <c r="A1095" s="21"/>
      <c r="B1095" s="22"/>
      <c r="C1095" s="21"/>
      <c r="D1095" s="24"/>
      <c r="E1095" s="22"/>
      <c r="F1095" s="29" t="str">
        <f aca="false">IF(C1095="","",IFERROR(INDEX(Produk!$J$2:$J$100,MATCH(C1095,Produk!$A$2:$A$100,0)),"PRODUK?"))</f>
        <v/>
      </c>
      <c r="G1095" s="29" t="str">
        <f aca="false">IF(A1095="","",IF(COUNTIF(Anggota!$A$2:$A$2001,A1095)=0,"TIDAK ADA","OK"))</f>
        <v/>
      </c>
    </row>
    <row r="1096" customFormat="false" ht="15" hidden="false" customHeight="false" outlineLevel="0" collapsed="false">
      <c r="A1096" s="21"/>
      <c r="B1096" s="22"/>
      <c r="C1096" s="21"/>
      <c r="D1096" s="24"/>
      <c r="E1096" s="22"/>
      <c r="F1096" s="29" t="str">
        <f aca="false">IF(C1096="","",IFERROR(INDEX(Produk!$J$2:$J$100,MATCH(C1096,Produk!$A$2:$A$100,0)),"PRODUK?"))</f>
        <v/>
      </c>
      <c r="G1096" s="29" t="str">
        <f aca="false">IF(A1096="","",IF(COUNTIF(Anggota!$A$2:$A$2001,A1096)=0,"TIDAK ADA","OK"))</f>
        <v/>
      </c>
    </row>
    <row r="1097" customFormat="false" ht="15" hidden="false" customHeight="false" outlineLevel="0" collapsed="false">
      <c r="A1097" s="21"/>
      <c r="B1097" s="22"/>
      <c r="C1097" s="21"/>
      <c r="D1097" s="24"/>
      <c r="E1097" s="22"/>
      <c r="F1097" s="29" t="str">
        <f aca="false">IF(C1097="","",IFERROR(INDEX(Produk!$J$2:$J$100,MATCH(C1097,Produk!$A$2:$A$100,0)),"PRODUK?"))</f>
        <v/>
      </c>
      <c r="G1097" s="29" t="str">
        <f aca="false">IF(A1097="","",IF(COUNTIF(Anggota!$A$2:$A$2001,A1097)=0,"TIDAK ADA","OK"))</f>
        <v/>
      </c>
    </row>
    <row r="1098" customFormat="false" ht="15" hidden="false" customHeight="false" outlineLevel="0" collapsed="false">
      <c r="A1098" s="21"/>
      <c r="B1098" s="22"/>
      <c r="C1098" s="21"/>
      <c r="D1098" s="24"/>
      <c r="E1098" s="22"/>
      <c r="F1098" s="29" t="str">
        <f aca="false">IF(C1098="","",IFERROR(INDEX(Produk!$J$2:$J$100,MATCH(C1098,Produk!$A$2:$A$100,0)),"PRODUK?"))</f>
        <v/>
      </c>
      <c r="G1098" s="29" t="str">
        <f aca="false">IF(A1098="","",IF(COUNTIF(Anggota!$A$2:$A$2001,A1098)=0,"TIDAK ADA","OK"))</f>
        <v/>
      </c>
    </row>
    <row r="1099" customFormat="false" ht="15" hidden="false" customHeight="false" outlineLevel="0" collapsed="false">
      <c r="A1099" s="21"/>
      <c r="B1099" s="22"/>
      <c r="C1099" s="21"/>
      <c r="D1099" s="24"/>
      <c r="E1099" s="22"/>
      <c r="F1099" s="29" t="str">
        <f aca="false">IF(C1099="","",IFERROR(INDEX(Produk!$J$2:$J$100,MATCH(C1099,Produk!$A$2:$A$100,0)),"PRODUK?"))</f>
        <v/>
      </c>
      <c r="G1099" s="29" t="str">
        <f aca="false">IF(A1099="","",IF(COUNTIF(Anggota!$A$2:$A$2001,A1099)=0,"TIDAK ADA","OK"))</f>
        <v/>
      </c>
    </row>
    <row r="1100" customFormat="false" ht="15" hidden="false" customHeight="false" outlineLevel="0" collapsed="false">
      <c r="A1100" s="21"/>
      <c r="B1100" s="22"/>
      <c r="C1100" s="21"/>
      <c r="D1100" s="24"/>
      <c r="E1100" s="22"/>
      <c r="F1100" s="29" t="str">
        <f aca="false">IF(C1100="","",IFERROR(INDEX(Produk!$J$2:$J$100,MATCH(C1100,Produk!$A$2:$A$100,0)),"PRODUK?"))</f>
        <v/>
      </c>
      <c r="G1100" s="29" t="str">
        <f aca="false">IF(A1100="","",IF(COUNTIF(Anggota!$A$2:$A$2001,A1100)=0,"TIDAK ADA","OK"))</f>
        <v/>
      </c>
    </row>
    <row r="1101" customFormat="false" ht="15" hidden="false" customHeight="false" outlineLevel="0" collapsed="false">
      <c r="A1101" s="21"/>
      <c r="B1101" s="22"/>
      <c r="C1101" s="21"/>
      <c r="D1101" s="24"/>
      <c r="E1101" s="22"/>
      <c r="F1101" s="29" t="str">
        <f aca="false">IF(C1101="","",IFERROR(INDEX(Produk!$J$2:$J$100,MATCH(C1101,Produk!$A$2:$A$100,0)),"PRODUK?"))</f>
        <v/>
      </c>
      <c r="G1101" s="29" t="str">
        <f aca="false">IF(A1101="","",IF(COUNTIF(Anggota!$A$2:$A$2001,A1101)=0,"TIDAK ADA","OK"))</f>
        <v/>
      </c>
    </row>
    <row r="1102" customFormat="false" ht="15" hidden="false" customHeight="false" outlineLevel="0" collapsed="false">
      <c r="A1102" s="21"/>
      <c r="B1102" s="22"/>
      <c r="C1102" s="21"/>
      <c r="D1102" s="24"/>
      <c r="E1102" s="22"/>
      <c r="F1102" s="29" t="str">
        <f aca="false">IF(C1102="","",IFERROR(INDEX(Produk!$J$2:$J$100,MATCH(C1102,Produk!$A$2:$A$100,0)),"PRODUK?"))</f>
        <v/>
      </c>
      <c r="G1102" s="29" t="str">
        <f aca="false">IF(A1102="","",IF(COUNTIF(Anggota!$A$2:$A$2001,A1102)=0,"TIDAK ADA","OK"))</f>
        <v/>
      </c>
    </row>
    <row r="1103" customFormat="false" ht="15" hidden="false" customHeight="false" outlineLevel="0" collapsed="false">
      <c r="A1103" s="21"/>
      <c r="B1103" s="22"/>
      <c r="C1103" s="21"/>
      <c r="D1103" s="24"/>
      <c r="E1103" s="22"/>
      <c r="F1103" s="29" t="str">
        <f aca="false">IF(C1103="","",IFERROR(INDEX(Produk!$J$2:$J$100,MATCH(C1103,Produk!$A$2:$A$100,0)),"PRODUK?"))</f>
        <v/>
      </c>
      <c r="G1103" s="29" t="str">
        <f aca="false">IF(A1103="","",IF(COUNTIF(Anggota!$A$2:$A$2001,A1103)=0,"TIDAK ADA","OK"))</f>
        <v/>
      </c>
    </row>
    <row r="1104" customFormat="false" ht="15" hidden="false" customHeight="false" outlineLevel="0" collapsed="false">
      <c r="A1104" s="21"/>
      <c r="B1104" s="22"/>
      <c r="C1104" s="21"/>
      <c r="D1104" s="24"/>
      <c r="E1104" s="22"/>
      <c r="F1104" s="29" t="str">
        <f aca="false">IF(C1104="","",IFERROR(INDEX(Produk!$J$2:$J$100,MATCH(C1104,Produk!$A$2:$A$100,0)),"PRODUK?"))</f>
        <v/>
      </c>
      <c r="G1104" s="29" t="str">
        <f aca="false">IF(A1104="","",IF(COUNTIF(Anggota!$A$2:$A$2001,A1104)=0,"TIDAK ADA","OK"))</f>
        <v/>
      </c>
    </row>
    <row r="1105" customFormat="false" ht="15" hidden="false" customHeight="false" outlineLevel="0" collapsed="false">
      <c r="A1105" s="21"/>
      <c r="B1105" s="22"/>
      <c r="C1105" s="21"/>
      <c r="D1105" s="24"/>
      <c r="E1105" s="22"/>
      <c r="F1105" s="29" t="str">
        <f aca="false">IF(C1105="","",IFERROR(INDEX(Produk!$J$2:$J$100,MATCH(C1105,Produk!$A$2:$A$100,0)),"PRODUK?"))</f>
        <v/>
      </c>
      <c r="G1105" s="29" t="str">
        <f aca="false">IF(A1105="","",IF(COUNTIF(Anggota!$A$2:$A$2001,A1105)=0,"TIDAK ADA","OK"))</f>
        <v/>
      </c>
    </row>
    <row r="1106" customFormat="false" ht="15" hidden="false" customHeight="false" outlineLevel="0" collapsed="false">
      <c r="A1106" s="21"/>
      <c r="B1106" s="22"/>
      <c r="C1106" s="21"/>
      <c r="D1106" s="24"/>
      <c r="E1106" s="22"/>
      <c r="F1106" s="29" t="str">
        <f aca="false">IF(C1106="","",IFERROR(INDEX(Produk!$J$2:$J$100,MATCH(C1106,Produk!$A$2:$A$100,0)),"PRODUK?"))</f>
        <v/>
      </c>
      <c r="G1106" s="29" t="str">
        <f aca="false">IF(A1106="","",IF(COUNTIF(Anggota!$A$2:$A$2001,A1106)=0,"TIDAK ADA","OK"))</f>
        <v/>
      </c>
    </row>
    <row r="1107" customFormat="false" ht="15" hidden="false" customHeight="false" outlineLevel="0" collapsed="false">
      <c r="A1107" s="21"/>
      <c r="B1107" s="22"/>
      <c r="C1107" s="21"/>
      <c r="D1107" s="24"/>
      <c r="E1107" s="22"/>
      <c r="F1107" s="29" t="str">
        <f aca="false">IF(C1107="","",IFERROR(INDEX(Produk!$J$2:$J$100,MATCH(C1107,Produk!$A$2:$A$100,0)),"PRODUK?"))</f>
        <v/>
      </c>
      <c r="G1107" s="29" t="str">
        <f aca="false">IF(A1107="","",IF(COUNTIF(Anggota!$A$2:$A$2001,A1107)=0,"TIDAK ADA","OK"))</f>
        <v/>
      </c>
    </row>
    <row r="1108" customFormat="false" ht="15" hidden="false" customHeight="false" outlineLevel="0" collapsed="false">
      <c r="A1108" s="21"/>
      <c r="B1108" s="22"/>
      <c r="C1108" s="21"/>
      <c r="D1108" s="24"/>
      <c r="E1108" s="22"/>
      <c r="F1108" s="29" t="str">
        <f aca="false">IF(C1108="","",IFERROR(INDEX(Produk!$J$2:$J$100,MATCH(C1108,Produk!$A$2:$A$100,0)),"PRODUK?"))</f>
        <v/>
      </c>
      <c r="G1108" s="29" t="str">
        <f aca="false">IF(A1108="","",IF(COUNTIF(Anggota!$A$2:$A$2001,A1108)=0,"TIDAK ADA","OK"))</f>
        <v/>
      </c>
    </row>
    <row r="1109" customFormat="false" ht="15" hidden="false" customHeight="false" outlineLevel="0" collapsed="false">
      <c r="A1109" s="21"/>
      <c r="B1109" s="22"/>
      <c r="C1109" s="21"/>
      <c r="D1109" s="24"/>
      <c r="E1109" s="22"/>
      <c r="F1109" s="29" t="str">
        <f aca="false">IF(C1109="","",IFERROR(INDEX(Produk!$J$2:$J$100,MATCH(C1109,Produk!$A$2:$A$100,0)),"PRODUK?"))</f>
        <v/>
      </c>
      <c r="G1109" s="29" t="str">
        <f aca="false">IF(A1109="","",IF(COUNTIF(Anggota!$A$2:$A$2001,A1109)=0,"TIDAK ADA","OK"))</f>
        <v/>
      </c>
    </row>
    <row r="1110" customFormat="false" ht="15" hidden="false" customHeight="false" outlineLevel="0" collapsed="false">
      <c r="A1110" s="21"/>
      <c r="B1110" s="22"/>
      <c r="C1110" s="21"/>
      <c r="D1110" s="24"/>
      <c r="E1110" s="22"/>
      <c r="F1110" s="29" t="str">
        <f aca="false">IF(C1110="","",IFERROR(INDEX(Produk!$J$2:$J$100,MATCH(C1110,Produk!$A$2:$A$100,0)),"PRODUK?"))</f>
        <v/>
      </c>
      <c r="G1110" s="29" t="str">
        <f aca="false">IF(A1110="","",IF(COUNTIF(Anggota!$A$2:$A$2001,A1110)=0,"TIDAK ADA","OK"))</f>
        <v/>
      </c>
    </row>
    <row r="1111" customFormat="false" ht="15" hidden="false" customHeight="false" outlineLevel="0" collapsed="false">
      <c r="A1111" s="21"/>
      <c r="B1111" s="22"/>
      <c r="C1111" s="21"/>
      <c r="D1111" s="24"/>
      <c r="E1111" s="22"/>
      <c r="F1111" s="29" t="str">
        <f aca="false">IF(C1111="","",IFERROR(INDEX(Produk!$J$2:$J$100,MATCH(C1111,Produk!$A$2:$A$100,0)),"PRODUK?"))</f>
        <v/>
      </c>
      <c r="G1111" s="29" t="str">
        <f aca="false">IF(A1111="","",IF(COUNTIF(Anggota!$A$2:$A$2001,A1111)=0,"TIDAK ADA","OK"))</f>
        <v/>
      </c>
    </row>
    <row r="1112" customFormat="false" ht="15" hidden="false" customHeight="false" outlineLevel="0" collapsed="false">
      <c r="A1112" s="21"/>
      <c r="B1112" s="22"/>
      <c r="C1112" s="21"/>
      <c r="D1112" s="24"/>
      <c r="E1112" s="22"/>
      <c r="F1112" s="29" t="str">
        <f aca="false">IF(C1112="","",IFERROR(INDEX(Produk!$J$2:$J$100,MATCH(C1112,Produk!$A$2:$A$100,0)),"PRODUK?"))</f>
        <v/>
      </c>
      <c r="G1112" s="29" t="str">
        <f aca="false">IF(A1112="","",IF(COUNTIF(Anggota!$A$2:$A$2001,A1112)=0,"TIDAK ADA","OK"))</f>
        <v/>
      </c>
    </row>
    <row r="1113" customFormat="false" ht="15" hidden="false" customHeight="false" outlineLevel="0" collapsed="false">
      <c r="A1113" s="21"/>
      <c r="B1113" s="22"/>
      <c r="C1113" s="21"/>
      <c r="D1113" s="24"/>
      <c r="E1113" s="22"/>
      <c r="F1113" s="29" t="str">
        <f aca="false">IF(C1113="","",IFERROR(INDEX(Produk!$J$2:$J$100,MATCH(C1113,Produk!$A$2:$A$100,0)),"PRODUK?"))</f>
        <v/>
      </c>
      <c r="G1113" s="29" t="str">
        <f aca="false">IF(A1113="","",IF(COUNTIF(Anggota!$A$2:$A$2001,A1113)=0,"TIDAK ADA","OK"))</f>
        <v/>
      </c>
    </row>
    <row r="1114" customFormat="false" ht="15" hidden="false" customHeight="false" outlineLevel="0" collapsed="false">
      <c r="A1114" s="21"/>
      <c r="B1114" s="22"/>
      <c r="C1114" s="21"/>
      <c r="D1114" s="24"/>
      <c r="E1114" s="22"/>
      <c r="F1114" s="29" t="str">
        <f aca="false">IF(C1114="","",IFERROR(INDEX(Produk!$J$2:$J$100,MATCH(C1114,Produk!$A$2:$A$100,0)),"PRODUK?"))</f>
        <v/>
      </c>
      <c r="G1114" s="29" t="str">
        <f aca="false">IF(A1114="","",IF(COUNTIF(Anggota!$A$2:$A$2001,A1114)=0,"TIDAK ADA","OK"))</f>
        <v/>
      </c>
    </row>
    <row r="1115" customFormat="false" ht="15" hidden="false" customHeight="false" outlineLevel="0" collapsed="false">
      <c r="A1115" s="21"/>
      <c r="B1115" s="22"/>
      <c r="C1115" s="21"/>
      <c r="D1115" s="24"/>
      <c r="E1115" s="22"/>
      <c r="F1115" s="29" t="str">
        <f aca="false">IF(C1115="","",IFERROR(INDEX(Produk!$J$2:$J$100,MATCH(C1115,Produk!$A$2:$A$100,0)),"PRODUK?"))</f>
        <v/>
      </c>
      <c r="G1115" s="29" t="str">
        <f aca="false">IF(A1115="","",IF(COUNTIF(Anggota!$A$2:$A$2001,A1115)=0,"TIDAK ADA","OK"))</f>
        <v/>
      </c>
    </row>
    <row r="1116" customFormat="false" ht="15" hidden="false" customHeight="false" outlineLevel="0" collapsed="false">
      <c r="A1116" s="21"/>
      <c r="B1116" s="22"/>
      <c r="C1116" s="21"/>
      <c r="D1116" s="24"/>
      <c r="E1116" s="22"/>
      <c r="F1116" s="29" t="str">
        <f aca="false">IF(C1116="","",IFERROR(INDEX(Produk!$J$2:$J$100,MATCH(C1116,Produk!$A$2:$A$100,0)),"PRODUK?"))</f>
        <v/>
      </c>
      <c r="G1116" s="29" t="str">
        <f aca="false">IF(A1116="","",IF(COUNTIF(Anggota!$A$2:$A$2001,A1116)=0,"TIDAK ADA","OK"))</f>
        <v/>
      </c>
    </row>
    <row r="1117" customFormat="false" ht="15" hidden="false" customHeight="false" outlineLevel="0" collapsed="false">
      <c r="A1117" s="21"/>
      <c r="B1117" s="22"/>
      <c r="C1117" s="21"/>
      <c r="D1117" s="24"/>
      <c r="E1117" s="22"/>
      <c r="F1117" s="29" t="str">
        <f aca="false">IF(C1117="","",IFERROR(INDEX(Produk!$J$2:$J$100,MATCH(C1117,Produk!$A$2:$A$100,0)),"PRODUK?"))</f>
        <v/>
      </c>
      <c r="G1117" s="29" t="str">
        <f aca="false">IF(A1117="","",IF(COUNTIF(Anggota!$A$2:$A$2001,A1117)=0,"TIDAK ADA","OK"))</f>
        <v/>
      </c>
    </row>
    <row r="1118" customFormat="false" ht="15" hidden="false" customHeight="false" outlineLevel="0" collapsed="false">
      <c r="A1118" s="21"/>
      <c r="B1118" s="22"/>
      <c r="C1118" s="21"/>
      <c r="D1118" s="24"/>
      <c r="E1118" s="22"/>
      <c r="F1118" s="29" t="str">
        <f aca="false">IF(C1118="","",IFERROR(INDEX(Produk!$J$2:$J$100,MATCH(C1118,Produk!$A$2:$A$100,0)),"PRODUK?"))</f>
        <v/>
      </c>
      <c r="G1118" s="29" t="str">
        <f aca="false">IF(A1118="","",IF(COUNTIF(Anggota!$A$2:$A$2001,A1118)=0,"TIDAK ADA","OK"))</f>
        <v/>
      </c>
    </row>
    <row r="1119" customFormat="false" ht="15" hidden="false" customHeight="false" outlineLevel="0" collapsed="false">
      <c r="A1119" s="21"/>
      <c r="B1119" s="22"/>
      <c r="C1119" s="21"/>
      <c r="D1119" s="24"/>
      <c r="E1119" s="22"/>
      <c r="F1119" s="29" t="str">
        <f aca="false">IF(C1119="","",IFERROR(INDEX(Produk!$J$2:$J$100,MATCH(C1119,Produk!$A$2:$A$100,0)),"PRODUK?"))</f>
        <v/>
      </c>
      <c r="G1119" s="29" t="str">
        <f aca="false">IF(A1119="","",IF(COUNTIF(Anggota!$A$2:$A$2001,A1119)=0,"TIDAK ADA","OK"))</f>
        <v/>
      </c>
    </row>
    <row r="1120" customFormat="false" ht="15" hidden="false" customHeight="false" outlineLevel="0" collapsed="false">
      <c r="A1120" s="21"/>
      <c r="B1120" s="22"/>
      <c r="C1120" s="21"/>
      <c r="D1120" s="24"/>
      <c r="E1120" s="22"/>
      <c r="F1120" s="29" t="str">
        <f aca="false">IF(C1120="","",IFERROR(INDEX(Produk!$J$2:$J$100,MATCH(C1120,Produk!$A$2:$A$100,0)),"PRODUK?"))</f>
        <v/>
      </c>
      <c r="G1120" s="29" t="str">
        <f aca="false">IF(A1120="","",IF(COUNTIF(Anggota!$A$2:$A$2001,A1120)=0,"TIDAK ADA","OK"))</f>
        <v/>
      </c>
    </row>
    <row r="1121" customFormat="false" ht="15" hidden="false" customHeight="false" outlineLevel="0" collapsed="false">
      <c r="A1121" s="21"/>
      <c r="B1121" s="22"/>
      <c r="C1121" s="21"/>
      <c r="D1121" s="24"/>
      <c r="E1121" s="22"/>
      <c r="F1121" s="29" t="str">
        <f aca="false">IF(C1121="","",IFERROR(INDEX(Produk!$J$2:$J$100,MATCH(C1121,Produk!$A$2:$A$100,0)),"PRODUK?"))</f>
        <v/>
      </c>
      <c r="G1121" s="29" t="str">
        <f aca="false">IF(A1121="","",IF(COUNTIF(Anggota!$A$2:$A$2001,A1121)=0,"TIDAK ADA","OK"))</f>
        <v/>
      </c>
    </row>
    <row r="1122" customFormat="false" ht="15" hidden="false" customHeight="false" outlineLevel="0" collapsed="false">
      <c r="A1122" s="21"/>
      <c r="B1122" s="22"/>
      <c r="C1122" s="21"/>
      <c r="D1122" s="24"/>
      <c r="E1122" s="22"/>
      <c r="F1122" s="29" t="str">
        <f aca="false">IF(C1122="","",IFERROR(INDEX(Produk!$J$2:$J$100,MATCH(C1122,Produk!$A$2:$A$100,0)),"PRODUK?"))</f>
        <v/>
      </c>
      <c r="G1122" s="29" t="str">
        <f aca="false">IF(A1122="","",IF(COUNTIF(Anggota!$A$2:$A$2001,A1122)=0,"TIDAK ADA","OK"))</f>
        <v/>
      </c>
    </row>
    <row r="1123" customFormat="false" ht="15" hidden="false" customHeight="false" outlineLevel="0" collapsed="false">
      <c r="A1123" s="21"/>
      <c r="B1123" s="22"/>
      <c r="C1123" s="21"/>
      <c r="D1123" s="24"/>
      <c r="E1123" s="22"/>
      <c r="F1123" s="29" t="str">
        <f aca="false">IF(C1123="","",IFERROR(INDEX(Produk!$J$2:$J$100,MATCH(C1123,Produk!$A$2:$A$100,0)),"PRODUK?"))</f>
        <v/>
      </c>
      <c r="G1123" s="29" t="str">
        <f aca="false">IF(A1123="","",IF(COUNTIF(Anggota!$A$2:$A$2001,A1123)=0,"TIDAK ADA","OK"))</f>
        <v/>
      </c>
    </row>
    <row r="1124" customFormat="false" ht="15" hidden="false" customHeight="false" outlineLevel="0" collapsed="false">
      <c r="A1124" s="21"/>
      <c r="B1124" s="22"/>
      <c r="C1124" s="21"/>
      <c r="D1124" s="24"/>
      <c r="E1124" s="22"/>
      <c r="F1124" s="29" t="str">
        <f aca="false">IF(C1124="","",IFERROR(INDEX(Produk!$J$2:$J$100,MATCH(C1124,Produk!$A$2:$A$100,0)),"PRODUK?"))</f>
        <v/>
      </c>
      <c r="G1124" s="29" t="str">
        <f aca="false">IF(A1124="","",IF(COUNTIF(Anggota!$A$2:$A$2001,A1124)=0,"TIDAK ADA","OK"))</f>
        <v/>
      </c>
    </row>
    <row r="1125" customFormat="false" ht="15" hidden="false" customHeight="false" outlineLevel="0" collapsed="false">
      <c r="A1125" s="21"/>
      <c r="B1125" s="22"/>
      <c r="C1125" s="21"/>
      <c r="D1125" s="24"/>
      <c r="E1125" s="22"/>
      <c r="F1125" s="29" t="str">
        <f aca="false">IF(C1125="","",IFERROR(INDEX(Produk!$J$2:$J$100,MATCH(C1125,Produk!$A$2:$A$100,0)),"PRODUK?"))</f>
        <v/>
      </c>
      <c r="G1125" s="29" t="str">
        <f aca="false">IF(A1125="","",IF(COUNTIF(Anggota!$A$2:$A$2001,A1125)=0,"TIDAK ADA","OK"))</f>
        <v/>
      </c>
    </row>
    <row r="1126" customFormat="false" ht="15" hidden="false" customHeight="false" outlineLevel="0" collapsed="false">
      <c r="A1126" s="21"/>
      <c r="B1126" s="22"/>
      <c r="C1126" s="21"/>
      <c r="D1126" s="24"/>
      <c r="E1126" s="22"/>
      <c r="F1126" s="29" t="str">
        <f aca="false">IF(C1126="","",IFERROR(INDEX(Produk!$J$2:$J$100,MATCH(C1126,Produk!$A$2:$A$100,0)),"PRODUK?"))</f>
        <v/>
      </c>
      <c r="G1126" s="29" t="str">
        <f aca="false">IF(A1126="","",IF(COUNTIF(Anggota!$A$2:$A$2001,A1126)=0,"TIDAK ADA","OK"))</f>
        <v/>
      </c>
    </row>
    <row r="1127" customFormat="false" ht="15" hidden="false" customHeight="false" outlineLevel="0" collapsed="false">
      <c r="A1127" s="21"/>
      <c r="B1127" s="22"/>
      <c r="C1127" s="21"/>
      <c r="D1127" s="24"/>
      <c r="E1127" s="22"/>
      <c r="F1127" s="29" t="str">
        <f aca="false">IF(C1127="","",IFERROR(INDEX(Produk!$J$2:$J$100,MATCH(C1127,Produk!$A$2:$A$100,0)),"PRODUK?"))</f>
        <v/>
      </c>
      <c r="G1127" s="29" t="str">
        <f aca="false">IF(A1127="","",IF(COUNTIF(Anggota!$A$2:$A$2001,A1127)=0,"TIDAK ADA","OK"))</f>
        <v/>
      </c>
    </row>
    <row r="1128" customFormat="false" ht="15" hidden="false" customHeight="false" outlineLevel="0" collapsed="false">
      <c r="A1128" s="21"/>
      <c r="B1128" s="22"/>
      <c r="C1128" s="21"/>
      <c r="D1128" s="24"/>
      <c r="E1128" s="22"/>
      <c r="F1128" s="29" t="str">
        <f aca="false">IF(C1128="","",IFERROR(INDEX(Produk!$J$2:$J$100,MATCH(C1128,Produk!$A$2:$A$100,0)),"PRODUK?"))</f>
        <v/>
      </c>
      <c r="G1128" s="29" t="str">
        <f aca="false">IF(A1128="","",IF(COUNTIF(Anggota!$A$2:$A$2001,A1128)=0,"TIDAK ADA","OK"))</f>
        <v/>
      </c>
    </row>
    <row r="1129" customFormat="false" ht="15" hidden="false" customHeight="false" outlineLevel="0" collapsed="false">
      <c r="A1129" s="21"/>
      <c r="B1129" s="22"/>
      <c r="C1129" s="21"/>
      <c r="D1129" s="24"/>
      <c r="E1129" s="22"/>
      <c r="F1129" s="29" t="str">
        <f aca="false">IF(C1129="","",IFERROR(INDEX(Produk!$J$2:$J$100,MATCH(C1129,Produk!$A$2:$A$100,0)),"PRODUK?"))</f>
        <v/>
      </c>
      <c r="G1129" s="29" t="str">
        <f aca="false">IF(A1129="","",IF(COUNTIF(Anggota!$A$2:$A$2001,A1129)=0,"TIDAK ADA","OK"))</f>
        <v/>
      </c>
    </row>
    <row r="1130" customFormat="false" ht="15" hidden="false" customHeight="false" outlineLevel="0" collapsed="false">
      <c r="A1130" s="21"/>
      <c r="B1130" s="22"/>
      <c r="C1130" s="21"/>
      <c r="D1130" s="24"/>
      <c r="E1130" s="22"/>
      <c r="F1130" s="29" t="str">
        <f aca="false">IF(C1130="","",IFERROR(INDEX(Produk!$J$2:$J$100,MATCH(C1130,Produk!$A$2:$A$100,0)),"PRODUK?"))</f>
        <v/>
      </c>
      <c r="G1130" s="29" t="str">
        <f aca="false">IF(A1130="","",IF(COUNTIF(Anggota!$A$2:$A$2001,A1130)=0,"TIDAK ADA","OK"))</f>
        <v/>
      </c>
    </row>
    <row r="1131" customFormat="false" ht="15" hidden="false" customHeight="false" outlineLevel="0" collapsed="false">
      <c r="A1131" s="21"/>
      <c r="B1131" s="22"/>
      <c r="C1131" s="21"/>
      <c r="D1131" s="24"/>
      <c r="E1131" s="22"/>
      <c r="F1131" s="29" t="str">
        <f aca="false">IF(C1131="","",IFERROR(INDEX(Produk!$J$2:$J$100,MATCH(C1131,Produk!$A$2:$A$100,0)),"PRODUK?"))</f>
        <v/>
      </c>
      <c r="G1131" s="29" t="str">
        <f aca="false">IF(A1131="","",IF(COUNTIF(Anggota!$A$2:$A$2001,A1131)=0,"TIDAK ADA","OK"))</f>
        <v/>
      </c>
    </row>
    <row r="1132" customFormat="false" ht="15" hidden="false" customHeight="false" outlineLevel="0" collapsed="false">
      <c r="A1132" s="21"/>
      <c r="B1132" s="22"/>
      <c r="C1132" s="21"/>
      <c r="D1132" s="24"/>
      <c r="E1132" s="22"/>
      <c r="F1132" s="29" t="str">
        <f aca="false">IF(C1132="","",IFERROR(INDEX(Produk!$J$2:$J$100,MATCH(C1132,Produk!$A$2:$A$100,0)),"PRODUK?"))</f>
        <v/>
      </c>
      <c r="G1132" s="29" t="str">
        <f aca="false">IF(A1132="","",IF(COUNTIF(Anggota!$A$2:$A$2001,A1132)=0,"TIDAK ADA","OK"))</f>
        <v/>
      </c>
    </row>
    <row r="1133" customFormat="false" ht="15" hidden="false" customHeight="false" outlineLevel="0" collapsed="false">
      <c r="A1133" s="21"/>
      <c r="B1133" s="22"/>
      <c r="C1133" s="21"/>
      <c r="D1133" s="24"/>
      <c r="E1133" s="22"/>
      <c r="F1133" s="29" t="str">
        <f aca="false">IF(C1133="","",IFERROR(INDEX(Produk!$J$2:$J$100,MATCH(C1133,Produk!$A$2:$A$100,0)),"PRODUK?"))</f>
        <v/>
      </c>
      <c r="G1133" s="29" t="str">
        <f aca="false">IF(A1133="","",IF(COUNTIF(Anggota!$A$2:$A$2001,A1133)=0,"TIDAK ADA","OK"))</f>
        <v/>
      </c>
    </row>
    <row r="1134" customFormat="false" ht="15" hidden="false" customHeight="false" outlineLevel="0" collapsed="false">
      <c r="A1134" s="21"/>
      <c r="B1134" s="22"/>
      <c r="C1134" s="21"/>
      <c r="D1134" s="24"/>
      <c r="E1134" s="22"/>
      <c r="F1134" s="29" t="str">
        <f aca="false">IF(C1134="","",IFERROR(INDEX(Produk!$J$2:$J$100,MATCH(C1134,Produk!$A$2:$A$100,0)),"PRODUK?"))</f>
        <v/>
      </c>
      <c r="G1134" s="29" t="str">
        <f aca="false">IF(A1134="","",IF(COUNTIF(Anggota!$A$2:$A$2001,A1134)=0,"TIDAK ADA","OK"))</f>
        <v/>
      </c>
    </row>
    <row r="1135" customFormat="false" ht="15" hidden="false" customHeight="false" outlineLevel="0" collapsed="false">
      <c r="A1135" s="21"/>
      <c r="B1135" s="22"/>
      <c r="C1135" s="21"/>
      <c r="D1135" s="24"/>
      <c r="E1135" s="22"/>
      <c r="F1135" s="29" t="str">
        <f aca="false">IF(C1135="","",IFERROR(INDEX(Produk!$J$2:$J$100,MATCH(C1135,Produk!$A$2:$A$100,0)),"PRODUK?"))</f>
        <v/>
      </c>
      <c r="G1135" s="29" t="str">
        <f aca="false">IF(A1135="","",IF(COUNTIF(Anggota!$A$2:$A$2001,A1135)=0,"TIDAK ADA","OK"))</f>
        <v/>
      </c>
    </row>
    <row r="1136" customFormat="false" ht="15" hidden="false" customHeight="false" outlineLevel="0" collapsed="false">
      <c r="A1136" s="21"/>
      <c r="B1136" s="22"/>
      <c r="C1136" s="21"/>
      <c r="D1136" s="24"/>
      <c r="E1136" s="22"/>
      <c r="F1136" s="29" t="str">
        <f aca="false">IF(C1136="","",IFERROR(INDEX(Produk!$J$2:$J$100,MATCH(C1136,Produk!$A$2:$A$100,0)),"PRODUK?"))</f>
        <v/>
      </c>
      <c r="G1136" s="29" t="str">
        <f aca="false">IF(A1136="","",IF(COUNTIF(Anggota!$A$2:$A$2001,A1136)=0,"TIDAK ADA","OK"))</f>
        <v/>
      </c>
    </row>
    <row r="1137" customFormat="false" ht="15" hidden="false" customHeight="false" outlineLevel="0" collapsed="false">
      <c r="A1137" s="21"/>
      <c r="B1137" s="22"/>
      <c r="C1137" s="21"/>
      <c r="D1137" s="24"/>
      <c r="E1137" s="22"/>
      <c r="F1137" s="29" t="str">
        <f aca="false">IF(C1137="","",IFERROR(INDEX(Produk!$J$2:$J$100,MATCH(C1137,Produk!$A$2:$A$100,0)),"PRODUK?"))</f>
        <v/>
      </c>
      <c r="G1137" s="29" t="str">
        <f aca="false">IF(A1137="","",IF(COUNTIF(Anggota!$A$2:$A$2001,A1137)=0,"TIDAK ADA","OK"))</f>
        <v/>
      </c>
    </row>
    <row r="1138" customFormat="false" ht="15" hidden="false" customHeight="false" outlineLevel="0" collapsed="false">
      <c r="A1138" s="21"/>
      <c r="B1138" s="22"/>
      <c r="C1138" s="21"/>
      <c r="D1138" s="24"/>
      <c r="E1138" s="22"/>
      <c r="F1138" s="29" t="str">
        <f aca="false">IF(C1138="","",IFERROR(INDEX(Produk!$J$2:$J$100,MATCH(C1138,Produk!$A$2:$A$100,0)),"PRODUK?"))</f>
        <v/>
      </c>
      <c r="G1138" s="29" t="str">
        <f aca="false">IF(A1138="","",IF(COUNTIF(Anggota!$A$2:$A$2001,A1138)=0,"TIDAK ADA","OK"))</f>
        <v/>
      </c>
    </row>
    <row r="1139" customFormat="false" ht="15" hidden="false" customHeight="false" outlineLevel="0" collapsed="false">
      <c r="A1139" s="21"/>
      <c r="B1139" s="22"/>
      <c r="C1139" s="21"/>
      <c r="D1139" s="24"/>
      <c r="E1139" s="22"/>
      <c r="F1139" s="29" t="str">
        <f aca="false">IF(C1139="","",IFERROR(INDEX(Produk!$J$2:$J$100,MATCH(C1139,Produk!$A$2:$A$100,0)),"PRODUK?"))</f>
        <v/>
      </c>
      <c r="G1139" s="29" t="str">
        <f aca="false">IF(A1139="","",IF(COUNTIF(Anggota!$A$2:$A$2001,A1139)=0,"TIDAK ADA","OK"))</f>
        <v/>
      </c>
    </row>
    <row r="1140" customFormat="false" ht="15" hidden="false" customHeight="false" outlineLevel="0" collapsed="false">
      <c r="A1140" s="21"/>
      <c r="B1140" s="22"/>
      <c r="C1140" s="21"/>
      <c r="D1140" s="24"/>
      <c r="E1140" s="22"/>
      <c r="F1140" s="29" t="str">
        <f aca="false">IF(C1140="","",IFERROR(INDEX(Produk!$J$2:$J$100,MATCH(C1140,Produk!$A$2:$A$100,0)),"PRODUK?"))</f>
        <v/>
      </c>
      <c r="G1140" s="29" t="str">
        <f aca="false">IF(A1140="","",IF(COUNTIF(Anggota!$A$2:$A$2001,A1140)=0,"TIDAK ADA","OK"))</f>
        <v/>
      </c>
    </row>
    <row r="1141" customFormat="false" ht="15" hidden="false" customHeight="false" outlineLevel="0" collapsed="false">
      <c r="A1141" s="21"/>
      <c r="B1141" s="22"/>
      <c r="C1141" s="21"/>
      <c r="D1141" s="24"/>
      <c r="E1141" s="22"/>
      <c r="F1141" s="29" t="str">
        <f aca="false">IF(C1141="","",IFERROR(INDEX(Produk!$J$2:$J$100,MATCH(C1141,Produk!$A$2:$A$100,0)),"PRODUK?"))</f>
        <v/>
      </c>
      <c r="G1141" s="29" t="str">
        <f aca="false">IF(A1141="","",IF(COUNTIF(Anggota!$A$2:$A$2001,A1141)=0,"TIDAK ADA","OK"))</f>
        <v/>
      </c>
    </row>
    <row r="1142" customFormat="false" ht="15" hidden="false" customHeight="false" outlineLevel="0" collapsed="false">
      <c r="A1142" s="21"/>
      <c r="B1142" s="22"/>
      <c r="C1142" s="21"/>
      <c r="D1142" s="24"/>
      <c r="E1142" s="22"/>
      <c r="F1142" s="29" t="str">
        <f aca="false">IF(C1142="","",IFERROR(INDEX(Produk!$J$2:$J$100,MATCH(C1142,Produk!$A$2:$A$100,0)),"PRODUK?"))</f>
        <v/>
      </c>
      <c r="G1142" s="29" t="str">
        <f aca="false">IF(A1142="","",IF(COUNTIF(Anggota!$A$2:$A$2001,A1142)=0,"TIDAK ADA","OK"))</f>
        <v/>
      </c>
    </row>
    <row r="1143" customFormat="false" ht="15" hidden="false" customHeight="false" outlineLevel="0" collapsed="false">
      <c r="A1143" s="21"/>
      <c r="B1143" s="22"/>
      <c r="C1143" s="21"/>
      <c r="D1143" s="24"/>
      <c r="E1143" s="22"/>
      <c r="F1143" s="29" t="str">
        <f aca="false">IF(C1143="","",IFERROR(INDEX(Produk!$J$2:$J$100,MATCH(C1143,Produk!$A$2:$A$100,0)),"PRODUK?"))</f>
        <v/>
      </c>
      <c r="G1143" s="29" t="str">
        <f aca="false">IF(A1143="","",IF(COUNTIF(Anggota!$A$2:$A$2001,A1143)=0,"TIDAK ADA","OK"))</f>
        <v/>
      </c>
    </row>
    <row r="1144" customFormat="false" ht="15" hidden="false" customHeight="false" outlineLevel="0" collapsed="false">
      <c r="A1144" s="21"/>
      <c r="B1144" s="22"/>
      <c r="C1144" s="21"/>
      <c r="D1144" s="24"/>
      <c r="E1144" s="22"/>
      <c r="F1144" s="29" t="str">
        <f aca="false">IF(C1144="","",IFERROR(INDEX(Produk!$J$2:$J$100,MATCH(C1144,Produk!$A$2:$A$100,0)),"PRODUK?"))</f>
        <v/>
      </c>
      <c r="G1144" s="29" t="str">
        <f aca="false">IF(A1144="","",IF(COUNTIF(Anggota!$A$2:$A$2001,A1144)=0,"TIDAK ADA","OK"))</f>
        <v/>
      </c>
    </row>
    <row r="1145" customFormat="false" ht="15" hidden="false" customHeight="false" outlineLevel="0" collapsed="false">
      <c r="A1145" s="21"/>
      <c r="B1145" s="22"/>
      <c r="C1145" s="21"/>
      <c r="D1145" s="24"/>
      <c r="E1145" s="22"/>
      <c r="F1145" s="29" t="str">
        <f aca="false">IF(C1145="","",IFERROR(INDEX(Produk!$J$2:$J$100,MATCH(C1145,Produk!$A$2:$A$100,0)),"PRODUK?"))</f>
        <v/>
      </c>
      <c r="G1145" s="29" t="str">
        <f aca="false">IF(A1145="","",IF(COUNTIF(Anggota!$A$2:$A$2001,A1145)=0,"TIDAK ADA","OK"))</f>
        <v/>
      </c>
    </row>
    <row r="1146" customFormat="false" ht="15" hidden="false" customHeight="false" outlineLevel="0" collapsed="false">
      <c r="A1146" s="21"/>
      <c r="B1146" s="22"/>
      <c r="C1146" s="21"/>
      <c r="D1146" s="24"/>
      <c r="E1146" s="22"/>
      <c r="F1146" s="29" t="str">
        <f aca="false">IF(C1146="","",IFERROR(INDEX(Produk!$J$2:$J$100,MATCH(C1146,Produk!$A$2:$A$100,0)),"PRODUK?"))</f>
        <v/>
      </c>
      <c r="G1146" s="29" t="str">
        <f aca="false">IF(A1146="","",IF(COUNTIF(Anggota!$A$2:$A$2001,A1146)=0,"TIDAK ADA","OK"))</f>
        <v/>
      </c>
    </row>
    <row r="1147" customFormat="false" ht="15" hidden="false" customHeight="false" outlineLevel="0" collapsed="false">
      <c r="A1147" s="21"/>
      <c r="B1147" s="22"/>
      <c r="C1147" s="21"/>
      <c r="D1147" s="24"/>
      <c r="E1147" s="22"/>
      <c r="F1147" s="29" t="str">
        <f aca="false">IF(C1147="","",IFERROR(INDEX(Produk!$J$2:$J$100,MATCH(C1147,Produk!$A$2:$A$100,0)),"PRODUK?"))</f>
        <v/>
      </c>
      <c r="G1147" s="29" t="str">
        <f aca="false">IF(A1147="","",IF(COUNTIF(Anggota!$A$2:$A$2001,A1147)=0,"TIDAK ADA","OK"))</f>
        <v/>
      </c>
    </row>
    <row r="1148" customFormat="false" ht="15" hidden="false" customHeight="false" outlineLevel="0" collapsed="false">
      <c r="A1148" s="21"/>
      <c r="B1148" s="22"/>
      <c r="C1148" s="21"/>
      <c r="D1148" s="24"/>
      <c r="E1148" s="22"/>
      <c r="F1148" s="29" t="str">
        <f aca="false">IF(C1148="","",IFERROR(INDEX(Produk!$J$2:$J$100,MATCH(C1148,Produk!$A$2:$A$100,0)),"PRODUK?"))</f>
        <v/>
      </c>
      <c r="G1148" s="29" t="str">
        <f aca="false">IF(A1148="","",IF(COUNTIF(Anggota!$A$2:$A$2001,A1148)=0,"TIDAK ADA","OK"))</f>
        <v/>
      </c>
    </row>
    <row r="1149" customFormat="false" ht="15" hidden="false" customHeight="false" outlineLevel="0" collapsed="false">
      <c r="A1149" s="21"/>
      <c r="B1149" s="22"/>
      <c r="C1149" s="21"/>
      <c r="D1149" s="24"/>
      <c r="E1149" s="22"/>
      <c r="F1149" s="29" t="str">
        <f aca="false">IF(C1149="","",IFERROR(INDEX(Produk!$J$2:$J$100,MATCH(C1149,Produk!$A$2:$A$100,0)),"PRODUK?"))</f>
        <v/>
      </c>
      <c r="G1149" s="29" t="str">
        <f aca="false">IF(A1149="","",IF(COUNTIF(Anggota!$A$2:$A$2001,A1149)=0,"TIDAK ADA","OK"))</f>
        <v/>
      </c>
    </row>
    <row r="1150" customFormat="false" ht="15" hidden="false" customHeight="false" outlineLevel="0" collapsed="false">
      <c r="A1150" s="21"/>
      <c r="B1150" s="22"/>
      <c r="C1150" s="21"/>
      <c r="D1150" s="24"/>
      <c r="E1150" s="22"/>
      <c r="F1150" s="29" t="str">
        <f aca="false">IF(C1150="","",IFERROR(INDEX(Produk!$J$2:$J$100,MATCH(C1150,Produk!$A$2:$A$100,0)),"PRODUK?"))</f>
        <v/>
      </c>
      <c r="G1150" s="29" t="str">
        <f aca="false">IF(A1150="","",IF(COUNTIF(Anggota!$A$2:$A$2001,A1150)=0,"TIDAK ADA","OK"))</f>
        <v/>
      </c>
    </row>
    <row r="1151" customFormat="false" ht="15" hidden="false" customHeight="false" outlineLevel="0" collapsed="false">
      <c r="A1151" s="21"/>
      <c r="B1151" s="22"/>
      <c r="C1151" s="21"/>
      <c r="D1151" s="24"/>
      <c r="E1151" s="22"/>
      <c r="F1151" s="29" t="str">
        <f aca="false">IF(C1151="","",IFERROR(INDEX(Produk!$J$2:$J$100,MATCH(C1151,Produk!$A$2:$A$100,0)),"PRODUK?"))</f>
        <v/>
      </c>
      <c r="G1151" s="29" t="str">
        <f aca="false">IF(A1151="","",IF(COUNTIF(Anggota!$A$2:$A$2001,A1151)=0,"TIDAK ADA","OK"))</f>
        <v/>
      </c>
    </row>
    <row r="1152" customFormat="false" ht="15" hidden="false" customHeight="false" outlineLevel="0" collapsed="false">
      <c r="A1152" s="21"/>
      <c r="B1152" s="22"/>
      <c r="C1152" s="21"/>
      <c r="D1152" s="24"/>
      <c r="E1152" s="22"/>
      <c r="F1152" s="29" t="str">
        <f aca="false">IF(C1152="","",IFERROR(INDEX(Produk!$J$2:$J$100,MATCH(C1152,Produk!$A$2:$A$100,0)),"PRODUK?"))</f>
        <v/>
      </c>
      <c r="G1152" s="29" t="str">
        <f aca="false">IF(A1152="","",IF(COUNTIF(Anggota!$A$2:$A$2001,A1152)=0,"TIDAK ADA","OK"))</f>
        <v/>
      </c>
    </row>
    <row r="1153" customFormat="false" ht="15" hidden="false" customHeight="false" outlineLevel="0" collapsed="false">
      <c r="A1153" s="21"/>
      <c r="B1153" s="22"/>
      <c r="C1153" s="21"/>
      <c r="D1153" s="24"/>
      <c r="E1153" s="22"/>
      <c r="F1153" s="29" t="str">
        <f aca="false">IF(C1153="","",IFERROR(INDEX(Produk!$J$2:$J$100,MATCH(C1153,Produk!$A$2:$A$100,0)),"PRODUK?"))</f>
        <v/>
      </c>
      <c r="G1153" s="29" t="str">
        <f aca="false">IF(A1153="","",IF(COUNTIF(Anggota!$A$2:$A$2001,A1153)=0,"TIDAK ADA","OK"))</f>
        <v/>
      </c>
    </row>
    <row r="1154" customFormat="false" ht="15" hidden="false" customHeight="false" outlineLevel="0" collapsed="false">
      <c r="A1154" s="21"/>
      <c r="B1154" s="22"/>
      <c r="C1154" s="21"/>
      <c r="D1154" s="24"/>
      <c r="E1154" s="22"/>
      <c r="F1154" s="29" t="str">
        <f aca="false">IF(C1154="","",IFERROR(INDEX(Produk!$J$2:$J$100,MATCH(C1154,Produk!$A$2:$A$100,0)),"PRODUK?"))</f>
        <v/>
      </c>
      <c r="G1154" s="29" t="str">
        <f aca="false">IF(A1154="","",IF(COUNTIF(Anggota!$A$2:$A$2001,A1154)=0,"TIDAK ADA","OK"))</f>
        <v/>
      </c>
    </row>
    <row r="1155" customFormat="false" ht="15" hidden="false" customHeight="false" outlineLevel="0" collapsed="false">
      <c r="A1155" s="21"/>
      <c r="B1155" s="22"/>
      <c r="C1155" s="21"/>
      <c r="D1155" s="24"/>
      <c r="E1155" s="22"/>
      <c r="F1155" s="29" t="str">
        <f aca="false">IF(C1155="","",IFERROR(INDEX(Produk!$J$2:$J$100,MATCH(C1155,Produk!$A$2:$A$100,0)),"PRODUK?"))</f>
        <v/>
      </c>
      <c r="G1155" s="29" t="str">
        <f aca="false">IF(A1155="","",IF(COUNTIF(Anggota!$A$2:$A$2001,A1155)=0,"TIDAK ADA","OK"))</f>
        <v/>
      </c>
    </row>
    <row r="1156" customFormat="false" ht="15" hidden="false" customHeight="false" outlineLevel="0" collapsed="false">
      <c r="A1156" s="21"/>
      <c r="B1156" s="22"/>
      <c r="C1156" s="21"/>
      <c r="D1156" s="24"/>
      <c r="E1156" s="22"/>
      <c r="F1156" s="29" t="str">
        <f aca="false">IF(C1156="","",IFERROR(INDEX(Produk!$J$2:$J$100,MATCH(C1156,Produk!$A$2:$A$100,0)),"PRODUK?"))</f>
        <v/>
      </c>
      <c r="G1156" s="29" t="str">
        <f aca="false">IF(A1156="","",IF(COUNTIF(Anggota!$A$2:$A$2001,A1156)=0,"TIDAK ADA","OK"))</f>
        <v/>
      </c>
    </row>
    <row r="1157" customFormat="false" ht="15" hidden="false" customHeight="false" outlineLevel="0" collapsed="false">
      <c r="A1157" s="21"/>
      <c r="B1157" s="22"/>
      <c r="C1157" s="21"/>
      <c r="D1157" s="24"/>
      <c r="E1157" s="22"/>
      <c r="F1157" s="29" t="str">
        <f aca="false">IF(C1157="","",IFERROR(INDEX(Produk!$J$2:$J$100,MATCH(C1157,Produk!$A$2:$A$100,0)),"PRODUK?"))</f>
        <v/>
      </c>
      <c r="G1157" s="29" t="str">
        <f aca="false">IF(A1157="","",IF(COUNTIF(Anggota!$A$2:$A$2001,A1157)=0,"TIDAK ADA","OK"))</f>
        <v/>
      </c>
    </row>
    <row r="1158" customFormat="false" ht="15" hidden="false" customHeight="false" outlineLevel="0" collapsed="false">
      <c r="A1158" s="21"/>
      <c r="B1158" s="22"/>
      <c r="C1158" s="21"/>
      <c r="D1158" s="24"/>
      <c r="E1158" s="22"/>
      <c r="F1158" s="29" t="str">
        <f aca="false">IF(C1158="","",IFERROR(INDEX(Produk!$J$2:$J$100,MATCH(C1158,Produk!$A$2:$A$100,0)),"PRODUK?"))</f>
        <v/>
      </c>
      <c r="G1158" s="29" t="str">
        <f aca="false">IF(A1158="","",IF(COUNTIF(Anggota!$A$2:$A$2001,A1158)=0,"TIDAK ADA","OK"))</f>
        <v/>
      </c>
    </row>
    <row r="1159" customFormat="false" ht="15" hidden="false" customHeight="false" outlineLevel="0" collapsed="false">
      <c r="A1159" s="21"/>
      <c r="B1159" s="22"/>
      <c r="C1159" s="21"/>
      <c r="D1159" s="24"/>
      <c r="E1159" s="22"/>
      <c r="F1159" s="29" t="str">
        <f aca="false">IF(C1159="","",IFERROR(INDEX(Produk!$J$2:$J$100,MATCH(C1159,Produk!$A$2:$A$100,0)),"PRODUK?"))</f>
        <v/>
      </c>
      <c r="G1159" s="29" t="str">
        <f aca="false">IF(A1159="","",IF(COUNTIF(Anggota!$A$2:$A$2001,A1159)=0,"TIDAK ADA","OK"))</f>
        <v/>
      </c>
    </row>
    <row r="1160" customFormat="false" ht="15" hidden="false" customHeight="false" outlineLevel="0" collapsed="false">
      <c r="A1160" s="21"/>
      <c r="B1160" s="22"/>
      <c r="C1160" s="21"/>
      <c r="D1160" s="24"/>
      <c r="E1160" s="22"/>
      <c r="F1160" s="29" t="str">
        <f aca="false">IF(C1160="","",IFERROR(INDEX(Produk!$J$2:$J$100,MATCH(C1160,Produk!$A$2:$A$100,0)),"PRODUK?"))</f>
        <v/>
      </c>
      <c r="G1160" s="29" t="str">
        <f aca="false">IF(A1160="","",IF(COUNTIF(Anggota!$A$2:$A$2001,A1160)=0,"TIDAK ADA","OK"))</f>
        <v/>
      </c>
    </row>
    <row r="1161" customFormat="false" ht="15" hidden="false" customHeight="false" outlineLevel="0" collapsed="false">
      <c r="A1161" s="21"/>
      <c r="B1161" s="22"/>
      <c r="C1161" s="21"/>
      <c r="D1161" s="24"/>
      <c r="E1161" s="22"/>
      <c r="F1161" s="29" t="str">
        <f aca="false">IF(C1161="","",IFERROR(INDEX(Produk!$J$2:$J$100,MATCH(C1161,Produk!$A$2:$A$100,0)),"PRODUK?"))</f>
        <v/>
      </c>
      <c r="G1161" s="29" t="str">
        <f aca="false">IF(A1161="","",IF(COUNTIF(Anggota!$A$2:$A$2001,A1161)=0,"TIDAK ADA","OK"))</f>
        <v/>
      </c>
    </row>
    <row r="1162" customFormat="false" ht="15" hidden="false" customHeight="false" outlineLevel="0" collapsed="false">
      <c r="A1162" s="21"/>
      <c r="B1162" s="22"/>
      <c r="C1162" s="21"/>
      <c r="D1162" s="24"/>
      <c r="E1162" s="22"/>
      <c r="F1162" s="29" t="str">
        <f aca="false">IF(C1162="","",IFERROR(INDEX(Produk!$J$2:$J$100,MATCH(C1162,Produk!$A$2:$A$100,0)),"PRODUK?"))</f>
        <v/>
      </c>
      <c r="G1162" s="29" t="str">
        <f aca="false">IF(A1162="","",IF(COUNTIF(Anggota!$A$2:$A$2001,A1162)=0,"TIDAK ADA","OK"))</f>
        <v/>
      </c>
    </row>
    <row r="1163" customFormat="false" ht="15" hidden="false" customHeight="false" outlineLevel="0" collapsed="false">
      <c r="A1163" s="21"/>
      <c r="B1163" s="22"/>
      <c r="C1163" s="21"/>
      <c r="D1163" s="24"/>
      <c r="E1163" s="22"/>
      <c r="F1163" s="29" t="str">
        <f aca="false">IF(C1163="","",IFERROR(INDEX(Produk!$J$2:$J$100,MATCH(C1163,Produk!$A$2:$A$100,0)),"PRODUK?"))</f>
        <v/>
      </c>
      <c r="G1163" s="29" t="str">
        <f aca="false">IF(A1163="","",IF(COUNTIF(Anggota!$A$2:$A$2001,A1163)=0,"TIDAK ADA","OK"))</f>
        <v/>
      </c>
    </row>
    <row r="1164" customFormat="false" ht="15" hidden="false" customHeight="false" outlineLevel="0" collapsed="false">
      <c r="A1164" s="21"/>
      <c r="B1164" s="22"/>
      <c r="C1164" s="21"/>
      <c r="D1164" s="24"/>
      <c r="E1164" s="22"/>
      <c r="F1164" s="29" t="str">
        <f aca="false">IF(C1164="","",IFERROR(INDEX(Produk!$J$2:$J$100,MATCH(C1164,Produk!$A$2:$A$100,0)),"PRODUK?"))</f>
        <v/>
      </c>
      <c r="G1164" s="29" t="str">
        <f aca="false">IF(A1164="","",IF(COUNTIF(Anggota!$A$2:$A$2001,A1164)=0,"TIDAK ADA","OK"))</f>
        <v/>
      </c>
    </row>
    <row r="1165" customFormat="false" ht="15" hidden="false" customHeight="false" outlineLevel="0" collapsed="false">
      <c r="A1165" s="21"/>
      <c r="B1165" s="22"/>
      <c r="C1165" s="21"/>
      <c r="D1165" s="24"/>
      <c r="E1165" s="22"/>
      <c r="F1165" s="29" t="str">
        <f aca="false">IF(C1165="","",IFERROR(INDEX(Produk!$J$2:$J$100,MATCH(C1165,Produk!$A$2:$A$100,0)),"PRODUK?"))</f>
        <v/>
      </c>
      <c r="G1165" s="29" t="str">
        <f aca="false">IF(A1165="","",IF(COUNTIF(Anggota!$A$2:$A$2001,A1165)=0,"TIDAK ADA","OK"))</f>
        <v/>
      </c>
    </row>
    <row r="1166" customFormat="false" ht="15" hidden="false" customHeight="false" outlineLevel="0" collapsed="false">
      <c r="A1166" s="21"/>
      <c r="B1166" s="22"/>
      <c r="C1166" s="21"/>
      <c r="D1166" s="24"/>
      <c r="E1166" s="22"/>
      <c r="F1166" s="29" t="str">
        <f aca="false">IF(C1166="","",IFERROR(INDEX(Produk!$J$2:$J$100,MATCH(C1166,Produk!$A$2:$A$100,0)),"PRODUK?"))</f>
        <v/>
      </c>
      <c r="G1166" s="29" t="str">
        <f aca="false">IF(A1166="","",IF(COUNTIF(Anggota!$A$2:$A$2001,A1166)=0,"TIDAK ADA","OK"))</f>
        <v/>
      </c>
    </row>
    <row r="1167" customFormat="false" ht="15" hidden="false" customHeight="false" outlineLevel="0" collapsed="false">
      <c r="A1167" s="21"/>
      <c r="B1167" s="22"/>
      <c r="C1167" s="21"/>
      <c r="D1167" s="24"/>
      <c r="E1167" s="22"/>
      <c r="F1167" s="29" t="str">
        <f aca="false">IF(C1167="","",IFERROR(INDEX(Produk!$J$2:$J$100,MATCH(C1167,Produk!$A$2:$A$100,0)),"PRODUK?"))</f>
        <v/>
      </c>
      <c r="G1167" s="29" t="str">
        <f aca="false">IF(A1167="","",IF(COUNTIF(Anggota!$A$2:$A$2001,A1167)=0,"TIDAK ADA","OK"))</f>
        <v/>
      </c>
    </row>
    <row r="1168" customFormat="false" ht="15" hidden="false" customHeight="false" outlineLevel="0" collapsed="false">
      <c r="A1168" s="21"/>
      <c r="B1168" s="22"/>
      <c r="C1168" s="21"/>
      <c r="D1168" s="24"/>
      <c r="E1168" s="22"/>
      <c r="F1168" s="29" t="str">
        <f aca="false">IF(C1168="","",IFERROR(INDEX(Produk!$J$2:$J$100,MATCH(C1168,Produk!$A$2:$A$100,0)),"PRODUK?"))</f>
        <v/>
      </c>
      <c r="G1168" s="29" t="str">
        <f aca="false">IF(A1168="","",IF(COUNTIF(Anggota!$A$2:$A$2001,A1168)=0,"TIDAK ADA","OK"))</f>
        <v/>
      </c>
    </row>
    <row r="1169" customFormat="false" ht="15" hidden="false" customHeight="false" outlineLevel="0" collapsed="false">
      <c r="A1169" s="21"/>
      <c r="B1169" s="22"/>
      <c r="C1169" s="21"/>
      <c r="D1169" s="24"/>
      <c r="E1169" s="22"/>
      <c r="F1169" s="29" t="str">
        <f aca="false">IF(C1169="","",IFERROR(INDEX(Produk!$J$2:$J$100,MATCH(C1169,Produk!$A$2:$A$100,0)),"PRODUK?"))</f>
        <v/>
      </c>
      <c r="G1169" s="29" t="str">
        <f aca="false">IF(A1169="","",IF(COUNTIF(Anggota!$A$2:$A$2001,A1169)=0,"TIDAK ADA","OK"))</f>
        <v/>
      </c>
    </row>
    <row r="1170" customFormat="false" ht="15" hidden="false" customHeight="false" outlineLevel="0" collapsed="false">
      <c r="A1170" s="21"/>
      <c r="B1170" s="22"/>
      <c r="C1170" s="21"/>
      <c r="D1170" s="24"/>
      <c r="E1170" s="22"/>
      <c r="F1170" s="29" t="str">
        <f aca="false">IF(C1170="","",IFERROR(INDEX(Produk!$J$2:$J$100,MATCH(C1170,Produk!$A$2:$A$100,0)),"PRODUK?"))</f>
        <v/>
      </c>
      <c r="G1170" s="29" t="str">
        <f aca="false">IF(A1170="","",IF(COUNTIF(Anggota!$A$2:$A$2001,A1170)=0,"TIDAK ADA","OK"))</f>
        <v/>
      </c>
    </row>
    <row r="1171" customFormat="false" ht="15" hidden="false" customHeight="false" outlineLevel="0" collapsed="false">
      <c r="A1171" s="21"/>
      <c r="B1171" s="22"/>
      <c r="C1171" s="21"/>
      <c r="D1171" s="24"/>
      <c r="E1171" s="22"/>
      <c r="F1171" s="29" t="str">
        <f aca="false">IF(C1171="","",IFERROR(INDEX(Produk!$J$2:$J$100,MATCH(C1171,Produk!$A$2:$A$100,0)),"PRODUK?"))</f>
        <v/>
      </c>
      <c r="G1171" s="29" t="str">
        <f aca="false">IF(A1171="","",IF(COUNTIF(Anggota!$A$2:$A$2001,A1171)=0,"TIDAK ADA","OK"))</f>
        <v/>
      </c>
    </row>
    <row r="1172" customFormat="false" ht="15" hidden="false" customHeight="false" outlineLevel="0" collapsed="false">
      <c r="A1172" s="21"/>
      <c r="B1172" s="22"/>
      <c r="C1172" s="21"/>
      <c r="D1172" s="24"/>
      <c r="E1172" s="22"/>
      <c r="F1172" s="29" t="str">
        <f aca="false">IF(C1172="","",IFERROR(INDEX(Produk!$J$2:$J$100,MATCH(C1172,Produk!$A$2:$A$100,0)),"PRODUK?"))</f>
        <v/>
      </c>
      <c r="G1172" s="29" t="str">
        <f aca="false">IF(A1172="","",IF(COUNTIF(Anggota!$A$2:$A$2001,A1172)=0,"TIDAK ADA","OK"))</f>
        <v/>
      </c>
    </row>
    <row r="1173" customFormat="false" ht="15" hidden="false" customHeight="false" outlineLevel="0" collapsed="false">
      <c r="A1173" s="21"/>
      <c r="B1173" s="22"/>
      <c r="C1173" s="21"/>
      <c r="D1173" s="24"/>
      <c r="E1173" s="22"/>
      <c r="F1173" s="29" t="str">
        <f aca="false">IF(C1173="","",IFERROR(INDEX(Produk!$J$2:$J$100,MATCH(C1173,Produk!$A$2:$A$100,0)),"PRODUK?"))</f>
        <v/>
      </c>
      <c r="G1173" s="29" t="str">
        <f aca="false">IF(A1173="","",IF(COUNTIF(Anggota!$A$2:$A$2001,A1173)=0,"TIDAK ADA","OK"))</f>
        <v/>
      </c>
    </row>
    <row r="1174" customFormat="false" ht="15" hidden="false" customHeight="false" outlineLevel="0" collapsed="false">
      <c r="A1174" s="21"/>
      <c r="B1174" s="22"/>
      <c r="C1174" s="21"/>
      <c r="D1174" s="24"/>
      <c r="E1174" s="22"/>
      <c r="F1174" s="29" t="str">
        <f aca="false">IF(C1174="","",IFERROR(INDEX(Produk!$J$2:$J$100,MATCH(C1174,Produk!$A$2:$A$100,0)),"PRODUK?"))</f>
        <v/>
      </c>
      <c r="G1174" s="29" t="str">
        <f aca="false">IF(A1174="","",IF(COUNTIF(Anggota!$A$2:$A$2001,A1174)=0,"TIDAK ADA","OK"))</f>
        <v/>
      </c>
    </row>
    <row r="1175" customFormat="false" ht="15" hidden="false" customHeight="false" outlineLevel="0" collapsed="false">
      <c r="A1175" s="21"/>
      <c r="B1175" s="22"/>
      <c r="C1175" s="21"/>
      <c r="D1175" s="24"/>
      <c r="E1175" s="22"/>
      <c r="F1175" s="29" t="str">
        <f aca="false">IF(C1175="","",IFERROR(INDEX(Produk!$J$2:$J$100,MATCH(C1175,Produk!$A$2:$A$100,0)),"PRODUK?"))</f>
        <v/>
      </c>
      <c r="G1175" s="29" t="str">
        <f aca="false">IF(A1175="","",IF(COUNTIF(Anggota!$A$2:$A$2001,A1175)=0,"TIDAK ADA","OK"))</f>
        <v/>
      </c>
    </row>
    <row r="1176" customFormat="false" ht="15" hidden="false" customHeight="false" outlineLevel="0" collapsed="false">
      <c r="A1176" s="21"/>
      <c r="B1176" s="22"/>
      <c r="C1176" s="21"/>
      <c r="D1176" s="24"/>
      <c r="E1176" s="22"/>
      <c r="F1176" s="29" t="str">
        <f aca="false">IF(C1176="","",IFERROR(INDEX(Produk!$J$2:$J$100,MATCH(C1176,Produk!$A$2:$A$100,0)),"PRODUK?"))</f>
        <v/>
      </c>
      <c r="G1176" s="29" t="str">
        <f aca="false">IF(A1176="","",IF(COUNTIF(Anggota!$A$2:$A$2001,A1176)=0,"TIDAK ADA","OK"))</f>
        <v/>
      </c>
    </row>
    <row r="1177" customFormat="false" ht="15" hidden="false" customHeight="false" outlineLevel="0" collapsed="false">
      <c r="A1177" s="21"/>
      <c r="B1177" s="22"/>
      <c r="C1177" s="21"/>
      <c r="D1177" s="24"/>
      <c r="E1177" s="22"/>
      <c r="F1177" s="29" t="str">
        <f aca="false">IF(C1177="","",IFERROR(INDEX(Produk!$J$2:$J$100,MATCH(C1177,Produk!$A$2:$A$100,0)),"PRODUK?"))</f>
        <v/>
      </c>
      <c r="G1177" s="29" t="str">
        <f aca="false">IF(A1177="","",IF(COUNTIF(Anggota!$A$2:$A$2001,A1177)=0,"TIDAK ADA","OK"))</f>
        <v/>
      </c>
    </row>
    <row r="1178" customFormat="false" ht="15" hidden="false" customHeight="false" outlineLevel="0" collapsed="false">
      <c r="A1178" s="21"/>
      <c r="B1178" s="22"/>
      <c r="C1178" s="21"/>
      <c r="D1178" s="24"/>
      <c r="E1178" s="22"/>
      <c r="F1178" s="29" t="str">
        <f aca="false">IF(C1178="","",IFERROR(INDEX(Produk!$J$2:$J$100,MATCH(C1178,Produk!$A$2:$A$100,0)),"PRODUK?"))</f>
        <v/>
      </c>
      <c r="G1178" s="29" t="str">
        <f aca="false">IF(A1178="","",IF(COUNTIF(Anggota!$A$2:$A$2001,A1178)=0,"TIDAK ADA","OK"))</f>
        <v/>
      </c>
    </row>
    <row r="1179" customFormat="false" ht="15" hidden="false" customHeight="false" outlineLevel="0" collapsed="false">
      <c r="A1179" s="21"/>
      <c r="B1179" s="22"/>
      <c r="C1179" s="21"/>
      <c r="D1179" s="24"/>
      <c r="E1179" s="22"/>
      <c r="F1179" s="29" t="str">
        <f aca="false">IF(C1179="","",IFERROR(INDEX(Produk!$J$2:$J$100,MATCH(C1179,Produk!$A$2:$A$100,0)),"PRODUK?"))</f>
        <v/>
      </c>
      <c r="G1179" s="29" t="str">
        <f aca="false">IF(A1179="","",IF(COUNTIF(Anggota!$A$2:$A$2001,A1179)=0,"TIDAK ADA","OK"))</f>
        <v/>
      </c>
    </row>
    <row r="1180" customFormat="false" ht="15" hidden="false" customHeight="false" outlineLevel="0" collapsed="false">
      <c r="A1180" s="21"/>
      <c r="B1180" s="22"/>
      <c r="C1180" s="21"/>
      <c r="D1180" s="24"/>
      <c r="E1180" s="22"/>
      <c r="F1180" s="29" t="str">
        <f aca="false">IF(C1180="","",IFERROR(INDEX(Produk!$J$2:$J$100,MATCH(C1180,Produk!$A$2:$A$100,0)),"PRODUK?"))</f>
        <v/>
      </c>
      <c r="G1180" s="29" t="str">
        <f aca="false">IF(A1180="","",IF(COUNTIF(Anggota!$A$2:$A$2001,A1180)=0,"TIDAK ADA","OK"))</f>
        <v/>
      </c>
    </row>
    <row r="1181" customFormat="false" ht="15" hidden="false" customHeight="false" outlineLevel="0" collapsed="false">
      <c r="A1181" s="21"/>
      <c r="B1181" s="22"/>
      <c r="C1181" s="21"/>
      <c r="D1181" s="24"/>
      <c r="E1181" s="22"/>
      <c r="F1181" s="29" t="str">
        <f aca="false">IF(C1181="","",IFERROR(INDEX(Produk!$J$2:$J$100,MATCH(C1181,Produk!$A$2:$A$100,0)),"PRODUK?"))</f>
        <v/>
      </c>
      <c r="G1181" s="29" t="str">
        <f aca="false">IF(A1181="","",IF(COUNTIF(Anggota!$A$2:$A$2001,A1181)=0,"TIDAK ADA","OK"))</f>
        <v/>
      </c>
    </row>
    <row r="1182" customFormat="false" ht="15" hidden="false" customHeight="false" outlineLevel="0" collapsed="false">
      <c r="A1182" s="21"/>
      <c r="B1182" s="22"/>
      <c r="C1182" s="21"/>
      <c r="D1182" s="24"/>
      <c r="E1182" s="22"/>
      <c r="F1182" s="29" t="str">
        <f aca="false">IF(C1182="","",IFERROR(INDEX(Produk!$J$2:$J$100,MATCH(C1182,Produk!$A$2:$A$100,0)),"PRODUK?"))</f>
        <v/>
      </c>
      <c r="G1182" s="29" t="str">
        <f aca="false">IF(A1182="","",IF(COUNTIF(Anggota!$A$2:$A$2001,A1182)=0,"TIDAK ADA","OK"))</f>
        <v/>
      </c>
    </row>
    <row r="1183" customFormat="false" ht="15" hidden="false" customHeight="false" outlineLevel="0" collapsed="false">
      <c r="A1183" s="21"/>
      <c r="B1183" s="22"/>
      <c r="C1183" s="21"/>
      <c r="D1183" s="24"/>
      <c r="E1183" s="22"/>
      <c r="F1183" s="29" t="str">
        <f aca="false">IF(C1183="","",IFERROR(INDEX(Produk!$J$2:$J$100,MATCH(C1183,Produk!$A$2:$A$100,0)),"PRODUK?"))</f>
        <v/>
      </c>
      <c r="G1183" s="29" t="str">
        <f aca="false">IF(A1183="","",IF(COUNTIF(Anggota!$A$2:$A$2001,A1183)=0,"TIDAK ADA","OK"))</f>
        <v/>
      </c>
    </row>
    <row r="1184" customFormat="false" ht="15" hidden="false" customHeight="false" outlineLevel="0" collapsed="false">
      <c r="A1184" s="21"/>
      <c r="B1184" s="22"/>
      <c r="C1184" s="21"/>
      <c r="D1184" s="24"/>
      <c r="E1184" s="22"/>
      <c r="F1184" s="29" t="str">
        <f aca="false">IF(C1184="","",IFERROR(INDEX(Produk!$J$2:$J$100,MATCH(C1184,Produk!$A$2:$A$100,0)),"PRODUK?"))</f>
        <v/>
      </c>
      <c r="G1184" s="29" t="str">
        <f aca="false">IF(A1184="","",IF(COUNTIF(Anggota!$A$2:$A$2001,A1184)=0,"TIDAK ADA","OK"))</f>
        <v/>
      </c>
    </row>
    <row r="1185" customFormat="false" ht="15" hidden="false" customHeight="false" outlineLevel="0" collapsed="false">
      <c r="A1185" s="21"/>
      <c r="B1185" s="22"/>
      <c r="C1185" s="21"/>
      <c r="D1185" s="24"/>
      <c r="E1185" s="22"/>
      <c r="F1185" s="29" t="str">
        <f aca="false">IF(C1185="","",IFERROR(INDEX(Produk!$J$2:$J$100,MATCH(C1185,Produk!$A$2:$A$100,0)),"PRODUK?"))</f>
        <v/>
      </c>
      <c r="G1185" s="29" t="str">
        <f aca="false">IF(A1185="","",IF(COUNTIF(Anggota!$A$2:$A$2001,A1185)=0,"TIDAK ADA","OK"))</f>
        <v/>
      </c>
    </row>
    <row r="1186" customFormat="false" ht="15" hidden="false" customHeight="false" outlineLevel="0" collapsed="false">
      <c r="A1186" s="21"/>
      <c r="B1186" s="22"/>
      <c r="C1186" s="21"/>
      <c r="D1186" s="24"/>
      <c r="E1186" s="22"/>
      <c r="F1186" s="29" t="str">
        <f aca="false">IF(C1186="","",IFERROR(INDEX(Produk!$J$2:$J$100,MATCH(C1186,Produk!$A$2:$A$100,0)),"PRODUK?"))</f>
        <v/>
      </c>
      <c r="G1186" s="29" t="str">
        <f aca="false">IF(A1186="","",IF(COUNTIF(Anggota!$A$2:$A$2001,A1186)=0,"TIDAK ADA","OK"))</f>
        <v/>
      </c>
    </row>
    <row r="1187" customFormat="false" ht="15" hidden="false" customHeight="false" outlineLevel="0" collapsed="false">
      <c r="A1187" s="21"/>
      <c r="B1187" s="22"/>
      <c r="C1187" s="21"/>
      <c r="D1187" s="24"/>
      <c r="E1187" s="22"/>
      <c r="F1187" s="29" t="str">
        <f aca="false">IF(C1187="","",IFERROR(INDEX(Produk!$J$2:$J$100,MATCH(C1187,Produk!$A$2:$A$100,0)),"PRODUK?"))</f>
        <v/>
      </c>
      <c r="G1187" s="29" t="str">
        <f aca="false">IF(A1187="","",IF(COUNTIF(Anggota!$A$2:$A$2001,A1187)=0,"TIDAK ADA","OK"))</f>
        <v/>
      </c>
    </row>
    <row r="1188" customFormat="false" ht="15" hidden="false" customHeight="false" outlineLevel="0" collapsed="false">
      <c r="A1188" s="21"/>
      <c r="B1188" s="22"/>
      <c r="C1188" s="21"/>
      <c r="D1188" s="24"/>
      <c r="E1188" s="22"/>
      <c r="F1188" s="29" t="str">
        <f aca="false">IF(C1188="","",IFERROR(INDEX(Produk!$J$2:$J$100,MATCH(C1188,Produk!$A$2:$A$100,0)),"PRODUK?"))</f>
        <v/>
      </c>
      <c r="G1188" s="29" t="str">
        <f aca="false">IF(A1188="","",IF(COUNTIF(Anggota!$A$2:$A$2001,A1188)=0,"TIDAK ADA","OK"))</f>
        <v/>
      </c>
    </row>
    <row r="1189" customFormat="false" ht="15" hidden="false" customHeight="false" outlineLevel="0" collapsed="false">
      <c r="A1189" s="21"/>
      <c r="B1189" s="22"/>
      <c r="C1189" s="21"/>
      <c r="D1189" s="24"/>
      <c r="E1189" s="22"/>
      <c r="F1189" s="29" t="str">
        <f aca="false">IF(C1189="","",IFERROR(INDEX(Produk!$J$2:$J$100,MATCH(C1189,Produk!$A$2:$A$100,0)),"PRODUK?"))</f>
        <v/>
      </c>
      <c r="G1189" s="29" t="str">
        <f aca="false">IF(A1189="","",IF(COUNTIF(Anggota!$A$2:$A$2001,A1189)=0,"TIDAK ADA","OK"))</f>
        <v/>
      </c>
    </row>
    <row r="1190" customFormat="false" ht="15" hidden="false" customHeight="false" outlineLevel="0" collapsed="false">
      <c r="A1190" s="21"/>
      <c r="B1190" s="22"/>
      <c r="C1190" s="21"/>
      <c r="D1190" s="24"/>
      <c r="E1190" s="22"/>
      <c r="F1190" s="29" t="str">
        <f aca="false">IF(C1190="","",IFERROR(INDEX(Produk!$J$2:$J$100,MATCH(C1190,Produk!$A$2:$A$100,0)),"PRODUK?"))</f>
        <v/>
      </c>
      <c r="G1190" s="29" t="str">
        <f aca="false">IF(A1190="","",IF(COUNTIF(Anggota!$A$2:$A$2001,A1190)=0,"TIDAK ADA","OK"))</f>
        <v/>
      </c>
    </row>
    <row r="1191" customFormat="false" ht="15" hidden="false" customHeight="false" outlineLevel="0" collapsed="false">
      <c r="A1191" s="21"/>
      <c r="B1191" s="22"/>
      <c r="C1191" s="21"/>
      <c r="D1191" s="24"/>
      <c r="E1191" s="22"/>
      <c r="F1191" s="29" t="str">
        <f aca="false">IF(C1191="","",IFERROR(INDEX(Produk!$J$2:$J$100,MATCH(C1191,Produk!$A$2:$A$100,0)),"PRODUK?"))</f>
        <v/>
      </c>
      <c r="G1191" s="29" t="str">
        <f aca="false">IF(A1191="","",IF(COUNTIF(Anggota!$A$2:$A$2001,A1191)=0,"TIDAK ADA","OK"))</f>
        <v/>
      </c>
    </row>
    <row r="1192" customFormat="false" ht="15" hidden="false" customHeight="false" outlineLevel="0" collapsed="false">
      <c r="A1192" s="21"/>
      <c r="B1192" s="22"/>
      <c r="C1192" s="21"/>
      <c r="D1192" s="24"/>
      <c r="E1192" s="22"/>
      <c r="F1192" s="29" t="str">
        <f aca="false">IF(C1192="","",IFERROR(INDEX(Produk!$J$2:$J$100,MATCH(C1192,Produk!$A$2:$A$100,0)),"PRODUK?"))</f>
        <v/>
      </c>
      <c r="G1192" s="29" t="str">
        <f aca="false">IF(A1192="","",IF(COUNTIF(Anggota!$A$2:$A$2001,A1192)=0,"TIDAK ADA","OK"))</f>
        <v/>
      </c>
    </row>
    <row r="1193" customFormat="false" ht="15" hidden="false" customHeight="false" outlineLevel="0" collapsed="false">
      <c r="A1193" s="21"/>
      <c r="B1193" s="22"/>
      <c r="C1193" s="21"/>
      <c r="D1193" s="24"/>
      <c r="E1193" s="22"/>
      <c r="F1193" s="29" t="str">
        <f aca="false">IF(C1193="","",IFERROR(INDEX(Produk!$J$2:$J$100,MATCH(C1193,Produk!$A$2:$A$100,0)),"PRODUK?"))</f>
        <v/>
      </c>
      <c r="G1193" s="29" t="str">
        <f aca="false">IF(A1193="","",IF(COUNTIF(Anggota!$A$2:$A$2001,A1193)=0,"TIDAK ADA","OK"))</f>
        <v/>
      </c>
    </row>
    <row r="1194" customFormat="false" ht="15" hidden="false" customHeight="false" outlineLevel="0" collapsed="false">
      <c r="A1194" s="21"/>
      <c r="B1194" s="22"/>
      <c r="C1194" s="21"/>
      <c r="D1194" s="24"/>
      <c r="E1194" s="22"/>
      <c r="F1194" s="29" t="str">
        <f aca="false">IF(C1194="","",IFERROR(INDEX(Produk!$J$2:$J$100,MATCH(C1194,Produk!$A$2:$A$100,0)),"PRODUK?"))</f>
        <v/>
      </c>
      <c r="G1194" s="29" t="str">
        <f aca="false">IF(A1194="","",IF(COUNTIF(Anggota!$A$2:$A$2001,A1194)=0,"TIDAK ADA","OK"))</f>
        <v/>
      </c>
    </row>
    <row r="1195" customFormat="false" ht="15" hidden="false" customHeight="false" outlineLevel="0" collapsed="false">
      <c r="A1195" s="21"/>
      <c r="B1195" s="22"/>
      <c r="C1195" s="21"/>
      <c r="D1195" s="24"/>
      <c r="E1195" s="22"/>
      <c r="F1195" s="29" t="str">
        <f aca="false">IF(C1195="","",IFERROR(INDEX(Produk!$J$2:$J$100,MATCH(C1195,Produk!$A$2:$A$100,0)),"PRODUK?"))</f>
        <v/>
      </c>
      <c r="G1195" s="29" t="str">
        <f aca="false">IF(A1195="","",IF(COUNTIF(Anggota!$A$2:$A$2001,A1195)=0,"TIDAK ADA","OK"))</f>
        <v/>
      </c>
    </row>
    <row r="1196" customFormat="false" ht="15" hidden="false" customHeight="false" outlineLevel="0" collapsed="false">
      <c r="A1196" s="21"/>
      <c r="B1196" s="22"/>
      <c r="C1196" s="21"/>
      <c r="D1196" s="24"/>
      <c r="E1196" s="22"/>
      <c r="F1196" s="29" t="str">
        <f aca="false">IF(C1196="","",IFERROR(INDEX(Produk!$J$2:$J$100,MATCH(C1196,Produk!$A$2:$A$100,0)),"PRODUK?"))</f>
        <v/>
      </c>
      <c r="G1196" s="29" t="str">
        <f aca="false">IF(A1196="","",IF(COUNTIF(Anggota!$A$2:$A$2001,A1196)=0,"TIDAK ADA","OK"))</f>
        <v/>
      </c>
    </row>
    <row r="1197" customFormat="false" ht="15" hidden="false" customHeight="false" outlineLevel="0" collapsed="false">
      <c r="A1197" s="21"/>
      <c r="B1197" s="22"/>
      <c r="C1197" s="21"/>
      <c r="D1197" s="24"/>
      <c r="E1197" s="22"/>
      <c r="F1197" s="29" t="str">
        <f aca="false">IF(C1197="","",IFERROR(INDEX(Produk!$J$2:$J$100,MATCH(C1197,Produk!$A$2:$A$100,0)),"PRODUK?"))</f>
        <v/>
      </c>
      <c r="G1197" s="29" t="str">
        <f aca="false">IF(A1197="","",IF(COUNTIF(Anggota!$A$2:$A$2001,A1197)=0,"TIDAK ADA","OK"))</f>
        <v/>
      </c>
    </row>
    <row r="1198" customFormat="false" ht="15" hidden="false" customHeight="false" outlineLevel="0" collapsed="false">
      <c r="A1198" s="21"/>
      <c r="B1198" s="22"/>
      <c r="C1198" s="21"/>
      <c r="D1198" s="24"/>
      <c r="E1198" s="22"/>
      <c r="F1198" s="29" t="str">
        <f aca="false">IF(C1198="","",IFERROR(INDEX(Produk!$J$2:$J$100,MATCH(C1198,Produk!$A$2:$A$100,0)),"PRODUK?"))</f>
        <v/>
      </c>
      <c r="G1198" s="29" t="str">
        <f aca="false">IF(A1198="","",IF(COUNTIF(Anggota!$A$2:$A$2001,A1198)=0,"TIDAK ADA","OK"))</f>
        <v/>
      </c>
    </row>
    <row r="1199" customFormat="false" ht="15" hidden="false" customHeight="false" outlineLevel="0" collapsed="false">
      <c r="A1199" s="21"/>
      <c r="B1199" s="22"/>
      <c r="C1199" s="21"/>
      <c r="D1199" s="24"/>
      <c r="E1199" s="22"/>
      <c r="F1199" s="29" t="str">
        <f aca="false">IF(C1199="","",IFERROR(INDEX(Produk!$J$2:$J$100,MATCH(C1199,Produk!$A$2:$A$100,0)),"PRODUK?"))</f>
        <v/>
      </c>
      <c r="G1199" s="29" t="str">
        <f aca="false">IF(A1199="","",IF(COUNTIF(Anggota!$A$2:$A$2001,A1199)=0,"TIDAK ADA","OK"))</f>
        <v/>
      </c>
    </row>
    <row r="1200" customFormat="false" ht="15" hidden="false" customHeight="false" outlineLevel="0" collapsed="false">
      <c r="A1200" s="21"/>
      <c r="B1200" s="22"/>
      <c r="C1200" s="21"/>
      <c r="D1200" s="24"/>
      <c r="E1200" s="22"/>
      <c r="F1200" s="29" t="str">
        <f aca="false">IF(C1200="","",IFERROR(INDEX(Produk!$J$2:$J$100,MATCH(C1200,Produk!$A$2:$A$100,0)),"PRODUK?"))</f>
        <v/>
      </c>
      <c r="G1200" s="29" t="str">
        <f aca="false">IF(A1200="","",IF(COUNTIF(Anggota!$A$2:$A$2001,A1200)=0,"TIDAK ADA","OK"))</f>
        <v/>
      </c>
    </row>
    <row r="1201" customFormat="false" ht="15" hidden="false" customHeight="false" outlineLevel="0" collapsed="false">
      <c r="A1201" s="21"/>
      <c r="B1201" s="22"/>
      <c r="C1201" s="21"/>
      <c r="D1201" s="24"/>
      <c r="E1201" s="22"/>
      <c r="F1201" s="29" t="str">
        <f aca="false">IF(C1201="","",IFERROR(INDEX(Produk!$J$2:$J$100,MATCH(C1201,Produk!$A$2:$A$100,0)),"PRODUK?"))</f>
        <v/>
      </c>
      <c r="G1201" s="29" t="str">
        <f aca="false">IF(A1201="","",IF(COUNTIF(Anggota!$A$2:$A$2001,A1201)=0,"TIDAK ADA","OK"))</f>
        <v/>
      </c>
    </row>
    <row r="1202" customFormat="false" ht="15" hidden="false" customHeight="false" outlineLevel="0" collapsed="false">
      <c r="A1202" s="21"/>
      <c r="B1202" s="22"/>
      <c r="C1202" s="21"/>
      <c r="D1202" s="24"/>
      <c r="E1202" s="22"/>
      <c r="F1202" s="29" t="str">
        <f aca="false">IF(C1202="","",IFERROR(INDEX(Produk!$J$2:$J$100,MATCH(C1202,Produk!$A$2:$A$100,0)),"PRODUK?"))</f>
        <v/>
      </c>
      <c r="G1202" s="29" t="str">
        <f aca="false">IF(A1202="","",IF(COUNTIF(Anggota!$A$2:$A$2001,A1202)=0,"TIDAK ADA","OK"))</f>
        <v/>
      </c>
    </row>
    <row r="1203" customFormat="false" ht="15" hidden="false" customHeight="false" outlineLevel="0" collapsed="false">
      <c r="A1203" s="21"/>
      <c r="B1203" s="22"/>
      <c r="C1203" s="21"/>
      <c r="D1203" s="24"/>
      <c r="E1203" s="22"/>
      <c r="F1203" s="29" t="str">
        <f aca="false">IF(C1203="","",IFERROR(INDEX(Produk!$J$2:$J$100,MATCH(C1203,Produk!$A$2:$A$100,0)),"PRODUK?"))</f>
        <v/>
      </c>
      <c r="G1203" s="29" t="str">
        <f aca="false">IF(A1203="","",IF(COUNTIF(Anggota!$A$2:$A$2001,A1203)=0,"TIDAK ADA","OK"))</f>
        <v/>
      </c>
    </row>
    <row r="1204" customFormat="false" ht="15" hidden="false" customHeight="false" outlineLevel="0" collapsed="false">
      <c r="A1204" s="21"/>
      <c r="B1204" s="22"/>
      <c r="C1204" s="21"/>
      <c r="D1204" s="24"/>
      <c r="E1204" s="22"/>
      <c r="F1204" s="29" t="str">
        <f aca="false">IF(C1204="","",IFERROR(INDEX(Produk!$J$2:$J$100,MATCH(C1204,Produk!$A$2:$A$100,0)),"PRODUK?"))</f>
        <v/>
      </c>
      <c r="G1204" s="29" t="str">
        <f aca="false">IF(A1204="","",IF(COUNTIF(Anggota!$A$2:$A$2001,A1204)=0,"TIDAK ADA","OK"))</f>
        <v/>
      </c>
    </row>
    <row r="1205" customFormat="false" ht="15" hidden="false" customHeight="false" outlineLevel="0" collapsed="false">
      <c r="A1205" s="21"/>
      <c r="B1205" s="22"/>
      <c r="C1205" s="21"/>
      <c r="D1205" s="24"/>
      <c r="E1205" s="22"/>
      <c r="F1205" s="29" t="str">
        <f aca="false">IF(C1205="","",IFERROR(INDEX(Produk!$J$2:$J$100,MATCH(C1205,Produk!$A$2:$A$100,0)),"PRODUK?"))</f>
        <v/>
      </c>
      <c r="G1205" s="29" t="str">
        <f aca="false">IF(A1205="","",IF(COUNTIF(Anggota!$A$2:$A$2001,A1205)=0,"TIDAK ADA","OK"))</f>
        <v/>
      </c>
    </row>
    <row r="1206" customFormat="false" ht="15" hidden="false" customHeight="false" outlineLevel="0" collapsed="false">
      <c r="A1206" s="21"/>
      <c r="B1206" s="22"/>
      <c r="C1206" s="21"/>
      <c r="D1206" s="24"/>
      <c r="E1206" s="22"/>
      <c r="F1206" s="29" t="str">
        <f aca="false">IF(C1206="","",IFERROR(INDEX(Produk!$J$2:$J$100,MATCH(C1206,Produk!$A$2:$A$100,0)),"PRODUK?"))</f>
        <v/>
      </c>
      <c r="G1206" s="29" t="str">
        <f aca="false">IF(A1206="","",IF(COUNTIF(Anggota!$A$2:$A$2001,A1206)=0,"TIDAK ADA","OK"))</f>
        <v/>
      </c>
    </row>
    <row r="1207" customFormat="false" ht="15" hidden="false" customHeight="false" outlineLevel="0" collapsed="false">
      <c r="A1207" s="21"/>
      <c r="B1207" s="22"/>
      <c r="C1207" s="21"/>
      <c r="D1207" s="24"/>
      <c r="E1207" s="22"/>
      <c r="F1207" s="29" t="str">
        <f aca="false">IF(C1207="","",IFERROR(INDEX(Produk!$J$2:$J$100,MATCH(C1207,Produk!$A$2:$A$100,0)),"PRODUK?"))</f>
        <v/>
      </c>
      <c r="G1207" s="29" t="str">
        <f aca="false">IF(A1207="","",IF(COUNTIF(Anggota!$A$2:$A$2001,A1207)=0,"TIDAK ADA","OK"))</f>
        <v/>
      </c>
    </row>
    <row r="1208" customFormat="false" ht="15" hidden="false" customHeight="false" outlineLevel="0" collapsed="false">
      <c r="A1208" s="21"/>
      <c r="B1208" s="22"/>
      <c r="C1208" s="21"/>
      <c r="D1208" s="24"/>
      <c r="E1208" s="22"/>
      <c r="F1208" s="29" t="str">
        <f aca="false">IF(C1208="","",IFERROR(INDEX(Produk!$J$2:$J$100,MATCH(C1208,Produk!$A$2:$A$100,0)),"PRODUK?"))</f>
        <v/>
      </c>
      <c r="G1208" s="29" t="str">
        <f aca="false">IF(A1208="","",IF(COUNTIF(Anggota!$A$2:$A$2001,A1208)=0,"TIDAK ADA","OK"))</f>
        <v/>
      </c>
    </row>
    <row r="1209" customFormat="false" ht="15" hidden="false" customHeight="false" outlineLevel="0" collapsed="false">
      <c r="A1209" s="21"/>
      <c r="B1209" s="22"/>
      <c r="C1209" s="21"/>
      <c r="D1209" s="24"/>
      <c r="E1209" s="22"/>
      <c r="F1209" s="29" t="str">
        <f aca="false">IF(C1209="","",IFERROR(INDEX(Produk!$J$2:$J$100,MATCH(C1209,Produk!$A$2:$A$100,0)),"PRODUK?"))</f>
        <v/>
      </c>
      <c r="G1209" s="29" t="str">
        <f aca="false">IF(A1209="","",IF(COUNTIF(Anggota!$A$2:$A$2001,A1209)=0,"TIDAK ADA","OK"))</f>
        <v/>
      </c>
    </row>
    <row r="1210" customFormat="false" ht="15" hidden="false" customHeight="false" outlineLevel="0" collapsed="false">
      <c r="A1210" s="21"/>
      <c r="B1210" s="22"/>
      <c r="C1210" s="21"/>
      <c r="D1210" s="24"/>
      <c r="E1210" s="22"/>
      <c r="F1210" s="29" t="str">
        <f aca="false">IF(C1210="","",IFERROR(INDEX(Produk!$J$2:$J$100,MATCH(C1210,Produk!$A$2:$A$100,0)),"PRODUK?"))</f>
        <v/>
      </c>
      <c r="G1210" s="29" t="str">
        <f aca="false">IF(A1210="","",IF(COUNTIF(Anggota!$A$2:$A$2001,A1210)=0,"TIDAK ADA","OK"))</f>
        <v/>
      </c>
    </row>
    <row r="1211" customFormat="false" ht="15" hidden="false" customHeight="false" outlineLevel="0" collapsed="false">
      <c r="A1211" s="21"/>
      <c r="B1211" s="22"/>
      <c r="C1211" s="21"/>
      <c r="D1211" s="24"/>
      <c r="E1211" s="22"/>
      <c r="F1211" s="29" t="str">
        <f aca="false">IF(C1211="","",IFERROR(INDEX(Produk!$J$2:$J$100,MATCH(C1211,Produk!$A$2:$A$100,0)),"PRODUK?"))</f>
        <v/>
      </c>
      <c r="G1211" s="29" t="str">
        <f aca="false">IF(A1211="","",IF(COUNTIF(Anggota!$A$2:$A$2001,A1211)=0,"TIDAK ADA","OK"))</f>
        <v/>
      </c>
    </row>
    <row r="1212" customFormat="false" ht="15" hidden="false" customHeight="false" outlineLevel="0" collapsed="false">
      <c r="A1212" s="21"/>
      <c r="B1212" s="22"/>
      <c r="C1212" s="21"/>
      <c r="D1212" s="24"/>
      <c r="E1212" s="22"/>
      <c r="F1212" s="29" t="str">
        <f aca="false">IF(C1212="","",IFERROR(INDEX(Produk!$J$2:$J$100,MATCH(C1212,Produk!$A$2:$A$100,0)),"PRODUK?"))</f>
        <v/>
      </c>
      <c r="G1212" s="29" t="str">
        <f aca="false">IF(A1212="","",IF(COUNTIF(Anggota!$A$2:$A$2001,A1212)=0,"TIDAK ADA","OK"))</f>
        <v/>
      </c>
    </row>
    <row r="1213" customFormat="false" ht="15" hidden="false" customHeight="false" outlineLevel="0" collapsed="false">
      <c r="A1213" s="21"/>
      <c r="B1213" s="22"/>
      <c r="C1213" s="21"/>
      <c r="D1213" s="24"/>
      <c r="E1213" s="22"/>
      <c r="F1213" s="29" t="str">
        <f aca="false">IF(C1213="","",IFERROR(INDEX(Produk!$J$2:$J$100,MATCH(C1213,Produk!$A$2:$A$100,0)),"PRODUK?"))</f>
        <v/>
      </c>
      <c r="G1213" s="29" t="str">
        <f aca="false">IF(A1213="","",IF(COUNTIF(Anggota!$A$2:$A$2001,A1213)=0,"TIDAK ADA","OK"))</f>
        <v/>
      </c>
    </row>
    <row r="1214" customFormat="false" ht="15" hidden="false" customHeight="false" outlineLevel="0" collapsed="false">
      <c r="A1214" s="21"/>
      <c r="B1214" s="22"/>
      <c r="C1214" s="21"/>
      <c r="D1214" s="24"/>
      <c r="E1214" s="22"/>
      <c r="F1214" s="29" t="str">
        <f aca="false">IF(C1214="","",IFERROR(INDEX(Produk!$J$2:$J$100,MATCH(C1214,Produk!$A$2:$A$100,0)),"PRODUK?"))</f>
        <v/>
      </c>
      <c r="G1214" s="29" t="str">
        <f aca="false">IF(A1214="","",IF(COUNTIF(Anggota!$A$2:$A$2001,A1214)=0,"TIDAK ADA","OK"))</f>
        <v/>
      </c>
    </row>
    <row r="1215" customFormat="false" ht="15" hidden="false" customHeight="false" outlineLevel="0" collapsed="false">
      <c r="A1215" s="21"/>
      <c r="B1215" s="22"/>
      <c r="C1215" s="21"/>
      <c r="D1215" s="24"/>
      <c r="E1215" s="22"/>
      <c r="F1215" s="29" t="str">
        <f aca="false">IF(C1215="","",IFERROR(INDEX(Produk!$J$2:$J$100,MATCH(C1215,Produk!$A$2:$A$100,0)),"PRODUK?"))</f>
        <v/>
      </c>
      <c r="G1215" s="29" t="str">
        <f aca="false">IF(A1215="","",IF(COUNTIF(Anggota!$A$2:$A$2001,A1215)=0,"TIDAK ADA","OK"))</f>
        <v/>
      </c>
    </row>
    <row r="1216" customFormat="false" ht="15" hidden="false" customHeight="false" outlineLevel="0" collapsed="false">
      <c r="A1216" s="21"/>
      <c r="B1216" s="22"/>
      <c r="C1216" s="21"/>
      <c r="D1216" s="24"/>
      <c r="E1216" s="22"/>
      <c r="F1216" s="29" t="str">
        <f aca="false">IF(C1216="","",IFERROR(INDEX(Produk!$J$2:$J$100,MATCH(C1216,Produk!$A$2:$A$100,0)),"PRODUK?"))</f>
        <v/>
      </c>
      <c r="G1216" s="29" t="str">
        <f aca="false">IF(A1216="","",IF(COUNTIF(Anggota!$A$2:$A$2001,A1216)=0,"TIDAK ADA","OK"))</f>
        <v/>
      </c>
    </row>
    <row r="1217" customFormat="false" ht="15" hidden="false" customHeight="false" outlineLevel="0" collapsed="false">
      <c r="A1217" s="21"/>
      <c r="B1217" s="22"/>
      <c r="C1217" s="21"/>
      <c r="D1217" s="24"/>
      <c r="E1217" s="22"/>
      <c r="F1217" s="29" t="str">
        <f aca="false">IF(C1217="","",IFERROR(INDEX(Produk!$J$2:$J$100,MATCH(C1217,Produk!$A$2:$A$100,0)),"PRODUK?"))</f>
        <v/>
      </c>
      <c r="G1217" s="29" t="str">
        <f aca="false">IF(A1217="","",IF(COUNTIF(Anggota!$A$2:$A$2001,A1217)=0,"TIDAK ADA","OK"))</f>
        <v/>
      </c>
    </row>
    <row r="1218" customFormat="false" ht="15" hidden="false" customHeight="false" outlineLevel="0" collapsed="false">
      <c r="A1218" s="21"/>
      <c r="B1218" s="22"/>
      <c r="C1218" s="21"/>
      <c r="D1218" s="24"/>
      <c r="E1218" s="22"/>
      <c r="F1218" s="29" t="str">
        <f aca="false">IF(C1218="","",IFERROR(INDEX(Produk!$J$2:$J$100,MATCH(C1218,Produk!$A$2:$A$100,0)),"PRODUK?"))</f>
        <v/>
      </c>
      <c r="G1218" s="29" t="str">
        <f aca="false">IF(A1218="","",IF(COUNTIF(Anggota!$A$2:$A$2001,A1218)=0,"TIDAK ADA","OK"))</f>
        <v/>
      </c>
    </row>
    <row r="1219" customFormat="false" ht="15" hidden="false" customHeight="false" outlineLevel="0" collapsed="false">
      <c r="A1219" s="21"/>
      <c r="B1219" s="22"/>
      <c r="C1219" s="21"/>
      <c r="D1219" s="24"/>
      <c r="E1219" s="22"/>
      <c r="F1219" s="29" t="str">
        <f aca="false">IF(C1219="","",IFERROR(INDEX(Produk!$J$2:$J$100,MATCH(C1219,Produk!$A$2:$A$100,0)),"PRODUK?"))</f>
        <v/>
      </c>
      <c r="G1219" s="29" t="str">
        <f aca="false">IF(A1219="","",IF(COUNTIF(Anggota!$A$2:$A$2001,A1219)=0,"TIDAK ADA","OK"))</f>
        <v/>
      </c>
    </row>
    <row r="1220" customFormat="false" ht="15" hidden="false" customHeight="false" outlineLevel="0" collapsed="false">
      <c r="A1220" s="21"/>
      <c r="B1220" s="22"/>
      <c r="C1220" s="21"/>
      <c r="D1220" s="24"/>
      <c r="E1220" s="22"/>
      <c r="F1220" s="29" t="str">
        <f aca="false">IF(C1220="","",IFERROR(INDEX(Produk!$J$2:$J$100,MATCH(C1220,Produk!$A$2:$A$100,0)),"PRODUK?"))</f>
        <v/>
      </c>
      <c r="G1220" s="29" t="str">
        <f aca="false">IF(A1220="","",IF(COUNTIF(Anggota!$A$2:$A$2001,A1220)=0,"TIDAK ADA","OK"))</f>
        <v/>
      </c>
    </row>
    <row r="1221" customFormat="false" ht="15" hidden="false" customHeight="false" outlineLevel="0" collapsed="false">
      <c r="A1221" s="21"/>
      <c r="B1221" s="22"/>
      <c r="C1221" s="21"/>
      <c r="D1221" s="24"/>
      <c r="E1221" s="22"/>
      <c r="F1221" s="29" t="str">
        <f aca="false">IF(C1221="","",IFERROR(INDEX(Produk!$J$2:$J$100,MATCH(C1221,Produk!$A$2:$A$100,0)),"PRODUK?"))</f>
        <v/>
      </c>
      <c r="G1221" s="29" t="str">
        <f aca="false">IF(A1221="","",IF(COUNTIF(Anggota!$A$2:$A$2001,A1221)=0,"TIDAK ADA","OK"))</f>
        <v/>
      </c>
    </row>
    <row r="1222" customFormat="false" ht="15" hidden="false" customHeight="false" outlineLevel="0" collapsed="false">
      <c r="A1222" s="21"/>
      <c r="B1222" s="22"/>
      <c r="C1222" s="21"/>
      <c r="D1222" s="24"/>
      <c r="E1222" s="22"/>
      <c r="F1222" s="29" t="str">
        <f aca="false">IF(C1222="","",IFERROR(INDEX(Produk!$J$2:$J$100,MATCH(C1222,Produk!$A$2:$A$100,0)),"PRODUK?"))</f>
        <v/>
      </c>
      <c r="G1222" s="29" t="str">
        <f aca="false">IF(A1222="","",IF(COUNTIF(Anggota!$A$2:$A$2001,A1222)=0,"TIDAK ADA","OK"))</f>
        <v/>
      </c>
    </row>
    <row r="1223" customFormat="false" ht="15" hidden="false" customHeight="false" outlineLevel="0" collapsed="false">
      <c r="A1223" s="21"/>
      <c r="B1223" s="22"/>
      <c r="C1223" s="21"/>
      <c r="D1223" s="24"/>
      <c r="E1223" s="22"/>
      <c r="F1223" s="29" t="str">
        <f aca="false">IF(C1223="","",IFERROR(INDEX(Produk!$J$2:$J$100,MATCH(C1223,Produk!$A$2:$A$100,0)),"PRODUK?"))</f>
        <v/>
      </c>
      <c r="G1223" s="29" t="str">
        <f aca="false">IF(A1223="","",IF(COUNTIF(Anggota!$A$2:$A$2001,A1223)=0,"TIDAK ADA","OK"))</f>
        <v/>
      </c>
    </row>
    <row r="1224" customFormat="false" ht="15" hidden="false" customHeight="false" outlineLevel="0" collapsed="false">
      <c r="A1224" s="21"/>
      <c r="B1224" s="22"/>
      <c r="C1224" s="21"/>
      <c r="D1224" s="24"/>
      <c r="E1224" s="22"/>
      <c r="F1224" s="29" t="str">
        <f aca="false">IF(C1224="","",IFERROR(INDEX(Produk!$J$2:$J$100,MATCH(C1224,Produk!$A$2:$A$100,0)),"PRODUK?"))</f>
        <v/>
      </c>
      <c r="G1224" s="29" t="str">
        <f aca="false">IF(A1224="","",IF(COUNTIF(Anggota!$A$2:$A$2001,A1224)=0,"TIDAK ADA","OK"))</f>
        <v/>
      </c>
    </row>
    <row r="1225" customFormat="false" ht="15" hidden="false" customHeight="false" outlineLevel="0" collapsed="false">
      <c r="A1225" s="21"/>
      <c r="B1225" s="22"/>
      <c r="C1225" s="21"/>
      <c r="D1225" s="24"/>
      <c r="E1225" s="22"/>
      <c r="F1225" s="29" t="str">
        <f aca="false">IF(C1225="","",IFERROR(INDEX(Produk!$J$2:$J$100,MATCH(C1225,Produk!$A$2:$A$100,0)),"PRODUK?"))</f>
        <v/>
      </c>
      <c r="G1225" s="29" t="str">
        <f aca="false">IF(A1225="","",IF(COUNTIF(Anggota!$A$2:$A$2001,A1225)=0,"TIDAK ADA","OK"))</f>
        <v/>
      </c>
    </row>
    <row r="1226" customFormat="false" ht="15" hidden="false" customHeight="false" outlineLevel="0" collapsed="false">
      <c r="A1226" s="21"/>
      <c r="B1226" s="22"/>
      <c r="C1226" s="21"/>
      <c r="D1226" s="24"/>
      <c r="E1226" s="22"/>
      <c r="F1226" s="29" t="str">
        <f aca="false">IF(C1226="","",IFERROR(INDEX(Produk!$J$2:$J$100,MATCH(C1226,Produk!$A$2:$A$100,0)),"PRODUK?"))</f>
        <v/>
      </c>
      <c r="G1226" s="29" t="str">
        <f aca="false">IF(A1226="","",IF(COUNTIF(Anggota!$A$2:$A$2001,A1226)=0,"TIDAK ADA","OK"))</f>
        <v/>
      </c>
    </row>
    <row r="1227" customFormat="false" ht="15" hidden="false" customHeight="false" outlineLevel="0" collapsed="false">
      <c r="A1227" s="21"/>
      <c r="B1227" s="22"/>
      <c r="C1227" s="21"/>
      <c r="D1227" s="24"/>
      <c r="E1227" s="22"/>
      <c r="F1227" s="29" t="str">
        <f aca="false">IF(C1227="","",IFERROR(INDEX(Produk!$J$2:$J$100,MATCH(C1227,Produk!$A$2:$A$100,0)),"PRODUK?"))</f>
        <v/>
      </c>
      <c r="G1227" s="29" t="str">
        <f aca="false">IF(A1227="","",IF(COUNTIF(Anggota!$A$2:$A$2001,A1227)=0,"TIDAK ADA","OK"))</f>
        <v/>
      </c>
    </row>
    <row r="1228" customFormat="false" ht="15" hidden="false" customHeight="false" outlineLevel="0" collapsed="false">
      <c r="A1228" s="21"/>
      <c r="B1228" s="22"/>
      <c r="C1228" s="21"/>
      <c r="D1228" s="24"/>
      <c r="E1228" s="22"/>
      <c r="F1228" s="29" t="str">
        <f aca="false">IF(C1228="","",IFERROR(INDEX(Produk!$J$2:$J$100,MATCH(C1228,Produk!$A$2:$A$100,0)),"PRODUK?"))</f>
        <v/>
      </c>
      <c r="G1228" s="29" t="str">
        <f aca="false">IF(A1228="","",IF(COUNTIF(Anggota!$A$2:$A$2001,A1228)=0,"TIDAK ADA","OK"))</f>
        <v/>
      </c>
    </row>
    <row r="1229" customFormat="false" ht="15" hidden="false" customHeight="false" outlineLevel="0" collapsed="false">
      <c r="A1229" s="21"/>
      <c r="B1229" s="22"/>
      <c r="C1229" s="21"/>
      <c r="D1229" s="24"/>
      <c r="E1229" s="22"/>
      <c r="F1229" s="29" t="str">
        <f aca="false">IF(C1229="","",IFERROR(INDEX(Produk!$J$2:$J$100,MATCH(C1229,Produk!$A$2:$A$100,0)),"PRODUK?"))</f>
        <v/>
      </c>
      <c r="G1229" s="29" t="str">
        <f aca="false">IF(A1229="","",IF(COUNTIF(Anggota!$A$2:$A$2001,A1229)=0,"TIDAK ADA","OK"))</f>
        <v/>
      </c>
    </row>
    <row r="1230" customFormat="false" ht="15" hidden="false" customHeight="false" outlineLevel="0" collapsed="false">
      <c r="A1230" s="21"/>
      <c r="B1230" s="22"/>
      <c r="C1230" s="21"/>
      <c r="D1230" s="24"/>
      <c r="E1230" s="22"/>
      <c r="F1230" s="29" t="str">
        <f aca="false">IF(C1230="","",IFERROR(INDEX(Produk!$J$2:$J$100,MATCH(C1230,Produk!$A$2:$A$100,0)),"PRODUK?"))</f>
        <v/>
      </c>
      <c r="G1230" s="29" t="str">
        <f aca="false">IF(A1230="","",IF(COUNTIF(Anggota!$A$2:$A$2001,A1230)=0,"TIDAK ADA","OK"))</f>
        <v/>
      </c>
    </row>
    <row r="1231" customFormat="false" ht="15" hidden="false" customHeight="false" outlineLevel="0" collapsed="false">
      <c r="A1231" s="21"/>
      <c r="B1231" s="22"/>
      <c r="C1231" s="21"/>
      <c r="D1231" s="24"/>
      <c r="E1231" s="22"/>
      <c r="F1231" s="29" t="str">
        <f aca="false">IF(C1231="","",IFERROR(INDEX(Produk!$J$2:$J$100,MATCH(C1231,Produk!$A$2:$A$100,0)),"PRODUK?"))</f>
        <v/>
      </c>
      <c r="G1231" s="29" t="str">
        <f aca="false">IF(A1231="","",IF(COUNTIF(Anggota!$A$2:$A$2001,A1231)=0,"TIDAK ADA","OK"))</f>
        <v/>
      </c>
    </row>
    <row r="1232" customFormat="false" ht="15" hidden="false" customHeight="false" outlineLevel="0" collapsed="false">
      <c r="A1232" s="21"/>
      <c r="B1232" s="22"/>
      <c r="C1232" s="21"/>
      <c r="D1232" s="24"/>
      <c r="E1232" s="22"/>
      <c r="F1232" s="29" t="str">
        <f aca="false">IF(C1232="","",IFERROR(INDEX(Produk!$J$2:$J$100,MATCH(C1232,Produk!$A$2:$A$100,0)),"PRODUK?"))</f>
        <v/>
      </c>
      <c r="G1232" s="29" t="str">
        <f aca="false">IF(A1232="","",IF(COUNTIF(Anggota!$A$2:$A$2001,A1232)=0,"TIDAK ADA","OK"))</f>
        <v/>
      </c>
    </row>
    <row r="1233" customFormat="false" ht="15" hidden="false" customHeight="false" outlineLevel="0" collapsed="false">
      <c r="A1233" s="21"/>
      <c r="B1233" s="22"/>
      <c r="C1233" s="21"/>
      <c r="D1233" s="24"/>
      <c r="E1233" s="22"/>
      <c r="F1233" s="29" t="str">
        <f aca="false">IF(C1233="","",IFERROR(INDEX(Produk!$J$2:$J$100,MATCH(C1233,Produk!$A$2:$A$100,0)),"PRODUK?"))</f>
        <v/>
      </c>
      <c r="G1233" s="29" t="str">
        <f aca="false">IF(A1233="","",IF(COUNTIF(Anggota!$A$2:$A$2001,A1233)=0,"TIDAK ADA","OK"))</f>
        <v/>
      </c>
    </row>
    <row r="1234" customFormat="false" ht="15" hidden="false" customHeight="false" outlineLevel="0" collapsed="false">
      <c r="A1234" s="21"/>
      <c r="B1234" s="22"/>
      <c r="C1234" s="21"/>
      <c r="D1234" s="24"/>
      <c r="E1234" s="22"/>
      <c r="F1234" s="29" t="str">
        <f aca="false">IF(C1234="","",IFERROR(INDEX(Produk!$J$2:$J$100,MATCH(C1234,Produk!$A$2:$A$100,0)),"PRODUK?"))</f>
        <v/>
      </c>
      <c r="G1234" s="29" t="str">
        <f aca="false">IF(A1234="","",IF(COUNTIF(Anggota!$A$2:$A$2001,A1234)=0,"TIDAK ADA","OK"))</f>
        <v/>
      </c>
    </row>
    <row r="1235" customFormat="false" ht="15" hidden="false" customHeight="false" outlineLevel="0" collapsed="false">
      <c r="A1235" s="21"/>
      <c r="B1235" s="22"/>
      <c r="C1235" s="21"/>
      <c r="D1235" s="24"/>
      <c r="E1235" s="22"/>
      <c r="F1235" s="29" t="str">
        <f aca="false">IF(C1235="","",IFERROR(INDEX(Produk!$J$2:$J$100,MATCH(C1235,Produk!$A$2:$A$100,0)),"PRODUK?"))</f>
        <v/>
      </c>
      <c r="G1235" s="29" t="str">
        <f aca="false">IF(A1235="","",IF(COUNTIF(Anggota!$A$2:$A$2001,A1235)=0,"TIDAK ADA","OK"))</f>
        <v/>
      </c>
    </row>
    <row r="1236" customFormat="false" ht="15" hidden="false" customHeight="false" outlineLevel="0" collapsed="false">
      <c r="A1236" s="21"/>
      <c r="B1236" s="22"/>
      <c r="C1236" s="21"/>
      <c r="D1236" s="24"/>
      <c r="E1236" s="22"/>
      <c r="F1236" s="29" t="str">
        <f aca="false">IF(C1236="","",IFERROR(INDEX(Produk!$J$2:$J$100,MATCH(C1236,Produk!$A$2:$A$100,0)),"PRODUK?"))</f>
        <v/>
      </c>
      <c r="G1236" s="29" t="str">
        <f aca="false">IF(A1236="","",IF(COUNTIF(Anggota!$A$2:$A$2001,A1236)=0,"TIDAK ADA","OK"))</f>
        <v/>
      </c>
    </row>
    <row r="1237" customFormat="false" ht="15" hidden="false" customHeight="false" outlineLevel="0" collapsed="false">
      <c r="A1237" s="21"/>
      <c r="B1237" s="22"/>
      <c r="C1237" s="21"/>
      <c r="D1237" s="24"/>
      <c r="E1237" s="22"/>
      <c r="F1237" s="29" t="str">
        <f aca="false">IF(C1237="","",IFERROR(INDEX(Produk!$J$2:$J$100,MATCH(C1237,Produk!$A$2:$A$100,0)),"PRODUK?"))</f>
        <v/>
      </c>
      <c r="G1237" s="29" t="str">
        <f aca="false">IF(A1237="","",IF(COUNTIF(Anggota!$A$2:$A$2001,A1237)=0,"TIDAK ADA","OK"))</f>
        <v/>
      </c>
    </row>
    <row r="1238" customFormat="false" ht="15" hidden="false" customHeight="false" outlineLevel="0" collapsed="false">
      <c r="A1238" s="21"/>
      <c r="B1238" s="22"/>
      <c r="C1238" s="21"/>
      <c r="D1238" s="24"/>
      <c r="E1238" s="22"/>
      <c r="F1238" s="29" t="str">
        <f aca="false">IF(C1238="","",IFERROR(INDEX(Produk!$J$2:$J$100,MATCH(C1238,Produk!$A$2:$A$100,0)),"PRODUK?"))</f>
        <v/>
      </c>
      <c r="G1238" s="29" t="str">
        <f aca="false">IF(A1238="","",IF(COUNTIF(Anggota!$A$2:$A$2001,A1238)=0,"TIDAK ADA","OK"))</f>
        <v/>
      </c>
    </row>
    <row r="1239" customFormat="false" ht="15" hidden="false" customHeight="false" outlineLevel="0" collapsed="false">
      <c r="A1239" s="21"/>
      <c r="B1239" s="22"/>
      <c r="C1239" s="21"/>
      <c r="D1239" s="24"/>
      <c r="E1239" s="22"/>
      <c r="F1239" s="29" t="str">
        <f aca="false">IF(C1239="","",IFERROR(INDEX(Produk!$J$2:$J$100,MATCH(C1239,Produk!$A$2:$A$100,0)),"PRODUK?"))</f>
        <v/>
      </c>
      <c r="G1239" s="29" t="str">
        <f aca="false">IF(A1239="","",IF(COUNTIF(Anggota!$A$2:$A$2001,A1239)=0,"TIDAK ADA","OK"))</f>
        <v/>
      </c>
    </row>
    <row r="1240" customFormat="false" ht="15" hidden="false" customHeight="false" outlineLevel="0" collapsed="false">
      <c r="A1240" s="21"/>
      <c r="B1240" s="22"/>
      <c r="C1240" s="21"/>
      <c r="D1240" s="24"/>
      <c r="E1240" s="22"/>
      <c r="F1240" s="29" t="str">
        <f aca="false">IF(C1240="","",IFERROR(INDEX(Produk!$J$2:$J$100,MATCH(C1240,Produk!$A$2:$A$100,0)),"PRODUK?"))</f>
        <v/>
      </c>
      <c r="G1240" s="29" t="str">
        <f aca="false">IF(A1240="","",IF(COUNTIF(Anggota!$A$2:$A$2001,A1240)=0,"TIDAK ADA","OK"))</f>
        <v/>
      </c>
    </row>
    <row r="1241" customFormat="false" ht="15" hidden="false" customHeight="false" outlineLevel="0" collapsed="false">
      <c r="A1241" s="21"/>
      <c r="B1241" s="22"/>
      <c r="C1241" s="21"/>
      <c r="D1241" s="24"/>
      <c r="E1241" s="22"/>
      <c r="F1241" s="29" t="str">
        <f aca="false">IF(C1241="","",IFERROR(INDEX(Produk!$J$2:$J$100,MATCH(C1241,Produk!$A$2:$A$100,0)),"PRODUK?"))</f>
        <v/>
      </c>
      <c r="G1241" s="29" t="str">
        <f aca="false">IF(A1241="","",IF(COUNTIF(Anggota!$A$2:$A$2001,A1241)=0,"TIDAK ADA","OK"))</f>
        <v/>
      </c>
    </row>
    <row r="1242" customFormat="false" ht="15" hidden="false" customHeight="false" outlineLevel="0" collapsed="false">
      <c r="A1242" s="21"/>
      <c r="B1242" s="22"/>
      <c r="C1242" s="21"/>
      <c r="D1242" s="24"/>
      <c r="E1242" s="22"/>
      <c r="F1242" s="29" t="str">
        <f aca="false">IF(C1242="","",IFERROR(INDEX(Produk!$J$2:$J$100,MATCH(C1242,Produk!$A$2:$A$100,0)),"PRODUK?"))</f>
        <v/>
      </c>
      <c r="G1242" s="29" t="str">
        <f aca="false">IF(A1242="","",IF(COUNTIF(Anggota!$A$2:$A$2001,A1242)=0,"TIDAK ADA","OK"))</f>
        <v/>
      </c>
    </row>
    <row r="1243" customFormat="false" ht="15" hidden="false" customHeight="false" outlineLevel="0" collapsed="false">
      <c r="A1243" s="21"/>
      <c r="B1243" s="22"/>
      <c r="C1243" s="21"/>
      <c r="D1243" s="24"/>
      <c r="E1243" s="22"/>
      <c r="F1243" s="29" t="str">
        <f aca="false">IF(C1243="","",IFERROR(INDEX(Produk!$J$2:$J$100,MATCH(C1243,Produk!$A$2:$A$100,0)),"PRODUK?"))</f>
        <v/>
      </c>
      <c r="G1243" s="29" t="str">
        <f aca="false">IF(A1243="","",IF(COUNTIF(Anggota!$A$2:$A$2001,A1243)=0,"TIDAK ADA","OK"))</f>
        <v/>
      </c>
    </row>
    <row r="1244" customFormat="false" ht="15" hidden="false" customHeight="false" outlineLevel="0" collapsed="false">
      <c r="A1244" s="21"/>
      <c r="B1244" s="22"/>
      <c r="C1244" s="21"/>
      <c r="D1244" s="24"/>
      <c r="E1244" s="22"/>
      <c r="F1244" s="29" t="str">
        <f aca="false">IF(C1244="","",IFERROR(INDEX(Produk!$J$2:$J$100,MATCH(C1244,Produk!$A$2:$A$100,0)),"PRODUK?"))</f>
        <v/>
      </c>
      <c r="G1244" s="29" t="str">
        <f aca="false">IF(A1244="","",IF(COUNTIF(Anggota!$A$2:$A$2001,A1244)=0,"TIDAK ADA","OK"))</f>
        <v/>
      </c>
    </row>
    <row r="1245" customFormat="false" ht="15" hidden="false" customHeight="false" outlineLevel="0" collapsed="false">
      <c r="A1245" s="21"/>
      <c r="B1245" s="22"/>
      <c r="C1245" s="21"/>
      <c r="D1245" s="24"/>
      <c r="E1245" s="22"/>
      <c r="F1245" s="29" t="str">
        <f aca="false">IF(C1245="","",IFERROR(INDEX(Produk!$J$2:$J$100,MATCH(C1245,Produk!$A$2:$A$100,0)),"PRODUK?"))</f>
        <v/>
      </c>
      <c r="G1245" s="29" t="str">
        <f aca="false">IF(A1245="","",IF(COUNTIF(Anggota!$A$2:$A$2001,A1245)=0,"TIDAK ADA","OK"))</f>
        <v/>
      </c>
    </row>
    <row r="1246" customFormat="false" ht="15" hidden="false" customHeight="false" outlineLevel="0" collapsed="false">
      <c r="A1246" s="21"/>
      <c r="B1246" s="22"/>
      <c r="C1246" s="21"/>
      <c r="D1246" s="24"/>
      <c r="E1246" s="22"/>
      <c r="F1246" s="29" t="str">
        <f aca="false">IF(C1246="","",IFERROR(INDEX(Produk!$J$2:$J$100,MATCH(C1246,Produk!$A$2:$A$100,0)),"PRODUK?"))</f>
        <v/>
      </c>
      <c r="G1246" s="29" t="str">
        <f aca="false">IF(A1246="","",IF(COUNTIF(Anggota!$A$2:$A$2001,A1246)=0,"TIDAK ADA","OK"))</f>
        <v/>
      </c>
    </row>
    <row r="1247" customFormat="false" ht="15" hidden="false" customHeight="false" outlineLevel="0" collapsed="false">
      <c r="A1247" s="21"/>
      <c r="B1247" s="22"/>
      <c r="C1247" s="21"/>
      <c r="D1247" s="24"/>
      <c r="E1247" s="22"/>
      <c r="F1247" s="29" t="str">
        <f aca="false">IF(C1247="","",IFERROR(INDEX(Produk!$J$2:$J$100,MATCH(C1247,Produk!$A$2:$A$100,0)),"PRODUK?"))</f>
        <v/>
      </c>
      <c r="G1247" s="29" t="str">
        <f aca="false">IF(A1247="","",IF(COUNTIF(Anggota!$A$2:$A$2001,A1247)=0,"TIDAK ADA","OK"))</f>
        <v/>
      </c>
    </row>
    <row r="1248" customFormat="false" ht="15" hidden="false" customHeight="false" outlineLevel="0" collapsed="false">
      <c r="A1248" s="21"/>
      <c r="B1248" s="22"/>
      <c r="C1248" s="21"/>
      <c r="D1248" s="24"/>
      <c r="E1248" s="22"/>
      <c r="F1248" s="29" t="str">
        <f aca="false">IF(C1248="","",IFERROR(INDEX(Produk!$J$2:$J$100,MATCH(C1248,Produk!$A$2:$A$100,0)),"PRODUK?"))</f>
        <v/>
      </c>
      <c r="G1248" s="29" t="str">
        <f aca="false">IF(A1248="","",IF(COUNTIF(Anggota!$A$2:$A$2001,A1248)=0,"TIDAK ADA","OK"))</f>
        <v/>
      </c>
    </row>
    <row r="1249" customFormat="false" ht="15" hidden="false" customHeight="false" outlineLevel="0" collapsed="false">
      <c r="A1249" s="21"/>
      <c r="B1249" s="22"/>
      <c r="C1249" s="21"/>
      <c r="D1249" s="24"/>
      <c r="E1249" s="22"/>
      <c r="F1249" s="29" t="str">
        <f aca="false">IF(C1249="","",IFERROR(INDEX(Produk!$J$2:$J$100,MATCH(C1249,Produk!$A$2:$A$100,0)),"PRODUK?"))</f>
        <v/>
      </c>
      <c r="G1249" s="29" t="str">
        <f aca="false">IF(A1249="","",IF(COUNTIF(Anggota!$A$2:$A$2001,A1249)=0,"TIDAK ADA","OK"))</f>
        <v/>
      </c>
    </row>
    <row r="1250" customFormat="false" ht="15" hidden="false" customHeight="false" outlineLevel="0" collapsed="false">
      <c r="A1250" s="21"/>
      <c r="B1250" s="22"/>
      <c r="C1250" s="21"/>
      <c r="D1250" s="24"/>
      <c r="E1250" s="22"/>
      <c r="F1250" s="29" t="str">
        <f aca="false">IF(C1250="","",IFERROR(INDEX(Produk!$J$2:$J$100,MATCH(C1250,Produk!$A$2:$A$100,0)),"PRODUK?"))</f>
        <v/>
      </c>
      <c r="G1250" s="29" t="str">
        <f aca="false">IF(A1250="","",IF(COUNTIF(Anggota!$A$2:$A$2001,A1250)=0,"TIDAK ADA","OK"))</f>
        <v/>
      </c>
    </row>
    <row r="1251" customFormat="false" ht="15" hidden="false" customHeight="false" outlineLevel="0" collapsed="false">
      <c r="A1251" s="21"/>
      <c r="B1251" s="22"/>
      <c r="C1251" s="21"/>
      <c r="D1251" s="24"/>
      <c r="E1251" s="22"/>
      <c r="F1251" s="29" t="str">
        <f aca="false">IF(C1251="","",IFERROR(INDEX(Produk!$J$2:$J$100,MATCH(C1251,Produk!$A$2:$A$100,0)),"PRODUK?"))</f>
        <v/>
      </c>
      <c r="G1251" s="29" t="str">
        <f aca="false">IF(A1251="","",IF(COUNTIF(Anggota!$A$2:$A$2001,A1251)=0,"TIDAK ADA","OK"))</f>
        <v/>
      </c>
    </row>
    <row r="1252" customFormat="false" ht="15" hidden="false" customHeight="false" outlineLevel="0" collapsed="false">
      <c r="A1252" s="21"/>
      <c r="B1252" s="22"/>
      <c r="C1252" s="21"/>
      <c r="D1252" s="24"/>
      <c r="E1252" s="22"/>
      <c r="F1252" s="29" t="str">
        <f aca="false">IF(C1252="","",IFERROR(INDEX(Produk!$J$2:$J$100,MATCH(C1252,Produk!$A$2:$A$100,0)),"PRODUK?"))</f>
        <v/>
      </c>
      <c r="G1252" s="29" t="str">
        <f aca="false">IF(A1252="","",IF(COUNTIF(Anggota!$A$2:$A$2001,A1252)=0,"TIDAK ADA","OK"))</f>
        <v/>
      </c>
    </row>
    <row r="1253" customFormat="false" ht="15" hidden="false" customHeight="false" outlineLevel="0" collapsed="false">
      <c r="A1253" s="21"/>
      <c r="B1253" s="22"/>
      <c r="C1253" s="21"/>
      <c r="D1253" s="24"/>
      <c r="E1253" s="22"/>
      <c r="F1253" s="29" t="str">
        <f aca="false">IF(C1253="","",IFERROR(INDEX(Produk!$J$2:$J$100,MATCH(C1253,Produk!$A$2:$A$100,0)),"PRODUK?"))</f>
        <v/>
      </c>
      <c r="G1253" s="29" t="str">
        <f aca="false">IF(A1253="","",IF(COUNTIF(Anggota!$A$2:$A$2001,A1253)=0,"TIDAK ADA","OK"))</f>
        <v/>
      </c>
    </row>
    <row r="1254" customFormat="false" ht="15" hidden="false" customHeight="false" outlineLevel="0" collapsed="false">
      <c r="A1254" s="21"/>
      <c r="B1254" s="22"/>
      <c r="C1254" s="21"/>
      <c r="D1254" s="24"/>
      <c r="E1254" s="22"/>
      <c r="F1254" s="29" t="str">
        <f aca="false">IF(C1254="","",IFERROR(INDEX(Produk!$J$2:$J$100,MATCH(C1254,Produk!$A$2:$A$100,0)),"PRODUK?"))</f>
        <v/>
      </c>
      <c r="G1254" s="29" t="str">
        <f aca="false">IF(A1254="","",IF(COUNTIF(Anggota!$A$2:$A$2001,A1254)=0,"TIDAK ADA","OK"))</f>
        <v/>
      </c>
    </row>
    <row r="1255" customFormat="false" ht="15" hidden="false" customHeight="false" outlineLevel="0" collapsed="false">
      <c r="A1255" s="21"/>
      <c r="B1255" s="22"/>
      <c r="C1255" s="21"/>
      <c r="D1255" s="24"/>
      <c r="E1255" s="22"/>
      <c r="F1255" s="29" t="str">
        <f aca="false">IF(C1255="","",IFERROR(INDEX(Produk!$J$2:$J$100,MATCH(C1255,Produk!$A$2:$A$100,0)),"PRODUK?"))</f>
        <v/>
      </c>
      <c r="G1255" s="29" t="str">
        <f aca="false">IF(A1255="","",IF(COUNTIF(Anggota!$A$2:$A$2001,A1255)=0,"TIDAK ADA","OK"))</f>
        <v/>
      </c>
    </row>
    <row r="1256" customFormat="false" ht="15" hidden="false" customHeight="false" outlineLevel="0" collapsed="false">
      <c r="A1256" s="21"/>
      <c r="B1256" s="22"/>
      <c r="C1256" s="21"/>
      <c r="D1256" s="24"/>
      <c r="E1256" s="22"/>
      <c r="F1256" s="29" t="str">
        <f aca="false">IF(C1256="","",IFERROR(INDEX(Produk!$J$2:$J$100,MATCH(C1256,Produk!$A$2:$A$100,0)),"PRODUK?"))</f>
        <v/>
      </c>
      <c r="G1256" s="29" t="str">
        <f aca="false">IF(A1256="","",IF(COUNTIF(Anggota!$A$2:$A$2001,A1256)=0,"TIDAK ADA","OK"))</f>
        <v/>
      </c>
    </row>
    <row r="1257" customFormat="false" ht="15" hidden="false" customHeight="false" outlineLevel="0" collapsed="false">
      <c r="A1257" s="21"/>
      <c r="B1257" s="22"/>
      <c r="C1257" s="21"/>
      <c r="D1257" s="24"/>
      <c r="E1257" s="22"/>
      <c r="F1257" s="29" t="str">
        <f aca="false">IF(C1257="","",IFERROR(INDEX(Produk!$J$2:$J$100,MATCH(C1257,Produk!$A$2:$A$100,0)),"PRODUK?"))</f>
        <v/>
      </c>
      <c r="G1257" s="29" t="str">
        <f aca="false">IF(A1257="","",IF(COUNTIF(Anggota!$A$2:$A$2001,A1257)=0,"TIDAK ADA","OK"))</f>
        <v/>
      </c>
    </row>
    <row r="1258" customFormat="false" ht="15" hidden="false" customHeight="false" outlineLevel="0" collapsed="false">
      <c r="A1258" s="21"/>
      <c r="B1258" s="22"/>
      <c r="C1258" s="21"/>
      <c r="D1258" s="24"/>
      <c r="E1258" s="22"/>
      <c r="F1258" s="29" t="str">
        <f aca="false">IF(C1258="","",IFERROR(INDEX(Produk!$J$2:$J$100,MATCH(C1258,Produk!$A$2:$A$100,0)),"PRODUK?"))</f>
        <v/>
      </c>
      <c r="G1258" s="29" t="str">
        <f aca="false">IF(A1258="","",IF(COUNTIF(Anggota!$A$2:$A$2001,A1258)=0,"TIDAK ADA","OK"))</f>
        <v/>
      </c>
    </row>
    <row r="1259" customFormat="false" ht="15" hidden="false" customHeight="false" outlineLevel="0" collapsed="false">
      <c r="A1259" s="21"/>
      <c r="B1259" s="22"/>
      <c r="C1259" s="21"/>
      <c r="D1259" s="24"/>
      <c r="E1259" s="22"/>
      <c r="F1259" s="29" t="str">
        <f aca="false">IF(C1259="","",IFERROR(INDEX(Produk!$J$2:$J$100,MATCH(C1259,Produk!$A$2:$A$100,0)),"PRODUK?"))</f>
        <v/>
      </c>
      <c r="G1259" s="29" t="str">
        <f aca="false">IF(A1259="","",IF(COUNTIF(Anggota!$A$2:$A$2001,A1259)=0,"TIDAK ADA","OK"))</f>
        <v/>
      </c>
    </row>
    <row r="1260" customFormat="false" ht="15" hidden="false" customHeight="false" outlineLevel="0" collapsed="false">
      <c r="A1260" s="21"/>
      <c r="B1260" s="22"/>
      <c r="C1260" s="21"/>
      <c r="D1260" s="24"/>
      <c r="E1260" s="22"/>
      <c r="F1260" s="29" t="str">
        <f aca="false">IF(C1260="","",IFERROR(INDEX(Produk!$J$2:$J$100,MATCH(C1260,Produk!$A$2:$A$100,0)),"PRODUK?"))</f>
        <v/>
      </c>
      <c r="G1260" s="29" t="str">
        <f aca="false">IF(A1260="","",IF(COUNTIF(Anggota!$A$2:$A$2001,A1260)=0,"TIDAK ADA","OK"))</f>
        <v/>
      </c>
    </row>
    <row r="1261" customFormat="false" ht="15" hidden="false" customHeight="false" outlineLevel="0" collapsed="false">
      <c r="A1261" s="21"/>
      <c r="B1261" s="22"/>
      <c r="C1261" s="21"/>
      <c r="D1261" s="24"/>
      <c r="E1261" s="22"/>
      <c r="F1261" s="29" t="str">
        <f aca="false">IF(C1261="","",IFERROR(INDEX(Produk!$J$2:$J$100,MATCH(C1261,Produk!$A$2:$A$100,0)),"PRODUK?"))</f>
        <v/>
      </c>
      <c r="G1261" s="29" t="str">
        <f aca="false">IF(A1261="","",IF(COUNTIF(Anggota!$A$2:$A$2001,A1261)=0,"TIDAK ADA","OK"))</f>
        <v/>
      </c>
    </row>
    <row r="1262" customFormat="false" ht="15" hidden="false" customHeight="false" outlineLevel="0" collapsed="false">
      <c r="A1262" s="21"/>
      <c r="B1262" s="22"/>
      <c r="C1262" s="21"/>
      <c r="D1262" s="24"/>
      <c r="E1262" s="22"/>
      <c r="F1262" s="29" t="str">
        <f aca="false">IF(C1262="","",IFERROR(INDEX(Produk!$J$2:$J$100,MATCH(C1262,Produk!$A$2:$A$100,0)),"PRODUK?"))</f>
        <v/>
      </c>
      <c r="G1262" s="29" t="str">
        <f aca="false">IF(A1262="","",IF(COUNTIF(Anggota!$A$2:$A$2001,A1262)=0,"TIDAK ADA","OK"))</f>
        <v/>
      </c>
    </row>
    <row r="1263" customFormat="false" ht="15" hidden="false" customHeight="false" outlineLevel="0" collapsed="false">
      <c r="A1263" s="21"/>
      <c r="B1263" s="22"/>
      <c r="C1263" s="21"/>
      <c r="D1263" s="24"/>
      <c r="E1263" s="22"/>
      <c r="F1263" s="29" t="str">
        <f aca="false">IF(C1263="","",IFERROR(INDEX(Produk!$J$2:$J$100,MATCH(C1263,Produk!$A$2:$A$100,0)),"PRODUK?"))</f>
        <v/>
      </c>
      <c r="G1263" s="29" t="str">
        <f aca="false">IF(A1263="","",IF(COUNTIF(Anggota!$A$2:$A$2001,A1263)=0,"TIDAK ADA","OK"))</f>
        <v/>
      </c>
    </row>
    <row r="1264" customFormat="false" ht="15" hidden="false" customHeight="false" outlineLevel="0" collapsed="false">
      <c r="A1264" s="21"/>
      <c r="B1264" s="22"/>
      <c r="C1264" s="21"/>
      <c r="D1264" s="24"/>
      <c r="E1264" s="22"/>
      <c r="F1264" s="29" t="str">
        <f aca="false">IF(C1264="","",IFERROR(INDEX(Produk!$J$2:$J$100,MATCH(C1264,Produk!$A$2:$A$100,0)),"PRODUK?"))</f>
        <v/>
      </c>
      <c r="G1264" s="29" t="str">
        <f aca="false">IF(A1264="","",IF(COUNTIF(Anggota!$A$2:$A$2001,A1264)=0,"TIDAK ADA","OK"))</f>
        <v/>
      </c>
    </row>
    <row r="1265" customFormat="false" ht="15" hidden="false" customHeight="false" outlineLevel="0" collapsed="false">
      <c r="A1265" s="21"/>
      <c r="B1265" s="22"/>
      <c r="C1265" s="21"/>
      <c r="D1265" s="24"/>
      <c r="E1265" s="22"/>
      <c r="F1265" s="29" t="str">
        <f aca="false">IF(C1265="","",IFERROR(INDEX(Produk!$J$2:$J$100,MATCH(C1265,Produk!$A$2:$A$100,0)),"PRODUK?"))</f>
        <v/>
      </c>
      <c r="G1265" s="29" t="str">
        <f aca="false">IF(A1265="","",IF(COUNTIF(Anggota!$A$2:$A$2001,A1265)=0,"TIDAK ADA","OK"))</f>
        <v/>
      </c>
    </row>
    <row r="1266" customFormat="false" ht="15" hidden="false" customHeight="false" outlineLevel="0" collapsed="false">
      <c r="A1266" s="21"/>
      <c r="B1266" s="22"/>
      <c r="C1266" s="21"/>
      <c r="D1266" s="24"/>
      <c r="E1266" s="22"/>
      <c r="F1266" s="29" t="str">
        <f aca="false">IF(C1266="","",IFERROR(INDEX(Produk!$J$2:$J$100,MATCH(C1266,Produk!$A$2:$A$100,0)),"PRODUK?"))</f>
        <v/>
      </c>
      <c r="G1266" s="29" t="str">
        <f aca="false">IF(A1266="","",IF(COUNTIF(Anggota!$A$2:$A$2001,A1266)=0,"TIDAK ADA","OK"))</f>
        <v/>
      </c>
    </row>
    <row r="1267" customFormat="false" ht="15" hidden="false" customHeight="false" outlineLevel="0" collapsed="false">
      <c r="A1267" s="21"/>
      <c r="B1267" s="22"/>
      <c r="C1267" s="21"/>
      <c r="D1267" s="24"/>
      <c r="E1267" s="22"/>
      <c r="F1267" s="29" t="str">
        <f aca="false">IF(C1267="","",IFERROR(INDEX(Produk!$J$2:$J$100,MATCH(C1267,Produk!$A$2:$A$100,0)),"PRODUK?"))</f>
        <v/>
      </c>
      <c r="G1267" s="29" t="str">
        <f aca="false">IF(A1267="","",IF(COUNTIF(Anggota!$A$2:$A$2001,A1267)=0,"TIDAK ADA","OK"))</f>
        <v/>
      </c>
    </row>
    <row r="1268" customFormat="false" ht="15" hidden="false" customHeight="false" outlineLevel="0" collapsed="false">
      <c r="A1268" s="21"/>
      <c r="B1268" s="22"/>
      <c r="C1268" s="21"/>
      <c r="D1268" s="24"/>
      <c r="E1268" s="22"/>
      <c r="F1268" s="29" t="str">
        <f aca="false">IF(C1268="","",IFERROR(INDEX(Produk!$J$2:$J$100,MATCH(C1268,Produk!$A$2:$A$100,0)),"PRODUK?"))</f>
        <v/>
      </c>
      <c r="G1268" s="29" t="str">
        <f aca="false">IF(A1268="","",IF(COUNTIF(Anggota!$A$2:$A$2001,A1268)=0,"TIDAK ADA","OK"))</f>
        <v/>
      </c>
    </row>
    <row r="1269" customFormat="false" ht="15" hidden="false" customHeight="false" outlineLevel="0" collapsed="false">
      <c r="A1269" s="21"/>
      <c r="B1269" s="22"/>
      <c r="C1269" s="21"/>
      <c r="D1269" s="24"/>
      <c r="E1269" s="22"/>
      <c r="F1269" s="29" t="str">
        <f aca="false">IF(C1269="","",IFERROR(INDEX(Produk!$J$2:$J$100,MATCH(C1269,Produk!$A$2:$A$100,0)),"PRODUK?"))</f>
        <v/>
      </c>
      <c r="G1269" s="29" t="str">
        <f aca="false">IF(A1269="","",IF(COUNTIF(Anggota!$A$2:$A$2001,A1269)=0,"TIDAK ADA","OK"))</f>
        <v/>
      </c>
    </row>
    <row r="1270" customFormat="false" ht="15" hidden="false" customHeight="false" outlineLevel="0" collapsed="false">
      <c r="A1270" s="21"/>
      <c r="B1270" s="22"/>
      <c r="C1270" s="21"/>
      <c r="D1270" s="24"/>
      <c r="E1270" s="22"/>
      <c r="F1270" s="29" t="str">
        <f aca="false">IF(C1270="","",IFERROR(INDEX(Produk!$J$2:$J$100,MATCH(C1270,Produk!$A$2:$A$100,0)),"PRODUK?"))</f>
        <v/>
      </c>
      <c r="G1270" s="29" t="str">
        <f aca="false">IF(A1270="","",IF(COUNTIF(Anggota!$A$2:$A$2001,A1270)=0,"TIDAK ADA","OK"))</f>
        <v/>
      </c>
    </row>
    <row r="1271" customFormat="false" ht="15" hidden="false" customHeight="false" outlineLevel="0" collapsed="false">
      <c r="A1271" s="21"/>
      <c r="B1271" s="22"/>
      <c r="C1271" s="21"/>
      <c r="D1271" s="24"/>
      <c r="E1271" s="22"/>
      <c r="F1271" s="29" t="str">
        <f aca="false">IF(C1271="","",IFERROR(INDEX(Produk!$J$2:$J$100,MATCH(C1271,Produk!$A$2:$A$100,0)),"PRODUK?"))</f>
        <v/>
      </c>
      <c r="G1271" s="29" t="str">
        <f aca="false">IF(A1271="","",IF(COUNTIF(Anggota!$A$2:$A$2001,A1271)=0,"TIDAK ADA","OK"))</f>
        <v/>
      </c>
    </row>
    <row r="1272" customFormat="false" ht="15" hidden="false" customHeight="false" outlineLevel="0" collapsed="false">
      <c r="A1272" s="21"/>
      <c r="B1272" s="22"/>
      <c r="C1272" s="21"/>
      <c r="D1272" s="24"/>
      <c r="E1272" s="22"/>
      <c r="F1272" s="29" t="str">
        <f aca="false">IF(C1272="","",IFERROR(INDEX(Produk!$J$2:$J$100,MATCH(C1272,Produk!$A$2:$A$100,0)),"PRODUK?"))</f>
        <v/>
      </c>
      <c r="G1272" s="29" t="str">
        <f aca="false">IF(A1272="","",IF(COUNTIF(Anggota!$A$2:$A$2001,A1272)=0,"TIDAK ADA","OK"))</f>
        <v/>
      </c>
    </row>
    <row r="1273" customFormat="false" ht="15" hidden="false" customHeight="false" outlineLevel="0" collapsed="false">
      <c r="A1273" s="21"/>
      <c r="B1273" s="22"/>
      <c r="C1273" s="21"/>
      <c r="D1273" s="24"/>
      <c r="E1273" s="22"/>
      <c r="F1273" s="29" t="str">
        <f aca="false">IF(C1273="","",IFERROR(INDEX(Produk!$J$2:$J$100,MATCH(C1273,Produk!$A$2:$A$100,0)),"PRODUK?"))</f>
        <v/>
      </c>
      <c r="G1273" s="29" t="str">
        <f aca="false">IF(A1273="","",IF(COUNTIF(Anggota!$A$2:$A$2001,A1273)=0,"TIDAK ADA","OK"))</f>
        <v/>
      </c>
    </row>
    <row r="1274" customFormat="false" ht="15" hidden="false" customHeight="false" outlineLevel="0" collapsed="false">
      <c r="A1274" s="21"/>
      <c r="B1274" s="22"/>
      <c r="C1274" s="21"/>
      <c r="D1274" s="24"/>
      <c r="E1274" s="22"/>
      <c r="F1274" s="29" t="str">
        <f aca="false">IF(C1274="","",IFERROR(INDEX(Produk!$J$2:$J$100,MATCH(C1274,Produk!$A$2:$A$100,0)),"PRODUK?"))</f>
        <v/>
      </c>
      <c r="G1274" s="29" t="str">
        <f aca="false">IF(A1274="","",IF(COUNTIF(Anggota!$A$2:$A$2001,A1274)=0,"TIDAK ADA","OK"))</f>
        <v/>
      </c>
    </row>
    <row r="1275" customFormat="false" ht="15" hidden="false" customHeight="false" outlineLevel="0" collapsed="false">
      <c r="A1275" s="21"/>
      <c r="B1275" s="22"/>
      <c r="C1275" s="21"/>
      <c r="D1275" s="24"/>
      <c r="E1275" s="22"/>
      <c r="F1275" s="29" t="str">
        <f aca="false">IF(C1275="","",IFERROR(INDEX(Produk!$J$2:$J$100,MATCH(C1275,Produk!$A$2:$A$100,0)),"PRODUK?"))</f>
        <v/>
      </c>
      <c r="G1275" s="29" t="str">
        <f aca="false">IF(A1275="","",IF(COUNTIF(Anggota!$A$2:$A$2001,A1275)=0,"TIDAK ADA","OK"))</f>
        <v/>
      </c>
    </row>
    <row r="1276" customFormat="false" ht="15" hidden="false" customHeight="false" outlineLevel="0" collapsed="false">
      <c r="A1276" s="21"/>
      <c r="B1276" s="22"/>
      <c r="C1276" s="21"/>
      <c r="D1276" s="24"/>
      <c r="E1276" s="22"/>
      <c r="F1276" s="29" t="str">
        <f aca="false">IF(C1276="","",IFERROR(INDEX(Produk!$J$2:$J$100,MATCH(C1276,Produk!$A$2:$A$100,0)),"PRODUK?"))</f>
        <v/>
      </c>
      <c r="G1276" s="29" t="str">
        <f aca="false">IF(A1276="","",IF(COUNTIF(Anggota!$A$2:$A$2001,A1276)=0,"TIDAK ADA","OK"))</f>
        <v/>
      </c>
    </row>
    <row r="1277" customFormat="false" ht="15" hidden="false" customHeight="false" outlineLevel="0" collapsed="false">
      <c r="A1277" s="21"/>
      <c r="B1277" s="22"/>
      <c r="C1277" s="21"/>
      <c r="D1277" s="24"/>
      <c r="E1277" s="22"/>
      <c r="F1277" s="29" t="str">
        <f aca="false">IF(C1277="","",IFERROR(INDEX(Produk!$J$2:$J$100,MATCH(C1277,Produk!$A$2:$A$100,0)),"PRODUK?"))</f>
        <v/>
      </c>
      <c r="G1277" s="29" t="str">
        <f aca="false">IF(A1277="","",IF(COUNTIF(Anggota!$A$2:$A$2001,A1277)=0,"TIDAK ADA","OK"))</f>
        <v/>
      </c>
    </row>
    <row r="1278" customFormat="false" ht="15" hidden="false" customHeight="false" outlineLevel="0" collapsed="false">
      <c r="A1278" s="21"/>
      <c r="B1278" s="22"/>
      <c r="C1278" s="21"/>
      <c r="D1278" s="24"/>
      <c r="E1278" s="22"/>
      <c r="F1278" s="29" t="str">
        <f aca="false">IF(C1278="","",IFERROR(INDEX(Produk!$J$2:$J$100,MATCH(C1278,Produk!$A$2:$A$100,0)),"PRODUK?"))</f>
        <v/>
      </c>
      <c r="G1278" s="29" t="str">
        <f aca="false">IF(A1278="","",IF(COUNTIF(Anggota!$A$2:$A$2001,A1278)=0,"TIDAK ADA","OK"))</f>
        <v/>
      </c>
    </row>
    <row r="1279" customFormat="false" ht="15" hidden="false" customHeight="false" outlineLevel="0" collapsed="false">
      <c r="A1279" s="21"/>
      <c r="B1279" s="22"/>
      <c r="C1279" s="21"/>
      <c r="D1279" s="24"/>
      <c r="E1279" s="22"/>
      <c r="F1279" s="29" t="str">
        <f aca="false">IF(C1279="","",IFERROR(INDEX(Produk!$J$2:$J$100,MATCH(C1279,Produk!$A$2:$A$100,0)),"PRODUK?"))</f>
        <v/>
      </c>
      <c r="G1279" s="29" t="str">
        <f aca="false">IF(A1279="","",IF(COUNTIF(Anggota!$A$2:$A$2001,A1279)=0,"TIDAK ADA","OK"))</f>
        <v/>
      </c>
    </row>
    <row r="1280" customFormat="false" ht="15" hidden="false" customHeight="false" outlineLevel="0" collapsed="false">
      <c r="A1280" s="21"/>
      <c r="B1280" s="22"/>
      <c r="C1280" s="21"/>
      <c r="D1280" s="24"/>
      <c r="E1280" s="22"/>
      <c r="F1280" s="29" t="str">
        <f aca="false">IF(C1280="","",IFERROR(INDEX(Produk!$J$2:$J$100,MATCH(C1280,Produk!$A$2:$A$100,0)),"PRODUK?"))</f>
        <v/>
      </c>
      <c r="G1280" s="29" t="str">
        <f aca="false">IF(A1280="","",IF(COUNTIF(Anggota!$A$2:$A$2001,A1280)=0,"TIDAK ADA","OK"))</f>
        <v/>
      </c>
    </row>
    <row r="1281" customFormat="false" ht="15" hidden="false" customHeight="false" outlineLevel="0" collapsed="false">
      <c r="A1281" s="21"/>
      <c r="B1281" s="22"/>
      <c r="C1281" s="21"/>
      <c r="D1281" s="24"/>
      <c r="E1281" s="22"/>
      <c r="F1281" s="29" t="str">
        <f aca="false">IF(C1281="","",IFERROR(INDEX(Produk!$J$2:$J$100,MATCH(C1281,Produk!$A$2:$A$100,0)),"PRODUK?"))</f>
        <v/>
      </c>
      <c r="G1281" s="29" t="str">
        <f aca="false">IF(A1281="","",IF(COUNTIF(Anggota!$A$2:$A$2001,A1281)=0,"TIDAK ADA","OK"))</f>
        <v/>
      </c>
    </row>
    <row r="1282" customFormat="false" ht="15" hidden="false" customHeight="false" outlineLevel="0" collapsed="false">
      <c r="A1282" s="21"/>
      <c r="B1282" s="22"/>
      <c r="C1282" s="21"/>
      <c r="D1282" s="24"/>
      <c r="E1282" s="22"/>
      <c r="F1282" s="29" t="str">
        <f aca="false">IF(C1282="","",IFERROR(INDEX(Produk!$J$2:$J$100,MATCH(C1282,Produk!$A$2:$A$100,0)),"PRODUK?"))</f>
        <v/>
      </c>
      <c r="G1282" s="29" t="str">
        <f aca="false">IF(A1282="","",IF(COUNTIF(Anggota!$A$2:$A$2001,A1282)=0,"TIDAK ADA","OK"))</f>
        <v/>
      </c>
    </row>
    <row r="1283" customFormat="false" ht="15" hidden="false" customHeight="false" outlineLevel="0" collapsed="false">
      <c r="A1283" s="21"/>
      <c r="B1283" s="22"/>
      <c r="C1283" s="21"/>
      <c r="D1283" s="24"/>
      <c r="E1283" s="22"/>
      <c r="F1283" s="29" t="str">
        <f aca="false">IF(C1283="","",IFERROR(INDEX(Produk!$J$2:$J$100,MATCH(C1283,Produk!$A$2:$A$100,0)),"PRODUK?"))</f>
        <v/>
      </c>
      <c r="G1283" s="29" t="str">
        <f aca="false">IF(A1283="","",IF(COUNTIF(Anggota!$A$2:$A$2001,A1283)=0,"TIDAK ADA","OK"))</f>
        <v/>
      </c>
    </row>
    <row r="1284" customFormat="false" ht="15" hidden="false" customHeight="false" outlineLevel="0" collapsed="false">
      <c r="A1284" s="21"/>
      <c r="B1284" s="22"/>
      <c r="C1284" s="21"/>
      <c r="D1284" s="24"/>
      <c r="E1284" s="22"/>
      <c r="F1284" s="29" t="str">
        <f aca="false">IF(C1284="","",IFERROR(INDEX(Produk!$J$2:$J$100,MATCH(C1284,Produk!$A$2:$A$100,0)),"PRODUK?"))</f>
        <v/>
      </c>
      <c r="G1284" s="29" t="str">
        <f aca="false">IF(A1284="","",IF(COUNTIF(Anggota!$A$2:$A$2001,A1284)=0,"TIDAK ADA","OK"))</f>
        <v/>
      </c>
    </row>
    <row r="1285" customFormat="false" ht="15" hidden="false" customHeight="false" outlineLevel="0" collapsed="false">
      <c r="A1285" s="21"/>
      <c r="B1285" s="22"/>
      <c r="C1285" s="21"/>
      <c r="D1285" s="24"/>
      <c r="E1285" s="22"/>
      <c r="F1285" s="29" t="str">
        <f aca="false">IF(C1285="","",IFERROR(INDEX(Produk!$J$2:$J$100,MATCH(C1285,Produk!$A$2:$A$100,0)),"PRODUK?"))</f>
        <v/>
      </c>
      <c r="G1285" s="29" t="str">
        <f aca="false">IF(A1285="","",IF(COUNTIF(Anggota!$A$2:$A$2001,A1285)=0,"TIDAK ADA","OK"))</f>
        <v/>
      </c>
    </row>
    <row r="1286" customFormat="false" ht="15" hidden="false" customHeight="false" outlineLevel="0" collapsed="false">
      <c r="A1286" s="21"/>
      <c r="B1286" s="22"/>
      <c r="C1286" s="21"/>
      <c r="D1286" s="24"/>
      <c r="E1286" s="22"/>
      <c r="F1286" s="29" t="str">
        <f aca="false">IF(C1286="","",IFERROR(INDEX(Produk!$J$2:$J$100,MATCH(C1286,Produk!$A$2:$A$100,0)),"PRODUK?"))</f>
        <v/>
      </c>
      <c r="G1286" s="29" t="str">
        <f aca="false">IF(A1286="","",IF(COUNTIF(Anggota!$A$2:$A$2001,A1286)=0,"TIDAK ADA","OK"))</f>
        <v/>
      </c>
    </row>
    <row r="1287" customFormat="false" ht="15" hidden="false" customHeight="false" outlineLevel="0" collapsed="false">
      <c r="A1287" s="21"/>
      <c r="B1287" s="22"/>
      <c r="C1287" s="21"/>
      <c r="D1287" s="24"/>
      <c r="E1287" s="22"/>
      <c r="F1287" s="29" t="str">
        <f aca="false">IF(C1287="","",IFERROR(INDEX(Produk!$J$2:$J$100,MATCH(C1287,Produk!$A$2:$A$100,0)),"PRODUK?"))</f>
        <v/>
      </c>
      <c r="G1287" s="29" t="str">
        <f aca="false">IF(A1287="","",IF(COUNTIF(Anggota!$A$2:$A$2001,A1287)=0,"TIDAK ADA","OK"))</f>
        <v/>
      </c>
    </row>
    <row r="1288" customFormat="false" ht="15" hidden="false" customHeight="false" outlineLevel="0" collapsed="false">
      <c r="A1288" s="21"/>
      <c r="B1288" s="22"/>
      <c r="C1288" s="21"/>
      <c r="D1288" s="24"/>
      <c r="E1288" s="22"/>
      <c r="F1288" s="29" t="str">
        <f aca="false">IF(C1288="","",IFERROR(INDEX(Produk!$J$2:$J$100,MATCH(C1288,Produk!$A$2:$A$100,0)),"PRODUK?"))</f>
        <v/>
      </c>
      <c r="G1288" s="29" t="str">
        <f aca="false">IF(A1288="","",IF(COUNTIF(Anggota!$A$2:$A$2001,A1288)=0,"TIDAK ADA","OK"))</f>
        <v/>
      </c>
    </row>
    <row r="1289" customFormat="false" ht="15" hidden="false" customHeight="false" outlineLevel="0" collapsed="false">
      <c r="A1289" s="21"/>
      <c r="B1289" s="22"/>
      <c r="C1289" s="21"/>
      <c r="D1289" s="24"/>
      <c r="E1289" s="22"/>
      <c r="F1289" s="29" t="str">
        <f aca="false">IF(C1289="","",IFERROR(INDEX(Produk!$J$2:$J$100,MATCH(C1289,Produk!$A$2:$A$100,0)),"PRODUK?"))</f>
        <v/>
      </c>
      <c r="G1289" s="29" t="str">
        <f aca="false">IF(A1289="","",IF(COUNTIF(Anggota!$A$2:$A$2001,A1289)=0,"TIDAK ADA","OK"))</f>
        <v/>
      </c>
    </row>
    <row r="1290" customFormat="false" ht="15" hidden="false" customHeight="false" outlineLevel="0" collapsed="false">
      <c r="A1290" s="21"/>
      <c r="B1290" s="22"/>
      <c r="C1290" s="21"/>
      <c r="D1290" s="24"/>
      <c r="E1290" s="22"/>
      <c r="F1290" s="29" t="str">
        <f aca="false">IF(C1290="","",IFERROR(INDEX(Produk!$J$2:$J$100,MATCH(C1290,Produk!$A$2:$A$100,0)),"PRODUK?"))</f>
        <v/>
      </c>
      <c r="G1290" s="29" t="str">
        <f aca="false">IF(A1290="","",IF(COUNTIF(Anggota!$A$2:$A$2001,A1290)=0,"TIDAK ADA","OK"))</f>
        <v/>
      </c>
    </row>
    <row r="1291" customFormat="false" ht="15" hidden="false" customHeight="false" outlineLevel="0" collapsed="false">
      <c r="A1291" s="21"/>
      <c r="B1291" s="22"/>
      <c r="C1291" s="21"/>
      <c r="D1291" s="24"/>
      <c r="E1291" s="22"/>
      <c r="F1291" s="29" t="str">
        <f aca="false">IF(C1291="","",IFERROR(INDEX(Produk!$J$2:$J$100,MATCH(C1291,Produk!$A$2:$A$100,0)),"PRODUK?"))</f>
        <v/>
      </c>
      <c r="G1291" s="29" t="str">
        <f aca="false">IF(A1291="","",IF(COUNTIF(Anggota!$A$2:$A$2001,A1291)=0,"TIDAK ADA","OK"))</f>
        <v/>
      </c>
    </row>
    <row r="1292" customFormat="false" ht="15" hidden="false" customHeight="false" outlineLevel="0" collapsed="false">
      <c r="A1292" s="21"/>
      <c r="B1292" s="22"/>
      <c r="C1292" s="21"/>
      <c r="D1292" s="24"/>
      <c r="E1292" s="22"/>
      <c r="F1292" s="29" t="str">
        <f aca="false">IF(C1292="","",IFERROR(INDEX(Produk!$J$2:$J$100,MATCH(C1292,Produk!$A$2:$A$100,0)),"PRODUK?"))</f>
        <v/>
      </c>
      <c r="G1292" s="29" t="str">
        <f aca="false">IF(A1292="","",IF(COUNTIF(Anggota!$A$2:$A$2001,A1292)=0,"TIDAK ADA","OK"))</f>
        <v/>
      </c>
    </row>
    <row r="1293" customFormat="false" ht="15" hidden="false" customHeight="false" outlineLevel="0" collapsed="false">
      <c r="A1293" s="21"/>
      <c r="B1293" s="22"/>
      <c r="C1293" s="21"/>
      <c r="D1293" s="24"/>
      <c r="E1293" s="22"/>
      <c r="F1293" s="29" t="str">
        <f aca="false">IF(C1293="","",IFERROR(INDEX(Produk!$J$2:$J$100,MATCH(C1293,Produk!$A$2:$A$100,0)),"PRODUK?"))</f>
        <v/>
      </c>
      <c r="G1293" s="29" t="str">
        <f aca="false">IF(A1293="","",IF(COUNTIF(Anggota!$A$2:$A$2001,A1293)=0,"TIDAK ADA","OK"))</f>
        <v/>
      </c>
    </row>
    <row r="1294" customFormat="false" ht="15" hidden="false" customHeight="false" outlineLevel="0" collapsed="false">
      <c r="A1294" s="21"/>
      <c r="B1294" s="22"/>
      <c r="C1294" s="21"/>
      <c r="D1294" s="24"/>
      <c r="E1294" s="22"/>
      <c r="F1294" s="29" t="str">
        <f aca="false">IF(C1294="","",IFERROR(INDEX(Produk!$J$2:$J$100,MATCH(C1294,Produk!$A$2:$A$100,0)),"PRODUK?"))</f>
        <v/>
      </c>
      <c r="G1294" s="29" t="str">
        <f aca="false">IF(A1294="","",IF(COUNTIF(Anggota!$A$2:$A$2001,A1294)=0,"TIDAK ADA","OK"))</f>
        <v/>
      </c>
    </row>
    <row r="1295" customFormat="false" ht="15" hidden="false" customHeight="false" outlineLevel="0" collapsed="false">
      <c r="A1295" s="21"/>
      <c r="B1295" s="22"/>
      <c r="C1295" s="21"/>
      <c r="D1295" s="24"/>
      <c r="E1295" s="22"/>
      <c r="F1295" s="29" t="str">
        <f aca="false">IF(C1295="","",IFERROR(INDEX(Produk!$J$2:$J$100,MATCH(C1295,Produk!$A$2:$A$100,0)),"PRODUK?"))</f>
        <v/>
      </c>
      <c r="G1295" s="29" t="str">
        <f aca="false">IF(A1295="","",IF(COUNTIF(Anggota!$A$2:$A$2001,A1295)=0,"TIDAK ADA","OK"))</f>
        <v/>
      </c>
    </row>
    <row r="1296" customFormat="false" ht="15" hidden="false" customHeight="false" outlineLevel="0" collapsed="false">
      <c r="A1296" s="21"/>
      <c r="B1296" s="22"/>
      <c r="C1296" s="21"/>
      <c r="D1296" s="24"/>
      <c r="E1296" s="22"/>
      <c r="F1296" s="29" t="str">
        <f aca="false">IF(C1296="","",IFERROR(INDEX(Produk!$J$2:$J$100,MATCH(C1296,Produk!$A$2:$A$100,0)),"PRODUK?"))</f>
        <v/>
      </c>
      <c r="G1296" s="29" t="str">
        <f aca="false">IF(A1296="","",IF(COUNTIF(Anggota!$A$2:$A$2001,A1296)=0,"TIDAK ADA","OK"))</f>
        <v/>
      </c>
    </row>
    <row r="1297" customFormat="false" ht="15" hidden="false" customHeight="false" outlineLevel="0" collapsed="false">
      <c r="A1297" s="21"/>
      <c r="B1297" s="22"/>
      <c r="C1297" s="21"/>
      <c r="D1297" s="24"/>
      <c r="E1297" s="22"/>
      <c r="F1297" s="29" t="str">
        <f aca="false">IF(C1297="","",IFERROR(INDEX(Produk!$J$2:$J$100,MATCH(C1297,Produk!$A$2:$A$100,0)),"PRODUK?"))</f>
        <v/>
      </c>
      <c r="G1297" s="29" t="str">
        <f aca="false">IF(A1297="","",IF(COUNTIF(Anggota!$A$2:$A$2001,A1297)=0,"TIDAK ADA","OK"))</f>
        <v/>
      </c>
    </row>
    <row r="1298" customFormat="false" ht="15" hidden="false" customHeight="false" outlineLevel="0" collapsed="false">
      <c r="A1298" s="21"/>
      <c r="B1298" s="22"/>
      <c r="C1298" s="21"/>
      <c r="D1298" s="24"/>
      <c r="E1298" s="22"/>
      <c r="F1298" s="29" t="str">
        <f aca="false">IF(C1298="","",IFERROR(INDEX(Produk!$J$2:$J$100,MATCH(C1298,Produk!$A$2:$A$100,0)),"PRODUK?"))</f>
        <v/>
      </c>
      <c r="G1298" s="29" t="str">
        <f aca="false">IF(A1298="","",IF(COUNTIF(Anggota!$A$2:$A$2001,A1298)=0,"TIDAK ADA","OK"))</f>
        <v/>
      </c>
    </row>
    <row r="1299" customFormat="false" ht="15" hidden="false" customHeight="false" outlineLevel="0" collapsed="false">
      <c r="A1299" s="21"/>
      <c r="B1299" s="22"/>
      <c r="C1299" s="21"/>
      <c r="D1299" s="24"/>
      <c r="E1299" s="22"/>
      <c r="F1299" s="29" t="str">
        <f aca="false">IF(C1299="","",IFERROR(INDEX(Produk!$J$2:$J$100,MATCH(C1299,Produk!$A$2:$A$100,0)),"PRODUK?"))</f>
        <v/>
      </c>
      <c r="G1299" s="29" t="str">
        <f aca="false">IF(A1299="","",IF(COUNTIF(Anggota!$A$2:$A$2001,A1299)=0,"TIDAK ADA","OK"))</f>
        <v/>
      </c>
    </row>
    <row r="1300" customFormat="false" ht="15" hidden="false" customHeight="false" outlineLevel="0" collapsed="false">
      <c r="A1300" s="21"/>
      <c r="B1300" s="22"/>
      <c r="C1300" s="21"/>
      <c r="D1300" s="24"/>
      <c r="E1300" s="22"/>
      <c r="F1300" s="29" t="str">
        <f aca="false">IF(C1300="","",IFERROR(INDEX(Produk!$J$2:$J$100,MATCH(C1300,Produk!$A$2:$A$100,0)),"PRODUK?"))</f>
        <v/>
      </c>
      <c r="G1300" s="29" t="str">
        <f aca="false">IF(A1300="","",IF(COUNTIF(Anggota!$A$2:$A$2001,A1300)=0,"TIDAK ADA","OK"))</f>
        <v/>
      </c>
    </row>
    <row r="1301" customFormat="false" ht="15" hidden="false" customHeight="false" outlineLevel="0" collapsed="false">
      <c r="A1301" s="21"/>
      <c r="B1301" s="22"/>
      <c r="C1301" s="21"/>
      <c r="D1301" s="24"/>
      <c r="E1301" s="22"/>
      <c r="F1301" s="29" t="str">
        <f aca="false">IF(C1301="","",IFERROR(INDEX(Produk!$J$2:$J$100,MATCH(C1301,Produk!$A$2:$A$100,0)),"PRODUK?"))</f>
        <v/>
      </c>
      <c r="G1301" s="29" t="str">
        <f aca="false">IF(A1301="","",IF(COUNTIF(Anggota!$A$2:$A$2001,A1301)=0,"TIDAK ADA","OK"))</f>
        <v/>
      </c>
    </row>
    <row r="1302" customFormat="false" ht="15" hidden="false" customHeight="false" outlineLevel="0" collapsed="false">
      <c r="A1302" s="21"/>
      <c r="B1302" s="22"/>
      <c r="C1302" s="21"/>
      <c r="D1302" s="24"/>
      <c r="E1302" s="22"/>
      <c r="F1302" s="29" t="str">
        <f aca="false">IF(C1302="","",IFERROR(INDEX(Produk!$J$2:$J$100,MATCH(C1302,Produk!$A$2:$A$100,0)),"PRODUK?"))</f>
        <v/>
      </c>
      <c r="G1302" s="29" t="str">
        <f aca="false">IF(A1302="","",IF(COUNTIF(Anggota!$A$2:$A$2001,A1302)=0,"TIDAK ADA","OK"))</f>
        <v/>
      </c>
    </row>
    <row r="1303" customFormat="false" ht="15" hidden="false" customHeight="false" outlineLevel="0" collapsed="false">
      <c r="A1303" s="21"/>
      <c r="B1303" s="22"/>
      <c r="C1303" s="21"/>
      <c r="D1303" s="24"/>
      <c r="E1303" s="22"/>
      <c r="F1303" s="29" t="str">
        <f aca="false">IF(C1303="","",IFERROR(INDEX(Produk!$J$2:$J$100,MATCH(C1303,Produk!$A$2:$A$100,0)),"PRODUK?"))</f>
        <v/>
      </c>
      <c r="G1303" s="29" t="str">
        <f aca="false">IF(A1303="","",IF(COUNTIF(Anggota!$A$2:$A$2001,A1303)=0,"TIDAK ADA","OK"))</f>
        <v/>
      </c>
    </row>
    <row r="1304" customFormat="false" ht="15" hidden="false" customHeight="false" outlineLevel="0" collapsed="false">
      <c r="A1304" s="21"/>
      <c r="B1304" s="22"/>
      <c r="C1304" s="21"/>
      <c r="D1304" s="24"/>
      <c r="E1304" s="22"/>
      <c r="F1304" s="29" t="str">
        <f aca="false">IF(C1304="","",IFERROR(INDEX(Produk!$J$2:$J$100,MATCH(C1304,Produk!$A$2:$A$100,0)),"PRODUK?"))</f>
        <v/>
      </c>
      <c r="G1304" s="29" t="str">
        <f aca="false">IF(A1304="","",IF(COUNTIF(Anggota!$A$2:$A$2001,A1304)=0,"TIDAK ADA","OK"))</f>
        <v/>
      </c>
    </row>
    <row r="1305" customFormat="false" ht="15" hidden="false" customHeight="false" outlineLevel="0" collapsed="false">
      <c r="A1305" s="21"/>
      <c r="B1305" s="22"/>
      <c r="C1305" s="21"/>
      <c r="D1305" s="24"/>
      <c r="E1305" s="22"/>
      <c r="F1305" s="29" t="str">
        <f aca="false">IF(C1305="","",IFERROR(INDEX(Produk!$J$2:$J$100,MATCH(C1305,Produk!$A$2:$A$100,0)),"PRODUK?"))</f>
        <v/>
      </c>
      <c r="G1305" s="29" t="str">
        <f aca="false">IF(A1305="","",IF(COUNTIF(Anggota!$A$2:$A$2001,A1305)=0,"TIDAK ADA","OK"))</f>
        <v/>
      </c>
    </row>
    <row r="1306" customFormat="false" ht="15" hidden="false" customHeight="false" outlineLevel="0" collapsed="false">
      <c r="A1306" s="21"/>
      <c r="B1306" s="22"/>
      <c r="C1306" s="21"/>
      <c r="D1306" s="24"/>
      <c r="E1306" s="22"/>
      <c r="F1306" s="29" t="str">
        <f aca="false">IF(C1306="","",IFERROR(INDEX(Produk!$J$2:$J$100,MATCH(C1306,Produk!$A$2:$A$100,0)),"PRODUK?"))</f>
        <v/>
      </c>
      <c r="G1306" s="29" t="str">
        <f aca="false">IF(A1306="","",IF(COUNTIF(Anggota!$A$2:$A$2001,A1306)=0,"TIDAK ADA","OK"))</f>
        <v/>
      </c>
    </row>
    <row r="1307" customFormat="false" ht="15" hidden="false" customHeight="false" outlineLevel="0" collapsed="false">
      <c r="A1307" s="21"/>
      <c r="B1307" s="22"/>
      <c r="C1307" s="21"/>
      <c r="D1307" s="24"/>
      <c r="E1307" s="22"/>
      <c r="F1307" s="29" t="str">
        <f aca="false">IF(C1307="","",IFERROR(INDEX(Produk!$J$2:$J$100,MATCH(C1307,Produk!$A$2:$A$100,0)),"PRODUK?"))</f>
        <v/>
      </c>
      <c r="G1307" s="29" t="str">
        <f aca="false">IF(A1307="","",IF(COUNTIF(Anggota!$A$2:$A$2001,A1307)=0,"TIDAK ADA","OK"))</f>
        <v/>
      </c>
    </row>
    <row r="1308" customFormat="false" ht="15" hidden="false" customHeight="false" outlineLevel="0" collapsed="false">
      <c r="A1308" s="21"/>
      <c r="B1308" s="22"/>
      <c r="C1308" s="21"/>
      <c r="D1308" s="24"/>
      <c r="E1308" s="22"/>
      <c r="F1308" s="29" t="str">
        <f aca="false">IF(C1308="","",IFERROR(INDEX(Produk!$J$2:$J$100,MATCH(C1308,Produk!$A$2:$A$100,0)),"PRODUK?"))</f>
        <v/>
      </c>
      <c r="G1308" s="29" t="str">
        <f aca="false">IF(A1308="","",IF(COUNTIF(Anggota!$A$2:$A$2001,A1308)=0,"TIDAK ADA","OK"))</f>
        <v/>
      </c>
    </row>
    <row r="1309" customFormat="false" ht="15" hidden="false" customHeight="false" outlineLevel="0" collapsed="false">
      <c r="A1309" s="21"/>
      <c r="B1309" s="22"/>
      <c r="C1309" s="21"/>
      <c r="D1309" s="24"/>
      <c r="E1309" s="22"/>
      <c r="F1309" s="29" t="str">
        <f aca="false">IF(C1309="","",IFERROR(INDEX(Produk!$J$2:$J$100,MATCH(C1309,Produk!$A$2:$A$100,0)),"PRODUK?"))</f>
        <v/>
      </c>
      <c r="G1309" s="29" t="str">
        <f aca="false">IF(A1309="","",IF(COUNTIF(Anggota!$A$2:$A$2001,A1309)=0,"TIDAK ADA","OK"))</f>
        <v/>
      </c>
    </row>
    <row r="1310" customFormat="false" ht="15" hidden="false" customHeight="false" outlineLevel="0" collapsed="false">
      <c r="A1310" s="21"/>
      <c r="B1310" s="22"/>
      <c r="C1310" s="21"/>
      <c r="D1310" s="24"/>
      <c r="E1310" s="22"/>
      <c r="F1310" s="29" t="str">
        <f aca="false">IF(C1310="","",IFERROR(INDEX(Produk!$J$2:$J$100,MATCH(C1310,Produk!$A$2:$A$100,0)),"PRODUK?"))</f>
        <v/>
      </c>
      <c r="G1310" s="29" t="str">
        <f aca="false">IF(A1310="","",IF(COUNTIF(Anggota!$A$2:$A$2001,A1310)=0,"TIDAK ADA","OK"))</f>
        <v/>
      </c>
    </row>
    <row r="1311" customFormat="false" ht="15" hidden="false" customHeight="false" outlineLevel="0" collapsed="false">
      <c r="A1311" s="21"/>
      <c r="B1311" s="22"/>
      <c r="C1311" s="21"/>
      <c r="D1311" s="24"/>
      <c r="E1311" s="22"/>
      <c r="F1311" s="29" t="str">
        <f aca="false">IF(C1311="","",IFERROR(INDEX(Produk!$J$2:$J$100,MATCH(C1311,Produk!$A$2:$A$100,0)),"PRODUK?"))</f>
        <v/>
      </c>
      <c r="G1311" s="29" t="str">
        <f aca="false">IF(A1311="","",IF(COUNTIF(Anggota!$A$2:$A$2001,A1311)=0,"TIDAK ADA","OK"))</f>
        <v/>
      </c>
    </row>
    <row r="1312" customFormat="false" ht="15" hidden="false" customHeight="false" outlineLevel="0" collapsed="false">
      <c r="A1312" s="21"/>
      <c r="B1312" s="22"/>
      <c r="C1312" s="21"/>
      <c r="D1312" s="24"/>
      <c r="E1312" s="22"/>
      <c r="F1312" s="29" t="str">
        <f aca="false">IF(C1312="","",IFERROR(INDEX(Produk!$J$2:$J$100,MATCH(C1312,Produk!$A$2:$A$100,0)),"PRODUK?"))</f>
        <v/>
      </c>
      <c r="G1312" s="29" t="str">
        <f aca="false">IF(A1312="","",IF(COUNTIF(Anggota!$A$2:$A$2001,A1312)=0,"TIDAK ADA","OK"))</f>
        <v/>
      </c>
    </row>
    <row r="1313" customFormat="false" ht="15" hidden="false" customHeight="false" outlineLevel="0" collapsed="false">
      <c r="A1313" s="21"/>
      <c r="B1313" s="22"/>
      <c r="C1313" s="21"/>
      <c r="D1313" s="24"/>
      <c r="E1313" s="22"/>
      <c r="F1313" s="29" t="str">
        <f aca="false">IF(C1313="","",IFERROR(INDEX(Produk!$J$2:$J$100,MATCH(C1313,Produk!$A$2:$A$100,0)),"PRODUK?"))</f>
        <v/>
      </c>
      <c r="G1313" s="29" t="str">
        <f aca="false">IF(A1313="","",IF(COUNTIF(Anggota!$A$2:$A$2001,A1313)=0,"TIDAK ADA","OK"))</f>
        <v/>
      </c>
    </row>
    <row r="1314" customFormat="false" ht="15" hidden="false" customHeight="false" outlineLevel="0" collapsed="false">
      <c r="A1314" s="21"/>
      <c r="B1314" s="22"/>
      <c r="C1314" s="21"/>
      <c r="D1314" s="24"/>
      <c r="E1314" s="22"/>
      <c r="F1314" s="29" t="str">
        <f aca="false">IF(C1314="","",IFERROR(INDEX(Produk!$J$2:$J$100,MATCH(C1314,Produk!$A$2:$A$100,0)),"PRODUK?"))</f>
        <v/>
      </c>
      <c r="G1314" s="29" t="str">
        <f aca="false">IF(A1314="","",IF(COUNTIF(Anggota!$A$2:$A$2001,A1314)=0,"TIDAK ADA","OK"))</f>
        <v/>
      </c>
    </row>
    <row r="1315" customFormat="false" ht="15" hidden="false" customHeight="false" outlineLevel="0" collapsed="false">
      <c r="A1315" s="21"/>
      <c r="B1315" s="22"/>
      <c r="C1315" s="21"/>
      <c r="D1315" s="24"/>
      <c r="E1315" s="22"/>
      <c r="F1315" s="29" t="str">
        <f aca="false">IF(C1315="","",IFERROR(INDEX(Produk!$J$2:$J$100,MATCH(C1315,Produk!$A$2:$A$100,0)),"PRODUK?"))</f>
        <v/>
      </c>
      <c r="G1315" s="29" t="str">
        <f aca="false">IF(A1315="","",IF(COUNTIF(Anggota!$A$2:$A$2001,A1315)=0,"TIDAK ADA","OK"))</f>
        <v/>
      </c>
    </row>
    <row r="1316" customFormat="false" ht="15" hidden="false" customHeight="false" outlineLevel="0" collapsed="false">
      <c r="A1316" s="21"/>
      <c r="B1316" s="22"/>
      <c r="C1316" s="21"/>
      <c r="D1316" s="24"/>
      <c r="E1316" s="22"/>
      <c r="F1316" s="29" t="str">
        <f aca="false">IF(C1316="","",IFERROR(INDEX(Produk!$J$2:$J$100,MATCH(C1316,Produk!$A$2:$A$100,0)),"PRODUK?"))</f>
        <v/>
      </c>
      <c r="G1316" s="29" t="str">
        <f aca="false">IF(A1316="","",IF(COUNTIF(Anggota!$A$2:$A$2001,A1316)=0,"TIDAK ADA","OK"))</f>
        <v/>
      </c>
    </row>
    <row r="1317" customFormat="false" ht="15" hidden="false" customHeight="false" outlineLevel="0" collapsed="false">
      <c r="A1317" s="21"/>
      <c r="B1317" s="22"/>
      <c r="C1317" s="21"/>
      <c r="D1317" s="24"/>
      <c r="E1317" s="22"/>
      <c r="F1317" s="29" t="str">
        <f aca="false">IF(C1317="","",IFERROR(INDEX(Produk!$J$2:$J$100,MATCH(C1317,Produk!$A$2:$A$100,0)),"PRODUK?"))</f>
        <v/>
      </c>
      <c r="G1317" s="29" t="str">
        <f aca="false">IF(A1317="","",IF(COUNTIF(Anggota!$A$2:$A$2001,A1317)=0,"TIDAK ADA","OK"))</f>
        <v/>
      </c>
    </row>
    <row r="1318" customFormat="false" ht="15" hidden="false" customHeight="false" outlineLevel="0" collapsed="false">
      <c r="A1318" s="21"/>
      <c r="B1318" s="22"/>
      <c r="C1318" s="21"/>
      <c r="D1318" s="24"/>
      <c r="E1318" s="22"/>
      <c r="F1318" s="29" t="str">
        <f aca="false">IF(C1318="","",IFERROR(INDEX(Produk!$J$2:$J$100,MATCH(C1318,Produk!$A$2:$A$100,0)),"PRODUK?"))</f>
        <v/>
      </c>
      <c r="G1318" s="29" t="str">
        <f aca="false">IF(A1318="","",IF(COUNTIF(Anggota!$A$2:$A$2001,A1318)=0,"TIDAK ADA","OK"))</f>
        <v/>
      </c>
    </row>
    <row r="1319" customFormat="false" ht="15" hidden="false" customHeight="false" outlineLevel="0" collapsed="false">
      <c r="A1319" s="21"/>
      <c r="B1319" s="22"/>
      <c r="C1319" s="21"/>
      <c r="D1319" s="24"/>
      <c r="E1319" s="22"/>
      <c r="F1319" s="29" t="str">
        <f aca="false">IF(C1319="","",IFERROR(INDEX(Produk!$J$2:$J$100,MATCH(C1319,Produk!$A$2:$A$100,0)),"PRODUK?"))</f>
        <v/>
      </c>
      <c r="G1319" s="29" t="str">
        <f aca="false">IF(A1319="","",IF(COUNTIF(Anggota!$A$2:$A$2001,A1319)=0,"TIDAK ADA","OK"))</f>
        <v/>
      </c>
    </row>
    <row r="1320" customFormat="false" ht="15" hidden="false" customHeight="false" outlineLevel="0" collapsed="false">
      <c r="A1320" s="21"/>
      <c r="B1320" s="22"/>
      <c r="C1320" s="21"/>
      <c r="D1320" s="24"/>
      <c r="E1320" s="22"/>
      <c r="F1320" s="29" t="str">
        <f aca="false">IF(C1320="","",IFERROR(INDEX(Produk!$J$2:$J$100,MATCH(C1320,Produk!$A$2:$A$100,0)),"PRODUK?"))</f>
        <v/>
      </c>
      <c r="G1320" s="29" t="str">
        <f aca="false">IF(A1320="","",IF(COUNTIF(Anggota!$A$2:$A$2001,A1320)=0,"TIDAK ADA","OK"))</f>
        <v/>
      </c>
    </row>
    <row r="1321" customFormat="false" ht="15" hidden="false" customHeight="false" outlineLevel="0" collapsed="false">
      <c r="A1321" s="21"/>
      <c r="B1321" s="22"/>
      <c r="C1321" s="21"/>
      <c r="D1321" s="24"/>
      <c r="E1321" s="22"/>
      <c r="F1321" s="29" t="str">
        <f aca="false">IF(C1321="","",IFERROR(INDEX(Produk!$J$2:$J$100,MATCH(C1321,Produk!$A$2:$A$100,0)),"PRODUK?"))</f>
        <v/>
      </c>
      <c r="G1321" s="29" t="str">
        <f aca="false">IF(A1321="","",IF(COUNTIF(Anggota!$A$2:$A$2001,A1321)=0,"TIDAK ADA","OK"))</f>
        <v/>
      </c>
    </row>
    <row r="1322" customFormat="false" ht="15" hidden="false" customHeight="false" outlineLevel="0" collapsed="false">
      <c r="A1322" s="21"/>
      <c r="B1322" s="22"/>
      <c r="C1322" s="21"/>
      <c r="D1322" s="24"/>
      <c r="E1322" s="22"/>
      <c r="F1322" s="29" t="str">
        <f aca="false">IF(C1322="","",IFERROR(INDEX(Produk!$J$2:$J$100,MATCH(C1322,Produk!$A$2:$A$100,0)),"PRODUK?"))</f>
        <v/>
      </c>
      <c r="G1322" s="29" t="str">
        <f aca="false">IF(A1322="","",IF(COUNTIF(Anggota!$A$2:$A$2001,A1322)=0,"TIDAK ADA","OK"))</f>
        <v/>
      </c>
    </row>
    <row r="1323" customFormat="false" ht="15" hidden="false" customHeight="false" outlineLevel="0" collapsed="false">
      <c r="A1323" s="21"/>
      <c r="B1323" s="22"/>
      <c r="C1323" s="21"/>
      <c r="D1323" s="24"/>
      <c r="E1323" s="22"/>
      <c r="F1323" s="29" t="str">
        <f aca="false">IF(C1323="","",IFERROR(INDEX(Produk!$J$2:$J$100,MATCH(C1323,Produk!$A$2:$A$100,0)),"PRODUK?"))</f>
        <v/>
      </c>
      <c r="G1323" s="29" t="str">
        <f aca="false">IF(A1323="","",IF(COUNTIF(Anggota!$A$2:$A$2001,A1323)=0,"TIDAK ADA","OK"))</f>
        <v/>
      </c>
    </row>
    <row r="1324" customFormat="false" ht="15" hidden="false" customHeight="false" outlineLevel="0" collapsed="false">
      <c r="A1324" s="21"/>
      <c r="B1324" s="22"/>
      <c r="C1324" s="21"/>
      <c r="D1324" s="24"/>
      <c r="E1324" s="22"/>
      <c r="F1324" s="29" t="str">
        <f aca="false">IF(C1324="","",IFERROR(INDEX(Produk!$J$2:$J$100,MATCH(C1324,Produk!$A$2:$A$100,0)),"PRODUK?"))</f>
        <v/>
      </c>
      <c r="G1324" s="29" t="str">
        <f aca="false">IF(A1324="","",IF(COUNTIF(Anggota!$A$2:$A$2001,A1324)=0,"TIDAK ADA","OK"))</f>
        <v/>
      </c>
    </row>
    <row r="1325" customFormat="false" ht="15" hidden="false" customHeight="false" outlineLevel="0" collapsed="false">
      <c r="A1325" s="21"/>
      <c r="B1325" s="22"/>
      <c r="C1325" s="21"/>
      <c r="D1325" s="24"/>
      <c r="E1325" s="22"/>
      <c r="F1325" s="29" t="str">
        <f aca="false">IF(C1325="","",IFERROR(INDEX(Produk!$J$2:$J$100,MATCH(C1325,Produk!$A$2:$A$100,0)),"PRODUK?"))</f>
        <v/>
      </c>
      <c r="G1325" s="29" t="str">
        <f aca="false">IF(A1325="","",IF(COUNTIF(Anggota!$A$2:$A$2001,A1325)=0,"TIDAK ADA","OK"))</f>
        <v/>
      </c>
    </row>
    <row r="1326" customFormat="false" ht="15" hidden="false" customHeight="false" outlineLevel="0" collapsed="false">
      <c r="A1326" s="21"/>
      <c r="B1326" s="22"/>
      <c r="C1326" s="21"/>
      <c r="D1326" s="24"/>
      <c r="E1326" s="22"/>
      <c r="F1326" s="29" t="str">
        <f aca="false">IF(C1326="","",IFERROR(INDEX(Produk!$J$2:$J$100,MATCH(C1326,Produk!$A$2:$A$100,0)),"PRODUK?"))</f>
        <v/>
      </c>
      <c r="G1326" s="29" t="str">
        <f aca="false">IF(A1326="","",IF(COUNTIF(Anggota!$A$2:$A$2001,A1326)=0,"TIDAK ADA","OK"))</f>
        <v/>
      </c>
    </row>
    <row r="1327" customFormat="false" ht="15" hidden="false" customHeight="false" outlineLevel="0" collapsed="false">
      <c r="A1327" s="21"/>
      <c r="B1327" s="22"/>
      <c r="C1327" s="21"/>
      <c r="D1327" s="24"/>
      <c r="E1327" s="22"/>
      <c r="F1327" s="29" t="str">
        <f aca="false">IF(C1327="","",IFERROR(INDEX(Produk!$J$2:$J$100,MATCH(C1327,Produk!$A$2:$A$100,0)),"PRODUK?"))</f>
        <v/>
      </c>
      <c r="G1327" s="29" t="str">
        <f aca="false">IF(A1327="","",IF(COUNTIF(Anggota!$A$2:$A$2001,A1327)=0,"TIDAK ADA","OK"))</f>
        <v/>
      </c>
    </row>
    <row r="1328" customFormat="false" ht="15" hidden="false" customHeight="false" outlineLevel="0" collapsed="false">
      <c r="A1328" s="21"/>
      <c r="B1328" s="22"/>
      <c r="C1328" s="21"/>
      <c r="D1328" s="24"/>
      <c r="E1328" s="22"/>
      <c r="F1328" s="29" t="str">
        <f aca="false">IF(C1328="","",IFERROR(INDEX(Produk!$J$2:$J$100,MATCH(C1328,Produk!$A$2:$A$100,0)),"PRODUK?"))</f>
        <v/>
      </c>
      <c r="G1328" s="29" t="str">
        <f aca="false">IF(A1328="","",IF(COUNTIF(Anggota!$A$2:$A$2001,A1328)=0,"TIDAK ADA","OK"))</f>
        <v/>
      </c>
    </row>
    <row r="1329" customFormat="false" ht="15" hidden="false" customHeight="false" outlineLevel="0" collapsed="false">
      <c r="A1329" s="21"/>
      <c r="B1329" s="22"/>
      <c r="C1329" s="21"/>
      <c r="D1329" s="24"/>
      <c r="E1329" s="22"/>
      <c r="F1329" s="29" t="str">
        <f aca="false">IF(C1329="","",IFERROR(INDEX(Produk!$J$2:$J$100,MATCH(C1329,Produk!$A$2:$A$100,0)),"PRODUK?"))</f>
        <v/>
      </c>
      <c r="G1329" s="29" t="str">
        <f aca="false">IF(A1329="","",IF(COUNTIF(Anggota!$A$2:$A$2001,A1329)=0,"TIDAK ADA","OK"))</f>
        <v/>
      </c>
    </row>
    <row r="1330" customFormat="false" ht="15" hidden="false" customHeight="false" outlineLevel="0" collapsed="false">
      <c r="A1330" s="21"/>
      <c r="B1330" s="22"/>
      <c r="C1330" s="21"/>
      <c r="D1330" s="24"/>
      <c r="E1330" s="22"/>
      <c r="F1330" s="29" t="str">
        <f aca="false">IF(C1330="","",IFERROR(INDEX(Produk!$J$2:$J$100,MATCH(C1330,Produk!$A$2:$A$100,0)),"PRODUK?"))</f>
        <v/>
      </c>
      <c r="G1330" s="29" t="str">
        <f aca="false">IF(A1330="","",IF(COUNTIF(Anggota!$A$2:$A$2001,A1330)=0,"TIDAK ADA","OK"))</f>
        <v/>
      </c>
    </row>
    <row r="1331" customFormat="false" ht="15" hidden="false" customHeight="false" outlineLevel="0" collapsed="false">
      <c r="A1331" s="21"/>
      <c r="B1331" s="22"/>
      <c r="C1331" s="21"/>
      <c r="D1331" s="24"/>
      <c r="E1331" s="22"/>
      <c r="F1331" s="29" t="str">
        <f aca="false">IF(C1331="","",IFERROR(INDEX(Produk!$J$2:$J$100,MATCH(C1331,Produk!$A$2:$A$100,0)),"PRODUK?"))</f>
        <v/>
      </c>
      <c r="G1331" s="29" t="str">
        <f aca="false">IF(A1331="","",IF(COUNTIF(Anggota!$A$2:$A$2001,A1331)=0,"TIDAK ADA","OK"))</f>
        <v/>
      </c>
    </row>
    <row r="1332" customFormat="false" ht="15" hidden="false" customHeight="false" outlineLevel="0" collapsed="false">
      <c r="A1332" s="21"/>
      <c r="B1332" s="22"/>
      <c r="C1332" s="21"/>
      <c r="D1332" s="24"/>
      <c r="E1332" s="22"/>
      <c r="F1332" s="29" t="str">
        <f aca="false">IF(C1332="","",IFERROR(INDEX(Produk!$J$2:$J$100,MATCH(C1332,Produk!$A$2:$A$100,0)),"PRODUK?"))</f>
        <v/>
      </c>
      <c r="G1332" s="29" t="str">
        <f aca="false">IF(A1332="","",IF(COUNTIF(Anggota!$A$2:$A$2001,A1332)=0,"TIDAK ADA","OK"))</f>
        <v/>
      </c>
    </row>
    <row r="1333" customFormat="false" ht="15" hidden="false" customHeight="false" outlineLevel="0" collapsed="false">
      <c r="A1333" s="21"/>
      <c r="B1333" s="22"/>
      <c r="C1333" s="21"/>
      <c r="D1333" s="24"/>
      <c r="E1333" s="22"/>
      <c r="F1333" s="29" t="str">
        <f aca="false">IF(C1333="","",IFERROR(INDEX(Produk!$J$2:$J$100,MATCH(C1333,Produk!$A$2:$A$100,0)),"PRODUK?"))</f>
        <v/>
      </c>
      <c r="G1333" s="29" t="str">
        <f aca="false">IF(A1333="","",IF(COUNTIF(Anggota!$A$2:$A$2001,A1333)=0,"TIDAK ADA","OK"))</f>
        <v/>
      </c>
    </row>
    <row r="1334" customFormat="false" ht="15" hidden="false" customHeight="false" outlineLevel="0" collapsed="false">
      <c r="A1334" s="21"/>
      <c r="B1334" s="22"/>
      <c r="C1334" s="21"/>
      <c r="D1334" s="24"/>
      <c r="E1334" s="22"/>
      <c r="F1334" s="29" t="str">
        <f aca="false">IF(C1334="","",IFERROR(INDEX(Produk!$J$2:$J$100,MATCH(C1334,Produk!$A$2:$A$100,0)),"PRODUK?"))</f>
        <v/>
      </c>
      <c r="G1334" s="29" t="str">
        <f aca="false">IF(A1334="","",IF(COUNTIF(Anggota!$A$2:$A$2001,A1334)=0,"TIDAK ADA","OK"))</f>
        <v/>
      </c>
    </row>
    <row r="1335" customFormat="false" ht="15" hidden="false" customHeight="false" outlineLevel="0" collapsed="false">
      <c r="A1335" s="21"/>
      <c r="B1335" s="22"/>
      <c r="C1335" s="21"/>
      <c r="D1335" s="24"/>
      <c r="E1335" s="22"/>
      <c r="F1335" s="29" t="str">
        <f aca="false">IF(C1335="","",IFERROR(INDEX(Produk!$J$2:$J$100,MATCH(C1335,Produk!$A$2:$A$100,0)),"PRODUK?"))</f>
        <v/>
      </c>
      <c r="G1335" s="29" t="str">
        <f aca="false">IF(A1335="","",IF(COUNTIF(Anggota!$A$2:$A$2001,A1335)=0,"TIDAK ADA","OK"))</f>
        <v/>
      </c>
    </row>
    <row r="1336" customFormat="false" ht="15" hidden="false" customHeight="false" outlineLevel="0" collapsed="false">
      <c r="A1336" s="21"/>
      <c r="B1336" s="22"/>
      <c r="C1336" s="21"/>
      <c r="D1336" s="24"/>
      <c r="E1336" s="22"/>
      <c r="F1336" s="29" t="str">
        <f aca="false">IF(C1336="","",IFERROR(INDEX(Produk!$J$2:$J$100,MATCH(C1336,Produk!$A$2:$A$100,0)),"PRODUK?"))</f>
        <v/>
      </c>
      <c r="G1336" s="29" t="str">
        <f aca="false">IF(A1336="","",IF(COUNTIF(Anggota!$A$2:$A$2001,A1336)=0,"TIDAK ADA","OK"))</f>
        <v/>
      </c>
    </row>
    <row r="1337" customFormat="false" ht="15" hidden="false" customHeight="false" outlineLevel="0" collapsed="false">
      <c r="A1337" s="21"/>
      <c r="B1337" s="22"/>
      <c r="C1337" s="21"/>
      <c r="D1337" s="24"/>
      <c r="E1337" s="22"/>
      <c r="F1337" s="29" t="str">
        <f aca="false">IF(C1337="","",IFERROR(INDEX(Produk!$J$2:$J$100,MATCH(C1337,Produk!$A$2:$A$100,0)),"PRODUK?"))</f>
        <v/>
      </c>
      <c r="G1337" s="29" t="str">
        <f aca="false">IF(A1337="","",IF(COUNTIF(Anggota!$A$2:$A$2001,A1337)=0,"TIDAK ADA","OK"))</f>
        <v/>
      </c>
    </row>
    <row r="1338" customFormat="false" ht="15" hidden="false" customHeight="false" outlineLevel="0" collapsed="false">
      <c r="A1338" s="21"/>
      <c r="B1338" s="22"/>
      <c r="C1338" s="21"/>
      <c r="D1338" s="24"/>
      <c r="E1338" s="22"/>
      <c r="F1338" s="29" t="str">
        <f aca="false">IF(C1338="","",IFERROR(INDEX(Produk!$J$2:$J$100,MATCH(C1338,Produk!$A$2:$A$100,0)),"PRODUK?"))</f>
        <v/>
      </c>
      <c r="G1338" s="29" t="str">
        <f aca="false">IF(A1338="","",IF(COUNTIF(Anggota!$A$2:$A$2001,A1338)=0,"TIDAK ADA","OK"))</f>
        <v/>
      </c>
    </row>
    <row r="1339" customFormat="false" ht="15" hidden="false" customHeight="false" outlineLevel="0" collapsed="false">
      <c r="A1339" s="21"/>
      <c r="B1339" s="22"/>
      <c r="C1339" s="21"/>
      <c r="D1339" s="24"/>
      <c r="E1339" s="22"/>
      <c r="F1339" s="29" t="str">
        <f aca="false">IF(C1339="","",IFERROR(INDEX(Produk!$J$2:$J$100,MATCH(C1339,Produk!$A$2:$A$100,0)),"PRODUK?"))</f>
        <v/>
      </c>
      <c r="G1339" s="29" t="str">
        <f aca="false">IF(A1339="","",IF(COUNTIF(Anggota!$A$2:$A$2001,A1339)=0,"TIDAK ADA","OK"))</f>
        <v/>
      </c>
    </row>
    <row r="1340" customFormat="false" ht="15" hidden="false" customHeight="false" outlineLevel="0" collapsed="false">
      <c r="A1340" s="21"/>
      <c r="B1340" s="22"/>
      <c r="C1340" s="21"/>
      <c r="D1340" s="24"/>
      <c r="E1340" s="22"/>
      <c r="F1340" s="29" t="str">
        <f aca="false">IF(C1340="","",IFERROR(INDEX(Produk!$J$2:$J$100,MATCH(C1340,Produk!$A$2:$A$100,0)),"PRODUK?"))</f>
        <v/>
      </c>
      <c r="G1340" s="29" t="str">
        <f aca="false">IF(A1340="","",IF(COUNTIF(Anggota!$A$2:$A$2001,A1340)=0,"TIDAK ADA","OK"))</f>
        <v/>
      </c>
    </row>
    <row r="1341" customFormat="false" ht="15" hidden="false" customHeight="false" outlineLevel="0" collapsed="false">
      <c r="A1341" s="21"/>
      <c r="B1341" s="22"/>
      <c r="C1341" s="21"/>
      <c r="D1341" s="24"/>
      <c r="E1341" s="22"/>
      <c r="F1341" s="29" t="str">
        <f aca="false">IF(C1341="","",IFERROR(INDEX(Produk!$J$2:$J$100,MATCH(C1341,Produk!$A$2:$A$100,0)),"PRODUK?"))</f>
        <v/>
      </c>
      <c r="G1341" s="29" t="str">
        <f aca="false">IF(A1341="","",IF(COUNTIF(Anggota!$A$2:$A$2001,A1341)=0,"TIDAK ADA","OK"))</f>
        <v/>
      </c>
    </row>
    <row r="1342" customFormat="false" ht="15" hidden="false" customHeight="false" outlineLevel="0" collapsed="false">
      <c r="A1342" s="21"/>
      <c r="B1342" s="22"/>
      <c r="C1342" s="21"/>
      <c r="D1342" s="24"/>
      <c r="E1342" s="22"/>
      <c r="F1342" s="29" t="str">
        <f aca="false">IF(C1342="","",IFERROR(INDEX(Produk!$J$2:$J$100,MATCH(C1342,Produk!$A$2:$A$100,0)),"PRODUK?"))</f>
        <v/>
      </c>
      <c r="G1342" s="29" t="str">
        <f aca="false">IF(A1342="","",IF(COUNTIF(Anggota!$A$2:$A$2001,A1342)=0,"TIDAK ADA","OK"))</f>
        <v/>
      </c>
    </row>
    <row r="1343" customFormat="false" ht="15" hidden="false" customHeight="false" outlineLevel="0" collapsed="false">
      <c r="A1343" s="21"/>
      <c r="B1343" s="22"/>
      <c r="C1343" s="21"/>
      <c r="D1343" s="24"/>
      <c r="E1343" s="22"/>
      <c r="F1343" s="29" t="str">
        <f aca="false">IF(C1343="","",IFERROR(INDEX(Produk!$J$2:$J$100,MATCH(C1343,Produk!$A$2:$A$100,0)),"PRODUK?"))</f>
        <v/>
      </c>
      <c r="G1343" s="29" t="str">
        <f aca="false">IF(A1343="","",IF(COUNTIF(Anggota!$A$2:$A$2001,A1343)=0,"TIDAK ADA","OK"))</f>
        <v/>
      </c>
    </row>
    <row r="1344" customFormat="false" ht="15" hidden="false" customHeight="false" outlineLevel="0" collapsed="false">
      <c r="A1344" s="21"/>
      <c r="B1344" s="22"/>
      <c r="C1344" s="21"/>
      <c r="D1344" s="24"/>
      <c r="E1344" s="22"/>
      <c r="F1344" s="29" t="str">
        <f aca="false">IF(C1344="","",IFERROR(INDEX(Produk!$J$2:$J$100,MATCH(C1344,Produk!$A$2:$A$100,0)),"PRODUK?"))</f>
        <v/>
      </c>
      <c r="G1344" s="29" t="str">
        <f aca="false">IF(A1344="","",IF(COUNTIF(Anggota!$A$2:$A$2001,A1344)=0,"TIDAK ADA","OK"))</f>
        <v/>
      </c>
    </row>
    <row r="1345" customFormat="false" ht="15" hidden="false" customHeight="false" outlineLevel="0" collapsed="false">
      <c r="A1345" s="21"/>
      <c r="B1345" s="22"/>
      <c r="C1345" s="21"/>
      <c r="D1345" s="24"/>
      <c r="E1345" s="22"/>
      <c r="F1345" s="29" t="str">
        <f aca="false">IF(C1345="","",IFERROR(INDEX(Produk!$J$2:$J$100,MATCH(C1345,Produk!$A$2:$A$100,0)),"PRODUK?"))</f>
        <v/>
      </c>
      <c r="G1345" s="29" t="str">
        <f aca="false">IF(A1345="","",IF(COUNTIF(Anggota!$A$2:$A$2001,A1345)=0,"TIDAK ADA","OK"))</f>
        <v/>
      </c>
    </row>
    <row r="1346" customFormat="false" ht="15" hidden="false" customHeight="false" outlineLevel="0" collapsed="false">
      <c r="A1346" s="21"/>
      <c r="B1346" s="22"/>
      <c r="C1346" s="21"/>
      <c r="D1346" s="24"/>
      <c r="E1346" s="22"/>
      <c r="F1346" s="29" t="str">
        <f aca="false">IF(C1346="","",IFERROR(INDEX(Produk!$J$2:$J$100,MATCH(C1346,Produk!$A$2:$A$100,0)),"PRODUK?"))</f>
        <v/>
      </c>
      <c r="G1346" s="29" t="str">
        <f aca="false">IF(A1346="","",IF(COUNTIF(Anggota!$A$2:$A$2001,A1346)=0,"TIDAK ADA","OK"))</f>
        <v/>
      </c>
    </row>
    <row r="1347" customFormat="false" ht="15" hidden="false" customHeight="false" outlineLevel="0" collapsed="false">
      <c r="A1347" s="21"/>
      <c r="B1347" s="22"/>
      <c r="C1347" s="21"/>
      <c r="D1347" s="24"/>
      <c r="E1347" s="22"/>
      <c r="F1347" s="29" t="str">
        <f aca="false">IF(C1347="","",IFERROR(INDEX(Produk!$J$2:$J$100,MATCH(C1347,Produk!$A$2:$A$100,0)),"PRODUK?"))</f>
        <v/>
      </c>
      <c r="G1347" s="29" t="str">
        <f aca="false">IF(A1347="","",IF(COUNTIF(Anggota!$A$2:$A$2001,A1347)=0,"TIDAK ADA","OK"))</f>
        <v/>
      </c>
    </row>
    <row r="1348" customFormat="false" ht="15" hidden="false" customHeight="false" outlineLevel="0" collapsed="false">
      <c r="A1348" s="21"/>
      <c r="B1348" s="22"/>
      <c r="C1348" s="21"/>
      <c r="D1348" s="24"/>
      <c r="E1348" s="22"/>
      <c r="F1348" s="29" t="str">
        <f aca="false">IF(C1348="","",IFERROR(INDEX(Produk!$J$2:$J$100,MATCH(C1348,Produk!$A$2:$A$100,0)),"PRODUK?"))</f>
        <v/>
      </c>
      <c r="G1348" s="29" t="str">
        <f aca="false">IF(A1348="","",IF(COUNTIF(Anggota!$A$2:$A$2001,A1348)=0,"TIDAK ADA","OK"))</f>
        <v/>
      </c>
    </row>
    <row r="1349" customFormat="false" ht="15" hidden="false" customHeight="false" outlineLevel="0" collapsed="false">
      <c r="A1349" s="21"/>
      <c r="B1349" s="22"/>
      <c r="C1349" s="21"/>
      <c r="D1349" s="24"/>
      <c r="E1349" s="22"/>
      <c r="F1349" s="29" t="str">
        <f aca="false">IF(C1349="","",IFERROR(INDEX(Produk!$J$2:$J$100,MATCH(C1349,Produk!$A$2:$A$100,0)),"PRODUK?"))</f>
        <v/>
      </c>
      <c r="G1349" s="29" t="str">
        <f aca="false">IF(A1349="","",IF(COUNTIF(Anggota!$A$2:$A$2001,A1349)=0,"TIDAK ADA","OK"))</f>
        <v/>
      </c>
    </row>
    <row r="1350" customFormat="false" ht="15" hidden="false" customHeight="false" outlineLevel="0" collapsed="false">
      <c r="A1350" s="21"/>
      <c r="B1350" s="22"/>
      <c r="C1350" s="21"/>
      <c r="D1350" s="24"/>
      <c r="E1350" s="22"/>
      <c r="F1350" s="29" t="str">
        <f aca="false">IF(C1350="","",IFERROR(INDEX(Produk!$J$2:$J$100,MATCH(C1350,Produk!$A$2:$A$100,0)),"PRODUK?"))</f>
        <v/>
      </c>
      <c r="G1350" s="29" t="str">
        <f aca="false">IF(A1350="","",IF(COUNTIF(Anggota!$A$2:$A$2001,A1350)=0,"TIDAK ADA","OK"))</f>
        <v/>
      </c>
    </row>
    <row r="1351" customFormat="false" ht="15" hidden="false" customHeight="false" outlineLevel="0" collapsed="false">
      <c r="A1351" s="21"/>
      <c r="B1351" s="22"/>
      <c r="C1351" s="21"/>
      <c r="D1351" s="24"/>
      <c r="E1351" s="22"/>
      <c r="F1351" s="29" t="str">
        <f aca="false">IF(C1351="","",IFERROR(INDEX(Produk!$J$2:$J$100,MATCH(C1351,Produk!$A$2:$A$100,0)),"PRODUK?"))</f>
        <v/>
      </c>
      <c r="G1351" s="29" t="str">
        <f aca="false">IF(A1351="","",IF(COUNTIF(Anggota!$A$2:$A$2001,A1351)=0,"TIDAK ADA","OK"))</f>
        <v/>
      </c>
    </row>
    <row r="1352" customFormat="false" ht="15" hidden="false" customHeight="false" outlineLevel="0" collapsed="false">
      <c r="A1352" s="21"/>
      <c r="B1352" s="22"/>
      <c r="C1352" s="21"/>
      <c r="D1352" s="24"/>
      <c r="E1352" s="22"/>
      <c r="F1352" s="29" t="str">
        <f aca="false">IF(C1352="","",IFERROR(INDEX(Produk!$J$2:$J$100,MATCH(C1352,Produk!$A$2:$A$100,0)),"PRODUK?"))</f>
        <v/>
      </c>
      <c r="G1352" s="29" t="str">
        <f aca="false">IF(A1352="","",IF(COUNTIF(Anggota!$A$2:$A$2001,A1352)=0,"TIDAK ADA","OK"))</f>
        <v/>
      </c>
    </row>
    <row r="1353" customFormat="false" ht="15" hidden="false" customHeight="false" outlineLevel="0" collapsed="false">
      <c r="A1353" s="21"/>
      <c r="B1353" s="22"/>
      <c r="C1353" s="21"/>
      <c r="D1353" s="24"/>
      <c r="E1353" s="22"/>
      <c r="F1353" s="29" t="str">
        <f aca="false">IF(C1353="","",IFERROR(INDEX(Produk!$J$2:$J$100,MATCH(C1353,Produk!$A$2:$A$100,0)),"PRODUK?"))</f>
        <v/>
      </c>
      <c r="G1353" s="29" t="str">
        <f aca="false">IF(A1353="","",IF(COUNTIF(Anggota!$A$2:$A$2001,A1353)=0,"TIDAK ADA","OK"))</f>
        <v/>
      </c>
    </row>
    <row r="1354" customFormat="false" ht="15" hidden="false" customHeight="false" outlineLevel="0" collapsed="false">
      <c r="A1354" s="21"/>
      <c r="B1354" s="22"/>
      <c r="C1354" s="21"/>
      <c r="D1354" s="24"/>
      <c r="E1354" s="22"/>
      <c r="F1354" s="29" t="str">
        <f aca="false">IF(C1354="","",IFERROR(INDEX(Produk!$J$2:$J$100,MATCH(C1354,Produk!$A$2:$A$100,0)),"PRODUK?"))</f>
        <v/>
      </c>
      <c r="G1354" s="29" t="str">
        <f aca="false">IF(A1354="","",IF(COUNTIF(Anggota!$A$2:$A$2001,A1354)=0,"TIDAK ADA","OK"))</f>
        <v/>
      </c>
    </row>
    <row r="1355" customFormat="false" ht="15" hidden="false" customHeight="false" outlineLevel="0" collapsed="false">
      <c r="A1355" s="21"/>
      <c r="B1355" s="22"/>
      <c r="C1355" s="21"/>
      <c r="D1355" s="24"/>
      <c r="E1355" s="22"/>
      <c r="F1355" s="29" t="str">
        <f aca="false">IF(C1355="","",IFERROR(INDEX(Produk!$J$2:$J$100,MATCH(C1355,Produk!$A$2:$A$100,0)),"PRODUK?"))</f>
        <v/>
      </c>
      <c r="G1355" s="29" t="str">
        <f aca="false">IF(A1355="","",IF(COUNTIF(Anggota!$A$2:$A$2001,A1355)=0,"TIDAK ADA","OK"))</f>
        <v/>
      </c>
    </row>
    <row r="1356" customFormat="false" ht="15" hidden="false" customHeight="false" outlineLevel="0" collapsed="false">
      <c r="A1356" s="21"/>
      <c r="B1356" s="22"/>
      <c r="C1356" s="21"/>
      <c r="D1356" s="24"/>
      <c r="E1356" s="22"/>
      <c r="F1356" s="29" t="str">
        <f aca="false">IF(C1356="","",IFERROR(INDEX(Produk!$J$2:$J$100,MATCH(C1356,Produk!$A$2:$A$100,0)),"PRODUK?"))</f>
        <v/>
      </c>
      <c r="G1356" s="29" t="str">
        <f aca="false">IF(A1356="","",IF(COUNTIF(Anggota!$A$2:$A$2001,A1356)=0,"TIDAK ADA","OK"))</f>
        <v/>
      </c>
    </row>
    <row r="1357" customFormat="false" ht="15" hidden="false" customHeight="false" outlineLevel="0" collapsed="false">
      <c r="A1357" s="21"/>
      <c r="B1357" s="22"/>
      <c r="C1357" s="21"/>
      <c r="D1357" s="24"/>
      <c r="E1357" s="22"/>
      <c r="F1357" s="29" t="str">
        <f aca="false">IF(C1357="","",IFERROR(INDEX(Produk!$J$2:$J$100,MATCH(C1357,Produk!$A$2:$A$100,0)),"PRODUK?"))</f>
        <v/>
      </c>
      <c r="G1357" s="29" t="str">
        <f aca="false">IF(A1357="","",IF(COUNTIF(Anggota!$A$2:$A$2001,A1357)=0,"TIDAK ADA","OK"))</f>
        <v/>
      </c>
    </row>
    <row r="1358" customFormat="false" ht="15" hidden="false" customHeight="false" outlineLevel="0" collapsed="false">
      <c r="A1358" s="21"/>
      <c r="B1358" s="22"/>
      <c r="C1358" s="21"/>
      <c r="D1358" s="24"/>
      <c r="E1358" s="22"/>
      <c r="F1358" s="29" t="str">
        <f aca="false">IF(C1358="","",IFERROR(INDEX(Produk!$J$2:$J$100,MATCH(C1358,Produk!$A$2:$A$100,0)),"PRODUK?"))</f>
        <v/>
      </c>
      <c r="G1358" s="29" t="str">
        <f aca="false">IF(A1358="","",IF(COUNTIF(Anggota!$A$2:$A$2001,A1358)=0,"TIDAK ADA","OK"))</f>
        <v/>
      </c>
    </row>
    <row r="1359" customFormat="false" ht="15" hidden="false" customHeight="false" outlineLevel="0" collapsed="false">
      <c r="A1359" s="21"/>
      <c r="B1359" s="22"/>
      <c r="C1359" s="21"/>
      <c r="D1359" s="24"/>
      <c r="E1359" s="22"/>
      <c r="F1359" s="29" t="str">
        <f aca="false">IF(C1359="","",IFERROR(INDEX(Produk!$J$2:$J$100,MATCH(C1359,Produk!$A$2:$A$100,0)),"PRODUK?"))</f>
        <v/>
      </c>
      <c r="G1359" s="29" t="str">
        <f aca="false">IF(A1359="","",IF(COUNTIF(Anggota!$A$2:$A$2001,A1359)=0,"TIDAK ADA","OK"))</f>
        <v/>
      </c>
    </row>
    <row r="1360" customFormat="false" ht="15" hidden="false" customHeight="false" outlineLevel="0" collapsed="false">
      <c r="A1360" s="21"/>
      <c r="B1360" s="22"/>
      <c r="C1360" s="21"/>
      <c r="D1360" s="24"/>
      <c r="E1360" s="22"/>
      <c r="F1360" s="29" t="str">
        <f aca="false">IF(C1360="","",IFERROR(INDEX(Produk!$J$2:$J$100,MATCH(C1360,Produk!$A$2:$A$100,0)),"PRODUK?"))</f>
        <v/>
      </c>
      <c r="G1360" s="29" t="str">
        <f aca="false">IF(A1360="","",IF(COUNTIF(Anggota!$A$2:$A$2001,A1360)=0,"TIDAK ADA","OK"))</f>
        <v/>
      </c>
    </row>
    <row r="1361" customFormat="false" ht="15" hidden="false" customHeight="false" outlineLevel="0" collapsed="false">
      <c r="A1361" s="21"/>
      <c r="B1361" s="22"/>
      <c r="C1361" s="21"/>
      <c r="D1361" s="24"/>
      <c r="E1361" s="22"/>
      <c r="F1361" s="29" t="str">
        <f aca="false">IF(C1361="","",IFERROR(INDEX(Produk!$J$2:$J$100,MATCH(C1361,Produk!$A$2:$A$100,0)),"PRODUK?"))</f>
        <v/>
      </c>
      <c r="G1361" s="29" t="str">
        <f aca="false">IF(A1361="","",IF(COUNTIF(Anggota!$A$2:$A$2001,A1361)=0,"TIDAK ADA","OK"))</f>
        <v/>
      </c>
    </row>
    <row r="1362" customFormat="false" ht="15" hidden="false" customHeight="false" outlineLevel="0" collapsed="false">
      <c r="A1362" s="21"/>
      <c r="B1362" s="22"/>
      <c r="C1362" s="21"/>
      <c r="D1362" s="24"/>
      <c r="E1362" s="22"/>
      <c r="F1362" s="29" t="str">
        <f aca="false">IF(C1362="","",IFERROR(INDEX(Produk!$J$2:$J$100,MATCH(C1362,Produk!$A$2:$A$100,0)),"PRODUK?"))</f>
        <v/>
      </c>
      <c r="G1362" s="29" t="str">
        <f aca="false">IF(A1362="","",IF(COUNTIF(Anggota!$A$2:$A$2001,A1362)=0,"TIDAK ADA","OK"))</f>
        <v/>
      </c>
    </row>
    <row r="1363" customFormat="false" ht="15" hidden="false" customHeight="false" outlineLevel="0" collapsed="false">
      <c r="A1363" s="21"/>
      <c r="B1363" s="22"/>
      <c r="C1363" s="21"/>
      <c r="D1363" s="24"/>
      <c r="E1363" s="22"/>
      <c r="F1363" s="29" t="str">
        <f aca="false">IF(C1363="","",IFERROR(INDEX(Produk!$J$2:$J$100,MATCH(C1363,Produk!$A$2:$A$100,0)),"PRODUK?"))</f>
        <v/>
      </c>
      <c r="G1363" s="29" t="str">
        <f aca="false">IF(A1363="","",IF(COUNTIF(Anggota!$A$2:$A$2001,A1363)=0,"TIDAK ADA","OK"))</f>
        <v/>
      </c>
    </row>
    <row r="1364" customFormat="false" ht="15" hidden="false" customHeight="false" outlineLevel="0" collapsed="false">
      <c r="A1364" s="21"/>
      <c r="B1364" s="22"/>
      <c r="C1364" s="21"/>
      <c r="D1364" s="24"/>
      <c r="E1364" s="22"/>
      <c r="F1364" s="29" t="str">
        <f aca="false">IF(C1364="","",IFERROR(INDEX(Produk!$J$2:$J$100,MATCH(C1364,Produk!$A$2:$A$100,0)),"PRODUK?"))</f>
        <v/>
      </c>
      <c r="G1364" s="29" t="str">
        <f aca="false">IF(A1364="","",IF(COUNTIF(Anggota!$A$2:$A$2001,A1364)=0,"TIDAK ADA","OK"))</f>
        <v/>
      </c>
    </row>
    <row r="1365" customFormat="false" ht="15" hidden="false" customHeight="false" outlineLevel="0" collapsed="false">
      <c r="A1365" s="21"/>
      <c r="B1365" s="22"/>
      <c r="C1365" s="21"/>
      <c r="D1365" s="24"/>
      <c r="E1365" s="22"/>
      <c r="F1365" s="29" t="str">
        <f aca="false">IF(C1365="","",IFERROR(INDEX(Produk!$J$2:$J$100,MATCH(C1365,Produk!$A$2:$A$100,0)),"PRODUK?"))</f>
        <v/>
      </c>
      <c r="G1365" s="29" t="str">
        <f aca="false">IF(A1365="","",IF(COUNTIF(Anggota!$A$2:$A$2001,A1365)=0,"TIDAK ADA","OK"))</f>
        <v/>
      </c>
    </row>
    <row r="1366" customFormat="false" ht="15" hidden="false" customHeight="false" outlineLevel="0" collapsed="false">
      <c r="A1366" s="21"/>
      <c r="B1366" s="22"/>
      <c r="C1366" s="21"/>
      <c r="D1366" s="24"/>
      <c r="E1366" s="22"/>
      <c r="F1366" s="29" t="str">
        <f aca="false">IF(C1366="","",IFERROR(INDEX(Produk!$J$2:$J$100,MATCH(C1366,Produk!$A$2:$A$100,0)),"PRODUK?"))</f>
        <v/>
      </c>
      <c r="G1366" s="29" t="str">
        <f aca="false">IF(A1366="","",IF(COUNTIF(Anggota!$A$2:$A$2001,A1366)=0,"TIDAK ADA","OK"))</f>
        <v/>
      </c>
    </row>
    <row r="1367" customFormat="false" ht="15" hidden="false" customHeight="false" outlineLevel="0" collapsed="false">
      <c r="A1367" s="21"/>
      <c r="B1367" s="22"/>
      <c r="C1367" s="21"/>
      <c r="D1367" s="24"/>
      <c r="E1367" s="22"/>
      <c r="F1367" s="29" t="str">
        <f aca="false">IF(C1367="","",IFERROR(INDEX(Produk!$J$2:$J$100,MATCH(C1367,Produk!$A$2:$A$100,0)),"PRODUK?"))</f>
        <v/>
      </c>
      <c r="G1367" s="29" t="str">
        <f aca="false">IF(A1367="","",IF(COUNTIF(Anggota!$A$2:$A$2001,A1367)=0,"TIDAK ADA","OK"))</f>
        <v/>
      </c>
    </row>
    <row r="1368" customFormat="false" ht="15" hidden="false" customHeight="false" outlineLevel="0" collapsed="false">
      <c r="A1368" s="21"/>
      <c r="B1368" s="22"/>
      <c r="C1368" s="21"/>
      <c r="D1368" s="24"/>
      <c r="E1368" s="22"/>
      <c r="F1368" s="29" t="str">
        <f aca="false">IF(C1368="","",IFERROR(INDEX(Produk!$J$2:$J$100,MATCH(C1368,Produk!$A$2:$A$100,0)),"PRODUK?"))</f>
        <v/>
      </c>
      <c r="G1368" s="29" t="str">
        <f aca="false">IF(A1368="","",IF(COUNTIF(Anggota!$A$2:$A$2001,A1368)=0,"TIDAK ADA","OK"))</f>
        <v/>
      </c>
    </row>
    <row r="1369" customFormat="false" ht="15" hidden="false" customHeight="false" outlineLevel="0" collapsed="false">
      <c r="A1369" s="21"/>
      <c r="B1369" s="22"/>
      <c r="C1369" s="21"/>
      <c r="D1369" s="24"/>
      <c r="E1369" s="22"/>
      <c r="F1369" s="29" t="str">
        <f aca="false">IF(C1369="","",IFERROR(INDEX(Produk!$J$2:$J$100,MATCH(C1369,Produk!$A$2:$A$100,0)),"PRODUK?"))</f>
        <v/>
      </c>
      <c r="G1369" s="29" t="str">
        <f aca="false">IF(A1369="","",IF(COUNTIF(Anggota!$A$2:$A$2001,A1369)=0,"TIDAK ADA","OK"))</f>
        <v/>
      </c>
    </row>
    <row r="1370" customFormat="false" ht="15" hidden="false" customHeight="false" outlineLevel="0" collapsed="false">
      <c r="A1370" s="21"/>
      <c r="B1370" s="22"/>
      <c r="C1370" s="21"/>
      <c r="D1370" s="24"/>
      <c r="E1370" s="22"/>
      <c r="F1370" s="29" t="str">
        <f aca="false">IF(C1370="","",IFERROR(INDEX(Produk!$J$2:$J$100,MATCH(C1370,Produk!$A$2:$A$100,0)),"PRODUK?"))</f>
        <v/>
      </c>
      <c r="G1370" s="29" t="str">
        <f aca="false">IF(A1370="","",IF(COUNTIF(Anggota!$A$2:$A$2001,A1370)=0,"TIDAK ADA","OK"))</f>
        <v/>
      </c>
    </row>
    <row r="1371" customFormat="false" ht="15" hidden="false" customHeight="false" outlineLevel="0" collapsed="false">
      <c r="A1371" s="21"/>
      <c r="B1371" s="22"/>
      <c r="C1371" s="21"/>
      <c r="D1371" s="24"/>
      <c r="E1371" s="22"/>
      <c r="F1371" s="29" t="str">
        <f aca="false">IF(C1371="","",IFERROR(INDEX(Produk!$J$2:$J$100,MATCH(C1371,Produk!$A$2:$A$100,0)),"PRODUK?"))</f>
        <v/>
      </c>
      <c r="G1371" s="29" t="str">
        <f aca="false">IF(A1371="","",IF(COUNTIF(Anggota!$A$2:$A$2001,A1371)=0,"TIDAK ADA","OK"))</f>
        <v/>
      </c>
    </row>
    <row r="1372" customFormat="false" ht="15" hidden="false" customHeight="false" outlineLevel="0" collapsed="false">
      <c r="A1372" s="21"/>
      <c r="B1372" s="22"/>
      <c r="C1372" s="21"/>
      <c r="D1372" s="24"/>
      <c r="E1372" s="22"/>
      <c r="F1372" s="29" t="str">
        <f aca="false">IF(C1372="","",IFERROR(INDEX(Produk!$J$2:$J$100,MATCH(C1372,Produk!$A$2:$A$100,0)),"PRODUK?"))</f>
        <v/>
      </c>
      <c r="G1372" s="29" t="str">
        <f aca="false">IF(A1372="","",IF(COUNTIF(Anggota!$A$2:$A$2001,A1372)=0,"TIDAK ADA","OK"))</f>
        <v/>
      </c>
    </row>
    <row r="1373" customFormat="false" ht="15" hidden="false" customHeight="false" outlineLevel="0" collapsed="false">
      <c r="A1373" s="21"/>
      <c r="B1373" s="22"/>
      <c r="C1373" s="21"/>
      <c r="D1373" s="24"/>
      <c r="E1373" s="22"/>
      <c r="F1373" s="29" t="str">
        <f aca="false">IF(C1373="","",IFERROR(INDEX(Produk!$J$2:$J$100,MATCH(C1373,Produk!$A$2:$A$100,0)),"PRODUK?"))</f>
        <v/>
      </c>
      <c r="G1373" s="29" t="str">
        <f aca="false">IF(A1373="","",IF(COUNTIF(Anggota!$A$2:$A$2001,A1373)=0,"TIDAK ADA","OK"))</f>
        <v/>
      </c>
    </row>
    <row r="1374" customFormat="false" ht="15" hidden="false" customHeight="false" outlineLevel="0" collapsed="false">
      <c r="A1374" s="21"/>
      <c r="B1374" s="22"/>
      <c r="C1374" s="21"/>
      <c r="D1374" s="24"/>
      <c r="E1374" s="22"/>
      <c r="F1374" s="29" t="str">
        <f aca="false">IF(C1374="","",IFERROR(INDEX(Produk!$J$2:$J$100,MATCH(C1374,Produk!$A$2:$A$100,0)),"PRODUK?"))</f>
        <v/>
      </c>
      <c r="G1374" s="29" t="str">
        <f aca="false">IF(A1374="","",IF(COUNTIF(Anggota!$A$2:$A$2001,A1374)=0,"TIDAK ADA","OK"))</f>
        <v/>
      </c>
    </row>
    <row r="1375" customFormat="false" ht="15" hidden="false" customHeight="false" outlineLevel="0" collapsed="false">
      <c r="A1375" s="21"/>
      <c r="B1375" s="22"/>
      <c r="C1375" s="21"/>
      <c r="D1375" s="24"/>
      <c r="E1375" s="22"/>
      <c r="F1375" s="29" t="str">
        <f aca="false">IF(C1375="","",IFERROR(INDEX(Produk!$J$2:$J$100,MATCH(C1375,Produk!$A$2:$A$100,0)),"PRODUK?"))</f>
        <v/>
      </c>
      <c r="G1375" s="29" t="str">
        <f aca="false">IF(A1375="","",IF(COUNTIF(Anggota!$A$2:$A$2001,A1375)=0,"TIDAK ADA","OK"))</f>
        <v/>
      </c>
    </row>
    <row r="1376" customFormat="false" ht="15" hidden="false" customHeight="false" outlineLevel="0" collapsed="false">
      <c r="A1376" s="21"/>
      <c r="B1376" s="22"/>
      <c r="C1376" s="21"/>
      <c r="D1376" s="24"/>
      <c r="E1376" s="22"/>
      <c r="F1376" s="29" t="str">
        <f aca="false">IF(C1376="","",IFERROR(INDEX(Produk!$J$2:$J$100,MATCH(C1376,Produk!$A$2:$A$100,0)),"PRODUK?"))</f>
        <v/>
      </c>
      <c r="G1376" s="29" t="str">
        <f aca="false">IF(A1376="","",IF(COUNTIF(Anggota!$A$2:$A$2001,A1376)=0,"TIDAK ADA","OK"))</f>
        <v/>
      </c>
    </row>
    <row r="1377" customFormat="false" ht="15" hidden="false" customHeight="false" outlineLevel="0" collapsed="false">
      <c r="A1377" s="21"/>
      <c r="B1377" s="22"/>
      <c r="C1377" s="21"/>
      <c r="D1377" s="24"/>
      <c r="E1377" s="22"/>
      <c r="F1377" s="29" t="str">
        <f aca="false">IF(C1377="","",IFERROR(INDEX(Produk!$J$2:$J$100,MATCH(C1377,Produk!$A$2:$A$100,0)),"PRODUK?"))</f>
        <v/>
      </c>
      <c r="G1377" s="29" t="str">
        <f aca="false">IF(A1377="","",IF(COUNTIF(Anggota!$A$2:$A$2001,A1377)=0,"TIDAK ADA","OK"))</f>
        <v/>
      </c>
    </row>
    <row r="1378" customFormat="false" ht="15" hidden="false" customHeight="false" outlineLevel="0" collapsed="false">
      <c r="A1378" s="21"/>
      <c r="B1378" s="22"/>
      <c r="C1378" s="21"/>
      <c r="D1378" s="24"/>
      <c r="E1378" s="22"/>
      <c r="F1378" s="29" t="str">
        <f aca="false">IF(C1378="","",IFERROR(INDEX(Produk!$J$2:$J$100,MATCH(C1378,Produk!$A$2:$A$100,0)),"PRODUK?"))</f>
        <v/>
      </c>
      <c r="G1378" s="29" t="str">
        <f aca="false">IF(A1378="","",IF(COUNTIF(Anggota!$A$2:$A$2001,A1378)=0,"TIDAK ADA","OK"))</f>
        <v/>
      </c>
    </row>
    <row r="1379" customFormat="false" ht="15" hidden="false" customHeight="false" outlineLevel="0" collapsed="false">
      <c r="A1379" s="21"/>
      <c r="B1379" s="22"/>
      <c r="C1379" s="21"/>
      <c r="D1379" s="24"/>
      <c r="E1379" s="22"/>
      <c r="F1379" s="29" t="str">
        <f aca="false">IF(C1379="","",IFERROR(INDEX(Produk!$J$2:$J$100,MATCH(C1379,Produk!$A$2:$A$100,0)),"PRODUK?"))</f>
        <v/>
      </c>
      <c r="G1379" s="29" t="str">
        <f aca="false">IF(A1379="","",IF(COUNTIF(Anggota!$A$2:$A$2001,A1379)=0,"TIDAK ADA","OK"))</f>
        <v/>
      </c>
    </row>
    <row r="1380" customFormat="false" ht="15" hidden="false" customHeight="false" outlineLevel="0" collapsed="false">
      <c r="A1380" s="21"/>
      <c r="B1380" s="22"/>
      <c r="C1380" s="21"/>
      <c r="D1380" s="24"/>
      <c r="E1380" s="22"/>
      <c r="F1380" s="29" t="str">
        <f aca="false">IF(C1380="","",IFERROR(INDEX(Produk!$J$2:$J$100,MATCH(C1380,Produk!$A$2:$A$100,0)),"PRODUK?"))</f>
        <v/>
      </c>
      <c r="G1380" s="29" t="str">
        <f aca="false">IF(A1380="","",IF(COUNTIF(Anggota!$A$2:$A$2001,A1380)=0,"TIDAK ADA","OK"))</f>
        <v/>
      </c>
    </row>
    <row r="1381" customFormat="false" ht="15" hidden="false" customHeight="false" outlineLevel="0" collapsed="false">
      <c r="A1381" s="21"/>
      <c r="B1381" s="22"/>
      <c r="C1381" s="21"/>
      <c r="D1381" s="24"/>
      <c r="E1381" s="22"/>
      <c r="F1381" s="29" t="str">
        <f aca="false">IF(C1381="","",IFERROR(INDEX(Produk!$J$2:$J$100,MATCH(C1381,Produk!$A$2:$A$100,0)),"PRODUK?"))</f>
        <v/>
      </c>
      <c r="G1381" s="29" t="str">
        <f aca="false">IF(A1381="","",IF(COUNTIF(Anggota!$A$2:$A$2001,A1381)=0,"TIDAK ADA","OK"))</f>
        <v/>
      </c>
    </row>
    <row r="1382" customFormat="false" ht="15" hidden="false" customHeight="false" outlineLevel="0" collapsed="false">
      <c r="A1382" s="21"/>
      <c r="B1382" s="22"/>
      <c r="C1382" s="21"/>
      <c r="D1382" s="24"/>
      <c r="E1382" s="22"/>
      <c r="F1382" s="29" t="str">
        <f aca="false">IF(C1382="","",IFERROR(INDEX(Produk!$J$2:$J$100,MATCH(C1382,Produk!$A$2:$A$100,0)),"PRODUK?"))</f>
        <v/>
      </c>
      <c r="G1382" s="29" t="str">
        <f aca="false">IF(A1382="","",IF(COUNTIF(Anggota!$A$2:$A$2001,A1382)=0,"TIDAK ADA","OK"))</f>
        <v/>
      </c>
    </row>
    <row r="1383" customFormat="false" ht="15" hidden="false" customHeight="false" outlineLevel="0" collapsed="false">
      <c r="A1383" s="21"/>
      <c r="B1383" s="22"/>
      <c r="C1383" s="21"/>
      <c r="D1383" s="24"/>
      <c r="E1383" s="22"/>
      <c r="F1383" s="29" t="str">
        <f aca="false">IF(C1383="","",IFERROR(INDEX(Produk!$J$2:$J$100,MATCH(C1383,Produk!$A$2:$A$100,0)),"PRODUK?"))</f>
        <v/>
      </c>
      <c r="G1383" s="29" t="str">
        <f aca="false">IF(A1383="","",IF(COUNTIF(Anggota!$A$2:$A$2001,A1383)=0,"TIDAK ADA","OK"))</f>
        <v/>
      </c>
    </row>
    <row r="1384" customFormat="false" ht="15" hidden="false" customHeight="false" outlineLevel="0" collapsed="false">
      <c r="A1384" s="21"/>
      <c r="B1384" s="22"/>
      <c r="C1384" s="21"/>
      <c r="D1384" s="24"/>
      <c r="E1384" s="22"/>
      <c r="F1384" s="29" t="str">
        <f aca="false">IF(C1384="","",IFERROR(INDEX(Produk!$J$2:$J$100,MATCH(C1384,Produk!$A$2:$A$100,0)),"PRODUK?"))</f>
        <v/>
      </c>
      <c r="G1384" s="29" t="str">
        <f aca="false">IF(A1384="","",IF(COUNTIF(Anggota!$A$2:$A$2001,A1384)=0,"TIDAK ADA","OK"))</f>
        <v/>
      </c>
    </row>
    <row r="1385" customFormat="false" ht="15" hidden="false" customHeight="false" outlineLevel="0" collapsed="false">
      <c r="A1385" s="21"/>
      <c r="B1385" s="22"/>
      <c r="C1385" s="21"/>
      <c r="D1385" s="24"/>
      <c r="E1385" s="22"/>
      <c r="F1385" s="29" t="str">
        <f aca="false">IF(C1385="","",IFERROR(INDEX(Produk!$J$2:$J$100,MATCH(C1385,Produk!$A$2:$A$100,0)),"PRODUK?"))</f>
        <v/>
      </c>
      <c r="G1385" s="29" t="str">
        <f aca="false">IF(A1385="","",IF(COUNTIF(Anggota!$A$2:$A$2001,A1385)=0,"TIDAK ADA","OK"))</f>
        <v/>
      </c>
    </row>
    <row r="1386" customFormat="false" ht="15" hidden="false" customHeight="false" outlineLevel="0" collapsed="false">
      <c r="A1386" s="21"/>
      <c r="B1386" s="22"/>
      <c r="C1386" s="21"/>
      <c r="D1386" s="24"/>
      <c r="E1386" s="22"/>
      <c r="F1386" s="29" t="str">
        <f aca="false">IF(C1386="","",IFERROR(INDEX(Produk!$J$2:$J$100,MATCH(C1386,Produk!$A$2:$A$100,0)),"PRODUK?"))</f>
        <v/>
      </c>
      <c r="G1386" s="29" t="str">
        <f aca="false">IF(A1386="","",IF(COUNTIF(Anggota!$A$2:$A$2001,A1386)=0,"TIDAK ADA","OK"))</f>
        <v/>
      </c>
    </row>
    <row r="1387" customFormat="false" ht="15" hidden="false" customHeight="false" outlineLevel="0" collapsed="false">
      <c r="A1387" s="21"/>
      <c r="B1387" s="22"/>
      <c r="C1387" s="21"/>
      <c r="D1387" s="24"/>
      <c r="E1387" s="22"/>
      <c r="F1387" s="29" t="str">
        <f aca="false">IF(C1387="","",IFERROR(INDEX(Produk!$J$2:$J$100,MATCH(C1387,Produk!$A$2:$A$100,0)),"PRODUK?"))</f>
        <v/>
      </c>
      <c r="G1387" s="29" t="str">
        <f aca="false">IF(A1387="","",IF(COUNTIF(Anggota!$A$2:$A$2001,A1387)=0,"TIDAK ADA","OK"))</f>
        <v/>
      </c>
    </row>
    <row r="1388" customFormat="false" ht="15" hidden="false" customHeight="false" outlineLevel="0" collapsed="false">
      <c r="A1388" s="21"/>
      <c r="B1388" s="22"/>
      <c r="C1388" s="21"/>
      <c r="D1388" s="24"/>
      <c r="E1388" s="22"/>
      <c r="F1388" s="29" t="str">
        <f aca="false">IF(C1388="","",IFERROR(INDEX(Produk!$J$2:$J$100,MATCH(C1388,Produk!$A$2:$A$100,0)),"PRODUK?"))</f>
        <v/>
      </c>
      <c r="G1388" s="29" t="str">
        <f aca="false">IF(A1388="","",IF(COUNTIF(Anggota!$A$2:$A$2001,A1388)=0,"TIDAK ADA","OK"))</f>
        <v/>
      </c>
    </row>
    <row r="1389" customFormat="false" ht="15" hidden="false" customHeight="false" outlineLevel="0" collapsed="false">
      <c r="A1389" s="21"/>
      <c r="B1389" s="22"/>
      <c r="C1389" s="21"/>
      <c r="D1389" s="24"/>
      <c r="E1389" s="22"/>
      <c r="F1389" s="29" t="str">
        <f aca="false">IF(C1389="","",IFERROR(INDEX(Produk!$J$2:$J$100,MATCH(C1389,Produk!$A$2:$A$100,0)),"PRODUK?"))</f>
        <v/>
      </c>
      <c r="G1389" s="29" t="str">
        <f aca="false">IF(A1389="","",IF(COUNTIF(Anggota!$A$2:$A$2001,A1389)=0,"TIDAK ADA","OK"))</f>
        <v/>
      </c>
    </row>
    <row r="1390" customFormat="false" ht="15" hidden="false" customHeight="false" outlineLevel="0" collapsed="false">
      <c r="A1390" s="21"/>
      <c r="B1390" s="22"/>
      <c r="C1390" s="21"/>
      <c r="D1390" s="24"/>
      <c r="E1390" s="22"/>
      <c r="F1390" s="29" t="str">
        <f aca="false">IF(C1390="","",IFERROR(INDEX(Produk!$J$2:$J$100,MATCH(C1390,Produk!$A$2:$A$100,0)),"PRODUK?"))</f>
        <v/>
      </c>
      <c r="G1390" s="29" t="str">
        <f aca="false">IF(A1390="","",IF(COUNTIF(Anggota!$A$2:$A$2001,A1390)=0,"TIDAK ADA","OK"))</f>
        <v/>
      </c>
    </row>
    <row r="1391" customFormat="false" ht="15" hidden="false" customHeight="false" outlineLevel="0" collapsed="false">
      <c r="A1391" s="21"/>
      <c r="B1391" s="22"/>
      <c r="C1391" s="21"/>
      <c r="D1391" s="24"/>
      <c r="E1391" s="22"/>
      <c r="F1391" s="29" t="str">
        <f aca="false">IF(C1391="","",IFERROR(INDEX(Produk!$J$2:$J$100,MATCH(C1391,Produk!$A$2:$A$100,0)),"PRODUK?"))</f>
        <v/>
      </c>
      <c r="G1391" s="29" t="str">
        <f aca="false">IF(A1391="","",IF(COUNTIF(Anggota!$A$2:$A$2001,A1391)=0,"TIDAK ADA","OK"))</f>
        <v/>
      </c>
    </row>
    <row r="1392" customFormat="false" ht="15" hidden="false" customHeight="false" outlineLevel="0" collapsed="false">
      <c r="A1392" s="21"/>
      <c r="B1392" s="22"/>
      <c r="C1392" s="21"/>
      <c r="D1392" s="24"/>
      <c r="E1392" s="22"/>
      <c r="F1392" s="29" t="str">
        <f aca="false">IF(C1392="","",IFERROR(INDEX(Produk!$J$2:$J$100,MATCH(C1392,Produk!$A$2:$A$100,0)),"PRODUK?"))</f>
        <v/>
      </c>
      <c r="G1392" s="29" t="str">
        <f aca="false">IF(A1392="","",IF(COUNTIF(Anggota!$A$2:$A$2001,A1392)=0,"TIDAK ADA","OK"))</f>
        <v/>
      </c>
    </row>
    <row r="1393" customFormat="false" ht="15" hidden="false" customHeight="false" outlineLevel="0" collapsed="false">
      <c r="A1393" s="21"/>
      <c r="B1393" s="22"/>
      <c r="C1393" s="21"/>
      <c r="D1393" s="24"/>
      <c r="E1393" s="22"/>
      <c r="F1393" s="29" t="str">
        <f aca="false">IF(C1393="","",IFERROR(INDEX(Produk!$J$2:$J$100,MATCH(C1393,Produk!$A$2:$A$100,0)),"PRODUK?"))</f>
        <v/>
      </c>
      <c r="G1393" s="29" t="str">
        <f aca="false">IF(A1393="","",IF(COUNTIF(Anggota!$A$2:$A$2001,A1393)=0,"TIDAK ADA","OK"))</f>
        <v/>
      </c>
    </row>
    <row r="1394" customFormat="false" ht="15" hidden="false" customHeight="false" outlineLevel="0" collapsed="false">
      <c r="A1394" s="21"/>
      <c r="B1394" s="22"/>
      <c r="C1394" s="21"/>
      <c r="D1394" s="24"/>
      <c r="E1394" s="22"/>
      <c r="F1394" s="29" t="str">
        <f aca="false">IF(C1394="","",IFERROR(INDEX(Produk!$J$2:$J$100,MATCH(C1394,Produk!$A$2:$A$100,0)),"PRODUK?"))</f>
        <v/>
      </c>
      <c r="G1394" s="29" t="str">
        <f aca="false">IF(A1394="","",IF(COUNTIF(Anggota!$A$2:$A$2001,A1394)=0,"TIDAK ADA","OK"))</f>
        <v/>
      </c>
    </row>
    <row r="1395" customFormat="false" ht="15" hidden="false" customHeight="false" outlineLevel="0" collapsed="false">
      <c r="A1395" s="21"/>
      <c r="B1395" s="22"/>
      <c r="C1395" s="21"/>
      <c r="D1395" s="24"/>
      <c r="E1395" s="22"/>
      <c r="F1395" s="29" t="str">
        <f aca="false">IF(C1395="","",IFERROR(INDEX(Produk!$J$2:$J$100,MATCH(C1395,Produk!$A$2:$A$100,0)),"PRODUK?"))</f>
        <v/>
      </c>
      <c r="G1395" s="29" t="str">
        <f aca="false">IF(A1395="","",IF(COUNTIF(Anggota!$A$2:$A$2001,A1395)=0,"TIDAK ADA","OK"))</f>
        <v/>
      </c>
    </row>
    <row r="1396" customFormat="false" ht="15" hidden="false" customHeight="false" outlineLevel="0" collapsed="false">
      <c r="A1396" s="21"/>
      <c r="B1396" s="22"/>
      <c r="C1396" s="21"/>
      <c r="D1396" s="24"/>
      <c r="E1396" s="22"/>
      <c r="F1396" s="29" t="str">
        <f aca="false">IF(C1396="","",IFERROR(INDEX(Produk!$J$2:$J$100,MATCH(C1396,Produk!$A$2:$A$100,0)),"PRODUK?"))</f>
        <v/>
      </c>
      <c r="G1396" s="29" t="str">
        <f aca="false">IF(A1396="","",IF(COUNTIF(Anggota!$A$2:$A$2001,A1396)=0,"TIDAK ADA","OK"))</f>
        <v/>
      </c>
    </row>
    <row r="1397" customFormat="false" ht="15" hidden="false" customHeight="false" outlineLevel="0" collapsed="false">
      <c r="A1397" s="21"/>
      <c r="B1397" s="22"/>
      <c r="C1397" s="21"/>
      <c r="D1397" s="24"/>
      <c r="E1397" s="22"/>
      <c r="F1397" s="29" t="str">
        <f aca="false">IF(C1397="","",IFERROR(INDEX(Produk!$J$2:$J$100,MATCH(C1397,Produk!$A$2:$A$100,0)),"PRODUK?"))</f>
        <v/>
      </c>
      <c r="G1397" s="29" t="str">
        <f aca="false">IF(A1397="","",IF(COUNTIF(Anggota!$A$2:$A$2001,A1397)=0,"TIDAK ADA","OK"))</f>
        <v/>
      </c>
    </row>
    <row r="1398" customFormat="false" ht="15" hidden="false" customHeight="false" outlineLevel="0" collapsed="false">
      <c r="A1398" s="21"/>
      <c r="B1398" s="22"/>
      <c r="C1398" s="21"/>
      <c r="D1398" s="24"/>
      <c r="E1398" s="22"/>
      <c r="F1398" s="29" t="str">
        <f aca="false">IF(C1398="","",IFERROR(INDEX(Produk!$J$2:$J$100,MATCH(C1398,Produk!$A$2:$A$100,0)),"PRODUK?"))</f>
        <v/>
      </c>
      <c r="G1398" s="29" t="str">
        <f aca="false">IF(A1398="","",IF(COUNTIF(Anggota!$A$2:$A$2001,A1398)=0,"TIDAK ADA","OK"))</f>
        <v/>
      </c>
    </row>
    <row r="1399" customFormat="false" ht="15" hidden="false" customHeight="false" outlineLevel="0" collapsed="false">
      <c r="A1399" s="21"/>
      <c r="B1399" s="22"/>
      <c r="C1399" s="21"/>
      <c r="D1399" s="24"/>
      <c r="E1399" s="22"/>
      <c r="F1399" s="29" t="str">
        <f aca="false">IF(C1399="","",IFERROR(INDEX(Produk!$J$2:$J$100,MATCH(C1399,Produk!$A$2:$A$100,0)),"PRODUK?"))</f>
        <v/>
      </c>
      <c r="G1399" s="29" t="str">
        <f aca="false">IF(A1399="","",IF(COUNTIF(Anggota!$A$2:$A$2001,A1399)=0,"TIDAK ADA","OK"))</f>
        <v/>
      </c>
    </row>
    <row r="1400" customFormat="false" ht="15" hidden="false" customHeight="false" outlineLevel="0" collapsed="false">
      <c r="A1400" s="21"/>
      <c r="B1400" s="22"/>
      <c r="C1400" s="21"/>
      <c r="D1400" s="24"/>
      <c r="E1400" s="22"/>
      <c r="F1400" s="29" t="str">
        <f aca="false">IF(C1400="","",IFERROR(INDEX(Produk!$J$2:$J$100,MATCH(C1400,Produk!$A$2:$A$100,0)),"PRODUK?"))</f>
        <v/>
      </c>
      <c r="G1400" s="29" t="str">
        <f aca="false">IF(A1400="","",IF(COUNTIF(Anggota!$A$2:$A$2001,A1400)=0,"TIDAK ADA","OK"))</f>
        <v/>
      </c>
    </row>
    <row r="1401" customFormat="false" ht="15" hidden="false" customHeight="false" outlineLevel="0" collapsed="false">
      <c r="A1401" s="21"/>
      <c r="B1401" s="22"/>
      <c r="C1401" s="21"/>
      <c r="D1401" s="24"/>
      <c r="E1401" s="22"/>
      <c r="F1401" s="29" t="str">
        <f aca="false">IF(C1401="","",IFERROR(INDEX(Produk!$J$2:$J$100,MATCH(C1401,Produk!$A$2:$A$100,0)),"PRODUK?"))</f>
        <v/>
      </c>
      <c r="G1401" s="29" t="str">
        <f aca="false">IF(A1401="","",IF(COUNTIF(Anggota!$A$2:$A$2001,A1401)=0,"TIDAK ADA","OK"))</f>
        <v/>
      </c>
    </row>
    <row r="1402" customFormat="false" ht="15" hidden="false" customHeight="false" outlineLevel="0" collapsed="false">
      <c r="A1402" s="21"/>
      <c r="B1402" s="22"/>
      <c r="C1402" s="21"/>
      <c r="D1402" s="24"/>
      <c r="E1402" s="22"/>
      <c r="F1402" s="29" t="str">
        <f aca="false">IF(C1402="","",IFERROR(INDEX(Produk!$J$2:$J$100,MATCH(C1402,Produk!$A$2:$A$100,0)),"PRODUK?"))</f>
        <v/>
      </c>
      <c r="G1402" s="29" t="str">
        <f aca="false">IF(A1402="","",IF(COUNTIF(Anggota!$A$2:$A$2001,A1402)=0,"TIDAK ADA","OK"))</f>
        <v/>
      </c>
    </row>
    <row r="1403" customFormat="false" ht="15" hidden="false" customHeight="false" outlineLevel="0" collapsed="false">
      <c r="A1403" s="21"/>
      <c r="B1403" s="22"/>
      <c r="C1403" s="21"/>
      <c r="D1403" s="24"/>
      <c r="E1403" s="22"/>
      <c r="F1403" s="29" t="str">
        <f aca="false">IF(C1403="","",IFERROR(INDEX(Produk!$J$2:$J$100,MATCH(C1403,Produk!$A$2:$A$100,0)),"PRODUK?"))</f>
        <v/>
      </c>
      <c r="G1403" s="29" t="str">
        <f aca="false">IF(A1403="","",IF(COUNTIF(Anggota!$A$2:$A$2001,A1403)=0,"TIDAK ADA","OK"))</f>
        <v/>
      </c>
    </row>
    <row r="1404" customFormat="false" ht="15" hidden="false" customHeight="false" outlineLevel="0" collapsed="false">
      <c r="A1404" s="21"/>
      <c r="B1404" s="22"/>
      <c r="C1404" s="21"/>
      <c r="D1404" s="24"/>
      <c r="E1404" s="22"/>
      <c r="F1404" s="29" t="str">
        <f aca="false">IF(C1404="","",IFERROR(INDEX(Produk!$J$2:$J$100,MATCH(C1404,Produk!$A$2:$A$100,0)),"PRODUK?"))</f>
        <v/>
      </c>
      <c r="G1404" s="29" t="str">
        <f aca="false">IF(A1404="","",IF(COUNTIF(Anggota!$A$2:$A$2001,A1404)=0,"TIDAK ADA","OK"))</f>
        <v/>
      </c>
    </row>
    <row r="1405" customFormat="false" ht="15" hidden="false" customHeight="false" outlineLevel="0" collapsed="false">
      <c r="A1405" s="21"/>
      <c r="B1405" s="22"/>
      <c r="C1405" s="21"/>
      <c r="D1405" s="24"/>
      <c r="E1405" s="22"/>
      <c r="F1405" s="29" t="str">
        <f aca="false">IF(C1405="","",IFERROR(INDEX(Produk!$J$2:$J$100,MATCH(C1405,Produk!$A$2:$A$100,0)),"PRODUK?"))</f>
        <v/>
      </c>
      <c r="G1405" s="29" t="str">
        <f aca="false">IF(A1405="","",IF(COUNTIF(Anggota!$A$2:$A$2001,A1405)=0,"TIDAK ADA","OK"))</f>
        <v/>
      </c>
    </row>
    <row r="1406" customFormat="false" ht="15" hidden="false" customHeight="false" outlineLevel="0" collapsed="false">
      <c r="A1406" s="21"/>
      <c r="B1406" s="22"/>
      <c r="C1406" s="21"/>
      <c r="D1406" s="24"/>
      <c r="E1406" s="22"/>
      <c r="F1406" s="29" t="str">
        <f aca="false">IF(C1406="","",IFERROR(INDEX(Produk!$J$2:$J$100,MATCH(C1406,Produk!$A$2:$A$100,0)),"PRODUK?"))</f>
        <v/>
      </c>
      <c r="G1406" s="29" t="str">
        <f aca="false">IF(A1406="","",IF(COUNTIF(Anggota!$A$2:$A$2001,A1406)=0,"TIDAK ADA","OK"))</f>
        <v/>
      </c>
    </row>
    <row r="1407" customFormat="false" ht="15" hidden="false" customHeight="false" outlineLevel="0" collapsed="false">
      <c r="A1407" s="21"/>
      <c r="B1407" s="22"/>
      <c r="C1407" s="21"/>
      <c r="D1407" s="24"/>
      <c r="E1407" s="22"/>
      <c r="F1407" s="29" t="str">
        <f aca="false">IF(C1407="","",IFERROR(INDEX(Produk!$J$2:$J$100,MATCH(C1407,Produk!$A$2:$A$100,0)),"PRODUK?"))</f>
        <v/>
      </c>
      <c r="G1407" s="29" t="str">
        <f aca="false">IF(A1407="","",IF(COUNTIF(Anggota!$A$2:$A$2001,A1407)=0,"TIDAK ADA","OK"))</f>
        <v/>
      </c>
    </row>
    <row r="1408" customFormat="false" ht="15" hidden="false" customHeight="false" outlineLevel="0" collapsed="false">
      <c r="A1408" s="21"/>
      <c r="B1408" s="22"/>
      <c r="C1408" s="21"/>
      <c r="D1408" s="24"/>
      <c r="E1408" s="22"/>
      <c r="F1408" s="29" t="str">
        <f aca="false">IF(C1408="","",IFERROR(INDEX(Produk!$J$2:$J$100,MATCH(C1408,Produk!$A$2:$A$100,0)),"PRODUK?"))</f>
        <v/>
      </c>
      <c r="G1408" s="29" t="str">
        <f aca="false">IF(A1408="","",IF(COUNTIF(Anggota!$A$2:$A$2001,A1408)=0,"TIDAK ADA","OK"))</f>
        <v/>
      </c>
    </row>
    <row r="1409" customFormat="false" ht="15" hidden="false" customHeight="false" outlineLevel="0" collapsed="false">
      <c r="A1409" s="21"/>
      <c r="B1409" s="22"/>
      <c r="C1409" s="21"/>
      <c r="D1409" s="24"/>
      <c r="E1409" s="22"/>
      <c r="F1409" s="29" t="str">
        <f aca="false">IF(C1409="","",IFERROR(INDEX(Produk!$J$2:$J$100,MATCH(C1409,Produk!$A$2:$A$100,0)),"PRODUK?"))</f>
        <v/>
      </c>
      <c r="G1409" s="29" t="str">
        <f aca="false">IF(A1409="","",IF(COUNTIF(Anggota!$A$2:$A$2001,A1409)=0,"TIDAK ADA","OK"))</f>
        <v/>
      </c>
    </row>
    <row r="1410" customFormat="false" ht="15" hidden="false" customHeight="false" outlineLevel="0" collapsed="false">
      <c r="A1410" s="21"/>
      <c r="B1410" s="22"/>
      <c r="C1410" s="21"/>
      <c r="D1410" s="24"/>
      <c r="E1410" s="22"/>
      <c r="F1410" s="29" t="str">
        <f aca="false">IF(C1410="","",IFERROR(INDEX(Produk!$J$2:$J$100,MATCH(C1410,Produk!$A$2:$A$100,0)),"PRODUK?"))</f>
        <v/>
      </c>
      <c r="G1410" s="29" t="str">
        <f aca="false">IF(A1410="","",IF(COUNTIF(Anggota!$A$2:$A$2001,A1410)=0,"TIDAK ADA","OK"))</f>
        <v/>
      </c>
    </row>
    <row r="1411" customFormat="false" ht="15" hidden="false" customHeight="false" outlineLevel="0" collapsed="false">
      <c r="A1411" s="21"/>
      <c r="B1411" s="22"/>
      <c r="C1411" s="21"/>
      <c r="D1411" s="24"/>
      <c r="E1411" s="22"/>
      <c r="F1411" s="29" t="str">
        <f aca="false">IF(C1411="","",IFERROR(INDEX(Produk!$J$2:$J$100,MATCH(C1411,Produk!$A$2:$A$100,0)),"PRODUK?"))</f>
        <v/>
      </c>
      <c r="G1411" s="29" t="str">
        <f aca="false">IF(A1411="","",IF(COUNTIF(Anggota!$A$2:$A$2001,A1411)=0,"TIDAK ADA","OK"))</f>
        <v/>
      </c>
    </row>
    <row r="1412" customFormat="false" ht="15" hidden="false" customHeight="false" outlineLevel="0" collapsed="false">
      <c r="A1412" s="21"/>
      <c r="B1412" s="22"/>
      <c r="C1412" s="21"/>
      <c r="D1412" s="24"/>
      <c r="E1412" s="22"/>
      <c r="F1412" s="29" t="str">
        <f aca="false">IF(C1412="","",IFERROR(INDEX(Produk!$J$2:$J$100,MATCH(C1412,Produk!$A$2:$A$100,0)),"PRODUK?"))</f>
        <v/>
      </c>
      <c r="G1412" s="29" t="str">
        <f aca="false">IF(A1412="","",IF(COUNTIF(Anggota!$A$2:$A$2001,A1412)=0,"TIDAK ADA","OK"))</f>
        <v/>
      </c>
    </row>
    <row r="1413" customFormat="false" ht="15" hidden="false" customHeight="false" outlineLevel="0" collapsed="false">
      <c r="A1413" s="21"/>
      <c r="B1413" s="22"/>
      <c r="C1413" s="21"/>
      <c r="D1413" s="24"/>
      <c r="E1413" s="22"/>
      <c r="F1413" s="29" t="str">
        <f aca="false">IF(C1413="","",IFERROR(INDEX(Produk!$J$2:$J$100,MATCH(C1413,Produk!$A$2:$A$100,0)),"PRODUK?"))</f>
        <v/>
      </c>
      <c r="G1413" s="29" t="str">
        <f aca="false">IF(A1413="","",IF(COUNTIF(Anggota!$A$2:$A$2001,A1413)=0,"TIDAK ADA","OK"))</f>
        <v/>
      </c>
    </row>
    <row r="1414" customFormat="false" ht="15" hidden="false" customHeight="false" outlineLevel="0" collapsed="false">
      <c r="A1414" s="21"/>
      <c r="B1414" s="22"/>
      <c r="C1414" s="21"/>
      <c r="D1414" s="24"/>
      <c r="E1414" s="22"/>
      <c r="F1414" s="29" t="str">
        <f aca="false">IF(C1414="","",IFERROR(INDEX(Produk!$J$2:$J$100,MATCH(C1414,Produk!$A$2:$A$100,0)),"PRODUK?"))</f>
        <v/>
      </c>
      <c r="G1414" s="29" t="str">
        <f aca="false">IF(A1414="","",IF(COUNTIF(Anggota!$A$2:$A$2001,A1414)=0,"TIDAK ADA","OK"))</f>
        <v/>
      </c>
    </row>
    <row r="1415" customFormat="false" ht="15" hidden="false" customHeight="false" outlineLevel="0" collapsed="false">
      <c r="A1415" s="21"/>
      <c r="B1415" s="22"/>
      <c r="C1415" s="21"/>
      <c r="D1415" s="24"/>
      <c r="E1415" s="22"/>
      <c r="F1415" s="29" t="str">
        <f aca="false">IF(C1415="","",IFERROR(INDEX(Produk!$J$2:$J$100,MATCH(C1415,Produk!$A$2:$A$100,0)),"PRODUK?"))</f>
        <v/>
      </c>
      <c r="G1415" s="29" t="str">
        <f aca="false">IF(A1415="","",IF(COUNTIF(Anggota!$A$2:$A$2001,A1415)=0,"TIDAK ADA","OK"))</f>
        <v/>
      </c>
    </row>
    <row r="1416" customFormat="false" ht="15" hidden="false" customHeight="false" outlineLevel="0" collapsed="false">
      <c r="A1416" s="21"/>
      <c r="B1416" s="22"/>
      <c r="C1416" s="21"/>
      <c r="D1416" s="24"/>
      <c r="E1416" s="22"/>
      <c r="F1416" s="29" t="str">
        <f aca="false">IF(C1416="","",IFERROR(INDEX(Produk!$J$2:$J$100,MATCH(C1416,Produk!$A$2:$A$100,0)),"PRODUK?"))</f>
        <v/>
      </c>
      <c r="G1416" s="29" t="str">
        <f aca="false">IF(A1416="","",IF(COUNTIF(Anggota!$A$2:$A$2001,A1416)=0,"TIDAK ADA","OK"))</f>
        <v/>
      </c>
    </row>
    <row r="1417" customFormat="false" ht="15" hidden="false" customHeight="false" outlineLevel="0" collapsed="false">
      <c r="A1417" s="21"/>
      <c r="B1417" s="22"/>
      <c r="C1417" s="21"/>
      <c r="D1417" s="24"/>
      <c r="E1417" s="22"/>
      <c r="F1417" s="29" t="str">
        <f aca="false">IF(C1417="","",IFERROR(INDEX(Produk!$J$2:$J$100,MATCH(C1417,Produk!$A$2:$A$100,0)),"PRODUK?"))</f>
        <v/>
      </c>
      <c r="G1417" s="29" t="str">
        <f aca="false">IF(A1417="","",IF(COUNTIF(Anggota!$A$2:$A$2001,A1417)=0,"TIDAK ADA","OK"))</f>
        <v/>
      </c>
    </row>
    <row r="1418" customFormat="false" ht="15" hidden="false" customHeight="false" outlineLevel="0" collapsed="false">
      <c r="A1418" s="21"/>
      <c r="B1418" s="22"/>
      <c r="C1418" s="21"/>
      <c r="D1418" s="24"/>
      <c r="E1418" s="22"/>
      <c r="F1418" s="29" t="str">
        <f aca="false">IF(C1418="","",IFERROR(INDEX(Produk!$J$2:$J$100,MATCH(C1418,Produk!$A$2:$A$100,0)),"PRODUK?"))</f>
        <v/>
      </c>
      <c r="G1418" s="29" t="str">
        <f aca="false">IF(A1418="","",IF(COUNTIF(Anggota!$A$2:$A$2001,A1418)=0,"TIDAK ADA","OK"))</f>
        <v/>
      </c>
    </row>
    <row r="1419" customFormat="false" ht="15" hidden="false" customHeight="false" outlineLevel="0" collapsed="false">
      <c r="A1419" s="21"/>
      <c r="B1419" s="22"/>
      <c r="C1419" s="21"/>
      <c r="D1419" s="24"/>
      <c r="E1419" s="22"/>
      <c r="F1419" s="29" t="str">
        <f aca="false">IF(C1419="","",IFERROR(INDEX(Produk!$J$2:$J$100,MATCH(C1419,Produk!$A$2:$A$100,0)),"PRODUK?"))</f>
        <v/>
      </c>
      <c r="G1419" s="29" t="str">
        <f aca="false">IF(A1419="","",IF(COUNTIF(Anggota!$A$2:$A$2001,A1419)=0,"TIDAK ADA","OK"))</f>
        <v/>
      </c>
    </row>
    <row r="1420" customFormat="false" ht="15" hidden="false" customHeight="false" outlineLevel="0" collapsed="false">
      <c r="A1420" s="21"/>
      <c r="B1420" s="22"/>
      <c r="C1420" s="21"/>
      <c r="D1420" s="24"/>
      <c r="E1420" s="22"/>
      <c r="F1420" s="29" t="str">
        <f aca="false">IF(C1420="","",IFERROR(INDEX(Produk!$J$2:$J$100,MATCH(C1420,Produk!$A$2:$A$100,0)),"PRODUK?"))</f>
        <v/>
      </c>
      <c r="G1420" s="29" t="str">
        <f aca="false">IF(A1420="","",IF(COUNTIF(Anggota!$A$2:$A$2001,A1420)=0,"TIDAK ADA","OK"))</f>
        <v/>
      </c>
    </row>
    <row r="1421" customFormat="false" ht="15" hidden="false" customHeight="false" outlineLevel="0" collapsed="false">
      <c r="A1421" s="21"/>
      <c r="B1421" s="22"/>
      <c r="C1421" s="21"/>
      <c r="D1421" s="24"/>
      <c r="E1421" s="22"/>
      <c r="F1421" s="29" t="str">
        <f aca="false">IF(C1421="","",IFERROR(INDEX(Produk!$J$2:$J$100,MATCH(C1421,Produk!$A$2:$A$100,0)),"PRODUK?"))</f>
        <v/>
      </c>
      <c r="G1421" s="29" t="str">
        <f aca="false">IF(A1421="","",IF(COUNTIF(Anggota!$A$2:$A$2001,A1421)=0,"TIDAK ADA","OK"))</f>
        <v/>
      </c>
    </row>
    <row r="1422" customFormat="false" ht="15" hidden="false" customHeight="false" outlineLevel="0" collapsed="false">
      <c r="A1422" s="21"/>
      <c r="B1422" s="22"/>
      <c r="C1422" s="21"/>
      <c r="D1422" s="24"/>
      <c r="E1422" s="22"/>
      <c r="F1422" s="29" t="str">
        <f aca="false">IF(C1422="","",IFERROR(INDEX(Produk!$J$2:$J$100,MATCH(C1422,Produk!$A$2:$A$100,0)),"PRODUK?"))</f>
        <v/>
      </c>
      <c r="G1422" s="29" t="str">
        <f aca="false">IF(A1422="","",IF(COUNTIF(Anggota!$A$2:$A$2001,A1422)=0,"TIDAK ADA","OK"))</f>
        <v/>
      </c>
    </row>
    <row r="1423" customFormat="false" ht="15" hidden="false" customHeight="false" outlineLevel="0" collapsed="false">
      <c r="A1423" s="21"/>
      <c r="B1423" s="22"/>
      <c r="C1423" s="21"/>
      <c r="D1423" s="24"/>
      <c r="E1423" s="22"/>
      <c r="F1423" s="29" t="str">
        <f aca="false">IF(C1423="","",IFERROR(INDEX(Produk!$J$2:$J$100,MATCH(C1423,Produk!$A$2:$A$100,0)),"PRODUK?"))</f>
        <v/>
      </c>
      <c r="G1423" s="29" t="str">
        <f aca="false">IF(A1423="","",IF(COUNTIF(Anggota!$A$2:$A$2001,A1423)=0,"TIDAK ADA","OK"))</f>
        <v/>
      </c>
    </row>
    <row r="1424" customFormat="false" ht="15" hidden="false" customHeight="false" outlineLevel="0" collapsed="false">
      <c r="A1424" s="21"/>
      <c r="B1424" s="22"/>
      <c r="C1424" s="21"/>
      <c r="D1424" s="24"/>
      <c r="E1424" s="22"/>
      <c r="F1424" s="29" t="str">
        <f aca="false">IF(C1424="","",IFERROR(INDEX(Produk!$J$2:$J$100,MATCH(C1424,Produk!$A$2:$A$100,0)),"PRODUK?"))</f>
        <v/>
      </c>
      <c r="G1424" s="29" t="str">
        <f aca="false">IF(A1424="","",IF(COUNTIF(Anggota!$A$2:$A$2001,A1424)=0,"TIDAK ADA","OK"))</f>
        <v/>
      </c>
    </row>
    <row r="1425" customFormat="false" ht="15" hidden="false" customHeight="false" outlineLevel="0" collapsed="false">
      <c r="A1425" s="21"/>
      <c r="B1425" s="22"/>
      <c r="C1425" s="21"/>
      <c r="D1425" s="24"/>
      <c r="E1425" s="22"/>
      <c r="F1425" s="29" t="str">
        <f aca="false">IF(C1425="","",IFERROR(INDEX(Produk!$J$2:$J$100,MATCH(C1425,Produk!$A$2:$A$100,0)),"PRODUK?"))</f>
        <v/>
      </c>
      <c r="G1425" s="29" t="str">
        <f aca="false">IF(A1425="","",IF(COUNTIF(Anggota!$A$2:$A$2001,A1425)=0,"TIDAK ADA","OK"))</f>
        <v/>
      </c>
    </row>
    <row r="1426" customFormat="false" ht="15" hidden="false" customHeight="false" outlineLevel="0" collapsed="false">
      <c r="A1426" s="21"/>
      <c r="B1426" s="22"/>
      <c r="C1426" s="21"/>
      <c r="D1426" s="24"/>
      <c r="E1426" s="22"/>
      <c r="F1426" s="29" t="str">
        <f aca="false">IF(C1426="","",IFERROR(INDEX(Produk!$J$2:$J$100,MATCH(C1426,Produk!$A$2:$A$100,0)),"PRODUK?"))</f>
        <v/>
      </c>
      <c r="G1426" s="29" t="str">
        <f aca="false">IF(A1426="","",IF(COUNTIF(Anggota!$A$2:$A$2001,A1426)=0,"TIDAK ADA","OK"))</f>
        <v/>
      </c>
    </row>
    <row r="1427" customFormat="false" ht="15" hidden="false" customHeight="false" outlineLevel="0" collapsed="false">
      <c r="A1427" s="21"/>
      <c r="B1427" s="22"/>
      <c r="C1427" s="21"/>
      <c r="D1427" s="24"/>
      <c r="E1427" s="22"/>
      <c r="F1427" s="29" t="str">
        <f aca="false">IF(C1427="","",IFERROR(INDEX(Produk!$J$2:$J$100,MATCH(C1427,Produk!$A$2:$A$100,0)),"PRODUK?"))</f>
        <v/>
      </c>
      <c r="G1427" s="29" t="str">
        <f aca="false">IF(A1427="","",IF(COUNTIF(Anggota!$A$2:$A$2001,A1427)=0,"TIDAK ADA","OK"))</f>
        <v/>
      </c>
    </row>
    <row r="1428" customFormat="false" ht="15" hidden="false" customHeight="false" outlineLevel="0" collapsed="false">
      <c r="A1428" s="21"/>
      <c r="B1428" s="22"/>
      <c r="C1428" s="21"/>
      <c r="D1428" s="24"/>
      <c r="E1428" s="22"/>
      <c r="F1428" s="29" t="str">
        <f aca="false">IF(C1428="","",IFERROR(INDEX(Produk!$J$2:$J$100,MATCH(C1428,Produk!$A$2:$A$100,0)),"PRODUK?"))</f>
        <v/>
      </c>
      <c r="G1428" s="29" t="str">
        <f aca="false">IF(A1428="","",IF(COUNTIF(Anggota!$A$2:$A$2001,A1428)=0,"TIDAK ADA","OK"))</f>
        <v/>
      </c>
    </row>
    <row r="1429" customFormat="false" ht="15" hidden="false" customHeight="false" outlineLevel="0" collapsed="false">
      <c r="A1429" s="21"/>
      <c r="B1429" s="22"/>
      <c r="C1429" s="21"/>
      <c r="D1429" s="24"/>
      <c r="E1429" s="22"/>
      <c r="F1429" s="29" t="str">
        <f aca="false">IF(C1429="","",IFERROR(INDEX(Produk!$J$2:$J$100,MATCH(C1429,Produk!$A$2:$A$100,0)),"PRODUK?"))</f>
        <v/>
      </c>
      <c r="G1429" s="29" t="str">
        <f aca="false">IF(A1429="","",IF(COUNTIF(Anggota!$A$2:$A$2001,A1429)=0,"TIDAK ADA","OK"))</f>
        <v/>
      </c>
    </row>
    <row r="1430" customFormat="false" ht="15" hidden="false" customHeight="false" outlineLevel="0" collapsed="false">
      <c r="A1430" s="21"/>
      <c r="B1430" s="22"/>
      <c r="C1430" s="21"/>
      <c r="D1430" s="24"/>
      <c r="E1430" s="22"/>
      <c r="F1430" s="29" t="str">
        <f aca="false">IF(C1430="","",IFERROR(INDEX(Produk!$J$2:$J$100,MATCH(C1430,Produk!$A$2:$A$100,0)),"PRODUK?"))</f>
        <v/>
      </c>
      <c r="G1430" s="29" t="str">
        <f aca="false">IF(A1430="","",IF(COUNTIF(Anggota!$A$2:$A$2001,A1430)=0,"TIDAK ADA","OK"))</f>
        <v/>
      </c>
    </row>
    <row r="1431" customFormat="false" ht="15" hidden="false" customHeight="false" outlineLevel="0" collapsed="false">
      <c r="A1431" s="21"/>
      <c r="B1431" s="22"/>
      <c r="C1431" s="21"/>
      <c r="D1431" s="24"/>
      <c r="E1431" s="22"/>
      <c r="F1431" s="29" t="str">
        <f aca="false">IF(C1431="","",IFERROR(INDEX(Produk!$J$2:$J$100,MATCH(C1431,Produk!$A$2:$A$100,0)),"PRODUK?"))</f>
        <v/>
      </c>
      <c r="G1431" s="29" t="str">
        <f aca="false">IF(A1431="","",IF(COUNTIF(Anggota!$A$2:$A$2001,A1431)=0,"TIDAK ADA","OK"))</f>
        <v/>
      </c>
    </row>
    <row r="1432" customFormat="false" ht="15" hidden="false" customHeight="false" outlineLevel="0" collapsed="false">
      <c r="A1432" s="21"/>
      <c r="B1432" s="22"/>
      <c r="C1432" s="21"/>
      <c r="D1432" s="24"/>
      <c r="E1432" s="22"/>
      <c r="F1432" s="29" t="str">
        <f aca="false">IF(C1432="","",IFERROR(INDEX(Produk!$J$2:$J$100,MATCH(C1432,Produk!$A$2:$A$100,0)),"PRODUK?"))</f>
        <v/>
      </c>
      <c r="G1432" s="29" t="str">
        <f aca="false">IF(A1432="","",IF(COUNTIF(Anggota!$A$2:$A$2001,A1432)=0,"TIDAK ADA","OK"))</f>
        <v/>
      </c>
    </row>
    <row r="1433" customFormat="false" ht="15" hidden="false" customHeight="false" outlineLevel="0" collapsed="false">
      <c r="A1433" s="21"/>
      <c r="B1433" s="22"/>
      <c r="C1433" s="21"/>
      <c r="D1433" s="24"/>
      <c r="E1433" s="22"/>
      <c r="F1433" s="29" t="str">
        <f aca="false">IF(C1433="","",IFERROR(INDEX(Produk!$J$2:$J$100,MATCH(C1433,Produk!$A$2:$A$100,0)),"PRODUK?"))</f>
        <v/>
      </c>
      <c r="G1433" s="29" t="str">
        <f aca="false">IF(A1433="","",IF(COUNTIF(Anggota!$A$2:$A$2001,A1433)=0,"TIDAK ADA","OK"))</f>
        <v/>
      </c>
    </row>
    <row r="1434" customFormat="false" ht="15" hidden="false" customHeight="false" outlineLevel="0" collapsed="false">
      <c r="A1434" s="21"/>
      <c r="B1434" s="22"/>
      <c r="C1434" s="21"/>
      <c r="D1434" s="24"/>
      <c r="E1434" s="22"/>
      <c r="F1434" s="29" t="str">
        <f aca="false">IF(C1434="","",IFERROR(INDEX(Produk!$J$2:$J$100,MATCH(C1434,Produk!$A$2:$A$100,0)),"PRODUK?"))</f>
        <v/>
      </c>
      <c r="G1434" s="29" t="str">
        <f aca="false">IF(A1434="","",IF(COUNTIF(Anggota!$A$2:$A$2001,A1434)=0,"TIDAK ADA","OK"))</f>
        <v/>
      </c>
    </row>
    <row r="1435" customFormat="false" ht="15" hidden="false" customHeight="false" outlineLevel="0" collapsed="false">
      <c r="A1435" s="21"/>
      <c r="B1435" s="22"/>
      <c r="C1435" s="21"/>
      <c r="D1435" s="24"/>
      <c r="E1435" s="22"/>
      <c r="F1435" s="29" t="str">
        <f aca="false">IF(C1435="","",IFERROR(INDEX(Produk!$J$2:$J$100,MATCH(C1435,Produk!$A$2:$A$100,0)),"PRODUK?"))</f>
        <v/>
      </c>
      <c r="G1435" s="29" t="str">
        <f aca="false">IF(A1435="","",IF(COUNTIF(Anggota!$A$2:$A$2001,A1435)=0,"TIDAK ADA","OK"))</f>
        <v/>
      </c>
    </row>
    <row r="1436" customFormat="false" ht="15" hidden="false" customHeight="false" outlineLevel="0" collapsed="false">
      <c r="A1436" s="21"/>
      <c r="B1436" s="22"/>
      <c r="C1436" s="21"/>
      <c r="D1436" s="24"/>
      <c r="E1436" s="22"/>
      <c r="F1436" s="29" t="str">
        <f aca="false">IF(C1436="","",IFERROR(INDEX(Produk!$J$2:$J$100,MATCH(C1436,Produk!$A$2:$A$100,0)),"PRODUK?"))</f>
        <v/>
      </c>
      <c r="G1436" s="29" t="str">
        <f aca="false">IF(A1436="","",IF(COUNTIF(Anggota!$A$2:$A$2001,A1436)=0,"TIDAK ADA","OK"))</f>
        <v/>
      </c>
    </row>
    <row r="1437" customFormat="false" ht="15" hidden="false" customHeight="false" outlineLevel="0" collapsed="false">
      <c r="A1437" s="21"/>
      <c r="B1437" s="22"/>
      <c r="C1437" s="21"/>
      <c r="D1437" s="24"/>
      <c r="E1437" s="22"/>
      <c r="F1437" s="29" t="str">
        <f aca="false">IF(C1437="","",IFERROR(INDEX(Produk!$J$2:$J$100,MATCH(C1437,Produk!$A$2:$A$100,0)),"PRODUK?"))</f>
        <v/>
      </c>
      <c r="G1437" s="29" t="str">
        <f aca="false">IF(A1437="","",IF(COUNTIF(Anggota!$A$2:$A$2001,A1437)=0,"TIDAK ADA","OK"))</f>
        <v/>
      </c>
    </row>
    <row r="1438" customFormat="false" ht="15" hidden="false" customHeight="false" outlineLevel="0" collapsed="false">
      <c r="A1438" s="21"/>
      <c r="B1438" s="22"/>
      <c r="C1438" s="21"/>
      <c r="D1438" s="24"/>
      <c r="E1438" s="22"/>
      <c r="F1438" s="29" t="str">
        <f aca="false">IF(C1438="","",IFERROR(INDEX(Produk!$J$2:$J$100,MATCH(C1438,Produk!$A$2:$A$100,0)),"PRODUK?"))</f>
        <v/>
      </c>
      <c r="G1438" s="29" t="str">
        <f aca="false">IF(A1438="","",IF(COUNTIF(Anggota!$A$2:$A$2001,A1438)=0,"TIDAK ADA","OK"))</f>
        <v/>
      </c>
    </row>
    <row r="1439" customFormat="false" ht="15" hidden="false" customHeight="false" outlineLevel="0" collapsed="false">
      <c r="A1439" s="21"/>
      <c r="B1439" s="22"/>
      <c r="C1439" s="21"/>
      <c r="D1439" s="24"/>
      <c r="E1439" s="22"/>
      <c r="F1439" s="29" t="str">
        <f aca="false">IF(C1439="","",IFERROR(INDEX(Produk!$J$2:$J$100,MATCH(C1439,Produk!$A$2:$A$100,0)),"PRODUK?"))</f>
        <v/>
      </c>
      <c r="G1439" s="29" t="str">
        <f aca="false">IF(A1439="","",IF(COUNTIF(Anggota!$A$2:$A$2001,A1439)=0,"TIDAK ADA","OK"))</f>
        <v/>
      </c>
    </row>
    <row r="1440" customFormat="false" ht="15" hidden="false" customHeight="false" outlineLevel="0" collapsed="false">
      <c r="A1440" s="21"/>
      <c r="B1440" s="22"/>
      <c r="C1440" s="21"/>
      <c r="D1440" s="24"/>
      <c r="E1440" s="22"/>
      <c r="F1440" s="29" t="str">
        <f aca="false">IF(C1440="","",IFERROR(INDEX(Produk!$J$2:$J$100,MATCH(C1440,Produk!$A$2:$A$100,0)),"PRODUK?"))</f>
        <v/>
      </c>
      <c r="G1440" s="29" t="str">
        <f aca="false">IF(A1440="","",IF(COUNTIF(Anggota!$A$2:$A$2001,A1440)=0,"TIDAK ADA","OK"))</f>
        <v/>
      </c>
    </row>
    <row r="1441" customFormat="false" ht="15" hidden="false" customHeight="false" outlineLevel="0" collapsed="false">
      <c r="A1441" s="21"/>
      <c r="B1441" s="22"/>
      <c r="C1441" s="21"/>
      <c r="D1441" s="24"/>
      <c r="E1441" s="22"/>
      <c r="F1441" s="29" t="str">
        <f aca="false">IF(C1441="","",IFERROR(INDEX(Produk!$J$2:$J$100,MATCH(C1441,Produk!$A$2:$A$100,0)),"PRODUK?"))</f>
        <v/>
      </c>
      <c r="G1441" s="29" t="str">
        <f aca="false">IF(A1441="","",IF(COUNTIF(Anggota!$A$2:$A$2001,A1441)=0,"TIDAK ADA","OK"))</f>
        <v/>
      </c>
    </row>
    <row r="1442" customFormat="false" ht="15" hidden="false" customHeight="false" outlineLevel="0" collapsed="false">
      <c r="A1442" s="21"/>
      <c r="B1442" s="22"/>
      <c r="C1442" s="21"/>
      <c r="D1442" s="24"/>
      <c r="E1442" s="22"/>
      <c r="F1442" s="29" t="str">
        <f aca="false">IF(C1442="","",IFERROR(INDEX(Produk!$J$2:$J$100,MATCH(C1442,Produk!$A$2:$A$100,0)),"PRODUK?"))</f>
        <v/>
      </c>
      <c r="G1442" s="29" t="str">
        <f aca="false">IF(A1442="","",IF(COUNTIF(Anggota!$A$2:$A$2001,A1442)=0,"TIDAK ADA","OK"))</f>
        <v/>
      </c>
    </row>
    <row r="1443" customFormat="false" ht="15" hidden="false" customHeight="false" outlineLevel="0" collapsed="false">
      <c r="A1443" s="21"/>
      <c r="B1443" s="22"/>
      <c r="C1443" s="21"/>
      <c r="D1443" s="24"/>
      <c r="E1443" s="22"/>
      <c r="F1443" s="29" t="str">
        <f aca="false">IF(C1443="","",IFERROR(INDEX(Produk!$J$2:$J$100,MATCH(C1443,Produk!$A$2:$A$100,0)),"PRODUK?"))</f>
        <v/>
      </c>
      <c r="G1443" s="29" t="str">
        <f aca="false">IF(A1443="","",IF(COUNTIF(Anggota!$A$2:$A$2001,A1443)=0,"TIDAK ADA","OK"))</f>
        <v/>
      </c>
    </row>
    <row r="1444" customFormat="false" ht="15" hidden="false" customHeight="false" outlineLevel="0" collapsed="false">
      <c r="A1444" s="21"/>
      <c r="B1444" s="22"/>
      <c r="C1444" s="21"/>
      <c r="D1444" s="24"/>
      <c r="E1444" s="22"/>
      <c r="F1444" s="29" t="str">
        <f aca="false">IF(C1444="","",IFERROR(INDEX(Produk!$J$2:$J$100,MATCH(C1444,Produk!$A$2:$A$100,0)),"PRODUK?"))</f>
        <v/>
      </c>
      <c r="G1444" s="29" t="str">
        <f aca="false">IF(A1444="","",IF(COUNTIF(Anggota!$A$2:$A$2001,A1444)=0,"TIDAK ADA","OK"))</f>
        <v/>
      </c>
    </row>
    <row r="1445" customFormat="false" ht="15" hidden="false" customHeight="false" outlineLevel="0" collapsed="false">
      <c r="A1445" s="21"/>
      <c r="B1445" s="22"/>
      <c r="C1445" s="21"/>
      <c r="D1445" s="24"/>
      <c r="E1445" s="22"/>
      <c r="F1445" s="29" t="str">
        <f aca="false">IF(C1445="","",IFERROR(INDEX(Produk!$J$2:$J$100,MATCH(C1445,Produk!$A$2:$A$100,0)),"PRODUK?"))</f>
        <v/>
      </c>
      <c r="G1445" s="29" t="str">
        <f aca="false">IF(A1445="","",IF(COUNTIF(Anggota!$A$2:$A$2001,A1445)=0,"TIDAK ADA","OK"))</f>
        <v/>
      </c>
    </row>
    <row r="1446" customFormat="false" ht="15" hidden="false" customHeight="false" outlineLevel="0" collapsed="false">
      <c r="A1446" s="21"/>
      <c r="B1446" s="22"/>
      <c r="C1446" s="21"/>
      <c r="D1446" s="24"/>
      <c r="E1446" s="22"/>
      <c r="F1446" s="29" t="str">
        <f aca="false">IF(C1446="","",IFERROR(INDEX(Produk!$J$2:$J$100,MATCH(C1446,Produk!$A$2:$A$100,0)),"PRODUK?"))</f>
        <v/>
      </c>
      <c r="G1446" s="29" t="str">
        <f aca="false">IF(A1446="","",IF(COUNTIF(Anggota!$A$2:$A$2001,A1446)=0,"TIDAK ADA","OK"))</f>
        <v/>
      </c>
    </row>
    <row r="1447" customFormat="false" ht="15" hidden="false" customHeight="false" outlineLevel="0" collapsed="false">
      <c r="A1447" s="21"/>
      <c r="B1447" s="22"/>
      <c r="C1447" s="21"/>
      <c r="D1447" s="24"/>
      <c r="E1447" s="22"/>
      <c r="F1447" s="29" t="str">
        <f aca="false">IF(C1447="","",IFERROR(INDEX(Produk!$J$2:$J$100,MATCH(C1447,Produk!$A$2:$A$100,0)),"PRODUK?"))</f>
        <v/>
      </c>
      <c r="G1447" s="29" t="str">
        <f aca="false">IF(A1447="","",IF(COUNTIF(Anggota!$A$2:$A$2001,A1447)=0,"TIDAK ADA","OK"))</f>
        <v/>
      </c>
    </row>
    <row r="1448" customFormat="false" ht="15" hidden="false" customHeight="false" outlineLevel="0" collapsed="false">
      <c r="A1448" s="21"/>
      <c r="B1448" s="22"/>
      <c r="C1448" s="21"/>
      <c r="D1448" s="24"/>
      <c r="E1448" s="22"/>
      <c r="F1448" s="29" t="str">
        <f aca="false">IF(C1448="","",IFERROR(INDEX(Produk!$J$2:$J$100,MATCH(C1448,Produk!$A$2:$A$100,0)),"PRODUK?"))</f>
        <v/>
      </c>
      <c r="G1448" s="29" t="str">
        <f aca="false">IF(A1448="","",IF(COUNTIF(Anggota!$A$2:$A$2001,A1448)=0,"TIDAK ADA","OK"))</f>
        <v/>
      </c>
    </row>
    <row r="1449" customFormat="false" ht="15" hidden="false" customHeight="false" outlineLevel="0" collapsed="false">
      <c r="A1449" s="21"/>
      <c r="B1449" s="22"/>
      <c r="C1449" s="21"/>
      <c r="D1449" s="24"/>
      <c r="E1449" s="22"/>
      <c r="F1449" s="29" t="str">
        <f aca="false">IF(C1449="","",IFERROR(INDEX(Produk!$J$2:$J$100,MATCH(C1449,Produk!$A$2:$A$100,0)),"PRODUK?"))</f>
        <v/>
      </c>
      <c r="G1449" s="29" t="str">
        <f aca="false">IF(A1449="","",IF(COUNTIF(Anggota!$A$2:$A$2001,A1449)=0,"TIDAK ADA","OK"))</f>
        <v/>
      </c>
    </row>
    <row r="1450" customFormat="false" ht="15" hidden="false" customHeight="false" outlineLevel="0" collapsed="false">
      <c r="A1450" s="21"/>
      <c r="B1450" s="22"/>
      <c r="C1450" s="21"/>
      <c r="D1450" s="24"/>
      <c r="E1450" s="22"/>
      <c r="F1450" s="29" t="str">
        <f aca="false">IF(C1450="","",IFERROR(INDEX(Produk!$J$2:$J$100,MATCH(C1450,Produk!$A$2:$A$100,0)),"PRODUK?"))</f>
        <v/>
      </c>
      <c r="G1450" s="29" t="str">
        <f aca="false">IF(A1450="","",IF(COUNTIF(Anggota!$A$2:$A$2001,A1450)=0,"TIDAK ADA","OK"))</f>
        <v/>
      </c>
    </row>
    <row r="1451" customFormat="false" ht="15" hidden="false" customHeight="false" outlineLevel="0" collapsed="false">
      <c r="A1451" s="21"/>
      <c r="B1451" s="22"/>
      <c r="C1451" s="21"/>
      <c r="D1451" s="24"/>
      <c r="E1451" s="22"/>
      <c r="F1451" s="29" t="str">
        <f aca="false">IF(C1451="","",IFERROR(INDEX(Produk!$J$2:$J$100,MATCH(C1451,Produk!$A$2:$A$100,0)),"PRODUK?"))</f>
        <v/>
      </c>
      <c r="G1451" s="29" t="str">
        <f aca="false">IF(A1451="","",IF(COUNTIF(Anggota!$A$2:$A$2001,A1451)=0,"TIDAK ADA","OK"))</f>
        <v/>
      </c>
    </row>
    <row r="1452" customFormat="false" ht="15" hidden="false" customHeight="false" outlineLevel="0" collapsed="false">
      <c r="A1452" s="21"/>
      <c r="B1452" s="22"/>
      <c r="C1452" s="21"/>
      <c r="D1452" s="24"/>
      <c r="E1452" s="22"/>
      <c r="F1452" s="29" t="str">
        <f aca="false">IF(C1452="","",IFERROR(INDEX(Produk!$J$2:$J$100,MATCH(C1452,Produk!$A$2:$A$100,0)),"PRODUK?"))</f>
        <v/>
      </c>
      <c r="G1452" s="29" t="str">
        <f aca="false">IF(A1452="","",IF(COUNTIF(Anggota!$A$2:$A$2001,A1452)=0,"TIDAK ADA","OK"))</f>
        <v/>
      </c>
    </row>
    <row r="1453" customFormat="false" ht="15" hidden="false" customHeight="false" outlineLevel="0" collapsed="false">
      <c r="A1453" s="21"/>
      <c r="B1453" s="22"/>
      <c r="C1453" s="21"/>
      <c r="D1453" s="24"/>
      <c r="E1453" s="22"/>
      <c r="F1453" s="29" t="str">
        <f aca="false">IF(C1453="","",IFERROR(INDEX(Produk!$J$2:$J$100,MATCH(C1453,Produk!$A$2:$A$100,0)),"PRODUK?"))</f>
        <v/>
      </c>
      <c r="G1453" s="29" t="str">
        <f aca="false">IF(A1453="","",IF(COUNTIF(Anggota!$A$2:$A$2001,A1453)=0,"TIDAK ADA","OK"))</f>
        <v/>
      </c>
    </row>
    <row r="1454" customFormat="false" ht="15" hidden="false" customHeight="false" outlineLevel="0" collapsed="false">
      <c r="A1454" s="21"/>
      <c r="B1454" s="22"/>
      <c r="C1454" s="21"/>
      <c r="D1454" s="24"/>
      <c r="E1454" s="22"/>
      <c r="F1454" s="29" t="str">
        <f aca="false">IF(C1454="","",IFERROR(INDEX(Produk!$J$2:$J$100,MATCH(C1454,Produk!$A$2:$A$100,0)),"PRODUK?"))</f>
        <v/>
      </c>
      <c r="G1454" s="29" t="str">
        <f aca="false">IF(A1454="","",IF(COUNTIF(Anggota!$A$2:$A$2001,A1454)=0,"TIDAK ADA","OK"))</f>
        <v/>
      </c>
    </row>
    <row r="1455" customFormat="false" ht="15" hidden="false" customHeight="false" outlineLevel="0" collapsed="false">
      <c r="A1455" s="21"/>
      <c r="B1455" s="22"/>
      <c r="C1455" s="21"/>
      <c r="D1455" s="24"/>
      <c r="E1455" s="22"/>
      <c r="F1455" s="29" t="str">
        <f aca="false">IF(C1455="","",IFERROR(INDEX(Produk!$J$2:$J$100,MATCH(C1455,Produk!$A$2:$A$100,0)),"PRODUK?"))</f>
        <v/>
      </c>
      <c r="G1455" s="29" t="str">
        <f aca="false">IF(A1455="","",IF(COUNTIF(Anggota!$A$2:$A$2001,A1455)=0,"TIDAK ADA","OK"))</f>
        <v/>
      </c>
    </row>
    <row r="1456" customFormat="false" ht="15" hidden="false" customHeight="false" outlineLevel="0" collapsed="false">
      <c r="A1456" s="21"/>
      <c r="B1456" s="22"/>
      <c r="C1456" s="21"/>
      <c r="D1456" s="24"/>
      <c r="E1456" s="22"/>
      <c r="F1456" s="29" t="str">
        <f aca="false">IF(C1456="","",IFERROR(INDEX(Produk!$J$2:$J$100,MATCH(C1456,Produk!$A$2:$A$100,0)),"PRODUK?"))</f>
        <v/>
      </c>
      <c r="G1456" s="29" t="str">
        <f aca="false">IF(A1456="","",IF(COUNTIF(Anggota!$A$2:$A$2001,A1456)=0,"TIDAK ADA","OK"))</f>
        <v/>
      </c>
    </row>
    <row r="1457" customFormat="false" ht="15" hidden="false" customHeight="false" outlineLevel="0" collapsed="false">
      <c r="A1457" s="21"/>
      <c r="B1457" s="22"/>
      <c r="C1457" s="21"/>
      <c r="D1457" s="24"/>
      <c r="E1457" s="22"/>
      <c r="F1457" s="29" t="str">
        <f aca="false">IF(C1457="","",IFERROR(INDEX(Produk!$J$2:$J$100,MATCH(C1457,Produk!$A$2:$A$100,0)),"PRODUK?"))</f>
        <v/>
      </c>
      <c r="G1457" s="29" t="str">
        <f aca="false">IF(A1457="","",IF(COUNTIF(Anggota!$A$2:$A$2001,A1457)=0,"TIDAK ADA","OK"))</f>
        <v/>
      </c>
    </row>
    <row r="1458" customFormat="false" ht="15" hidden="false" customHeight="false" outlineLevel="0" collapsed="false">
      <c r="A1458" s="21"/>
      <c r="B1458" s="22"/>
      <c r="C1458" s="21"/>
      <c r="D1458" s="24"/>
      <c r="E1458" s="22"/>
      <c r="F1458" s="29" t="str">
        <f aca="false">IF(C1458="","",IFERROR(INDEX(Produk!$J$2:$J$100,MATCH(C1458,Produk!$A$2:$A$100,0)),"PRODUK?"))</f>
        <v/>
      </c>
      <c r="G1458" s="29" t="str">
        <f aca="false">IF(A1458="","",IF(COUNTIF(Anggota!$A$2:$A$2001,A1458)=0,"TIDAK ADA","OK"))</f>
        <v/>
      </c>
    </row>
    <row r="1459" customFormat="false" ht="15" hidden="false" customHeight="false" outlineLevel="0" collapsed="false">
      <c r="A1459" s="21"/>
      <c r="B1459" s="22"/>
      <c r="C1459" s="21"/>
      <c r="D1459" s="24"/>
      <c r="E1459" s="22"/>
      <c r="F1459" s="29" t="str">
        <f aca="false">IF(C1459="","",IFERROR(INDEX(Produk!$J$2:$J$100,MATCH(C1459,Produk!$A$2:$A$100,0)),"PRODUK?"))</f>
        <v/>
      </c>
      <c r="G1459" s="29" t="str">
        <f aca="false">IF(A1459="","",IF(COUNTIF(Anggota!$A$2:$A$2001,A1459)=0,"TIDAK ADA","OK"))</f>
        <v/>
      </c>
    </row>
    <row r="1460" customFormat="false" ht="15" hidden="false" customHeight="false" outlineLevel="0" collapsed="false">
      <c r="A1460" s="21"/>
      <c r="B1460" s="22"/>
      <c r="C1460" s="21"/>
      <c r="D1460" s="24"/>
      <c r="E1460" s="22"/>
      <c r="F1460" s="29" t="str">
        <f aca="false">IF(C1460="","",IFERROR(INDEX(Produk!$J$2:$J$100,MATCH(C1460,Produk!$A$2:$A$100,0)),"PRODUK?"))</f>
        <v/>
      </c>
      <c r="G1460" s="29" t="str">
        <f aca="false">IF(A1460="","",IF(COUNTIF(Anggota!$A$2:$A$2001,A1460)=0,"TIDAK ADA","OK"))</f>
        <v/>
      </c>
    </row>
    <row r="1461" customFormat="false" ht="15" hidden="false" customHeight="false" outlineLevel="0" collapsed="false">
      <c r="A1461" s="21"/>
      <c r="B1461" s="22"/>
      <c r="C1461" s="21"/>
      <c r="D1461" s="24"/>
      <c r="E1461" s="22"/>
      <c r="F1461" s="29" t="str">
        <f aca="false">IF(C1461="","",IFERROR(INDEX(Produk!$J$2:$J$100,MATCH(C1461,Produk!$A$2:$A$100,0)),"PRODUK?"))</f>
        <v/>
      </c>
      <c r="G1461" s="29" t="str">
        <f aca="false">IF(A1461="","",IF(COUNTIF(Anggota!$A$2:$A$2001,A1461)=0,"TIDAK ADA","OK"))</f>
        <v/>
      </c>
    </row>
    <row r="1462" customFormat="false" ht="15" hidden="false" customHeight="false" outlineLevel="0" collapsed="false">
      <c r="A1462" s="21"/>
      <c r="B1462" s="22"/>
      <c r="C1462" s="21"/>
      <c r="D1462" s="24"/>
      <c r="E1462" s="22"/>
      <c r="F1462" s="29" t="str">
        <f aca="false">IF(C1462="","",IFERROR(INDEX(Produk!$J$2:$J$100,MATCH(C1462,Produk!$A$2:$A$100,0)),"PRODUK?"))</f>
        <v/>
      </c>
      <c r="G1462" s="29" t="str">
        <f aca="false">IF(A1462="","",IF(COUNTIF(Anggota!$A$2:$A$2001,A1462)=0,"TIDAK ADA","OK"))</f>
        <v/>
      </c>
    </row>
    <row r="1463" customFormat="false" ht="15" hidden="false" customHeight="false" outlineLevel="0" collapsed="false">
      <c r="A1463" s="21"/>
      <c r="B1463" s="22"/>
      <c r="C1463" s="21"/>
      <c r="D1463" s="24"/>
      <c r="E1463" s="22"/>
      <c r="F1463" s="29" t="str">
        <f aca="false">IF(C1463="","",IFERROR(INDEX(Produk!$J$2:$J$100,MATCH(C1463,Produk!$A$2:$A$100,0)),"PRODUK?"))</f>
        <v/>
      </c>
      <c r="G1463" s="29" t="str">
        <f aca="false">IF(A1463="","",IF(COUNTIF(Anggota!$A$2:$A$2001,A1463)=0,"TIDAK ADA","OK"))</f>
        <v/>
      </c>
    </row>
    <row r="1464" customFormat="false" ht="15" hidden="false" customHeight="false" outlineLevel="0" collapsed="false">
      <c r="A1464" s="21"/>
      <c r="B1464" s="22"/>
      <c r="C1464" s="21"/>
      <c r="D1464" s="24"/>
      <c r="E1464" s="22"/>
      <c r="F1464" s="29" t="str">
        <f aca="false">IF(C1464="","",IFERROR(INDEX(Produk!$J$2:$J$100,MATCH(C1464,Produk!$A$2:$A$100,0)),"PRODUK?"))</f>
        <v/>
      </c>
      <c r="G1464" s="29" t="str">
        <f aca="false">IF(A1464="","",IF(COUNTIF(Anggota!$A$2:$A$2001,A1464)=0,"TIDAK ADA","OK"))</f>
        <v/>
      </c>
    </row>
    <row r="1465" customFormat="false" ht="15" hidden="false" customHeight="false" outlineLevel="0" collapsed="false">
      <c r="A1465" s="21"/>
      <c r="B1465" s="22"/>
      <c r="C1465" s="21"/>
      <c r="D1465" s="24"/>
      <c r="E1465" s="22"/>
      <c r="F1465" s="29" t="str">
        <f aca="false">IF(C1465="","",IFERROR(INDEX(Produk!$J$2:$J$100,MATCH(C1465,Produk!$A$2:$A$100,0)),"PRODUK?"))</f>
        <v/>
      </c>
      <c r="G1465" s="29" t="str">
        <f aca="false">IF(A1465="","",IF(COUNTIF(Anggota!$A$2:$A$2001,A1465)=0,"TIDAK ADA","OK"))</f>
        <v/>
      </c>
    </row>
    <row r="1466" customFormat="false" ht="15" hidden="false" customHeight="false" outlineLevel="0" collapsed="false">
      <c r="A1466" s="21"/>
      <c r="B1466" s="22"/>
      <c r="C1466" s="21"/>
      <c r="D1466" s="24"/>
      <c r="E1466" s="22"/>
      <c r="F1466" s="29" t="str">
        <f aca="false">IF(C1466="","",IFERROR(INDEX(Produk!$J$2:$J$100,MATCH(C1466,Produk!$A$2:$A$100,0)),"PRODUK?"))</f>
        <v/>
      </c>
      <c r="G1466" s="29" t="str">
        <f aca="false">IF(A1466="","",IF(COUNTIF(Anggota!$A$2:$A$2001,A1466)=0,"TIDAK ADA","OK"))</f>
        <v/>
      </c>
    </row>
    <row r="1467" customFormat="false" ht="15" hidden="false" customHeight="false" outlineLevel="0" collapsed="false">
      <c r="A1467" s="21"/>
      <c r="B1467" s="22"/>
      <c r="C1467" s="21"/>
      <c r="D1467" s="24"/>
      <c r="E1467" s="22"/>
      <c r="F1467" s="29" t="str">
        <f aca="false">IF(C1467="","",IFERROR(INDEX(Produk!$J$2:$J$100,MATCH(C1467,Produk!$A$2:$A$100,0)),"PRODUK?"))</f>
        <v/>
      </c>
      <c r="G1467" s="29" t="str">
        <f aca="false">IF(A1467="","",IF(COUNTIF(Anggota!$A$2:$A$2001,A1467)=0,"TIDAK ADA","OK"))</f>
        <v/>
      </c>
    </row>
    <row r="1468" customFormat="false" ht="15" hidden="false" customHeight="false" outlineLevel="0" collapsed="false">
      <c r="A1468" s="21"/>
      <c r="B1468" s="22"/>
      <c r="C1468" s="21"/>
      <c r="D1468" s="24"/>
      <c r="E1468" s="22"/>
      <c r="F1468" s="29" t="str">
        <f aca="false">IF(C1468="","",IFERROR(INDEX(Produk!$J$2:$J$100,MATCH(C1468,Produk!$A$2:$A$100,0)),"PRODUK?"))</f>
        <v/>
      </c>
      <c r="G1468" s="29" t="str">
        <f aca="false">IF(A1468="","",IF(COUNTIF(Anggota!$A$2:$A$2001,A1468)=0,"TIDAK ADA","OK"))</f>
        <v/>
      </c>
    </row>
    <row r="1469" customFormat="false" ht="15" hidden="false" customHeight="false" outlineLevel="0" collapsed="false">
      <c r="A1469" s="21"/>
      <c r="B1469" s="22"/>
      <c r="C1469" s="21"/>
      <c r="D1469" s="24"/>
      <c r="E1469" s="22"/>
      <c r="F1469" s="29" t="str">
        <f aca="false">IF(C1469="","",IFERROR(INDEX(Produk!$J$2:$J$100,MATCH(C1469,Produk!$A$2:$A$100,0)),"PRODUK?"))</f>
        <v/>
      </c>
      <c r="G1469" s="29" t="str">
        <f aca="false">IF(A1469="","",IF(COUNTIF(Anggota!$A$2:$A$2001,A1469)=0,"TIDAK ADA","OK"))</f>
        <v/>
      </c>
    </row>
    <row r="1470" customFormat="false" ht="15" hidden="false" customHeight="false" outlineLevel="0" collapsed="false">
      <c r="A1470" s="21"/>
      <c r="B1470" s="22"/>
      <c r="C1470" s="21"/>
      <c r="D1470" s="24"/>
      <c r="E1470" s="22"/>
      <c r="F1470" s="29" t="str">
        <f aca="false">IF(C1470="","",IFERROR(INDEX(Produk!$J$2:$J$100,MATCH(C1470,Produk!$A$2:$A$100,0)),"PRODUK?"))</f>
        <v/>
      </c>
      <c r="G1470" s="29" t="str">
        <f aca="false">IF(A1470="","",IF(COUNTIF(Anggota!$A$2:$A$2001,A1470)=0,"TIDAK ADA","OK"))</f>
        <v/>
      </c>
    </row>
    <row r="1471" customFormat="false" ht="15" hidden="false" customHeight="false" outlineLevel="0" collapsed="false">
      <c r="A1471" s="21"/>
      <c r="B1471" s="22"/>
      <c r="C1471" s="21"/>
      <c r="D1471" s="24"/>
      <c r="E1471" s="22"/>
      <c r="F1471" s="29" t="str">
        <f aca="false">IF(C1471="","",IFERROR(INDEX(Produk!$J$2:$J$100,MATCH(C1471,Produk!$A$2:$A$100,0)),"PRODUK?"))</f>
        <v/>
      </c>
      <c r="G1471" s="29" t="str">
        <f aca="false">IF(A1471="","",IF(COUNTIF(Anggota!$A$2:$A$2001,A1471)=0,"TIDAK ADA","OK"))</f>
        <v/>
      </c>
    </row>
    <row r="1472" customFormat="false" ht="15" hidden="false" customHeight="false" outlineLevel="0" collapsed="false">
      <c r="A1472" s="21"/>
      <c r="B1472" s="22"/>
      <c r="C1472" s="21"/>
      <c r="D1472" s="24"/>
      <c r="E1472" s="22"/>
      <c r="F1472" s="29" t="str">
        <f aca="false">IF(C1472="","",IFERROR(INDEX(Produk!$J$2:$J$100,MATCH(C1472,Produk!$A$2:$A$100,0)),"PRODUK?"))</f>
        <v/>
      </c>
      <c r="G1472" s="29" t="str">
        <f aca="false">IF(A1472="","",IF(COUNTIF(Anggota!$A$2:$A$2001,A1472)=0,"TIDAK ADA","OK"))</f>
        <v/>
      </c>
    </row>
    <row r="1473" customFormat="false" ht="15" hidden="false" customHeight="false" outlineLevel="0" collapsed="false">
      <c r="A1473" s="21"/>
      <c r="B1473" s="22"/>
      <c r="C1473" s="21"/>
      <c r="D1473" s="24"/>
      <c r="E1473" s="22"/>
      <c r="F1473" s="29" t="str">
        <f aca="false">IF(C1473="","",IFERROR(INDEX(Produk!$J$2:$J$100,MATCH(C1473,Produk!$A$2:$A$100,0)),"PRODUK?"))</f>
        <v/>
      </c>
      <c r="G1473" s="29" t="str">
        <f aca="false">IF(A1473="","",IF(COUNTIF(Anggota!$A$2:$A$2001,A1473)=0,"TIDAK ADA","OK"))</f>
        <v/>
      </c>
    </row>
    <row r="1474" customFormat="false" ht="15" hidden="false" customHeight="false" outlineLevel="0" collapsed="false">
      <c r="A1474" s="21"/>
      <c r="B1474" s="22"/>
      <c r="C1474" s="21"/>
      <c r="D1474" s="24"/>
      <c r="E1474" s="22"/>
      <c r="F1474" s="29" t="str">
        <f aca="false">IF(C1474="","",IFERROR(INDEX(Produk!$J$2:$J$100,MATCH(C1474,Produk!$A$2:$A$100,0)),"PRODUK?"))</f>
        <v/>
      </c>
      <c r="G1474" s="29" t="str">
        <f aca="false">IF(A1474="","",IF(COUNTIF(Anggota!$A$2:$A$2001,A1474)=0,"TIDAK ADA","OK"))</f>
        <v/>
      </c>
    </row>
    <row r="1475" customFormat="false" ht="15" hidden="false" customHeight="false" outlineLevel="0" collapsed="false">
      <c r="A1475" s="21"/>
      <c r="B1475" s="22"/>
      <c r="C1475" s="21"/>
      <c r="D1475" s="24"/>
      <c r="E1475" s="22"/>
      <c r="F1475" s="29" t="str">
        <f aca="false">IF(C1475="","",IFERROR(INDEX(Produk!$J$2:$J$100,MATCH(C1475,Produk!$A$2:$A$100,0)),"PRODUK?"))</f>
        <v/>
      </c>
      <c r="G1475" s="29" t="str">
        <f aca="false">IF(A1475="","",IF(COUNTIF(Anggota!$A$2:$A$2001,A1475)=0,"TIDAK ADA","OK"))</f>
        <v/>
      </c>
    </row>
    <row r="1476" customFormat="false" ht="15" hidden="false" customHeight="false" outlineLevel="0" collapsed="false">
      <c r="A1476" s="21"/>
      <c r="B1476" s="22"/>
      <c r="C1476" s="21"/>
      <c r="D1476" s="24"/>
      <c r="E1476" s="22"/>
      <c r="F1476" s="29" t="str">
        <f aca="false">IF(C1476="","",IFERROR(INDEX(Produk!$J$2:$J$100,MATCH(C1476,Produk!$A$2:$A$100,0)),"PRODUK?"))</f>
        <v/>
      </c>
      <c r="G1476" s="29" t="str">
        <f aca="false">IF(A1476="","",IF(COUNTIF(Anggota!$A$2:$A$2001,A1476)=0,"TIDAK ADA","OK"))</f>
        <v/>
      </c>
    </row>
    <row r="1477" customFormat="false" ht="15" hidden="false" customHeight="false" outlineLevel="0" collapsed="false">
      <c r="A1477" s="21"/>
      <c r="B1477" s="22"/>
      <c r="C1477" s="21"/>
      <c r="D1477" s="24"/>
      <c r="E1477" s="22"/>
      <c r="F1477" s="29" t="str">
        <f aca="false">IF(C1477="","",IFERROR(INDEX(Produk!$J$2:$J$100,MATCH(C1477,Produk!$A$2:$A$100,0)),"PRODUK?"))</f>
        <v/>
      </c>
      <c r="G1477" s="29" t="str">
        <f aca="false">IF(A1477="","",IF(COUNTIF(Anggota!$A$2:$A$2001,A1477)=0,"TIDAK ADA","OK"))</f>
        <v/>
      </c>
    </row>
    <row r="1478" customFormat="false" ht="15" hidden="false" customHeight="false" outlineLevel="0" collapsed="false">
      <c r="A1478" s="21"/>
      <c r="B1478" s="22"/>
      <c r="C1478" s="21"/>
      <c r="D1478" s="24"/>
      <c r="E1478" s="22"/>
      <c r="F1478" s="29" t="str">
        <f aca="false">IF(C1478="","",IFERROR(INDEX(Produk!$J$2:$J$100,MATCH(C1478,Produk!$A$2:$A$100,0)),"PRODUK?"))</f>
        <v/>
      </c>
      <c r="G1478" s="29" t="str">
        <f aca="false">IF(A1478="","",IF(COUNTIF(Anggota!$A$2:$A$2001,A1478)=0,"TIDAK ADA","OK"))</f>
        <v/>
      </c>
    </row>
    <row r="1479" customFormat="false" ht="15" hidden="false" customHeight="false" outlineLevel="0" collapsed="false">
      <c r="A1479" s="21"/>
      <c r="B1479" s="22"/>
      <c r="C1479" s="21"/>
      <c r="D1479" s="24"/>
      <c r="E1479" s="22"/>
      <c r="F1479" s="29" t="str">
        <f aca="false">IF(C1479="","",IFERROR(INDEX(Produk!$J$2:$J$100,MATCH(C1479,Produk!$A$2:$A$100,0)),"PRODUK?"))</f>
        <v/>
      </c>
      <c r="G1479" s="29" t="str">
        <f aca="false">IF(A1479="","",IF(COUNTIF(Anggota!$A$2:$A$2001,A1479)=0,"TIDAK ADA","OK"))</f>
        <v/>
      </c>
    </row>
    <row r="1480" customFormat="false" ht="15" hidden="false" customHeight="false" outlineLevel="0" collapsed="false">
      <c r="A1480" s="21"/>
      <c r="B1480" s="22"/>
      <c r="C1480" s="21"/>
      <c r="D1480" s="24"/>
      <c r="E1480" s="22"/>
      <c r="F1480" s="29" t="str">
        <f aca="false">IF(C1480="","",IFERROR(INDEX(Produk!$J$2:$J$100,MATCH(C1480,Produk!$A$2:$A$100,0)),"PRODUK?"))</f>
        <v/>
      </c>
      <c r="G1480" s="29" t="str">
        <f aca="false">IF(A1480="","",IF(COUNTIF(Anggota!$A$2:$A$2001,A1480)=0,"TIDAK ADA","OK"))</f>
        <v/>
      </c>
    </row>
    <row r="1481" customFormat="false" ht="15" hidden="false" customHeight="false" outlineLevel="0" collapsed="false">
      <c r="A1481" s="21"/>
      <c r="B1481" s="22"/>
      <c r="C1481" s="21"/>
      <c r="D1481" s="24"/>
      <c r="E1481" s="22"/>
      <c r="F1481" s="29" t="str">
        <f aca="false">IF(C1481="","",IFERROR(INDEX(Produk!$J$2:$J$100,MATCH(C1481,Produk!$A$2:$A$100,0)),"PRODUK?"))</f>
        <v/>
      </c>
      <c r="G1481" s="29" t="str">
        <f aca="false">IF(A1481="","",IF(COUNTIF(Anggota!$A$2:$A$2001,A1481)=0,"TIDAK ADA","OK"))</f>
        <v/>
      </c>
    </row>
    <row r="1482" customFormat="false" ht="15" hidden="false" customHeight="false" outlineLevel="0" collapsed="false">
      <c r="A1482" s="21"/>
      <c r="B1482" s="22"/>
      <c r="C1482" s="21"/>
      <c r="D1482" s="24"/>
      <c r="E1482" s="22"/>
      <c r="F1482" s="29" t="str">
        <f aca="false">IF(C1482="","",IFERROR(INDEX(Produk!$J$2:$J$100,MATCH(C1482,Produk!$A$2:$A$100,0)),"PRODUK?"))</f>
        <v/>
      </c>
      <c r="G1482" s="29" t="str">
        <f aca="false">IF(A1482="","",IF(COUNTIF(Anggota!$A$2:$A$2001,A1482)=0,"TIDAK ADA","OK"))</f>
        <v/>
      </c>
    </row>
    <row r="1483" customFormat="false" ht="15" hidden="false" customHeight="false" outlineLevel="0" collapsed="false">
      <c r="A1483" s="21"/>
      <c r="B1483" s="22"/>
      <c r="C1483" s="21"/>
      <c r="D1483" s="24"/>
      <c r="E1483" s="22"/>
      <c r="F1483" s="29" t="str">
        <f aca="false">IF(C1483="","",IFERROR(INDEX(Produk!$J$2:$J$100,MATCH(C1483,Produk!$A$2:$A$100,0)),"PRODUK?"))</f>
        <v/>
      </c>
      <c r="G1483" s="29" t="str">
        <f aca="false">IF(A1483="","",IF(COUNTIF(Anggota!$A$2:$A$2001,A1483)=0,"TIDAK ADA","OK"))</f>
        <v/>
      </c>
    </row>
    <row r="1484" customFormat="false" ht="15" hidden="false" customHeight="false" outlineLevel="0" collapsed="false">
      <c r="A1484" s="21"/>
      <c r="B1484" s="22"/>
      <c r="C1484" s="21"/>
      <c r="D1484" s="24"/>
      <c r="E1484" s="22"/>
      <c r="F1484" s="29" t="str">
        <f aca="false">IF(C1484="","",IFERROR(INDEX(Produk!$J$2:$J$100,MATCH(C1484,Produk!$A$2:$A$100,0)),"PRODUK?"))</f>
        <v/>
      </c>
      <c r="G1484" s="29" t="str">
        <f aca="false">IF(A1484="","",IF(COUNTIF(Anggota!$A$2:$A$2001,A1484)=0,"TIDAK ADA","OK"))</f>
        <v/>
      </c>
    </row>
    <row r="1485" customFormat="false" ht="15" hidden="false" customHeight="false" outlineLevel="0" collapsed="false">
      <c r="A1485" s="21"/>
      <c r="B1485" s="22"/>
      <c r="C1485" s="21"/>
      <c r="D1485" s="24"/>
      <c r="E1485" s="22"/>
      <c r="F1485" s="29" t="str">
        <f aca="false">IF(C1485="","",IFERROR(INDEX(Produk!$J$2:$J$100,MATCH(C1485,Produk!$A$2:$A$100,0)),"PRODUK?"))</f>
        <v/>
      </c>
      <c r="G1485" s="29" t="str">
        <f aca="false">IF(A1485="","",IF(COUNTIF(Anggota!$A$2:$A$2001,A1485)=0,"TIDAK ADA","OK"))</f>
        <v/>
      </c>
    </row>
    <row r="1486" customFormat="false" ht="15" hidden="false" customHeight="false" outlineLevel="0" collapsed="false">
      <c r="A1486" s="21"/>
      <c r="B1486" s="22"/>
      <c r="C1486" s="21"/>
      <c r="D1486" s="24"/>
      <c r="E1486" s="22"/>
      <c r="F1486" s="29" t="str">
        <f aca="false">IF(C1486="","",IFERROR(INDEX(Produk!$J$2:$J$100,MATCH(C1486,Produk!$A$2:$A$100,0)),"PRODUK?"))</f>
        <v/>
      </c>
      <c r="G1486" s="29" t="str">
        <f aca="false">IF(A1486="","",IF(COUNTIF(Anggota!$A$2:$A$2001,A1486)=0,"TIDAK ADA","OK"))</f>
        <v/>
      </c>
    </row>
    <row r="1487" customFormat="false" ht="15" hidden="false" customHeight="false" outlineLevel="0" collapsed="false">
      <c r="A1487" s="21"/>
      <c r="B1487" s="22"/>
      <c r="C1487" s="21"/>
      <c r="D1487" s="24"/>
      <c r="E1487" s="22"/>
      <c r="F1487" s="29" t="str">
        <f aca="false">IF(C1487="","",IFERROR(INDEX(Produk!$J$2:$J$100,MATCH(C1487,Produk!$A$2:$A$100,0)),"PRODUK?"))</f>
        <v/>
      </c>
      <c r="G1487" s="29" t="str">
        <f aca="false">IF(A1487="","",IF(COUNTIF(Anggota!$A$2:$A$2001,A1487)=0,"TIDAK ADA","OK"))</f>
        <v/>
      </c>
    </row>
    <row r="1488" customFormat="false" ht="15" hidden="false" customHeight="false" outlineLevel="0" collapsed="false">
      <c r="A1488" s="21"/>
      <c r="B1488" s="22"/>
      <c r="C1488" s="21"/>
      <c r="D1488" s="24"/>
      <c r="E1488" s="22"/>
      <c r="F1488" s="29" t="str">
        <f aca="false">IF(C1488="","",IFERROR(INDEX(Produk!$J$2:$J$100,MATCH(C1488,Produk!$A$2:$A$100,0)),"PRODUK?"))</f>
        <v/>
      </c>
      <c r="G1488" s="29" t="str">
        <f aca="false">IF(A1488="","",IF(COUNTIF(Anggota!$A$2:$A$2001,A1488)=0,"TIDAK ADA","OK"))</f>
        <v/>
      </c>
    </row>
    <row r="1489" customFormat="false" ht="15" hidden="false" customHeight="false" outlineLevel="0" collapsed="false">
      <c r="A1489" s="21"/>
      <c r="B1489" s="22"/>
      <c r="C1489" s="21"/>
      <c r="D1489" s="24"/>
      <c r="E1489" s="22"/>
      <c r="F1489" s="29" t="str">
        <f aca="false">IF(C1489="","",IFERROR(INDEX(Produk!$J$2:$J$100,MATCH(C1489,Produk!$A$2:$A$100,0)),"PRODUK?"))</f>
        <v/>
      </c>
      <c r="G1489" s="29" t="str">
        <f aca="false">IF(A1489="","",IF(COUNTIF(Anggota!$A$2:$A$2001,A1489)=0,"TIDAK ADA","OK"))</f>
        <v/>
      </c>
    </row>
    <row r="1490" customFormat="false" ht="15" hidden="false" customHeight="false" outlineLevel="0" collapsed="false">
      <c r="A1490" s="21"/>
      <c r="B1490" s="22"/>
      <c r="C1490" s="21"/>
      <c r="D1490" s="24"/>
      <c r="E1490" s="22"/>
      <c r="F1490" s="29" t="str">
        <f aca="false">IF(C1490="","",IFERROR(INDEX(Produk!$J$2:$J$100,MATCH(C1490,Produk!$A$2:$A$100,0)),"PRODUK?"))</f>
        <v/>
      </c>
      <c r="G1490" s="29" t="str">
        <f aca="false">IF(A1490="","",IF(COUNTIF(Anggota!$A$2:$A$2001,A1490)=0,"TIDAK ADA","OK"))</f>
        <v/>
      </c>
    </row>
    <row r="1491" customFormat="false" ht="15" hidden="false" customHeight="false" outlineLevel="0" collapsed="false">
      <c r="A1491" s="21"/>
      <c r="B1491" s="22"/>
      <c r="C1491" s="21"/>
      <c r="D1491" s="24"/>
      <c r="E1491" s="22"/>
      <c r="F1491" s="29" t="str">
        <f aca="false">IF(C1491="","",IFERROR(INDEX(Produk!$J$2:$J$100,MATCH(C1491,Produk!$A$2:$A$100,0)),"PRODUK?"))</f>
        <v/>
      </c>
      <c r="G1491" s="29" t="str">
        <f aca="false">IF(A1491="","",IF(COUNTIF(Anggota!$A$2:$A$2001,A1491)=0,"TIDAK ADA","OK"))</f>
        <v/>
      </c>
    </row>
    <row r="1492" customFormat="false" ht="15" hidden="false" customHeight="false" outlineLevel="0" collapsed="false">
      <c r="A1492" s="21"/>
      <c r="B1492" s="22"/>
      <c r="C1492" s="21"/>
      <c r="D1492" s="24"/>
      <c r="E1492" s="22"/>
      <c r="F1492" s="29" t="str">
        <f aca="false">IF(C1492="","",IFERROR(INDEX(Produk!$J$2:$J$100,MATCH(C1492,Produk!$A$2:$A$100,0)),"PRODUK?"))</f>
        <v/>
      </c>
      <c r="G1492" s="29" t="str">
        <f aca="false">IF(A1492="","",IF(COUNTIF(Anggota!$A$2:$A$2001,A1492)=0,"TIDAK ADA","OK"))</f>
        <v/>
      </c>
    </row>
    <row r="1493" customFormat="false" ht="15" hidden="false" customHeight="false" outlineLevel="0" collapsed="false">
      <c r="A1493" s="21"/>
      <c r="B1493" s="22"/>
      <c r="C1493" s="21"/>
      <c r="D1493" s="24"/>
      <c r="E1493" s="22"/>
      <c r="F1493" s="29" t="str">
        <f aca="false">IF(C1493="","",IFERROR(INDEX(Produk!$J$2:$J$100,MATCH(C1493,Produk!$A$2:$A$100,0)),"PRODUK?"))</f>
        <v/>
      </c>
      <c r="G1493" s="29" t="str">
        <f aca="false">IF(A1493="","",IF(COUNTIF(Anggota!$A$2:$A$2001,A1493)=0,"TIDAK ADA","OK"))</f>
        <v/>
      </c>
    </row>
    <row r="1494" customFormat="false" ht="15" hidden="false" customHeight="false" outlineLevel="0" collapsed="false">
      <c r="A1494" s="21"/>
      <c r="B1494" s="22"/>
      <c r="C1494" s="21"/>
      <c r="D1494" s="24"/>
      <c r="E1494" s="22"/>
      <c r="F1494" s="29" t="str">
        <f aca="false">IF(C1494="","",IFERROR(INDEX(Produk!$J$2:$J$100,MATCH(C1494,Produk!$A$2:$A$100,0)),"PRODUK?"))</f>
        <v/>
      </c>
      <c r="G1494" s="29" t="str">
        <f aca="false">IF(A1494="","",IF(COUNTIF(Anggota!$A$2:$A$2001,A1494)=0,"TIDAK ADA","OK"))</f>
        <v/>
      </c>
    </row>
    <row r="1495" customFormat="false" ht="15" hidden="false" customHeight="false" outlineLevel="0" collapsed="false">
      <c r="A1495" s="21"/>
      <c r="B1495" s="22"/>
      <c r="C1495" s="21"/>
      <c r="D1495" s="24"/>
      <c r="E1495" s="22"/>
      <c r="F1495" s="29" t="str">
        <f aca="false">IF(C1495="","",IFERROR(INDEX(Produk!$J$2:$J$100,MATCH(C1495,Produk!$A$2:$A$100,0)),"PRODUK?"))</f>
        <v/>
      </c>
      <c r="G1495" s="29" t="str">
        <f aca="false">IF(A1495="","",IF(COUNTIF(Anggota!$A$2:$A$2001,A1495)=0,"TIDAK ADA","OK"))</f>
        <v/>
      </c>
    </row>
    <row r="1496" customFormat="false" ht="15" hidden="false" customHeight="false" outlineLevel="0" collapsed="false">
      <c r="A1496" s="21"/>
      <c r="B1496" s="22"/>
      <c r="C1496" s="21"/>
      <c r="D1496" s="24"/>
      <c r="E1496" s="22"/>
      <c r="F1496" s="29" t="str">
        <f aca="false">IF(C1496="","",IFERROR(INDEX(Produk!$J$2:$J$100,MATCH(C1496,Produk!$A$2:$A$100,0)),"PRODUK?"))</f>
        <v/>
      </c>
      <c r="G1496" s="29" t="str">
        <f aca="false">IF(A1496="","",IF(COUNTIF(Anggota!$A$2:$A$2001,A1496)=0,"TIDAK ADA","OK"))</f>
        <v/>
      </c>
    </row>
    <row r="1497" customFormat="false" ht="15" hidden="false" customHeight="false" outlineLevel="0" collapsed="false">
      <c r="A1497" s="21"/>
      <c r="B1497" s="22"/>
      <c r="C1497" s="21"/>
      <c r="D1497" s="24"/>
      <c r="E1497" s="22"/>
      <c r="F1497" s="29" t="str">
        <f aca="false">IF(C1497="","",IFERROR(INDEX(Produk!$J$2:$J$100,MATCH(C1497,Produk!$A$2:$A$100,0)),"PRODUK?"))</f>
        <v/>
      </c>
      <c r="G1497" s="29" t="str">
        <f aca="false">IF(A1497="","",IF(COUNTIF(Anggota!$A$2:$A$2001,A1497)=0,"TIDAK ADA","OK"))</f>
        <v/>
      </c>
    </row>
    <row r="1498" customFormat="false" ht="15" hidden="false" customHeight="false" outlineLevel="0" collapsed="false">
      <c r="A1498" s="21"/>
      <c r="B1498" s="22"/>
      <c r="C1498" s="21"/>
      <c r="D1498" s="24"/>
      <c r="E1498" s="22"/>
      <c r="F1498" s="29" t="str">
        <f aca="false">IF(C1498="","",IFERROR(INDEX(Produk!$J$2:$J$100,MATCH(C1498,Produk!$A$2:$A$100,0)),"PRODUK?"))</f>
        <v/>
      </c>
      <c r="G1498" s="29" t="str">
        <f aca="false">IF(A1498="","",IF(COUNTIF(Anggota!$A$2:$A$2001,A1498)=0,"TIDAK ADA","OK"))</f>
        <v/>
      </c>
    </row>
    <row r="1499" customFormat="false" ht="15" hidden="false" customHeight="false" outlineLevel="0" collapsed="false">
      <c r="A1499" s="21"/>
      <c r="B1499" s="22"/>
      <c r="C1499" s="21"/>
      <c r="D1499" s="24"/>
      <c r="E1499" s="22"/>
      <c r="F1499" s="29" t="str">
        <f aca="false">IF(C1499="","",IFERROR(INDEX(Produk!$J$2:$J$100,MATCH(C1499,Produk!$A$2:$A$100,0)),"PRODUK?"))</f>
        <v/>
      </c>
      <c r="G1499" s="29" t="str">
        <f aca="false">IF(A1499="","",IF(COUNTIF(Anggota!$A$2:$A$2001,A1499)=0,"TIDAK ADA","OK"))</f>
        <v/>
      </c>
    </row>
    <row r="1500" customFormat="false" ht="15" hidden="false" customHeight="false" outlineLevel="0" collapsed="false">
      <c r="A1500" s="21"/>
      <c r="B1500" s="22"/>
      <c r="C1500" s="21"/>
      <c r="D1500" s="24"/>
      <c r="E1500" s="22"/>
      <c r="F1500" s="29" t="str">
        <f aca="false">IF(C1500="","",IFERROR(INDEX(Produk!$J$2:$J$100,MATCH(C1500,Produk!$A$2:$A$100,0)),"PRODUK?"))</f>
        <v/>
      </c>
      <c r="G1500" s="29" t="str">
        <f aca="false">IF(A1500="","",IF(COUNTIF(Anggota!$A$2:$A$2001,A1500)=0,"TIDAK ADA","OK"))</f>
        <v/>
      </c>
    </row>
    <row r="1501" customFormat="false" ht="15" hidden="false" customHeight="false" outlineLevel="0" collapsed="false">
      <c r="A1501" s="21"/>
      <c r="B1501" s="22"/>
      <c r="C1501" s="21"/>
      <c r="D1501" s="24"/>
      <c r="E1501" s="22"/>
      <c r="F1501" s="29" t="str">
        <f aca="false">IF(C1501="","",IFERROR(INDEX(Produk!$J$2:$J$100,MATCH(C1501,Produk!$A$2:$A$100,0)),"PRODUK?"))</f>
        <v/>
      </c>
      <c r="G1501" s="29" t="str">
        <f aca="false">IF(A1501="","",IF(COUNTIF(Anggota!$A$2:$A$2001,A1501)=0,"TIDAK ADA","OK"))</f>
        <v/>
      </c>
    </row>
    <row r="1502" customFormat="false" ht="15" hidden="false" customHeight="false" outlineLevel="0" collapsed="false">
      <c r="A1502" s="21"/>
      <c r="B1502" s="22"/>
      <c r="C1502" s="21"/>
      <c r="D1502" s="24"/>
      <c r="E1502" s="22"/>
      <c r="F1502" s="29" t="str">
        <f aca="false">IF(C1502="","",IFERROR(INDEX(Produk!$J$2:$J$100,MATCH(C1502,Produk!$A$2:$A$100,0)),"PRODUK?"))</f>
        <v/>
      </c>
      <c r="G1502" s="29" t="str">
        <f aca="false">IF(A1502="","",IF(COUNTIF(Anggota!$A$2:$A$2001,A1502)=0,"TIDAK ADA","OK"))</f>
        <v/>
      </c>
    </row>
    <row r="1503" customFormat="false" ht="15" hidden="false" customHeight="false" outlineLevel="0" collapsed="false">
      <c r="A1503" s="21"/>
      <c r="B1503" s="22"/>
      <c r="C1503" s="21"/>
      <c r="D1503" s="24"/>
      <c r="E1503" s="22"/>
      <c r="F1503" s="29" t="str">
        <f aca="false">IF(C1503="","",IFERROR(INDEX(Produk!$J$2:$J$100,MATCH(C1503,Produk!$A$2:$A$100,0)),"PRODUK?"))</f>
        <v/>
      </c>
      <c r="G1503" s="29" t="str">
        <f aca="false">IF(A1503="","",IF(COUNTIF(Anggota!$A$2:$A$2001,A1503)=0,"TIDAK ADA","OK"))</f>
        <v/>
      </c>
    </row>
    <row r="1504" customFormat="false" ht="15" hidden="false" customHeight="false" outlineLevel="0" collapsed="false">
      <c r="A1504" s="21"/>
      <c r="B1504" s="22"/>
      <c r="C1504" s="21"/>
      <c r="D1504" s="24"/>
      <c r="E1504" s="22"/>
      <c r="F1504" s="29" t="str">
        <f aca="false">IF(C1504="","",IFERROR(INDEX(Produk!$J$2:$J$100,MATCH(C1504,Produk!$A$2:$A$100,0)),"PRODUK?"))</f>
        <v/>
      </c>
      <c r="G1504" s="29" t="str">
        <f aca="false">IF(A1504="","",IF(COUNTIF(Anggota!$A$2:$A$2001,A1504)=0,"TIDAK ADA","OK"))</f>
        <v/>
      </c>
    </row>
    <row r="1505" customFormat="false" ht="15" hidden="false" customHeight="false" outlineLevel="0" collapsed="false">
      <c r="A1505" s="21"/>
      <c r="B1505" s="22"/>
      <c r="C1505" s="21"/>
      <c r="D1505" s="24"/>
      <c r="E1505" s="22"/>
      <c r="F1505" s="29" t="str">
        <f aca="false">IF(C1505="","",IFERROR(INDEX(Produk!$J$2:$J$100,MATCH(C1505,Produk!$A$2:$A$100,0)),"PRODUK?"))</f>
        <v/>
      </c>
      <c r="G1505" s="29" t="str">
        <f aca="false">IF(A1505="","",IF(COUNTIF(Anggota!$A$2:$A$2001,A1505)=0,"TIDAK ADA","OK"))</f>
        <v/>
      </c>
    </row>
    <row r="1506" customFormat="false" ht="15" hidden="false" customHeight="false" outlineLevel="0" collapsed="false">
      <c r="A1506" s="21"/>
      <c r="B1506" s="22"/>
      <c r="C1506" s="21"/>
      <c r="D1506" s="24"/>
      <c r="E1506" s="22"/>
      <c r="F1506" s="29" t="str">
        <f aca="false">IF(C1506="","",IFERROR(INDEX(Produk!$J$2:$J$100,MATCH(C1506,Produk!$A$2:$A$100,0)),"PRODUK?"))</f>
        <v/>
      </c>
      <c r="G1506" s="29" t="str">
        <f aca="false">IF(A1506="","",IF(COUNTIF(Anggota!$A$2:$A$2001,A1506)=0,"TIDAK ADA","OK"))</f>
        <v/>
      </c>
    </row>
    <row r="1507" customFormat="false" ht="15" hidden="false" customHeight="false" outlineLevel="0" collapsed="false">
      <c r="A1507" s="21"/>
      <c r="B1507" s="22"/>
      <c r="C1507" s="21"/>
      <c r="D1507" s="24"/>
      <c r="E1507" s="22"/>
      <c r="F1507" s="29" t="str">
        <f aca="false">IF(C1507="","",IFERROR(INDEX(Produk!$J$2:$J$100,MATCH(C1507,Produk!$A$2:$A$100,0)),"PRODUK?"))</f>
        <v/>
      </c>
      <c r="G1507" s="29" t="str">
        <f aca="false">IF(A1507="","",IF(COUNTIF(Anggota!$A$2:$A$2001,A1507)=0,"TIDAK ADA","OK"))</f>
        <v/>
      </c>
    </row>
    <row r="1508" customFormat="false" ht="15" hidden="false" customHeight="false" outlineLevel="0" collapsed="false">
      <c r="A1508" s="21"/>
      <c r="B1508" s="22"/>
      <c r="C1508" s="21"/>
      <c r="D1508" s="24"/>
      <c r="E1508" s="22"/>
      <c r="F1508" s="29" t="str">
        <f aca="false">IF(C1508="","",IFERROR(INDEX(Produk!$J$2:$J$100,MATCH(C1508,Produk!$A$2:$A$100,0)),"PRODUK?"))</f>
        <v/>
      </c>
      <c r="G1508" s="29" t="str">
        <f aca="false">IF(A1508="","",IF(COUNTIF(Anggota!$A$2:$A$2001,A1508)=0,"TIDAK ADA","OK"))</f>
        <v/>
      </c>
    </row>
    <row r="1509" customFormat="false" ht="15" hidden="false" customHeight="false" outlineLevel="0" collapsed="false">
      <c r="A1509" s="21"/>
      <c r="B1509" s="22"/>
      <c r="C1509" s="21"/>
      <c r="D1509" s="24"/>
      <c r="E1509" s="22"/>
      <c r="F1509" s="29" t="str">
        <f aca="false">IF(C1509="","",IFERROR(INDEX(Produk!$J$2:$J$100,MATCH(C1509,Produk!$A$2:$A$100,0)),"PRODUK?"))</f>
        <v/>
      </c>
      <c r="G1509" s="29" t="str">
        <f aca="false">IF(A1509="","",IF(COUNTIF(Anggota!$A$2:$A$2001,A1509)=0,"TIDAK ADA","OK"))</f>
        <v/>
      </c>
    </row>
    <row r="1510" customFormat="false" ht="15" hidden="false" customHeight="false" outlineLevel="0" collapsed="false">
      <c r="A1510" s="21"/>
      <c r="B1510" s="22"/>
      <c r="C1510" s="21"/>
      <c r="D1510" s="24"/>
      <c r="E1510" s="22"/>
      <c r="F1510" s="29" t="str">
        <f aca="false">IF(C1510="","",IFERROR(INDEX(Produk!$J$2:$J$100,MATCH(C1510,Produk!$A$2:$A$100,0)),"PRODUK?"))</f>
        <v/>
      </c>
      <c r="G1510" s="29" t="str">
        <f aca="false">IF(A1510="","",IF(COUNTIF(Anggota!$A$2:$A$2001,A1510)=0,"TIDAK ADA","OK"))</f>
        <v/>
      </c>
    </row>
    <row r="1511" customFormat="false" ht="15" hidden="false" customHeight="false" outlineLevel="0" collapsed="false">
      <c r="A1511" s="21"/>
      <c r="B1511" s="22"/>
      <c r="C1511" s="21"/>
      <c r="D1511" s="24"/>
      <c r="E1511" s="22"/>
      <c r="F1511" s="29" t="str">
        <f aca="false">IF(C1511="","",IFERROR(INDEX(Produk!$J$2:$J$100,MATCH(C1511,Produk!$A$2:$A$100,0)),"PRODUK?"))</f>
        <v/>
      </c>
      <c r="G1511" s="29" t="str">
        <f aca="false">IF(A1511="","",IF(COUNTIF(Anggota!$A$2:$A$2001,A1511)=0,"TIDAK ADA","OK"))</f>
        <v/>
      </c>
    </row>
    <row r="1512" customFormat="false" ht="15" hidden="false" customHeight="false" outlineLevel="0" collapsed="false">
      <c r="A1512" s="21"/>
      <c r="B1512" s="22"/>
      <c r="C1512" s="21"/>
      <c r="D1512" s="24"/>
      <c r="E1512" s="22"/>
      <c r="F1512" s="29" t="str">
        <f aca="false">IF(C1512="","",IFERROR(INDEX(Produk!$J$2:$J$100,MATCH(C1512,Produk!$A$2:$A$100,0)),"PRODUK?"))</f>
        <v/>
      </c>
      <c r="G1512" s="29" t="str">
        <f aca="false">IF(A1512="","",IF(COUNTIF(Anggota!$A$2:$A$2001,A1512)=0,"TIDAK ADA","OK"))</f>
        <v/>
      </c>
    </row>
    <row r="1513" customFormat="false" ht="15" hidden="false" customHeight="false" outlineLevel="0" collapsed="false">
      <c r="A1513" s="21"/>
      <c r="B1513" s="22"/>
      <c r="C1513" s="21"/>
      <c r="D1513" s="24"/>
      <c r="E1513" s="22"/>
      <c r="F1513" s="29" t="str">
        <f aca="false">IF(C1513="","",IFERROR(INDEX(Produk!$J$2:$J$100,MATCH(C1513,Produk!$A$2:$A$100,0)),"PRODUK?"))</f>
        <v/>
      </c>
      <c r="G1513" s="29" t="str">
        <f aca="false">IF(A1513="","",IF(COUNTIF(Anggota!$A$2:$A$2001,A1513)=0,"TIDAK ADA","OK"))</f>
        <v/>
      </c>
    </row>
    <row r="1514" customFormat="false" ht="15" hidden="false" customHeight="false" outlineLevel="0" collapsed="false">
      <c r="A1514" s="21"/>
      <c r="B1514" s="22"/>
      <c r="C1514" s="21"/>
      <c r="D1514" s="24"/>
      <c r="E1514" s="22"/>
      <c r="F1514" s="29" t="str">
        <f aca="false">IF(C1514="","",IFERROR(INDEX(Produk!$J$2:$J$100,MATCH(C1514,Produk!$A$2:$A$100,0)),"PRODUK?"))</f>
        <v/>
      </c>
      <c r="G1514" s="29" t="str">
        <f aca="false">IF(A1514="","",IF(COUNTIF(Anggota!$A$2:$A$2001,A1514)=0,"TIDAK ADA","OK"))</f>
        <v/>
      </c>
    </row>
    <row r="1515" customFormat="false" ht="15" hidden="false" customHeight="false" outlineLevel="0" collapsed="false">
      <c r="A1515" s="21"/>
      <c r="B1515" s="22"/>
      <c r="C1515" s="21"/>
      <c r="D1515" s="24"/>
      <c r="E1515" s="22"/>
      <c r="F1515" s="29" t="str">
        <f aca="false">IF(C1515="","",IFERROR(INDEX(Produk!$J$2:$J$100,MATCH(C1515,Produk!$A$2:$A$100,0)),"PRODUK?"))</f>
        <v/>
      </c>
      <c r="G1515" s="29" t="str">
        <f aca="false">IF(A1515="","",IF(COUNTIF(Anggota!$A$2:$A$2001,A1515)=0,"TIDAK ADA","OK"))</f>
        <v/>
      </c>
    </row>
    <row r="1516" customFormat="false" ht="15" hidden="false" customHeight="false" outlineLevel="0" collapsed="false">
      <c r="A1516" s="21"/>
      <c r="B1516" s="22"/>
      <c r="C1516" s="21"/>
      <c r="D1516" s="24"/>
      <c r="E1516" s="22"/>
      <c r="F1516" s="29" t="str">
        <f aca="false">IF(C1516="","",IFERROR(INDEX(Produk!$J$2:$J$100,MATCH(C1516,Produk!$A$2:$A$100,0)),"PRODUK?"))</f>
        <v/>
      </c>
      <c r="G1516" s="29" t="str">
        <f aca="false">IF(A1516="","",IF(COUNTIF(Anggota!$A$2:$A$2001,A1516)=0,"TIDAK ADA","OK"))</f>
        <v/>
      </c>
    </row>
    <row r="1517" customFormat="false" ht="15" hidden="false" customHeight="false" outlineLevel="0" collapsed="false">
      <c r="A1517" s="21"/>
      <c r="B1517" s="22"/>
      <c r="C1517" s="21"/>
      <c r="D1517" s="24"/>
      <c r="E1517" s="22"/>
      <c r="F1517" s="29" t="str">
        <f aca="false">IF(C1517="","",IFERROR(INDEX(Produk!$J$2:$J$100,MATCH(C1517,Produk!$A$2:$A$100,0)),"PRODUK?"))</f>
        <v/>
      </c>
      <c r="G1517" s="29" t="str">
        <f aca="false">IF(A1517="","",IF(COUNTIF(Anggota!$A$2:$A$2001,A1517)=0,"TIDAK ADA","OK"))</f>
        <v/>
      </c>
    </row>
    <row r="1518" customFormat="false" ht="15" hidden="false" customHeight="false" outlineLevel="0" collapsed="false">
      <c r="A1518" s="21"/>
      <c r="B1518" s="22"/>
      <c r="C1518" s="21"/>
      <c r="D1518" s="24"/>
      <c r="E1518" s="22"/>
      <c r="F1518" s="29" t="str">
        <f aca="false">IF(C1518="","",IFERROR(INDEX(Produk!$J$2:$J$100,MATCH(C1518,Produk!$A$2:$A$100,0)),"PRODUK?"))</f>
        <v/>
      </c>
      <c r="G1518" s="29" t="str">
        <f aca="false">IF(A1518="","",IF(COUNTIF(Anggota!$A$2:$A$2001,A1518)=0,"TIDAK ADA","OK"))</f>
        <v/>
      </c>
    </row>
    <row r="1519" customFormat="false" ht="15" hidden="false" customHeight="false" outlineLevel="0" collapsed="false">
      <c r="A1519" s="21"/>
      <c r="B1519" s="22"/>
      <c r="C1519" s="21"/>
      <c r="D1519" s="24"/>
      <c r="E1519" s="22"/>
      <c r="F1519" s="29" t="str">
        <f aca="false">IF(C1519="","",IFERROR(INDEX(Produk!$J$2:$J$100,MATCH(C1519,Produk!$A$2:$A$100,0)),"PRODUK?"))</f>
        <v/>
      </c>
      <c r="G1519" s="29" t="str">
        <f aca="false">IF(A1519="","",IF(COUNTIF(Anggota!$A$2:$A$2001,A1519)=0,"TIDAK ADA","OK"))</f>
        <v/>
      </c>
    </row>
    <row r="1520" customFormat="false" ht="15" hidden="false" customHeight="false" outlineLevel="0" collapsed="false">
      <c r="A1520" s="21"/>
      <c r="B1520" s="22"/>
      <c r="C1520" s="21"/>
      <c r="D1520" s="24"/>
      <c r="E1520" s="22"/>
      <c r="F1520" s="29" t="str">
        <f aca="false">IF(C1520="","",IFERROR(INDEX(Produk!$J$2:$J$100,MATCH(C1520,Produk!$A$2:$A$100,0)),"PRODUK?"))</f>
        <v/>
      </c>
      <c r="G1520" s="29" t="str">
        <f aca="false">IF(A1520="","",IF(COUNTIF(Anggota!$A$2:$A$2001,A1520)=0,"TIDAK ADA","OK"))</f>
        <v/>
      </c>
    </row>
    <row r="1521" customFormat="false" ht="15" hidden="false" customHeight="false" outlineLevel="0" collapsed="false">
      <c r="A1521" s="21"/>
      <c r="B1521" s="22"/>
      <c r="C1521" s="21"/>
      <c r="D1521" s="24"/>
      <c r="E1521" s="22"/>
      <c r="F1521" s="29" t="str">
        <f aca="false">IF(C1521="","",IFERROR(INDEX(Produk!$J$2:$J$100,MATCH(C1521,Produk!$A$2:$A$100,0)),"PRODUK?"))</f>
        <v/>
      </c>
      <c r="G1521" s="29" t="str">
        <f aca="false">IF(A1521="","",IF(COUNTIF(Anggota!$A$2:$A$2001,A1521)=0,"TIDAK ADA","OK"))</f>
        <v/>
      </c>
    </row>
    <row r="1522" customFormat="false" ht="15" hidden="false" customHeight="false" outlineLevel="0" collapsed="false">
      <c r="A1522" s="21"/>
      <c r="B1522" s="22"/>
      <c r="C1522" s="21"/>
      <c r="D1522" s="24"/>
      <c r="E1522" s="22"/>
      <c r="F1522" s="29" t="str">
        <f aca="false">IF(C1522="","",IFERROR(INDEX(Produk!$J$2:$J$100,MATCH(C1522,Produk!$A$2:$A$100,0)),"PRODUK?"))</f>
        <v/>
      </c>
      <c r="G1522" s="29" t="str">
        <f aca="false">IF(A1522="","",IF(COUNTIF(Anggota!$A$2:$A$2001,A1522)=0,"TIDAK ADA","OK"))</f>
        <v/>
      </c>
    </row>
    <row r="1523" customFormat="false" ht="15" hidden="false" customHeight="false" outlineLevel="0" collapsed="false">
      <c r="A1523" s="21"/>
      <c r="B1523" s="22"/>
      <c r="C1523" s="21"/>
      <c r="D1523" s="24"/>
      <c r="E1523" s="22"/>
      <c r="F1523" s="29" t="str">
        <f aca="false">IF(C1523="","",IFERROR(INDEX(Produk!$J$2:$J$100,MATCH(C1523,Produk!$A$2:$A$100,0)),"PRODUK?"))</f>
        <v/>
      </c>
      <c r="G1523" s="29" t="str">
        <f aca="false">IF(A1523="","",IF(COUNTIF(Anggota!$A$2:$A$2001,A1523)=0,"TIDAK ADA","OK"))</f>
        <v/>
      </c>
    </row>
    <row r="1524" customFormat="false" ht="15" hidden="false" customHeight="false" outlineLevel="0" collapsed="false">
      <c r="A1524" s="21"/>
      <c r="B1524" s="22"/>
      <c r="C1524" s="21"/>
      <c r="D1524" s="24"/>
      <c r="E1524" s="22"/>
      <c r="F1524" s="29" t="str">
        <f aca="false">IF(C1524="","",IFERROR(INDEX(Produk!$J$2:$J$100,MATCH(C1524,Produk!$A$2:$A$100,0)),"PRODUK?"))</f>
        <v/>
      </c>
      <c r="G1524" s="29" t="str">
        <f aca="false">IF(A1524="","",IF(COUNTIF(Anggota!$A$2:$A$2001,A1524)=0,"TIDAK ADA","OK"))</f>
        <v/>
      </c>
    </row>
    <row r="1525" customFormat="false" ht="15" hidden="false" customHeight="false" outlineLevel="0" collapsed="false">
      <c r="A1525" s="21"/>
      <c r="B1525" s="22"/>
      <c r="C1525" s="21"/>
      <c r="D1525" s="24"/>
      <c r="E1525" s="22"/>
      <c r="F1525" s="29" t="str">
        <f aca="false">IF(C1525="","",IFERROR(INDEX(Produk!$J$2:$J$100,MATCH(C1525,Produk!$A$2:$A$100,0)),"PRODUK?"))</f>
        <v/>
      </c>
      <c r="G1525" s="29" t="str">
        <f aca="false">IF(A1525="","",IF(COUNTIF(Anggota!$A$2:$A$2001,A1525)=0,"TIDAK ADA","OK"))</f>
        <v/>
      </c>
    </row>
    <row r="1526" customFormat="false" ht="15" hidden="false" customHeight="false" outlineLevel="0" collapsed="false">
      <c r="A1526" s="21"/>
      <c r="B1526" s="22"/>
      <c r="C1526" s="21"/>
      <c r="D1526" s="24"/>
      <c r="E1526" s="22"/>
      <c r="F1526" s="29" t="str">
        <f aca="false">IF(C1526="","",IFERROR(INDEX(Produk!$J$2:$J$100,MATCH(C1526,Produk!$A$2:$A$100,0)),"PRODUK?"))</f>
        <v/>
      </c>
      <c r="G1526" s="29" t="str">
        <f aca="false">IF(A1526="","",IF(COUNTIF(Anggota!$A$2:$A$2001,A1526)=0,"TIDAK ADA","OK"))</f>
        <v/>
      </c>
    </row>
    <row r="1527" customFormat="false" ht="15" hidden="false" customHeight="false" outlineLevel="0" collapsed="false">
      <c r="A1527" s="21"/>
      <c r="B1527" s="22"/>
      <c r="C1527" s="21"/>
      <c r="D1527" s="24"/>
      <c r="E1527" s="22"/>
      <c r="F1527" s="29" t="str">
        <f aca="false">IF(C1527="","",IFERROR(INDEX(Produk!$J$2:$J$100,MATCH(C1527,Produk!$A$2:$A$100,0)),"PRODUK?"))</f>
        <v/>
      </c>
      <c r="G1527" s="29" t="str">
        <f aca="false">IF(A1527="","",IF(COUNTIF(Anggota!$A$2:$A$2001,A1527)=0,"TIDAK ADA","OK"))</f>
        <v/>
      </c>
    </row>
    <row r="1528" customFormat="false" ht="15" hidden="false" customHeight="false" outlineLevel="0" collapsed="false">
      <c r="A1528" s="21"/>
      <c r="B1528" s="22"/>
      <c r="C1528" s="21"/>
      <c r="D1528" s="24"/>
      <c r="E1528" s="22"/>
      <c r="F1528" s="29" t="str">
        <f aca="false">IF(C1528="","",IFERROR(INDEX(Produk!$J$2:$J$100,MATCH(C1528,Produk!$A$2:$A$100,0)),"PRODUK?"))</f>
        <v/>
      </c>
      <c r="G1528" s="29" t="str">
        <f aca="false">IF(A1528="","",IF(COUNTIF(Anggota!$A$2:$A$2001,A1528)=0,"TIDAK ADA","OK"))</f>
        <v/>
      </c>
    </row>
    <row r="1529" customFormat="false" ht="15" hidden="false" customHeight="false" outlineLevel="0" collapsed="false">
      <c r="A1529" s="21"/>
      <c r="B1529" s="22"/>
      <c r="C1529" s="21"/>
      <c r="D1529" s="24"/>
      <c r="E1529" s="22"/>
      <c r="F1529" s="29" t="str">
        <f aca="false">IF(C1529="","",IFERROR(INDEX(Produk!$J$2:$J$100,MATCH(C1529,Produk!$A$2:$A$100,0)),"PRODUK?"))</f>
        <v/>
      </c>
      <c r="G1529" s="29" t="str">
        <f aca="false">IF(A1529="","",IF(COUNTIF(Anggota!$A$2:$A$2001,A1529)=0,"TIDAK ADA","OK"))</f>
        <v/>
      </c>
    </row>
    <row r="1530" customFormat="false" ht="15" hidden="false" customHeight="false" outlineLevel="0" collapsed="false">
      <c r="A1530" s="21"/>
      <c r="B1530" s="22"/>
      <c r="C1530" s="21"/>
      <c r="D1530" s="24"/>
      <c r="E1530" s="22"/>
      <c r="F1530" s="29" t="str">
        <f aca="false">IF(C1530="","",IFERROR(INDEX(Produk!$J$2:$J$100,MATCH(C1530,Produk!$A$2:$A$100,0)),"PRODUK?"))</f>
        <v/>
      </c>
      <c r="G1530" s="29" t="str">
        <f aca="false">IF(A1530="","",IF(COUNTIF(Anggota!$A$2:$A$2001,A1530)=0,"TIDAK ADA","OK"))</f>
        <v/>
      </c>
    </row>
    <row r="1531" customFormat="false" ht="15" hidden="false" customHeight="false" outlineLevel="0" collapsed="false">
      <c r="A1531" s="21"/>
      <c r="B1531" s="22"/>
      <c r="C1531" s="21"/>
      <c r="D1531" s="24"/>
      <c r="E1531" s="22"/>
      <c r="F1531" s="29" t="str">
        <f aca="false">IF(C1531="","",IFERROR(INDEX(Produk!$J$2:$J$100,MATCH(C1531,Produk!$A$2:$A$100,0)),"PRODUK?"))</f>
        <v/>
      </c>
      <c r="G1531" s="29" t="str">
        <f aca="false">IF(A1531="","",IF(COUNTIF(Anggota!$A$2:$A$2001,A1531)=0,"TIDAK ADA","OK"))</f>
        <v/>
      </c>
    </row>
    <row r="1532" customFormat="false" ht="15" hidden="false" customHeight="false" outlineLevel="0" collapsed="false">
      <c r="A1532" s="21"/>
      <c r="B1532" s="22"/>
      <c r="C1532" s="21"/>
      <c r="D1532" s="24"/>
      <c r="E1532" s="22"/>
      <c r="F1532" s="29" t="str">
        <f aca="false">IF(C1532="","",IFERROR(INDEX(Produk!$J$2:$J$100,MATCH(C1532,Produk!$A$2:$A$100,0)),"PRODUK?"))</f>
        <v/>
      </c>
      <c r="G1532" s="29" t="str">
        <f aca="false">IF(A1532="","",IF(COUNTIF(Anggota!$A$2:$A$2001,A1532)=0,"TIDAK ADA","OK"))</f>
        <v/>
      </c>
    </row>
    <row r="1533" customFormat="false" ht="15" hidden="false" customHeight="false" outlineLevel="0" collapsed="false">
      <c r="A1533" s="21"/>
      <c r="B1533" s="22"/>
      <c r="C1533" s="21"/>
      <c r="D1533" s="24"/>
      <c r="E1533" s="22"/>
      <c r="F1533" s="29" t="str">
        <f aca="false">IF(C1533="","",IFERROR(INDEX(Produk!$J$2:$J$100,MATCH(C1533,Produk!$A$2:$A$100,0)),"PRODUK?"))</f>
        <v/>
      </c>
      <c r="G1533" s="29" t="str">
        <f aca="false">IF(A1533="","",IF(COUNTIF(Anggota!$A$2:$A$2001,A1533)=0,"TIDAK ADA","OK"))</f>
        <v/>
      </c>
    </row>
    <row r="1534" customFormat="false" ht="15" hidden="false" customHeight="false" outlineLevel="0" collapsed="false">
      <c r="A1534" s="21"/>
      <c r="B1534" s="22"/>
      <c r="C1534" s="21"/>
      <c r="D1534" s="24"/>
      <c r="E1534" s="22"/>
      <c r="F1534" s="29" t="str">
        <f aca="false">IF(C1534="","",IFERROR(INDEX(Produk!$J$2:$J$100,MATCH(C1534,Produk!$A$2:$A$100,0)),"PRODUK?"))</f>
        <v/>
      </c>
      <c r="G1534" s="29" t="str">
        <f aca="false">IF(A1534="","",IF(COUNTIF(Anggota!$A$2:$A$2001,A1534)=0,"TIDAK ADA","OK"))</f>
        <v/>
      </c>
    </row>
    <row r="1535" customFormat="false" ht="15" hidden="false" customHeight="false" outlineLevel="0" collapsed="false">
      <c r="A1535" s="21"/>
      <c r="B1535" s="22"/>
      <c r="C1535" s="21"/>
      <c r="D1535" s="24"/>
      <c r="E1535" s="22"/>
      <c r="F1535" s="29" t="str">
        <f aca="false">IF(C1535="","",IFERROR(INDEX(Produk!$J$2:$J$100,MATCH(C1535,Produk!$A$2:$A$100,0)),"PRODUK?"))</f>
        <v/>
      </c>
      <c r="G1535" s="29" t="str">
        <f aca="false">IF(A1535="","",IF(COUNTIF(Anggota!$A$2:$A$2001,A1535)=0,"TIDAK ADA","OK"))</f>
        <v/>
      </c>
    </row>
    <row r="1536" customFormat="false" ht="15" hidden="false" customHeight="false" outlineLevel="0" collapsed="false">
      <c r="A1536" s="21"/>
      <c r="B1536" s="22"/>
      <c r="C1536" s="21"/>
      <c r="D1536" s="24"/>
      <c r="E1536" s="22"/>
      <c r="F1536" s="29" t="str">
        <f aca="false">IF(C1536="","",IFERROR(INDEX(Produk!$J$2:$J$100,MATCH(C1536,Produk!$A$2:$A$100,0)),"PRODUK?"))</f>
        <v/>
      </c>
      <c r="G1536" s="29" t="str">
        <f aca="false">IF(A1536="","",IF(COUNTIF(Anggota!$A$2:$A$2001,A1536)=0,"TIDAK ADA","OK"))</f>
        <v/>
      </c>
    </row>
    <row r="1537" customFormat="false" ht="15" hidden="false" customHeight="false" outlineLevel="0" collapsed="false">
      <c r="A1537" s="21"/>
      <c r="B1537" s="22"/>
      <c r="C1537" s="21"/>
      <c r="D1537" s="24"/>
      <c r="E1537" s="22"/>
      <c r="F1537" s="29" t="str">
        <f aca="false">IF(C1537="","",IFERROR(INDEX(Produk!$J$2:$J$100,MATCH(C1537,Produk!$A$2:$A$100,0)),"PRODUK?"))</f>
        <v/>
      </c>
      <c r="G1537" s="29" t="str">
        <f aca="false">IF(A1537="","",IF(COUNTIF(Anggota!$A$2:$A$2001,A1537)=0,"TIDAK ADA","OK"))</f>
        <v/>
      </c>
    </row>
    <row r="1538" customFormat="false" ht="15" hidden="false" customHeight="false" outlineLevel="0" collapsed="false">
      <c r="A1538" s="21"/>
      <c r="B1538" s="22"/>
      <c r="C1538" s="21"/>
      <c r="D1538" s="24"/>
      <c r="E1538" s="22"/>
      <c r="F1538" s="29" t="str">
        <f aca="false">IF(C1538="","",IFERROR(INDEX(Produk!$J$2:$J$100,MATCH(C1538,Produk!$A$2:$A$100,0)),"PRODUK?"))</f>
        <v/>
      </c>
      <c r="G1538" s="29" t="str">
        <f aca="false">IF(A1538="","",IF(COUNTIF(Anggota!$A$2:$A$2001,A1538)=0,"TIDAK ADA","OK"))</f>
        <v/>
      </c>
    </row>
    <row r="1539" customFormat="false" ht="15" hidden="false" customHeight="false" outlineLevel="0" collapsed="false">
      <c r="A1539" s="21"/>
      <c r="B1539" s="22"/>
      <c r="C1539" s="21"/>
      <c r="D1539" s="24"/>
      <c r="E1539" s="22"/>
      <c r="F1539" s="29" t="str">
        <f aca="false">IF(C1539="","",IFERROR(INDEX(Produk!$J$2:$J$100,MATCH(C1539,Produk!$A$2:$A$100,0)),"PRODUK?"))</f>
        <v/>
      </c>
      <c r="G1539" s="29" t="str">
        <f aca="false">IF(A1539="","",IF(COUNTIF(Anggota!$A$2:$A$2001,A1539)=0,"TIDAK ADA","OK"))</f>
        <v/>
      </c>
    </row>
    <row r="1540" customFormat="false" ht="15" hidden="false" customHeight="false" outlineLevel="0" collapsed="false">
      <c r="A1540" s="21"/>
      <c r="B1540" s="22"/>
      <c r="C1540" s="21"/>
      <c r="D1540" s="24"/>
      <c r="E1540" s="22"/>
      <c r="F1540" s="29" t="str">
        <f aca="false">IF(C1540="","",IFERROR(INDEX(Produk!$J$2:$J$100,MATCH(C1540,Produk!$A$2:$A$100,0)),"PRODUK?"))</f>
        <v/>
      </c>
      <c r="G1540" s="29" t="str">
        <f aca="false">IF(A1540="","",IF(COUNTIF(Anggota!$A$2:$A$2001,A1540)=0,"TIDAK ADA","OK"))</f>
        <v/>
      </c>
    </row>
    <row r="1541" customFormat="false" ht="15" hidden="false" customHeight="false" outlineLevel="0" collapsed="false">
      <c r="A1541" s="21"/>
      <c r="B1541" s="22"/>
      <c r="C1541" s="21"/>
      <c r="D1541" s="24"/>
      <c r="E1541" s="22"/>
      <c r="F1541" s="29" t="str">
        <f aca="false">IF(C1541="","",IFERROR(INDEX(Produk!$J$2:$J$100,MATCH(C1541,Produk!$A$2:$A$100,0)),"PRODUK?"))</f>
        <v/>
      </c>
      <c r="G1541" s="29" t="str">
        <f aca="false">IF(A1541="","",IF(COUNTIF(Anggota!$A$2:$A$2001,A1541)=0,"TIDAK ADA","OK"))</f>
        <v/>
      </c>
    </row>
    <row r="1542" customFormat="false" ht="15" hidden="false" customHeight="false" outlineLevel="0" collapsed="false">
      <c r="A1542" s="21"/>
      <c r="B1542" s="22"/>
      <c r="C1542" s="21"/>
      <c r="D1542" s="24"/>
      <c r="E1542" s="22"/>
      <c r="F1542" s="29" t="str">
        <f aca="false">IF(C1542="","",IFERROR(INDEX(Produk!$J$2:$J$100,MATCH(C1542,Produk!$A$2:$A$100,0)),"PRODUK?"))</f>
        <v/>
      </c>
      <c r="G1542" s="29" t="str">
        <f aca="false">IF(A1542="","",IF(COUNTIF(Anggota!$A$2:$A$2001,A1542)=0,"TIDAK ADA","OK"))</f>
        <v/>
      </c>
    </row>
    <row r="1543" customFormat="false" ht="15" hidden="false" customHeight="false" outlineLevel="0" collapsed="false">
      <c r="A1543" s="21"/>
      <c r="B1543" s="22"/>
      <c r="C1543" s="21"/>
      <c r="D1543" s="24"/>
      <c r="E1543" s="22"/>
      <c r="F1543" s="29" t="str">
        <f aca="false">IF(C1543="","",IFERROR(INDEX(Produk!$J$2:$J$100,MATCH(C1543,Produk!$A$2:$A$100,0)),"PRODUK?"))</f>
        <v/>
      </c>
      <c r="G1543" s="29" t="str">
        <f aca="false">IF(A1543="","",IF(COUNTIF(Anggota!$A$2:$A$2001,A1543)=0,"TIDAK ADA","OK"))</f>
        <v/>
      </c>
    </row>
    <row r="1544" customFormat="false" ht="15" hidden="false" customHeight="false" outlineLevel="0" collapsed="false">
      <c r="A1544" s="21"/>
      <c r="B1544" s="22"/>
      <c r="C1544" s="21"/>
      <c r="D1544" s="24"/>
      <c r="E1544" s="22"/>
      <c r="F1544" s="29" t="str">
        <f aca="false">IF(C1544="","",IFERROR(INDEX(Produk!$J$2:$J$100,MATCH(C1544,Produk!$A$2:$A$100,0)),"PRODUK?"))</f>
        <v/>
      </c>
      <c r="G1544" s="29" t="str">
        <f aca="false">IF(A1544="","",IF(COUNTIF(Anggota!$A$2:$A$2001,A1544)=0,"TIDAK ADA","OK"))</f>
        <v/>
      </c>
    </row>
    <row r="1545" customFormat="false" ht="15" hidden="false" customHeight="false" outlineLevel="0" collapsed="false">
      <c r="A1545" s="21"/>
      <c r="B1545" s="22"/>
      <c r="C1545" s="21"/>
      <c r="D1545" s="24"/>
      <c r="E1545" s="22"/>
      <c r="F1545" s="29" t="str">
        <f aca="false">IF(C1545="","",IFERROR(INDEX(Produk!$J$2:$J$100,MATCH(C1545,Produk!$A$2:$A$100,0)),"PRODUK?"))</f>
        <v/>
      </c>
      <c r="G1545" s="29" t="str">
        <f aca="false">IF(A1545="","",IF(COUNTIF(Anggota!$A$2:$A$2001,A1545)=0,"TIDAK ADA","OK"))</f>
        <v/>
      </c>
    </row>
    <row r="1546" customFormat="false" ht="15" hidden="false" customHeight="false" outlineLevel="0" collapsed="false">
      <c r="A1546" s="21"/>
      <c r="B1546" s="22"/>
      <c r="C1546" s="21"/>
      <c r="D1546" s="24"/>
      <c r="E1546" s="22"/>
      <c r="F1546" s="29" t="str">
        <f aca="false">IF(C1546="","",IFERROR(INDEX(Produk!$J$2:$J$100,MATCH(C1546,Produk!$A$2:$A$100,0)),"PRODUK?"))</f>
        <v/>
      </c>
      <c r="G1546" s="29" t="str">
        <f aca="false">IF(A1546="","",IF(COUNTIF(Anggota!$A$2:$A$2001,A1546)=0,"TIDAK ADA","OK"))</f>
        <v/>
      </c>
    </row>
    <row r="1547" customFormat="false" ht="15" hidden="false" customHeight="false" outlineLevel="0" collapsed="false">
      <c r="A1547" s="21"/>
      <c r="B1547" s="22"/>
      <c r="C1547" s="21"/>
      <c r="D1547" s="24"/>
      <c r="E1547" s="22"/>
      <c r="F1547" s="29" t="str">
        <f aca="false">IF(C1547="","",IFERROR(INDEX(Produk!$J$2:$J$100,MATCH(C1547,Produk!$A$2:$A$100,0)),"PRODUK?"))</f>
        <v/>
      </c>
      <c r="G1547" s="29" t="str">
        <f aca="false">IF(A1547="","",IF(COUNTIF(Anggota!$A$2:$A$2001,A1547)=0,"TIDAK ADA","OK"))</f>
        <v/>
      </c>
    </row>
    <row r="1548" customFormat="false" ht="15" hidden="false" customHeight="false" outlineLevel="0" collapsed="false">
      <c r="A1548" s="21"/>
      <c r="B1548" s="22"/>
      <c r="C1548" s="21"/>
      <c r="D1548" s="24"/>
      <c r="E1548" s="22"/>
      <c r="F1548" s="29" t="str">
        <f aca="false">IF(C1548="","",IFERROR(INDEX(Produk!$J$2:$J$100,MATCH(C1548,Produk!$A$2:$A$100,0)),"PRODUK?"))</f>
        <v/>
      </c>
      <c r="G1548" s="29" t="str">
        <f aca="false">IF(A1548="","",IF(COUNTIF(Anggota!$A$2:$A$2001,A1548)=0,"TIDAK ADA","OK"))</f>
        <v/>
      </c>
    </row>
    <row r="1549" customFormat="false" ht="15" hidden="false" customHeight="false" outlineLevel="0" collapsed="false">
      <c r="A1549" s="21"/>
      <c r="B1549" s="22"/>
      <c r="C1549" s="21"/>
      <c r="D1549" s="24"/>
      <c r="E1549" s="22"/>
      <c r="F1549" s="29" t="str">
        <f aca="false">IF(C1549="","",IFERROR(INDEX(Produk!$J$2:$J$100,MATCH(C1549,Produk!$A$2:$A$100,0)),"PRODUK?"))</f>
        <v/>
      </c>
      <c r="G1549" s="29" t="str">
        <f aca="false">IF(A1549="","",IF(COUNTIF(Anggota!$A$2:$A$2001,A1549)=0,"TIDAK ADA","OK"))</f>
        <v/>
      </c>
    </row>
    <row r="1550" customFormat="false" ht="15" hidden="false" customHeight="false" outlineLevel="0" collapsed="false">
      <c r="A1550" s="21"/>
      <c r="B1550" s="22"/>
      <c r="C1550" s="21"/>
      <c r="D1550" s="24"/>
      <c r="E1550" s="22"/>
      <c r="F1550" s="29" t="str">
        <f aca="false">IF(C1550="","",IFERROR(INDEX(Produk!$J$2:$J$100,MATCH(C1550,Produk!$A$2:$A$100,0)),"PRODUK?"))</f>
        <v/>
      </c>
      <c r="G1550" s="29" t="str">
        <f aca="false">IF(A1550="","",IF(COUNTIF(Anggota!$A$2:$A$2001,A1550)=0,"TIDAK ADA","OK"))</f>
        <v/>
      </c>
    </row>
    <row r="1551" customFormat="false" ht="15" hidden="false" customHeight="false" outlineLevel="0" collapsed="false">
      <c r="A1551" s="21"/>
      <c r="B1551" s="22"/>
      <c r="C1551" s="21"/>
      <c r="D1551" s="24"/>
      <c r="E1551" s="22"/>
      <c r="F1551" s="29" t="str">
        <f aca="false">IF(C1551="","",IFERROR(INDEX(Produk!$J$2:$J$100,MATCH(C1551,Produk!$A$2:$A$100,0)),"PRODUK?"))</f>
        <v/>
      </c>
      <c r="G1551" s="29" t="str">
        <f aca="false">IF(A1551="","",IF(COUNTIF(Anggota!$A$2:$A$2001,A1551)=0,"TIDAK ADA","OK"))</f>
        <v/>
      </c>
    </row>
    <row r="1552" customFormat="false" ht="15" hidden="false" customHeight="false" outlineLevel="0" collapsed="false">
      <c r="A1552" s="21"/>
      <c r="B1552" s="22"/>
      <c r="C1552" s="21"/>
      <c r="D1552" s="24"/>
      <c r="E1552" s="22"/>
      <c r="F1552" s="29" t="str">
        <f aca="false">IF(C1552="","",IFERROR(INDEX(Produk!$J$2:$J$100,MATCH(C1552,Produk!$A$2:$A$100,0)),"PRODUK?"))</f>
        <v/>
      </c>
      <c r="G1552" s="29" t="str">
        <f aca="false">IF(A1552="","",IF(COUNTIF(Anggota!$A$2:$A$2001,A1552)=0,"TIDAK ADA","OK"))</f>
        <v/>
      </c>
    </row>
    <row r="1553" customFormat="false" ht="15" hidden="false" customHeight="false" outlineLevel="0" collapsed="false">
      <c r="A1553" s="21"/>
      <c r="B1553" s="22"/>
      <c r="C1553" s="21"/>
      <c r="D1553" s="24"/>
      <c r="E1553" s="22"/>
      <c r="F1553" s="29" t="str">
        <f aca="false">IF(C1553="","",IFERROR(INDEX(Produk!$J$2:$J$100,MATCH(C1553,Produk!$A$2:$A$100,0)),"PRODUK?"))</f>
        <v/>
      </c>
      <c r="G1553" s="29" t="str">
        <f aca="false">IF(A1553="","",IF(COUNTIF(Anggota!$A$2:$A$2001,A1553)=0,"TIDAK ADA","OK"))</f>
        <v/>
      </c>
    </row>
    <row r="1554" customFormat="false" ht="15" hidden="false" customHeight="false" outlineLevel="0" collapsed="false">
      <c r="A1554" s="21"/>
      <c r="B1554" s="22"/>
      <c r="C1554" s="21"/>
      <c r="D1554" s="24"/>
      <c r="E1554" s="22"/>
      <c r="F1554" s="29" t="str">
        <f aca="false">IF(C1554="","",IFERROR(INDEX(Produk!$J$2:$J$100,MATCH(C1554,Produk!$A$2:$A$100,0)),"PRODUK?"))</f>
        <v/>
      </c>
      <c r="G1554" s="29" t="str">
        <f aca="false">IF(A1554="","",IF(COUNTIF(Anggota!$A$2:$A$2001,A1554)=0,"TIDAK ADA","OK"))</f>
        <v/>
      </c>
    </row>
    <row r="1555" customFormat="false" ht="15" hidden="false" customHeight="false" outlineLevel="0" collapsed="false">
      <c r="A1555" s="21"/>
      <c r="B1555" s="22"/>
      <c r="C1555" s="21"/>
      <c r="D1555" s="24"/>
      <c r="E1555" s="22"/>
      <c r="F1555" s="29" t="str">
        <f aca="false">IF(C1555="","",IFERROR(INDEX(Produk!$J$2:$J$100,MATCH(C1555,Produk!$A$2:$A$100,0)),"PRODUK?"))</f>
        <v/>
      </c>
      <c r="G1555" s="29" t="str">
        <f aca="false">IF(A1555="","",IF(COUNTIF(Anggota!$A$2:$A$2001,A1555)=0,"TIDAK ADA","OK"))</f>
        <v/>
      </c>
    </row>
    <row r="1556" customFormat="false" ht="15" hidden="false" customHeight="false" outlineLevel="0" collapsed="false">
      <c r="A1556" s="21"/>
      <c r="B1556" s="22"/>
      <c r="C1556" s="21"/>
      <c r="D1556" s="24"/>
      <c r="E1556" s="22"/>
      <c r="F1556" s="29" t="str">
        <f aca="false">IF(C1556="","",IFERROR(INDEX(Produk!$J$2:$J$100,MATCH(C1556,Produk!$A$2:$A$100,0)),"PRODUK?"))</f>
        <v/>
      </c>
      <c r="G1556" s="29" t="str">
        <f aca="false">IF(A1556="","",IF(COUNTIF(Anggota!$A$2:$A$2001,A1556)=0,"TIDAK ADA","OK"))</f>
        <v/>
      </c>
    </row>
    <row r="1557" customFormat="false" ht="15" hidden="false" customHeight="false" outlineLevel="0" collapsed="false">
      <c r="A1557" s="21"/>
      <c r="B1557" s="22"/>
      <c r="C1557" s="21"/>
      <c r="D1557" s="24"/>
      <c r="E1557" s="22"/>
      <c r="F1557" s="29" t="str">
        <f aca="false">IF(C1557="","",IFERROR(INDEX(Produk!$J$2:$J$100,MATCH(C1557,Produk!$A$2:$A$100,0)),"PRODUK?"))</f>
        <v/>
      </c>
      <c r="G1557" s="29" t="str">
        <f aca="false">IF(A1557="","",IF(COUNTIF(Anggota!$A$2:$A$2001,A1557)=0,"TIDAK ADA","OK"))</f>
        <v/>
      </c>
    </row>
    <row r="1558" customFormat="false" ht="15" hidden="false" customHeight="false" outlineLevel="0" collapsed="false">
      <c r="A1558" s="21"/>
      <c r="B1558" s="22"/>
      <c r="C1558" s="21"/>
      <c r="D1558" s="24"/>
      <c r="E1558" s="22"/>
      <c r="F1558" s="29" t="str">
        <f aca="false">IF(C1558="","",IFERROR(INDEX(Produk!$J$2:$J$100,MATCH(C1558,Produk!$A$2:$A$100,0)),"PRODUK?"))</f>
        <v/>
      </c>
      <c r="G1558" s="29" t="str">
        <f aca="false">IF(A1558="","",IF(COUNTIF(Anggota!$A$2:$A$2001,A1558)=0,"TIDAK ADA","OK"))</f>
        <v/>
      </c>
    </row>
    <row r="1559" customFormat="false" ht="15" hidden="false" customHeight="false" outlineLevel="0" collapsed="false">
      <c r="A1559" s="21"/>
      <c r="B1559" s="22"/>
      <c r="C1559" s="21"/>
      <c r="D1559" s="24"/>
      <c r="E1559" s="22"/>
      <c r="F1559" s="29" t="str">
        <f aca="false">IF(C1559="","",IFERROR(INDEX(Produk!$J$2:$J$100,MATCH(C1559,Produk!$A$2:$A$100,0)),"PRODUK?"))</f>
        <v/>
      </c>
      <c r="G1559" s="29" t="str">
        <f aca="false">IF(A1559="","",IF(COUNTIF(Anggota!$A$2:$A$2001,A1559)=0,"TIDAK ADA","OK"))</f>
        <v/>
      </c>
    </row>
    <row r="1560" customFormat="false" ht="15" hidden="false" customHeight="false" outlineLevel="0" collapsed="false">
      <c r="A1560" s="21"/>
      <c r="B1560" s="22"/>
      <c r="C1560" s="21"/>
      <c r="D1560" s="24"/>
      <c r="E1560" s="22"/>
      <c r="F1560" s="29" t="str">
        <f aca="false">IF(C1560="","",IFERROR(INDEX(Produk!$J$2:$J$100,MATCH(C1560,Produk!$A$2:$A$100,0)),"PRODUK?"))</f>
        <v/>
      </c>
      <c r="G1560" s="29" t="str">
        <f aca="false">IF(A1560="","",IF(COUNTIF(Anggota!$A$2:$A$2001,A1560)=0,"TIDAK ADA","OK"))</f>
        <v/>
      </c>
    </row>
    <row r="1561" customFormat="false" ht="15" hidden="false" customHeight="false" outlineLevel="0" collapsed="false">
      <c r="A1561" s="21"/>
      <c r="B1561" s="22"/>
      <c r="C1561" s="21"/>
      <c r="D1561" s="24"/>
      <c r="E1561" s="22"/>
      <c r="F1561" s="29" t="str">
        <f aca="false">IF(C1561="","",IFERROR(INDEX(Produk!$J$2:$J$100,MATCH(C1561,Produk!$A$2:$A$100,0)),"PRODUK?"))</f>
        <v/>
      </c>
      <c r="G1561" s="29" t="str">
        <f aca="false">IF(A1561="","",IF(COUNTIF(Anggota!$A$2:$A$2001,A1561)=0,"TIDAK ADA","OK"))</f>
        <v/>
      </c>
    </row>
    <row r="1562" customFormat="false" ht="15" hidden="false" customHeight="false" outlineLevel="0" collapsed="false">
      <c r="A1562" s="21"/>
      <c r="B1562" s="22"/>
      <c r="C1562" s="21"/>
      <c r="D1562" s="24"/>
      <c r="E1562" s="22"/>
      <c r="F1562" s="29" t="str">
        <f aca="false">IF(C1562="","",IFERROR(INDEX(Produk!$J$2:$J$100,MATCH(C1562,Produk!$A$2:$A$100,0)),"PRODUK?"))</f>
        <v/>
      </c>
      <c r="G1562" s="29" t="str">
        <f aca="false">IF(A1562="","",IF(COUNTIF(Anggota!$A$2:$A$2001,A1562)=0,"TIDAK ADA","OK"))</f>
        <v/>
      </c>
    </row>
    <row r="1563" customFormat="false" ht="15" hidden="false" customHeight="false" outlineLevel="0" collapsed="false">
      <c r="A1563" s="21"/>
      <c r="B1563" s="22"/>
      <c r="C1563" s="21"/>
      <c r="D1563" s="24"/>
      <c r="E1563" s="22"/>
      <c r="F1563" s="29" t="str">
        <f aca="false">IF(C1563="","",IFERROR(INDEX(Produk!$J$2:$J$100,MATCH(C1563,Produk!$A$2:$A$100,0)),"PRODUK?"))</f>
        <v/>
      </c>
      <c r="G1563" s="29" t="str">
        <f aca="false">IF(A1563="","",IF(COUNTIF(Anggota!$A$2:$A$2001,A1563)=0,"TIDAK ADA","OK"))</f>
        <v/>
      </c>
    </row>
    <row r="1564" customFormat="false" ht="15" hidden="false" customHeight="false" outlineLevel="0" collapsed="false">
      <c r="A1564" s="21"/>
      <c r="B1564" s="22"/>
      <c r="C1564" s="21"/>
      <c r="D1564" s="24"/>
      <c r="E1564" s="22"/>
      <c r="F1564" s="29" t="str">
        <f aca="false">IF(C1564="","",IFERROR(INDEX(Produk!$J$2:$J$100,MATCH(C1564,Produk!$A$2:$A$100,0)),"PRODUK?"))</f>
        <v/>
      </c>
      <c r="G1564" s="29" t="str">
        <f aca="false">IF(A1564="","",IF(COUNTIF(Anggota!$A$2:$A$2001,A1564)=0,"TIDAK ADA","OK"))</f>
        <v/>
      </c>
    </row>
    <row r="1565" customFormat="false" ht="15" hidden="false" customHeight="false" outlineLevel="0" collapsed="false">
      <c r="A1565" s="21"/>
      <c r="B1565" s="22"/>
      <c r="C1565" s="21"/>
      <c r="D1565" s="24"/>
      <c r="E1565" s="22"/>
      <c r="F1565" s="29" t="str">
        <f aca="false">IF(C1565="","",IFERROR(INDEX(Produk!$J$2:$J$100,MATCH(C1565,Produk!$A$2:$A$100,0)),"PRODUK?"))</f>
        <v/>
      </c>
      <c r="G1565" s="29" t="str">
        <f aca="false">IF(A1565="","",IF(COUNTIF(Anggota!$A$2:$A$2001,A1565)=0,"TIDAK ADA","OK"))</f>
        <v/>
      </c>
    </row>
    <row r="1566" customFormat="false" ht="15" hidden="false" customHeight="false" outlineLevel="0" collapsed="false">
      <c r="A1566" s="21"/>
      <c r="B1566" s="22"/>
      <c r="C1566" s="21"/>
      <c r="D1566" s="24"/>
      <c r="E1566" s="22"/>
      <c r="F1566" s="29" t="str">
        <f aca="false">IF(C1566="","",IFERROR(INDEX(Produk!$J$2:$J$100,MATCH(C1566,Produk!$A$2:$A$100,0)),"PRODUK?"))</f>
        <v/>
      </c>
      <c r="G1566" s="29" t="str">
        <f aca="false">IF(A1566="","",IF(COUNTIF(Anggota!$A$2:$A$2001,A1566)=0,"TIDAK ADA","OK"))</f>
        <v/>
      </c>
    </row>
    <row r="1567" customFormat="false" ht="15" hidden="false" customHeight="false" outlineLevel="0" collapsed="false">
      <c r="A1567" s="21"/>
      <c r="B1567" s="22"/>
      <c r="C1567" s="21"/>
      <c r="D1567" s="24"/>
      <c r="E1567" s="22"/>
      <c r="F1567" s="29" t="str">
        <f aca="false">IF(C1567="","",IFERROR(INDEX(Produk!$J$2:$J$100,MATCH(C1567,Produk!$A$2:$A$100,0)),"PRODUK?"))</f>
        <v/>
      </c>
      <c r="G1567" s="29" t="str">
        <f aca="false">IF(A1567="","",IF(COUNTIF(Anggota!$A$2:$A$2001,A1567)=0,"TIDAK ADA","OK"))</f>
        <v/>
      </c>
    </row>
    <row r="1568" customFormat="false" ht="15" hidden="false" customHeight="false" outlineLevel="0" collapsed="false">
      <c r="A1568" s="21"/>
      <c r="B1568" s="22"/>
      <c r="C1568" s="21"/>
      <c r="D1568" s="24"/>
      <c r="E1568" s="22"/>
      <c r="F1568" s="29" t="str">
        <f aca="false">IF(C1568="","",IFERROR(INDEX(Produk!$J$2:$J$100,MATCH(C1568,Produk!$A$2:$A$100,0)),"PRODUK?"))</f>
        <v/>
      </c>
      <c r="G1568" s="29" t="str">
        <f aca="false">IF(A1568="","",IF(COUNTIF(Anggota!$A$2:$A$2001,A1568)=0,"TIDAK ADA","OK"))</f>
        <v/>
      </c>
    </row>
    <row r="1569" customFormat="false" ht="15" hidden="false" customHeight="false" outlineLevel="0" collapsed="false">
      <c r="A1569" s="21"/>
      <c r="B1569" s="22"/>
      <c r="C1569" s="21"/>
      <c r="D1569" s="24"/>
      <c r="E1569" s="22"/>
      <c r="F1569" s="29" t="str">
        <f aca="false">IF(C1569="","",IFERROR(INDEX(Produk!$J$2:$J$100,MATCH(C1569,Produk!$A$2:$A$100,0)),"PRODUK?"))</f>
        <v/>
      </c>
      <c r="G1569" s="29" t="str">
        <f aca="false">IF(A1569="","",IF(COUNTIF(Anggota!$A$2:$A$2001,A1569)=0,"TIDAK ADA","OK"))</f>
        <v/>
      </c>
    </row>
    <row r="1570" customFormat="false" ht="15" hidden="false" customHeight="false" outlineLevel="0" collapsed="false">
      <c r="A1570" s="21"/>
      <c r="B1570" s="22"/>
      <c r="C1570" s="21"/>
      <c r="D1570" s="24"/>
      <c r="E1570" s="22"/>
      <c r="F1570" s="29" t="str">
        <f aca="false">IF(C1570="","",IFERROR(INDEX(Produk!$J$2:$J$100,MATCH(C1570,Produk!$A$2:$A$100,0)),"PRODUK?"))</f>
        <v/>
      </c>
      <c r="G1570" s="29" t="str">
        <f aca="false">IF(A1570="","",IF(COUNTIF(Anggota!$A$2:$A$2001,A1570)=0,"TIDAK ADA","OK"))</f>
        <v/>
      </c>
    </row>
    <row r="1571" customFormat="false" ht="15" hidden="false" customHeight="false" outlineLevel="0" collapsed="false">
      <c r="A1571" s="21"/>
      <c r="B1571" s="22"/>
      <c r="C1571" s="21"/>
      <c r="D1571" s="24"/>
      <c r="E1571" s="22"/>
      <c r="F1571" s="29" t="str">
        <f aca="false">IF(C1571="","",IFERROR(INDEX(Produk!$J$2:$J$100,MATCH(C1571,Produk!$A$2:$A$100,0)),"PRODUK?"))</f>
        <v/>
      </c>
      <c r="G1571" s="29" t="str">
        <f aca="false">IF(A1571="","",IF(COUNTIF(Anggota!$A$2:$A$2001,A1571)=0,"TIDAK ADA","OK"))</f>
        <v/>
      </c>
    </row>
    <row r="1572" customFormat="false" ht="15" hidden="false" customHeight="false" outlineLevel="0" collapsed="false">
      <c r="A1572" s="21"/>
      <c r="B1572" s="22"/>
      <c r="C1572" s="21"/>
      <c r="D1572" s="24"/>
      <c r="E1572" s="22"/>
      <c r="F1572" s="29" t="str">
        <f aca="false">IF(C1572="","",IFERROR(INDEX(Produk!$J$2:$J$100,MATCH(C1572,Produk!$A$2:$A$100,0)),"PRODUK?"))</f>
        <v/>
      </c>
      <c r="G1572" s="29" t="str">
        <f aca="false">IF(A1572="","",IF(COUNTIF(Anggota!$A$2:$A$2001,A1572)=0,"TIDAK ADA","OK"))</f>
        <v/>
      </c>
    </row>
    <row r="1573" customFormat="false" ht="15" hidden="false" customHeight="false" outlineLevel="0" collapsed="false">
      <c r="A1573" s="21"/>
      <c r="B1573" s="22"/>
      <c r="C1573" s="21"/>
      <c r="D1573" s="24"/>
      <c r="E1573" s="22"/>
      <c r="F1573" s="29" t="str">
        <f aca="false">IF(C1573="","",IFERROR(INDEX(Produk!$J$2:$J$100,MATCH(C1573,Produk!$A$2:$A$100,0)),"PRODUK?"))</f>
        <v/>
      </c>
      <c r="G1573" s="29" t="str">
        <f aca="false">IF(A1573="","",IF(COUNTIF(Anggota!$A$2:$A$2001,A1573)=0,"TIDAK ADA","OK"))</f>
        <v/>
      </c>
    </row>
    <row r="1574" customFormat="false" ht="15" hidden="false" customHeight="false" outlineLevel="0" collapsed="false">
      <c r="A1574" s="21"/>
      <c r="B1574" s="22"/>
      <c r="C1574" s="21"/>
      <c r="D1574" s="24"/>
      <c r="E1574" s="22"/>
      <c r="F1574" s="29" t="str">
        <f aca="false">IF(C1574="","",IFERROR(INDEX(Produk!$J$2:$J$100,MATCH(C1574,Produk!$A$2:$A$100,0)),"PRODUK?"))</f>
        <v/>
      </c>
      <c r="G1574" s="29" t="str">
        <f aca="false">IF(A1574="","",IF(COUNTIF(Anggota!$A$2:$A$2001,A1574)=0,"TIDAK ADA","OK"))</f>
        <v/>
      </c>
    </row>
    <row r="1575" customFormat="false" ht="15" hidden="false" customHeight="false" outlineLevel="0" collapsed="false">
      <c r="A1575" s="21"/>
      <c r="B1575" s="22"/>
      <c r="C1575" s="21"/>
      <c r="D1575" s="24"/>
      <c r="E1575" s="22"/>
      <c r="F1575" s="29" t="str">
        <f aca="false">IF(C1575="","",IFERROR(INDEX(Produk!$J$2:$J$100,MATCH(C1575,Produk!$A$2:$A$100,0)),"PRODUK?"))</f>
        <v/>
      </c>
      <c r="G1575" s="29" t="str">
        <f aca="false">IF(A1575="","",IF(COUNTIF(Anggota!$A$2:$A$2001,A1575)=0,"TIDAK ADA","OK"))</f>
        <v/>
      </c>
    </row>
    <row r="1576" customFormat="false" ht="15" hidden="false" customHeight="false" outlineLevel="0" collapsed="false">
      <c r="A1576" s="21"/>
      <c r="B1576" s="22"/>
      <c r="C1576" s="21"/>
      <c r="D1576" s="24"/>
      <c r="E1576" s="22"/>
      <c r="F1576" s="29" t="str">
        <f aca="false">IF(C1576="","",IFERROR(INDEX(Produk!$J$2:$J$100,MATCH(C1576,Produk!$A$2:$A$100,0)),"PRODUK?"))</f>
        <v/>
      </c>
      <c r="G1576" s="29" t="str">
        <f aca="false">IF(A1576="","",IF(COUNTIF(Anggota!$A$2:$A$2001,A1576)=0,"TIDAK ADA","OK"))</f>
        <v/>
      </c>
    </row>
    <row r="1577" customFormat="false" ht="15" hidden="false" customHeight="false" outlineLevel="0" collapsed="false">
      <c r="A1577" s="21"/>
      <c r="B1577" s="22"/>
      <c r="C1577" s="21"/>
      <c r="D1577" s="24"/>
      <c r="E1577" s="22"/>
      <c r="F1577" s="29" t="str">
        <f aca="false">IF(C1577="","",IFERROR(INDEX(Produk!$J$2:$J$100,MATCH(C1577,Produk!$A$2:$A$100,0)),"PRODUK?"))</f>
        <v/>
      </c>
      <c r="G1577" s="29" t="str">
        <f aca="false">IF(A1577="","",IF(COUNTIF(Anggota!$A$2:$A$2001,A1577)=0,"TIDAK ADA","OK"))</f>
        <v/>
      </c>
    </row>
    <row r="1578" customFormat="false" ht="15" hidden="false" customHeight="false" outlineLevel="0" collapsed="false">
      <c r="A1578" s="21"/>
      <c r="B1578" s="22"/>
      <c r="C1578" s="21"/>
      <c r="D1578" s="24"/>
      <c r="E1578" s="22"/>
      <c r="F1578" s="29" t="str">
        <f aca="false">IF(C1578="","",IFERROR(INDEX(Produk!$J$2:$J$100,MATCH(C1578,Produk!$A$2:$A$100,0)),"PRODUK?"))</f>
        <v/>
      </c>
      <c r="G1578" s="29" t="str">
        <f aca="false">IF(A1578="","",IF(COUNTIF(Anggota!$A$2:$A$2001,A1578)=0,"TIDAK ADA","OK"))</f>
        <v/>
      </c>
    </row>
    <row r="1579" customFormat="false" ht="15" hidden="false" customHeight="false" outlineLevel="0" collapsed="false">
      <c r="A1579" s="21"/>
      <c r="B1579" s="22"/>
      <c r="C1579" s="21"/>
      <c r="D1579" s="24"/>
      <c r="E1579" s="22"/>
      <c r="F1579" s="29" t="str">
        <f aca="false">IF(C1579="","",IFERROR(INDEX(Produk!$J$2:$J$100,MATCH(C1579,Produk!$A$2:$A$100,0)),"PRODUK?"))</f>
        <v/>
      </c>
      <c r="G1579" s="29" t="str">
        <f aca="false">IF(A1579="","",IF(COUNTIF(Anggota!$A$2:$A$2001,A1579)=0,"TIDAK ADA","OK"))</f>
        <v/>
      </c>
    </row>
    <row r="1580" customFormat="false" ht="15" hidden="false" customHeight="false" outlineLevel="0" collapsed="false">
      <c r="A1580" s="21"/>
      <c r="B1580" s="22"/>
      <c r="C1580" s="21"/>
      <c r="D1580" s="24"/>
      <c r="E1580" s="22"/>
      <c r="F1580" s="29" t="str">
        <f aca="false">IF(C1580="","",IFERROR(INDEX(Produk!$J$2:$J$100,MATCH(C1580,Produk!$A$2:$A$100,0)),"PRODUK?"))</f>
        <v/>
      </c>
      <c r="G1580" s="29" t="str">
        <f aca="false">IF(A1580="","",IF(COUNTIF(Anggota!$A$2:$A$2001,A1580)=0,"TIDAK ADA","OK"))</f>
        <v/>
      </c>
    </row>
    <row r="1581" customFormat="false" ht="15" hidden="false" customHeight="false" outlineLevel="0" collapsed="false">
      <c r="A1581" s="21"/>
      <c r="B1581" s="22"/>
      <c r="C1581" s="21"/>
      <c r="D1581" s="24"/>
      <c r="E1581" s="22"/>
      <c r="F1581" s="29" t="str">
        <f aca="false">IF(C1581="","",IFERROR(INDEX(Produk!$J$2:$J$100,MATCH(C1581,Produk!$A$2:$A$100,0)),"PRODUK?"))</f>
        <v/>
      </c>
      <c r="G1581" s="29" t="str">
        <f aca="false">IF(A1581="","",IF(COUNTIF(Anggota!$A$2:$A$2001,A1581)=0,"TIDAK ADA","OK"))</f>
        <v/>
      </c>
    </row>
    <row r="1582" customFormat="false" ht="15" hidden="false" customHeight="false" outlineLevel="0" collapsed="false">
      <c r="A1582" s="21"/>
      <c r="B1582" s="22"/>
      <c r="C1582" s="21"/>
      <c r="D1582" s="24"/>
      <c r="E1582" s="22"/>
      <c r="F1582" s="29" t="str">
        <f aca="false">IF(C1582="","",IFERROR(INDEX(Produk!$J$2:$J$100,MATCH(C1582,Produk!$A$2:$A$100,0)),"PRODUK?"))</f>
        <v/>
      </c>
      <c r="G1582" s="29" t="str">
        <f aca="false">IF(A1582="","",IF(COUNTIF(Anggota!$A$2:$A$2001,A1582)=0,"TIDAK ADA","OK"))</f>
        <v/>
      </c>
    </row>
    <row r="1583" customFormat="false" ht="15" hidden="false" customHeight="false" outlineLevel="0" collapsed="false">
      <c r="A1583" s="21"/>
      <c r="B1583" s="22"/>
      <c r="C1583" s="21"/>
      <c r="D1583" s="24"/>
      <c r="E1583" s="22"/>
      <c r="F1583" s="29" t="str">
        <f aca="false">IF(C1583="","",IFERROR(INDEX(Produk!$J$2:$J$100,MATCH(C1583,Produk!$A$2:$A$100,0)),"PRODUK?"))</f>
        <v/>
      </c>
      <c r="G1583" s="29" t="str">
        <f aca="false">IF(A1583="","",IF(COUNTIF(Anggota!$A$2:$A$2001,A1583)=0,"TIDAK ADA","OK"))</f>
        <v/>
      </c>
    </row>
    <row r="1584" customFormat="false" ht="15" hidden="false" customHeight="false" outlineLevel="0" collapsed="false">
      <c r="A1584" s="21"/>
      <c r="B1584" s="22"/>
      <c r="C1584" s="21"/>
      <c r="D1584" s="24"/>
      <c r="E1584" s="22"/>
      <c r="F1584" s="29" t="str">
        <f aca="false">IF(C1584="","",IFERROR(INDEX(Produk!$J$2:$J$100,MATCH(C1584,Produk!$A$2:$A$100,0)),"PRODUK?"))</f>
        <v/>
      </c>
      <c r="G1584" s="29" t="str">
        <f aca="false">IF(A1584="","",IF(COUNTIF(Anggota!$A$2:$A$2001,A1584)=0,"TIDAK ADA","OK"))</f>
        <v/>
      </c>
    </row>
    <row r="1585" customFormat="false" ht="15" hidden="false" customHeight="false" outlineLevel="0" collapsed="false">
      <c r="A1585" s="21"/>
      <c r="B1585" s="22"/>
      <c r="C1585" s="21"/>
      <c r="D1585" s="24"/>
      <c r="E1585" s="22"/>
      <c r="F1585" s="29" t="str">
        <f aca="false">IF(C1585="","",IFERROR(INDEX(Produk!$J$2:$J$100,MATCH(C1585,Produk!$A$2:$A$100,0)),"PRODUK?"))</f>
        <v/>
      </c>
      <c r="G1585" s="29" t="str">
        <f aca="false">IF(A1585="","",IF(COUNTIF(Anggota!$A$2:$A$2001,A1585)=0,"TIDAK ADA","OK"))</f>
        <v/>
      </c>
    </row>
    <row r="1586" customFormat="false" ht="15" hidden="false" customHeight="false" outlineLevel="0" collapsed="false">
      <c r="A1586" s="21"/>
      <c r="B1586" s="22"/>
      <c r="C1586" s="21"/>
      <c r="D1586" s="24"/>
      <c r="E1586" s="22"/>
      <c r="F1586" s="29" t="str">
        <f aca="false">IF(C1586="","",IFERROR(INDEX(Produk!$J$2:$J$100,MATCH(C1586,Produk!$A$2:$A$100,0)),"PRODUK?"))</f>
        <v/>
      </c>
      <c r="G1586" s="29" t="str">
        <f aca="false">IF(A1586="","",IF(COUNTIF(Anggota!$A$2:$A$2001,A1586)=0,"TIDAK ADA","OK"))</f>
        <v/>
      </c>
    </row>
    <row r="1587" customFormat="false" ht="15" hidden="false" customHeight="false" outlineLevel="0" collapsed="false">
      <c r="A1587" s="21"/>
      <c r="B1587" s="22"/>
      <c r="C1587" s="21"/>
      <c r="D1587" s="24"/>
      <c r="E1587" s="22"/>
      <c r="F1587" s="29" t="str">
        <f aca="false">IF(C1587="","",IFERROR(INDEX(Produk!$J$2:$J$100,MATCH(C1587,Produk!$A$2:$A$100,0)),"PRODUK?"))</f>
        <v/>
      </c>
      <c r="G1587" s="29" t="str">
        <f aca="false">IF(A1587="","",IF(COUNTIF(Anggota!$A$2:$A$2001,A1587)=0,"TIDAK ADA","OK"))</f>
        <v/>
      </c>
    </row>
    <row r="1588" customFormat="false" ht="15" hidden="false" customHeight="false" outlineLevel="0" collapsed="false">
      <c r="A1588" s="21"/>
      <c r="B1588" s="22"/>
      <c r="C1588" s="21"/>
      <c r="D1588" s="24"/>
      <c r="E1588" s="22"/>
      <c r="F1588" s="29" t="str">
        <f aca="false">IF(C1588="","",IFERROR(INDEX(Produk!$J$2:$J$100,MATCH(C1588,Produk!$A$2:$A$100,0)),"PRODUK?"))</f>
        <v/>
      </c>
      <c r="G1588" s="29" t="str">
        <f aca="false">IF(A1588="","",IF(COUNTIF(Anggota!$A$2:$A$2001,A1588)=0,"TIDAK ADA","OK"))</f>
        <v/>
      </c>
    </row>
    <row r="1589" customFormat="false" ht="15" hidden="false" customHeight="false" outlineLevel="0" collapsed="false">
      <c r="A1589" s="21"/>
      <c r="B1589" s="22"/>
      <c r="C1589" s="21"/>
      <c r="D1589" s="24"/>
      <c r="E1589" s="22"/>
      <c r="F1589" s="29" t="str">
        <f aca="false">IF(C1589="","",IFERROR(INDEX(Produk!$J$2:$J$100,MATCH(C1589,Produk!$A$2:$A$100,0)),"PRODUK?"))</f>
        <v/>
      </c>
      <c r="G1589" s="29" t="str">
        <f aca="false">IF(A1589="","",IF(COUNTIF(Anggota!$A$2:$A$2001,A1589)=0,"TIDAK ADA","OK"))</f>
        <v/>
      </c>
    </row>
    <row r="1590" customFormat="false" ht="15" hidden="false" customHeight="false" outlineLevel="0" collapsed="false">
      <c r="A1590" s="21"/>
      <c r="B1590" s="22"/>
      <c r="C1590" s="21"/>
      <c r="D1590" s="24"/>
      <c r="E1590" s="22"/>
      <c r="F1590" s="29" t="str">
        <f aca="false">IF(C1590="","",IFERROR(INDEX(Produk!$J$2:$J$100,MATCH(C1590,Produk!$A$2:$A$100,0)),"PRODUK?"))</f>
        <v/>
      </c>
      <c r="G1590" s="29" t="str">
        <f aca="false">IF(A1590="","",IF(COUNTIF(Anggota!$A$2:$A$2001,A1590)=0,"TIDAK ADA","OK"))</f>
        <v/>
      </c>
    </row>
    <row r="1591" customFormat="false" ht="15" hidden="false" customHeight="false" outlineLevel="0" collapsed="false">
      <c r="A1591" s="21"/>
      <c r="B1591" s="22"/>
      <c r="C1591" s="21"/>
      <c r="D1591" s="24"/>
      <c r="E1591" s="22"/>
      <c r="F1591" s="29" t="str">
        <f aca="false">IF(C1591="","",IFERROR(INDEX(Produk!$J$2:$J$100,MATCH(C1591,Produk!$A$2:$A$100,0)),"PRODUK?"))</f>
        <v/>
      </c>
      <c r="G1591" s="29" t="str">
        <f aca="false">IF(A1591="","",IF(COUNTIF(Anggota!$A$2:$A$2001,A1591)=0,"TIDAK ADA","OK"))</f>
        <v/>
      </c>
    </row>
    <row r="1592" customFormat="false" ht="15" hidden="false" customHeight="false" outlineLevel="0" collapsed="false">
      <c r="A1592" s="21"/>
      <c r="B1592" s="22"/>
      <c r="C1592" s="21"/>
      <c r="D1592" s="24"/>
      <c r="E1592" s="22"/>
      <c r="F1592" s="29" t="str">
        <f aca="false">IF(C1592="","",IFERROR(INDEX(Produk!$J$2:$J$100,MATCH(C1592,Produk!$A$2:$A$100,0)),"PRODUK?"))</f>
        <v/>
      </c>
      <c r="G1592" s="29" t="str">
        <f aca="false">IF(A1592="","",IF(COUNTIF(Anggota!$A$2:$A$2001,A1592)=0,"TIDAK ADA","OK"))</f>
        <v/>
      </c>
    </row>
    <row r="1593" customFormat="false" ht="15" hidden="false" customHeight="false" outlineLevel="0" collapsed="false">
      <c r="A1593" s="21"/>
      <c r="B1593" s="22"/>
      <c r="C1593" s="21"/>
      <c r="D1593" s="24"/>
      <c r="E1593" s="22"/>
      <c r="F1593" s="29" t="str">
        <f aca="false">IF(C1593="","",IFERROR(INDEX(Produk!$J$2:$J$100,MATCH(C1593,Produk!$A$2:$A$100,0)),"PRODUK?"))</f>
        <v/>
      </c>
      <c r="G1593" s="29" t="str">
        <f aca="false">IF(A1593="","",IF(COUNTIF(Anggota!$A$2:$A$2001,A1593)=0,"TIDAK ADA","OK"))</f>
        <v/>
      </c>
    </row>
    <row r="1594" customFormat="false" ht="15" hidden="false" customHeight="false" outlineLevel="0" collapsed="false">
      <c r="A1594" s="21"/>
      <c r="B1594" s="22"/>
      <c r="C1594" s="21"/>
      <c r="D1594" s="24"/>
      <c r="E1594" s="22"/>
      <c r="F1594" s="29" t="str">
        <f aca="false">IF(C1594="","",IFERROR(INDEX(Produk!$J$2:$J$100,MATCH(C1594,Produk!$A$2:$A$100,0)),"PRODUK?"))</f>
        <v/>
      </c>
      <c r="G1594" s="29" t="str">
        <f aca="false">IF(A1594="","",IF(COUNTIF(Anggota!$A$2:$A$2001,A1594)=0,"TIDAK ADA","OK"))</f>
        <v/>
      </c>
    </row>
    <row r="1595" customFormat="false" ht="15" hidden="false" customHeight="false" outlineLevel="0" collapsed="false">
      <c r="A1595" s="21"/>
      <c r="B1595" s="22"/>
      <c r="C1595" s="21"/>
      <c r="D1595" s="24"/>
      <c r="E1595" s="22"/>
      <c r="F1595" s="29" t="str">
        <f aca="false">IF(C1595="","",IFERROR(INDEX(Produk!$J$2:$J$100,MATCH(C1595,Produk!$A$2:$A$100,0)),"PRODUK?"))</f>
        <v/>
      </c>
      <c r="G1595" s="29" t="str">
        <f aca="false">IF(A1595="","",IF(COUNTIF(Anggota!$A$2:$A$2001,A1595)=0,"TIDAK ADA","OK"))</f>
        <v/>
      </c>
    </row>
    <row r="1596" customFormat="false" ht="15" hidden="false" customHeight="false" outlineLevel="0" collapsed="false">
      <c r="A1596" s="21"/>
      <c r="B1596" s="22"/>
      <c r="C1596" s="21"/>
      <c r="D1596" s="24"/>
      <c r="E1596" s="22"/>
      <c r="F1596" s="29" t="str">
        <f aca="false">IF(C1596="","",IFERROR(INDEX(Produk!$J$2:$J$100,MATCH(C1596,Produk!$A$2:$A$100,0)),"PRODUK?"))</f>
        <v/>
      </c>
      <c r="G1596" s="29" t="str">
        <f aca="false">IF(A1596="","",IF(COUNTIF(Anggota!$A$2:$A$2001,A1596)=0,"TIDAK ADA","OK"))</f>
        <v/>
      </c>
    </row>
    <row r="1597" customFormat="false" ht="15" hidden="false" customHeight="false" outlineLevel="0" collapsed="false">
      <c r="A1597" s="21"/>
      <c r="B1597" s="22"/>
      <c r="C1597" s="21"/>
      <c r="D1597" s="24"/>
      <c r="E1597" s="22"/>
      <c r="F1597" s="29" t="str">
        <f aca="false">IF(C1597="","",IFERROR(INDEX(Produk!$J$2:$J$100,MATCH(C1597,Produk!$A$2:$A$100,0)),"PRODUK?"))</f>
        <v/>
      </c>
      <c r="G1597" s="29" t="str">
        <f aca="false">IF(A1597="","",IF(COUNTIF(Anggota!$A$2:$A$2001,A1597)=0,"TIDAK ADA","OK"))</f>
        <v/>
      </c>
    </row>
    <row r="1598" customFormat="false" ht="15" hidden="false" customHeight="false" outlineLevel="0" collapsed="false">
      <c r="A1598" s="21"/>
      <c r="B1598" s="22"/>
      <c r="C1598" s="21"/>
      <c r="D1598" s="24"/>
      <c r="E1598" s="22"/>
      <c r="F1598" s="29" t="str">
        <f aca="false">IF(C1598="","",IFERROR(INDEX(Produk!$J$2:$J$100,MATCH(C1598,Produk!$A$2:$A$100,0)),"PRODUK?"))</f>
        <v/>
      </c>
      <c r="G1598" s="29" t="str">
        <f aca="false">IF(A1598="","",IF(COUNTIF(Anggota!$A$2:$A$2001,A1598)=0,"TIDAK ADA","OK"))</f>
        <v/>
      </c>
    </row>
    <row r="1599" customFormat="false" ht="15" hidden="false" customHeight="false" outlineLevel="0" collapsed="false">
      <c r="A1599" s="21"/>
      <c r="B1599" s="22"/>
      <c r="C1599" s="21"/>
      <c r="D1599" s="24"/>
      <c r="E1599" s="22"/>
      <c r="F1599" s="29" t="str">
        <f aca="false">IF(C1599="","",IFERROR(INDEX(Produk!$J$2:$J$100,MATCH(C1599,Produk!$A$2:$A$100,0)),"PRODUK?"))</f>
        <v/>
      </c>
      <c r="G1599" s="29" t="str">
        <f aca="false">IF(A1599="","",IF(COUNTIF(Anggota!$A$2:$A$2001,A1599)=0,"TIDAK ADA","OK"))</f>
        <v/>
      </c>
    </row>
    <row r="1600" customFormat="false" ht="15" hidden="false" customHeight="false" outlineLevel="0" collapsed="false">
      <c r="A1600" s="21"/>
      <c r="B1600" s="22"/>
      <c r="C1600" s="21"/>
      <c r="D1600" s="24"/>
      <c r="E1600" s="22"/>
      <c r="F1600" s="29" t="str">
        <f aca="false">IF(C1600="","",IFERROR(INDEX(Produk!$J$2:$J$100,MATCH(C1600,Produk!$A$2:$A$100,0)),"PRODUK?"))</f>
        <v/>
      </c>
      <c r="G1600" s="29" t="str">
        <f aca="false">IF(A1600="","",IF(COUNTIF(Anggota!$A$2:$A$2001,A1600)=0,"TIDAK ADA","OK"))</f>
        <v/>
      </c>
    </row>
    <row r="1601" customFormat="false" ht="15" hidden="false" customHeight="false" outlineLevel="0" collapsed="false">
      <c r="A1601" s="21"/>
      <c r="B1601" s="22"/>
      <c r="C1601" s="21"/>
      <c r="D1601" s="24"/>
      <c r="E1601" s="22"/>
      <c r="F1601" s="29" t="str">
        <f aca="false">IF(C1601="","",IFERROR(INDEX(Produk!$J$2:$J$100,MATCH(C1601,Produk!$A$2:$A$100,0)),"PRODUK?"))</f>
        <v/>
      </c>
      <c r="G1601" s="29" t="str">
        <f aca="false">IF(A1601="","",IF(COUNTIF(Anggota!$A$2:$A$2001,A1601)=0,"TIDAK ADA","OK"))</f>
        <v/>
      </c>
    </row>
    <row r="1602" customFormat="false" ht="15" hidden="false" customHeight="false" outlineLevel="0" collapsed="false">
      <c r="A1602" s="21"/>
      <c r="B1602" s="22"/>
      <c r="C1602" s="21"/>
      <c r="D1602" s="24"/>
      <c r="E1602" s="22"/>
      <c r="F1602" s="29" t="str">
        <f aca="false">IF(C1602="","",IFERROR(INDEX(Produk!$J$2:$J$100,MATCH(C1602,Produk!$A$2:$A$100,0)),"PRODUK?"))</f>
        <v/>
      </c>
      <c r="G1602" s="29" t="str">
        <f aca="false">IF(A1602="","",IF(COUNTIF(Anggota!$A$2:$A$2001,A1602)=0,"TIDAK ADA","OK"))</f>
        <v/>
      </c>
    </row>
    <row r="1603" customFormat="false" ht="15" hidden="false" customHeight="false" outlineLevel="0" collapsed="false">
      <c r="A1603" s="21"/>
      <c r="B1603" s="22"/>
      <c r="C1603" s="21"/>
      <c r="D1603" s="24"/>
      <c r="E1603" s="22"/>
      <c r="F1603" s="29" t="str">
        <f aca="false">IF(C1603="","",IFERROR(INDEX(Produk!$J$2:$J$100,MATCH(C1603,Produk!$A$2:$A$100,0)),"PRODUK?"))</f>
        <v/>
      </c>
      <c r="G1603" s="29" t="str">
        <f aca="false">IF(A1603="","",IF(COUNTIF(Anggota!$A$2:$A$2001,A1603)=0,"TIDAK ADA","OK"))</f>
        <v/>
      </c>
    </row>
    <row r="1604" customFormat="false" ht="15" hidden="false" customHeight="false" outlineLevel="0" collapsed="false">
      <c r="A1604" s="21"/>
      <c r="B1604" s="22"/>
      <c r="C1604" s="21"/>
      <c r="D1604" s="24"/>
      <c r="E1604" s="22"/>
      <c r="F1604" s="29" t="str">
        <f aca="false">IF(C1604="","",IFERROR(INDEX(Produk!$J$2:$J$100,MATCH(C1604,Produk!$A$2:$A$100,0)),"PRODUK?"))</f>
        <v/>
      </c>
      <c r="G1604" s="29" t="str">
        <f aca="false">IF(A1604="","",IF(COUNTIF(Anggota!$A$2:$A$2001,A1604)=0,"TIDAK ADA","OK"))</f>
        <v/>
      </c>
    </row>
    <row r="1605" customFormat="false" ht="15" hidden="false" customHeight="false" outlineLevel="0" collapsed="false">
      <c r="A1605" s="21"/>
      <c r="B1605" s="22"/>
      <c r="C1605" s="21"/>
      <c r="D1605" s="24"/>
      <c r="E1605" s="22"/>
      <c r="F1605" s="29" t="str">
        <f aca="false">IF(C1605="","",IFERROR(INDEX(Produk!$J$2:$J$100,MATCH(C1605,Produk!$A$2:$A$100,0)),"PRODUK?"))</f>
        <v/>
      </c>
      <c r="G1605" s="29" t="str">
        <f aca="false">IF(A1605="","",IF(COUNTIF(Anggota!$A$2:$A$2001,A1605)=0,"TIDAK ADA","OK"))</f>
        <v/>
      </c>
    </row>
    <row r="1606" customFormat="false" ht="15" hidden="false" customHeight="false" outlineLevel="0" collapsed="false">
      <c r="A1606" s="21"/>
      <c r="B1606" s="22"/>
      <c r="C1606" s="21"/>
      <c r="D1606" s="24"/>
      <c r="E1606" s="22"/>
      <c r="F1606" s="29" t="str">
        <f aca="false">IF(C1606="","",IFERROR(INDEX(Produk!$J$2:$J$100,MATCH(C1606,Produk!$A$2:$A$100,0)),"PRODUK?"))</f>
        <v/>
      </c>
      <c r="G1606" s="29" t="str">
        <f aca="false">IF(A1606="","",IF(COUNTIF(Anggota!$A$2:$A$2001,A1606)=0,"TIDAK ADA","OK"))</f>
        <v/>
      </c>
    </row>
    <row r="1607" customFormat="false" ht="15" hidden="false" customHeight="false" outlineLevel="0" collapsed="false">
      <c r="A1607" s="21"/>
      <c r="B1607" s="22"/>
      <c r="C1607" s="21"/>
      <c r="D1607" s="24"/>
      <c r="E1607" s="22"/>
      <c r="F1607" s="29" t="str">
        <f aca="false">IF(C1607="","",IFERROR(INDEX(Produk!$J$2:$J$100,MATCH(C1607,Produk!$A$2:$A$100,0)),"PRODUK?"))</f>
        <v/>
      </c>
      <c r="G1607" s="29" t="str">
        <f aca="false">IF(A1607="","",IF(COUNTIF(Anggota!$A$2:$A$2001,A1607)=0,"TIDAK ADA","OK"))</f>
        <v/>
      </c>
    </row>
    <row r="1608" customFormat="false" ht="15" hidden="false" customHeight="false" outlineLevel="0" collapsed="false">
      <c r="A1608" s="21"/>
      <c r="B1608" s="22"/>
      <c r="C1608" s="21"/>
      <c r="D1608" s="24"/>
      <c r="E1608" s="22"/>
      <c r="F1608" s="29" t="str">
        <f aca="false">IF(C1608="","",IFERROR(INDEX(Produk!$J$2:$J$100,MATCH(C1608,Produk!$A$2:$A$100,0)),"PRODUK?"))</f>
        <v/>
      </c>
      <c r="G1608" s="29" t="str">
        <f aca="false">IF(A1608="","",IF(COUNTIF(Anggota!$A$2:$A$2001,A1608)=0,"TIDAK ADA","OK"))</f>
        <v/>
      </c>
    </row>
    <row r="1609" customFormat="false" ht="15" hidden="false" customHeight="false" outlineLevel="0" collapsed="false">
      <c r="A1609" s="21"/>
      <c r="B1609" s="22"/>
      <c r="C1609" s="21"/>
      <c r="D1609" s="24"/>
      <c r="E1609" s="22"/>
      <c r="F1609" s="29" t="str">
        <f aca="false">IF(C1609="","",IFERROR(INDEX(Produk!$J$2:$J$100,MATCH(C1609,Produk!$A$2:$A$100,0)),"PRODUK?"))</f>
        <v/>
      </c>
      <c r="G1609" s="29" t="str">
        <f aca="false">IF(A1609="","",IF(COUNTIF(Anggota!$A$2:$A$2001,A1609)=0,"TIDAK ADA","OK"))</f>
        <v/>
      </c>
    </row>
    <row r="1610" customFormat="false" ht="15" hidden="false" customHeight="false" outlineLevel="0" collapsed="false">
      <c r="A1610" s="21"/>
      <c r="B1610" s="22"/>
      <c r="C1610" s="21"/>
      <c r="D1610" s="24"/>
      <c r="E1610" s="22"/>
      <c r="F1610" s="29" t="str">
        <f aca="false">IF(C1610="","",IFERROR(INDEX(Produk!$J$2:$J$100,MATCH(C1610,Produk!$A$2:$A$100,0)),"PRODUK?"))</f>
        <v/>
      </c>
      <c r="G1610" s="29" t="str">
        <f aca="false">IF(A1610="","",IF(COUNTIF(Anggota!$A$2:$A$2001,A1610)=0,"TIDAK ADA","OK"))</f>
        <v/>
      </c>
    </row>
    <row r="1611" customFormat="false" ht="15" hidden="false" customHeight="false" outlineLevel="0" collapsed="false">
      <c r="A1611" s="21"/>
      <c r="B1611" s="22"/>
      <c r="C1611" s="21"/>
      <c r="D1611" s="24"/>
      <c r="E1611" s="22"/>
      <c r="F1611" s="29" t="str">
        <f aca="false">IF(C1611="","",IFERROR(INDEX(Produk!$J$2:$J$100,MATCH(C1611,Produk!$A$2:$A$100,0)),"PRODUK?"))</f>
        <v/>
      </c>
      <c r="G1611" s="29" t="str">
        <f aca="false">IF(A1611="","",IF(COUNTIF(Anggota!$A$2:$A$2001,A1611)=0,"TIDAK ADA","OK"))</f>
        <v/>
      </c>
    </row>
    <row r="1612" customFormat="false" ht="15" hidden="false" customHeight="false" outlineLevel="0" collapsed="false">
      <c r="A1612" s="21"/>
      <c r="B1612" s="22"/>
      <c r="C1612" s="21"/>
      <c r="D1612" s="24"/>
      <c r="E1612" s="22"/>
      <c r="F1612" s="29" t="str">
        <f aca="false">IF(C1612="","",IFERROR(INDEX(Produk!$J$2:$J$100,MATCH(C1612,Produk!$A$2:$A$100,0)),"PRODUK?"))</f>
        <v/>
      </c>
      <c r="G1612" s="29" t="str">
        <f aca="false">IF(A1612="","",IF(COUNTIF(Anggota!$A$2:$A$2001,A1612)=0,"TIDAK ADA","OK"))</f>
        <v/>
      </c>
    </row>
    <row r="1613" customFormat="false" ht="15" hidden="false" customHeight="false" outlineLevel="0" collapsed="false">
      <c r="A1613" s="21"/>
      <c r="B1613" s="22"/>
      <c r="C1613" s="21"/>
      <c r="D1613" s="24"/>
      <c r="E1613" s="22"/>
      <c r="F1613" s="29" t="str">
        <f aca="false">IF(C1613="","",IFERROR(INDEX(Produk!$J$2:$J$100,MATCH(C1613,Produk!$A$2:$A$100,0)),"PRODUK?"))</f>
        <v/>
      </c>
      <c r="G1613" s="29" t="str">
        <f aca="false">IF(A1613="","",IF(COUNTIF(Anggota!$A$2:$A$2001,A1613)=0,"TIDAK ADA","OK"))</f>
        <v/>
      </c>
    </row>
    <row r="1614" customFormat="false" ht="15" hidden="false" customHeight="false" outlineLevel="0" collapsed="false">
      <c r="A1614" s="21"/>
      <c r="B1614" s="22"/>
      <c r="C1614" s="21"/>
      <c r="D1614" s="24"/>
      <c r="E1614" s="22"/>
      <c r="F1614" s="29" t="str">
        <f aca="false">IF(C1614="","",IFERROR(INDEX(Produk!$J$2:$J$100,MATCH(C1614,Produk!$A$2:$A$100,0)),"PRODUK?"))</f>
        <v/>
      </c>
      <c r="G1614" s="29" t="str">
        <f aca="false">IF(A1614="","",IF(COUNTIF(Anggota!$A$2:$A$2001,A1614)=0,"TIDAK ADA","OK"))</f>
        <v/>
      </c>
    </row>
    <row r="1615" customFormat="false" ht="15" hidden="false" customHeight="false" outlineLevel="0" collapsed="false">
      <c r="A1615" s="21"/>
      <c r="B1615" s="22"/>
      <c r="C1615" s="21"/>
      <c r="D1615" s="24"/>
      <c r="E1615" s="22"/>
      <c r="F1615" s="29" t="str">
        <f aca="false">IF(C1615="","",IFERROR(INDEX(Produk!$J$2:$J$100,MATCH(C1615,Produk!$A$2:$A$100,0)),"PRODUK?"))</f>
        <v/>
      </c>
      <c r="G1615" s="29" t="str">
        <f aca="false">IF(A1615="","",IF(COUNTIF(Anggota!$A$2:$A$2001,A1615)=0,"TIDAK ADA","OK"))</f>
        <v/>
      </c>
    </row>
    <row r="1616" customFormat="false" ht="15" hidden="false" customHeight="false" outlineLevel="0" collapsed="false">
      <c r="A1616" s="21"/>
      <c r="B1616" s="22"/>
      <c r="C1616" s="21"/>
      <c r="D1616" s="24"/>
      <c r="E1616" s="22"/>
      <c r="F1616" s="29" t="str">
        <f aca="false">IF(C1616="","",IFERROR(INDEX(Produk!$J$2:$J$100,MATCH(C1616,Produk!$A$2:$A$100,0)),"PRODUK?"))</f>
        <v/>
      </c>
      <c r="G1616" s="29" t="str">
        <f aca="false">IF(A1616="","",IF(COUNTIF(Anggota!$A$2:$A$2001,A1616)=0,"TIDAK ADA","OK"))</f>
        <v/>
      </c>
    </row>
    <row r="1617" customFormat="false" ht="15" hidden="false" customHeight="false" outlineLevel="0" collapsed="false">
      <c r="A1617" s="21"/>
      <c r="B1617" s="22"/>
      <c r="C1617" s="21"/>
      <c r="D1617" s="24"/>
      <c r="E1617" s="22"/>
      <c r="F1617" s="29" t="str">
        <f aca="false">IF(C1617="","",IFERROR(INDEX(Produk!$J$2:$J$100,MATCH(C1617,Produk!$A$2:$A$100,0)),"PRODUK?"))</f>
        <v/>
      </c>
      <c r="G1617" s="29" t="str">
        <f aca="false">IF(A1617="","",IF(COUNTIF(Anggota!$A$2:$A$2001,A1617)=0,"TIDAK ADA","OK"))</f>
        <v/>
      </c>
    </row>
    <row r="1618" customFormat="false" ht="15" hidden="false" customHeight="false" outlineLevel="0" collapsed="false">
      <c r="A1618" s="21"/>
      <c r="B1618" s="22"/>
      <c r="C1618" s="21"/>
      <c r="D1618" s="24"/>
      <c r="E1618" s="22"/>
      <c r="F1618" s="29" t="str">
        <f aca="false">IF(C1618="","",IFERROR(INDEX(Produk!$J$2:$J$100,MATCH(C1618,Produk!$A$2:$A$100,0)),"PRODUK?"))</f>
        <v/>
      </c>
      <c r="G1618" s="29" t="str">
        <f aca="false">IF(A1618="","",IF(COUNTIF(Anggota!$A$2:$A$2001,A1618)=0,"TIDAK ADA","OK"))</f>
        <v/>
      </c>
    </row>
    <row r="1619" customFormat="false" ht="15" hidden="false" customHeight="false" outlineLevel="0" collapsed="false">
      <c r="A1619" s="21"/>
      <c r="B1619" s="22"/>
      <c r="C1619" s="21"/>
      <c r="D1619" s="24"/>
      <c r="E1619" s="22"/>
      <c r="F1619" s="29" t="str">
        <f aca="false">IF(C1619="","",IFERROR(INDEX(Produk!$J$2:$J$100,MATCH(C1619,Produk!$A$2:$A$100,0)),"PRODUK?"))</f>
        <v/>
      </c>
      <c r="G1619" s="29" t="str">
        <f aca="false">IF(A1619="","",IF(COUNTIF(Anggota!$A$2:$A$2001,A1619)=0,"TIDAK ADA","OK"))</f>
        <v/>
      </c>
    </row>
    <row r="1620" customFormat="false" ht="15" hidden="false" customHeight="false" outlineLevel="0" collapsed="false">
      <c r="A1620" s="21"/>
      <c r="B1620" s="22"/>
      <c r="C1620" s="21"/>
      <c r="D1620" s="24"/>
      <c r="E1620" s="22"/>
      <c r="F1620" s="29" t="str">
        <f aca="false">IF(C1620="","",IFERROR(INDEX(Produk!$J$2:$J$100,MATCH(C1620,Produk!$A$2:$A$100,0)),"PRODUK?"))</f>
        <v/>
      </c>
      <c r="G1620" s="29" t="str">
        <f aca="false">IF(A1620="","",IF(COUNTIF(Anggota!$A$2:$A$2001,A1620)=0,"TIDAK ADA","OK"))</f>
        <v/>
      </c>
    </row>
    <row r="1621" customFormat="false" ht="15" hidden="false" customHeight="false" outlineLevel="0" collapsed="false">
      <c r="A1621" s="21"/>
      <c r="B1621" s="22"/>
      <c r="C1621" s="21"/>
      <c r="D1621" s="24"/>
      <c r="E1621" s="22"/>
      <c r="F1621" s="29" t="str">
        <f aca="false">IF(C1621="","",IFERROR(INDEX(Produk!$J$2:$J$100,MATCH(C1621,Produk!$A$2:$A$100,0)),"PRODUK?"))</f>
        <v/>
      </c>
      <c r="G1621" s="29" t="str">
        <f aca="false">IF(A1621="","",IF(COUNTIF(Anggota!$A$2:$A$2001,A1621)=0,"TIDAK ADA","OK"))</f>
        <v/>
      </c>
    </row>
    <row r="1622" customFormat="false" ht="15" hidden="false" customHeight="false" outlineLevel="0" collapsed="false">
      <c r="A1622" s="21"/>
      <c r="B1622" s="22"/>
      <c r="C1622" s="21"/>
      <c r="D1622" s="24"/>
      <c r="E1622" s="22"/>
      <c r="F1622" s="29" t="str">
        <f aca="false">IF(C1622="","",IFERROR(INDEX(Produk!$J$2:$J$100,MATCH(C1622,Produk!$A$2:$A$100,0)),"PRODUK?"))</f>
        <v/>
      </c>
      <c r="G1622" s="29" t="str">
        <f aca="false">IF(A1622="","",IF(COUNTIF(Anggota!$A$2:$A$2001,A1622)=0,"TIDAK ADA","OK"))</f>
        <v/>
      </c>
    </row>
    <row r="1623" customFormat="false" ht="15" hidden="false" customHeight="false" outlineLevel="0" collapsed="false">
      <c r="A1623" s="21"/>
      <c r="B1623" s="22"/>
      <c r="C1623" s="21"/>
      <c r="D1623" s="24"/>
      <c r="E1623" s="22"/>
      <c r="F1623" s="29" t="str">
        <f aca="false">IF(C1623="","",IFERROR(INDEX(Produk!$J$2:$J$100,MATCH(C1623,Produk!$A$2:$A$100,0)),"PRODUK?"))</f>
        <v/>
      </c>
      <c r="G1623" s="29" t="str">
        <f aca="false">IF(A1623="","",IF(COUNTIF(Anggota!$A$2:$A$2001,A1623)=0,"TIDAK ADA","OK"))</f>
        <v/>
      </c>
    </row>
    <row r="1624" customFormat="false" ht="15" hidden="false" customHeight="false" outlineLevel="0" collapsed="false">
      <c r="A1624" s="21"/>
      <c r="B1624" s="22"/>
      <c r="C1624" s="21"/>
      <c r="D1624" s="24"/>
      <c r="E1624" s="22"/>
      <c r="F1624" s="29" t="str">
        <f aca="false">IF(C1624="","",IFERROR(INDEX(Produk!$J$2:$J$100,MATCH(C1624,Produk!$A$2:$A$100,0)),"PRODUK?"))</f>
        <v/>
      </c>
      <c r="G1624" s="29" t="str">
        <f aca="false">IF(A1624="","",IF(COUNTIF(Anggota!$A$2:$A$2001,A1624)=0,"TIDAK ADA","OK"))</f>
        <v/>
      </c>
    </row>
    <row r="1625" customFormat="false" ht="15" hidden="false" customHeight="false" outlineLevel="0" collapsed="false">
      <c r="A1625" s="21"/>
      <c r="B1625" s="22"/>
      <c r="C1625" s="21"/>
      <c r="D1625" s="24"/>
      <c r="E1625" s="22"/>
      <c r="F1625" s="29" t="str">
        <f aca="false">IF(C1625="","",IFERROR(INDEX(Produk!$J$2:$J$100,MATCH(C1625,Produk!$A$2:$A$100,0)),"PRODUK?"))</f>
        <v/>
      </c>
      <c r="G1625" s="29" t="str">
        <f aca="false">IF(A1625="","",IF(COUNTIF(Anggota!$A$2:$A$2001,A1625)=0,"TIDAK ADA","OK"))</f>
        <v/>
      </c>
    </row>
    <row r="1626" customFormat="false" ht="15" hidden="false" customHeight="false" outlineLevel="0" collapsed="false">
      <c r="A1626" s="21"/>
      <c r="B1626" s="22"/>
      <c r="C1626" s="21"/>
      <c r="D1626" s="24"/>
      <c r="E1626" s="22"/>
      <c r="F1626" s="29" t="str">
        <f aca="false">IF(C1626="","",IFERROR(INDEX(Produk!$J$2:$J$100,MATCH(C1626,Produk!$A$2:$A$100,0)),"PRODUK?"))</f>
        <v/>
      </c>
      <c r="G1626" s="29" t="str">
        <f aca="false">IF(A1626="","",IF(COUNTIF(Anggota!$A$2:$A$2001,A1626)=0,"TIDAK ADA","OK"))</f>
        <v/>
      </c>
    </row>
    <row r="1627" customFormat="false" ht="15" hidden="false" customHeight="false" outlineLevel="0" collapsed="false">
      <c r="A1627" s="21"/>
      <c r="B1627" s="22"/>
      <c r="C1627" s="21"/>
      <c r="D1627" s="24"/>
      <c r="E1627" s="22"/>
      <c r="F1627" s="29" t="str">
        <f aca="false">IF(C1627="","",IFERROR(INDEX(Produk!$J$2:$J$100,MATCH(C1627,Produk!$A$2:$A$100,0)),"PRODUK?"))</f>
        <v/>
      </c>
      <c r="G1627" s="29" t="str">
        <f aca="false">IF(A1627="","",IF(COUNTIF(Anggota!$A$2:$A$2001,A1627)=0,"TIDAK ADA","OK"))</f>
        <v/>
      </c>
    </row>
    <row r="1628" customFormat="false" ht="15" hidden="false" customHeight="false" outlineLevel="0" collapsed="false">
      <c r="A1628" s="21"/>
      <c r="B1628" s="22"/>
      <c r="C1628" s="21"/>
      <c r="D1628" s="24"/>
      <c r="E1628" s="22"/>
      <c r="F1628" s="29" t="str">
        <f aca="false">IF(C1628="","",IFERROR(INDEX(Produk!$J$2:$J$100,MATCH(C1628,Produk!$A$2:$A$100,0)),"PRODUK?"))</f>
        <v/>
      </c>
      <c r="G1628" s="29" t="str">
        <f aca="false">IF(A1628="","",IF(COUNTIF(Anggota!$A$2:$A$2001,A1628)=0,"TIDAK ADA","OK"))</f>
        <v/>
      </c>
    </row>
    <row r="1629" customFormat="false" ht="15" hidden="false" customHeight="false" outlineLevel="0" collapsed="false">
      <c r="A1629" s="21"/>
      <c r="B1629" s="22"/>
      <c r="C1629" s="21"/>
      <c r="D1629" s="24"/>
      <c r="E1629" s="22"/>
      <c r="F1629" s="29" t="str">
        <f aca="false">IF(C1629="","",IFERROR(INDEX(Produk!$J$2:$J$100,MATCH(C1629,Produk!$A$2:$A$100,0)),"PRODUK?"))</f>
        <v/>
      </c>
      <c r="G1629" s="29" t="str">
        <f aca="false">IF(A1629="","",IF(COUNTIF(Anggota!$A$2:$A$2001,A1629)=0,"TIDAK ADA","OK"))</f>
        <v/>
      </c>
    </row>
    <row r="1630" customFormat="false" ht="15" hidden="false" customHeight="false" outlineLevel="0" collapsed="false">
      <c r="A1630" s="21"/>
      <c r="B1630" s="22"/>
      <c r="C1630" s="21"/>
      <c r="D1630" s="24"/>
      <c r="E1630" s="22"/>
      <c r="F1630" s="29" t="str">
        <f aca="false">IF(C1630="","",IFERROR(INDEX(Produk!$J$2:$J$100,MATCH(C1630,Produk!$A$2:$A$100,0)),"PRODUK?"))</f>
        <v/>
      </c>
      <c r="G1630" s="29" t="str">
        <f aca="false">IF(A1630="","",IF(COUNTIF(Anggota!$A$2:$A$2001,A1630)=0,"TIDAK ADA","OK"))</f>
        <v/>
      </c>
    </row>
    <row r="1631" customFormat="false" ht="15" hidden="false" customHeight="false" outlineLevel="0" collapsed="false">
      <c r="A1631" s="21"/>
      <c r="B1631" s="22"/>
      <c r="C1631" s="21"/>
      <c r="D1631" s="24"/>
      <c r="E1631" s="22"/>
      <c r="F1631" s="29" t="str">
        <f aca="false">IF(C1631="","",IFERROR(INDEX(Produk!$J$2:$J$100,MATCH(C1631,Produk!$A$2:$A$100,0)),"PRODUK?"))</f>
        <v/>
      </c>
      <c r="G1631" s="29" t="str">
        <f aca="false">IF(A1631="","",IF(COUNTIF(Anggota!$A$2:$A$2001,A1631)=0,"TIDAK ADA","OK"))</f>
        <v/>
      </c>
    </row>
    <row r="1632" customFormat="false" ht="15" hidden="false" customHeight="false" outlineLevel="0" collapsed="false">
      <c r="A1632" s="21"/>
      <c r="B1632" s="22"/>
      <c r="C1632" s="21"/>
      <c r="D1632" s="24"/>
      <c r="E1632" s="22"/>
      <c r="F1632" s="29" t="str">
        <f aca="false">IF(C1632="","",IFERROR(INDEX(Produk!$J$2:$J$100,MATCH(C1632,Produk!$A$2:$A$100,0)),"PRODUK?"))</f>
        <v/>
      </c>
      <c r="G1632" s="29" t="str">
        <f aca="false">IF(A1632="","",IF(COUNTIF(Anggota!$A$2:$A$2001,A1632)=0,"TIDAK ADA","OK"))</f>
        <v/>
      </c>
    </row>
    <row r="1633" customFormat="false" ht="15" hidden="false" customHeight="false" outlineLevel="0" collapsed="false">
      <c r="A1633" s="21"/>
      <c r="B1633" s="22"/>
      <c r="C1633" s="21"/>
      <c r="D1633" s="24"/>
      <c r="E1633" s="22"/>
      <c r="F1633" s="29" t="str">
        <f aca="false">IF(C1633="","",IFERROR(INDEX(Produk!$J$2:$J$100,MATCH(C1633,Produk!$A$2:$A$100,0)),"PRODUK?"))</f>
        <v/>
      </c>
      <c r="G1633" s="29" t="str">
        <f aca="false">IF(A1633="","",IF(COUNTIF(Anggota!$A$2:$A$2001,A1633)=0,"TIDAK ADA","OK"))</f>
        <v/>
      </c>
    </row>
    <row r="1634" customFormat="false" ht="15" hidden="false" customHeight="false" outlineLevel="0" collapsed="false">
      <c r="A1634" s="21"/>
      <c r="B1634" s="22"/>
      <c r="C1634" s="21"/>
      <c r="D1634" s="24"/>
      <c r="E1634" s="22"/>
      <c r="F1634" s="29" t="str">
        <f aca="false">IF(C1634="","",IFERROR(INDEX(Produk!$J$2:$J$100,MATCH(C1634,Produk!$A$2:$A$100,0)),"PRODUK?"))</f>
        <v/>
      </c>
      <c r="G1634" s="29" t="str">
        <f aca="false">IF(A1634="","",IF(COUNTIF(Anggota!$A$2:$A$2001,A1634)=0,"TIDAK ADA","OK"))</f>
        <v/>
      </c>
    </row>
    <row r="1635" customFormat="false" ht="15" hidden="false" customHeight="false" outlineLevel="0" collapsed="false">
      <c r="A1635" s="21"/>
      <c r="B1635" s="22"/>
      <c r="C1635" s="21"/>
      <c r="D1635" s="24"/>
      <c r="E1635" s="22"/>
      <c r="F1635" s="29" t="str">
        <f aca="false">IF(C1635="","",IFERROR(INDEX(Produk!$J$2:$J$100,MATCH(C1635,Produk!$A$2:$A$100,0)),"PRODUK?"))</f>
        <v/>
      </c>
      <c r="G1635" s="29" t="str">
        <f aca="false">IF(A1635="","",IF(COUNTIF(Anggota!$A$2:$A$2001,A1635)=0,"TIDAK ADA","OK"))</f>
        <v/>
      </c>
    </row>
    <row r="1636" customFormat="false" ht="15" hidden="false" customHeight="false" outlineLevel="0" collapsed="false">
      <c r="A1636" s="21"/>
      <c r="B1636" s="22"/>
      <c r="C1636" s="21"/>
      <c r="D1636" s="24"/>
      <c r="E1636" s="22"/>
      <c r="F1636" s="29" t="str">
        <f aca="false">IF(C1636="","",IFERROR(INDEX(Produk!$J$2:$J$100,MATCH(C1636,Produk!$A$2:$A$100,0)),"PRODUK?"))</f>
        <v/>
      </c>
      <c r="G1636" s="29" t="str">
        <f aca="false">IF(A1636="","",IF(COUNTIF(Anggota!$A$2:$A$2001,A1636)=0,"TIDAK ADA","OK"))</f>
        <v/>
      </c>
    </row>
    <row r="1637" customFormat="false" ht="15" hidden="false" customHeight="false" outlineLevel="0" collapsed="false">
      <c r="A1637" s="21"/>
      <c r="B1637" s="22"/>
      <c r="C1637" s="21"/>
      <c r="D1637" s="24"/>
      <c r="E1637" s="22"/>
      <c r="F1637" s="29" t="str">
        <f aca="false">IF(C1637="","",IFERROR(INDEX(Produk!$J$2:$J$100,MATCH(C1637,Produk!$A$2:$A$100,0)),"PRODUK?"))</f>
        <v/>
      </c>
      <c r="G1637" s="29" t="str">
        <f aca="false">IF(A1637="","",IF(COUNTIF(Anggota!$A$2:$A$2001,A1637)=0,"TIDAK ADA","OK"))</f>
        <v/>
      </c>
    </row>
    <row r="1638" customFormat="false" ht="15" hidden="false" customHeight="false" outlineLevel="0" collapsed="false">
      <c r="A1638" s="21"/>
      <c r="B1638" s="22"/>
      <c r="C1638" s="21"/>
      <c r="D1638" s="24"/>
      <c r="E1638" s="22"/>
      <c r="F1638" s="29" t="str">
        <f aca="false">IF(C1638="","",IFERROR(INDEX(Produk!$J$2:$J$100,MATCH(C1638,Produk!$A$2:$A$100,0)),"PRODUK?"))</f>
        <v/>
      </c>
      <c r="G1638" s="29" t="str">
        <f aca="false">IF(A1638="","",IF(COUNTIF(Anggota!$A$2:$A$2001,A1638)=0,"TIDAK ADA","OK"))</f>
        <v/>
      </c>
    </row>
    <row r="1639" customFormat="false" ht="15" hidden="false" customHeight="false" outlineLevel="0" collapsed="false">
      <c r="A1639" s="21"/>
      <c r="B1639" s="22"/>
      <c r="C1639" s="21"/>
      <c r="D1639" s="24"/>
      <c r="E1639" s="22"/>
      <c r="F1639" s="29" t="str">
        <f aca="false">IF(C1639="","",IFERROR(INDEX(Produk!$J$2:$J$100,MATCH(C1639,Produk!$A$2:$A$100,0)),"PRODUK?"))</f>
        <v/>
      </c>
      <c r="G1639" s="29" t="str">
        <f aca="false">IF(A1639="","",IF(COUNTIF(Anggota!$A$2:$A$2001,A1639)=0,"TIDAK ADA","OK"))</f>
        <v/>
      </c>
    </row>
    <row r="1640" customFormat="false" ht="15" hidden="false" customHeight="false" outlineLevel="0" collapsed="false">
      <c r="A1640" s="21"/>
      <c r="B1640" s="22"/>
      <c r="C1640" s="21"/>
      <c r="D1640" s="24"/>
      <c r="E1640" s="22"/>
      <c r="F1640" s="29" t="str">
        <f aca="false">IF(C1640="","",IFERROR(INDEX(Produk!$J$2:$J$100,MATCH(C1640,Produk!$A$2:$A$100,0)),"PRODUK?"))</f>
        <v/>
      </c>
      <c r="G1640" s="29" t="str">
        <f aca="false">IF(A1640="","",IF(COUNTIF(Anggota!$A$2:$A$2001,A1640)=0,"TIDAK ADA","OK"))</f>
        <v/>
      </c>
    </row>
    <row r="1641" customFormat="false" ht="15" hidden="false" customHeight="false" outlineLevel="0" collapsed="false">
      <c r="A1641" s="21"/>
      <c r="B1641" s="22"/>
      <c r="C1641" s="21"/>
      <c r="D1641" s="24"/>
      <c r="E1641" s="22"/>
      <c r="F1641" s="29" t="str">
        <f aca="false">IF(C1641="","",IFERROR(INDEX(Produk!$J$2:$J$100,MATCH(C1641,Produk!$A$2:$A$100,0)),"PRODUK?"))</f>
        <v/>
      </c>
      <c r="G1641" s="29" t="str">
        <f aca="false">IF(A1641="","",IF(COUNTIF(Anggota!$A$2:$A$2001,A1641)=0,"TIDAK ADA","OK"))</f>
        <v/>
      </c>
    </row>
    <row r="1642" customFormat="false" ht="15" hidden="false" customHeight="false" outlineLevel="0" collapsed="false">
      <c r="A1642" s="21"/>
      <c r="B1642" s="22"/>
      <c r="C1642" s="21"/>
      <c r="D1642" s="24"/>
      <c r="E1642" s="22"/>
      <c r="F1642" s="29" t="str">
        <f aca="false">IF(C1642="","",IFERROR(INDEX(Produk!$J$2:$J$100,MATCH(C1642,Produk!$A$2:$A$100,0)),"PRODUK?"))</f>
        <v/>
      </c>
      <c r="G1642" s="29" t="str">
        <f aca="false">IF(A1642="","",IF(COUNTIF(Anggota!$A$2:$A$2001,A1642)=0,"TIDAK ADA","OK"))</f>
        <v/>
      </c>
    </row>
    <row r="1643" customFormat="false" ht="15" hidden="false" customHeight="false" outlineLevel="0" collapsed="false">
      <c r="A1643" s="21"/>
      <c r="B1643" s="22"/>
      <c r="C1643" s="21"/>
      <c r="D1643" s="24"/>
      <c r="E1643" s="22"/>
      <c r="F1643" s="29" t="str">
        <f aca="false">IF(C1643="","",IFERROR(INDEX(Produk!$J$2:$J$100,MATCH(C1643,Produk!$A$2:$A$100,0)),"PRODUK?"))</f>
        <v/>
      </c>
      <c r="G1643" s="29" t="str">
        <f aca="false">IF(A1643="","",IF(COUNTIF(Anggota!$A$2:$A$2001,A1643)=0,"TIDAK ADA","OK"))</f>
        <v/>
      </c>
    </row>
    <row r="1644" customFormat="false" ht="15" hidden="false" customHeight="false" outlineLevel="0" collapsed="false">
      <c r="A1644" s="21"/>
      <c r="B1644" s="22"/>
      <c r="C1644" s="21"/>
      <c r="D1644" s="24"/>
      <c r="E1644" s="22"/>
      <c r="F1644" s="29" t="str">
        <f aca="false">IF(C1644="","",IFERROR(INDEX(Produk!$J$2:$J$100,MATCH(C1644,Produk!$A$2:$A$100,0)),"PRODUK?"))</f>
        <v/>
      </c>
      <c r="G1644" s="29" t="str">
        <f aca="false">IF(A1644="","",IF(COUNTIF(Anggota!$A$2:$A$2001,A1644)=0,"TIDAK ADA","OK"))</f>
        <v/>
      </c>
    </row>
    <row r="1645" customFormat="false" ht="15" hidden="false" customHeight="false" outlineLevel="0" collapsed="false">
      <c r="A1645" s="21"/>
      <c r="B1645" s="22"/>
      <c r="C1645" s="21"/>
      <c r="D1645" s="24"/>
      <c r="E1645" s="22"/>
      <c r="F1645" s="29" t="str">
        <f aca="false">IF(C1645="","",IFERROR(INDEX(Produk!$J$2:$J$100,MATCH(C1645,Produk!$A$2:$A$100,0)),"PRODUK?"))</f>
        <v/>
      </c>
      <c r="G1645" s="29" t="str">
        <f aca="false">IF(A1645="","",IF(COUNTIF(Anggota!$A$2:$A$2001,A1645)=0,"TIDAK ADA","OK"))</f>
        <v/>
      </c>
    </row>
    <row r="1646" customFormat="false" ht="15" hidden="false" customHeight="false" outlineLevel="0" collapsed="false">
      <c r="A1646" s="21"/>
      <c r="B1646" s="22"/>
      <c r="C1646" s="21"/>
      <c r="D1646" s="24"/>
      <c r="E1646" s="22"/>
      <c r="F1646" s="29" t="str">
        <f aca="false">IF(C1646="","",IFERROR(INDEX(Produk!$J$2:$J$100,MATCH(C1646,Produk!$A$2:$A$100,0)),"PRODUK?"))</f>
        <v/>
      </c>
      <c r="G1646" s="29" t="str">
        <f aca="false">IF(A1646="","",IF(COUNTIF(Anggota!$A$2:$A$2001,A1646)=0,"TIDAK ADA","OK"))</f>
        <v/>
      </c>
    </row>
    <row r="1647" customFormat="false" ht="15" hidden="false" customHeight="false" outlineLevel="0" collapsed="false">
      <c r="A1647" s="21"/>
      <c r="B1647" s="22"/>
      <c r="C1647" s="21"/>
      <c r="D1647" s="24"/>
      <c r="E1647" s="22"/>
      <c r="F1647" s="29" t="str">
        <f aca="false">IF(C1647="","",IFERROR(INDEX(Produk!$J$2:$J$100,MATCH(C1647,Produk!$A$2:$A$100,0)),"PRODUK?"))</f>
        <v/>
      </c>
      <c r="G1647" s="29" t="str">
        <f aca="false">IF(A1647="","",IF(COUNTIF(Anggota!$A$2:$A$2001,A1647)=0,"TIDAK ADA","OK"))</f>
        <v/>
      </c>
    </row>
    <row r="1648" customFormat="false" ht="15" hidden="false" customHeight="false" outlineLevel="0" collapsed="false">
      <c r="A1648" s="21"/>
      <c r="B1648" s="22"/>
      <c r="C1648" s="21"/>
      <c r="D1648" s="24"/>
      <c r="E1648" s="22"/>
      <c r="F1648" s="29" t="str">
        <f aca="false">IF(C1648="","",IFERROR(INDEX(Produk!$J$2:$J$100,MATCH(C1648,Produk!$A$2:$A$100,0)),"PRODUK?"))</f>
        <v/>
      </c>
      <c r="G1648" s="29" t="str">
        <f aca="false">IF(A1648="","",IF(COUNTIF(Anggota!$A$2:$A$2001,A1648)=0,"TIDAK ADA","OK"))</f>
        <v/>
      </c>
    </row>
    <row r="1649" customFormat="false" ht="15" hidden="false" customHeight="false" outlineLevel="0" collapsed="false">
      <c r="A1649" s="21"/>
      <c r="B1649" s="22"/>
      <c r="C1649" s="21"/>
      <c r="D1649" s="24"/>
      <c r="E1649" s="22"/>
      <c r="F1649" s="29" t="str">
        <f aca="false">IF(C1649="","",IFERROR(INDEX(Produk!$J$2:$J$100,MATCH(C1649,Produk!$A$2:$A$100,0)),"PRODUK?"))</f>
        <v/>
      </c>
      <c r="G1649" s="29" t="str">
        <f aca="false">IF(A1649="","",IF(COUNTIF(Anggota!$A$2:$A$2001,A1649)=0,"TIDAK ADA","OK"))</f>
        <v/>
      </c>
    </row>
    <row r="1650" customFormat="false" ht="15" hidden="false" customHeight="false" outlineLevel="0" collapsed="false">
      <c r="A1650" s="21"/>
      <c r="B1650" s="22"/>
      <c r="C1650" s="21"/>
      <c r="D1650" s="24"/>
      <c r="E1650" s="22"/>
      <c r="F1650" s="29" t="str">
        <f aca="false">IF(C1650="","",IFERROR(INDEX(Produk!$J$2:$J$100,MATCH(C1650,Produk!$A$2:$A$100,0)),"PRODUK?"))</f>
        <v/>
      </c>
      <c r="G1650" s="29" t="str">
        <f aca="false">IF(A1650="","",IF(COUNTIF(Anggota!$A$2:$A$2001,A1650)=0,"TIDAK ADA","OK"))</f>
        <v/>
      </c>
    </row>
    <row r="1651" customFormat="false" ht="15" hidden="false" customHeight="false" outlineLevel="0" collapsed="false">
      <c r="A1651" s="21"/>
      <c r="B1651" s="22"/>
      <c r="C1651" s="21"/>
      <c r="D1651" s="24"/>
      <c r="E1651" s="22"/>
      <c r="F1651" s="29" t="str">
        <f aca="false">IF(C1651="","",IFERROR(INDEX(Produk!$J$2:$J$100,MATCH(C1651,Produk!$A$2:$A$100,0)),"PRODUK?"))</f>
        <v/>
      </c>
      <c r="G1651" s="29" t="str">
        <f aca="false">IF(A1651="","",IF(COUNTIF(Anggota!$A$2:$A$2001,A1651)=0,"TIDAK ADA","OK"))</f>
        <v/>
      </c>
    </row>
    <row r="1652" customFormat="false" ht="15" hidden="false" customHeight="false" outlineLevel="0" collapsed="false">
      <c r="A1652" s="21"/>
      <c r="B1652" s="22"/>
      <c r="C1652" s="21"/>
      <c r="D1652" s="24"/>
      <c r="E1652" s="22"/>
      <c r="F1652" s="29" t="str">
        <f aca="false">IF(C1652="","",IFERROR(INDEX(Produk!$J$2:$J$100,MATCH(C1652,Produk!$A$2:$A$100,0)),"PRODUK?"))</f>
        <v/>
      </c>
      <c r="G1652" s="29" t="str">
        <f aca="false">IF(A1652="","",IF(COUNTIF(Anggota!$A$2:$A$2001,A1652)=0,"TIDAK ADA","OK"))</f>
        <v/>
      </c>
    </row>
    <row r="1653" customFormat="false" ht="15" hidden="false" customHeight="false" outlineLevel="0" collapsed="false">
      <c r="A1653" s="21"/>
      <c r="B1653" s="22"/>
      <c r="C1653" s="21"/>
      <c r="D1653" s="24"/>
      <c r="E1653" s="22"/>
      <c r="F1653" s="29" t="str">
        <f aca="false">IF(C1653="","",IFERROR(INDEX(Produk!$J$2:$J$100,MATCH(C1653,Produk!$A$2:$A$100,0)),"PRODUK?"))</f>
        <v/>
      </c>
      <c r="G1653" s="29" t="str">
        <f aca="false">IF(A1653="","",IF(COUNTIF(Anggota!$A$2:$A$2001,A1653)=0,"TIDAK ADA","OK"))</f>
        <v/>
      </c>
    </row>
    <row r="1654" customFormat="false" ht="15" hidden="false" customHeight="false" outlineLevel="0" collapsed="false">
      <c r="A1654" s="21"/>
      <c r="B1654" s="22"/>
      <c r="C1654" s="21"/>
      <c r="D1654" s="24"/>
      <c r="E1654" s="22"/>
      <c r="F1654" s="29" t="str">
        <f aca="false">IF(C1654="","",IFERROR(INDEX(Produk!$J$2:$J$100,MATCH(C1654,Produk!$A$2:$A$100,0)),"PRODUK?"))</f>
        <v/>
      </c>
      <c r="G1654" s="29" t="str">
        <f aca="false">IF(A1654="","",IF(COUNTIF(Anggota!$A$2:$A$2001,A1654)=0,"TIDAK ADA","OK"))</f>
        <v/>
      </c>
    </row>
    <row r="1655" customFormat="false" ht="15" hidden="false" customHeight="false" outlineLevel="0" collapsed="false">
      <c r="A1655" s="21"/>
      <c r="B1655" s="22"/>
      <c r="C1655" s="21"/>
      <c r="D1655" s="24"/>
      <c r="E1655" s="22"/>
      <c r="F1655" s="29" t="str">
        <f aca="false">IF(C1655="","",IFERROR(INDEX(Produk!$J$2:$J$100,MATCH(C1655,Produk!$A$2:$A$100,0)),"PRODUK?"))</f>
        <v/>
      </c>
      <c r="G1655" s="29" t="str">
        <f aca="false">IF(A1655="","",IF(COUNTIF(Anggota!$A$2:$A$2001,A1655)=0,"TIDAK ADA","OK"))</f>
        <v/>
      </c>
    </row>
    <row r="1656" customFormat="false" ht="15" hidden="false" customHeight="false" outlineLevel="0" collapsed="false">
      <c r="A1656" s="21"/>
      <c r="B1656" s="22"/>
      <c r="C1656" s="21"/>
      <c r="D1656" s="24"/>
      <c r="E1656" s="22"/>
      <c r="F1656" s="29" t="str">
        <f aca="false">IF(C1656="","",IFERROR(INDEX(Produk!$J$2:$J$100,MATCH(C1656,Produk!$A$2:$A$100,0)),"PRODUK?"))</f>
        <v/>
      </c>
      <c r="G1656" s="29" t="str">
        <f aca="false">IF(A1656="","",IF(COUNTIF(Anggota!$A$2:$A$2001,A1656)=0,"TIDAK ADA","OK"))</f>
        <v/>
      </c>
    </row>
    <row r="1657" customFormat="false" ht="15" hidden="false" customHeight="false" outlineLevel="0" collapsed="false">
      <c r="A1657" s="21"/>
      <c r="B1657" s="22"/>
      <c r="C1657" s="21"/>
      <c r="D1657" s="24"/>
      <c r="E1657" s="22"/>
      <c r="F1657" s="29" t="str">
        <f aca="false">IF(C1657="","",IFERROR(INDEX(Produk!$J$2:$J$100,MATCH(C1657,Produk!$A$2:$A$100,0)),"PRODUK?"))</f>
        <v/>
      </c>
      <c r="G1657" s="29" t="str">
        <f aca="false">IF(A1657="","",IF(COUNTIF(Anggota!$A$2:$A$2001,A1657)=0,"TIDAK ADA","OK"))</f>
        <v/>
      </c>
    </row>
    <row r="1658" customFormat="false" ht="15" hidden="false" customHeight="false" outlineLevel="0" collapsed="false">
      <c r="A1658" s="21"/>
      <c r="B1658" s="22"/>
      <c r="C1658" s="21"/>
      <c r="D1658" s="24"/>
      <c r="E1658" s="22"/>
      <c r="F1658" s="29" t="str">
        <f aca="false">IF(C1658="","",IFERROR(INDEX(Produk!$J$2:$J$100,MATCH(C1658,Produk!$A$2:$A$100,0)),"PRODUK?"))</f>
        <v/>
      </c>
      <c r="G1658" s="29" t="str">
        <f aca="false">IF(A1658="","",IF(COUNTIF(Anggota!$A$2:$A$2001,A1658)=0,"TIDAK ADA","OK"))</f>
        <v/>
      </c>
    </row>
    <row r="1659" customFormat="false" ht="15" hidden="false" customHeight="false" outlineLevel="0" collapsed="false">
      <c r="A1659" s="21"/>
      <c r="B1659" s="22"/>
      <c r="C1659" s="21"/>
      <c r="D1659" s="24"/>
      <c r="E1659" s="22"/>
      <c r="F1659" s="29" t="str">
        <f aca="false">IF(C1659="","",IFERROR(INDEX(Produk!$J$2:$J$100,MATCH(C1659,Produk!$A$2:$A$100,0)),"PRODUK?"))</f>
        <v/>
      </c>
      <c r="G1659" s="29" t="str">
        <f aca="false">IF(A1659="","",IF(COUNTIF(Anggota!$A$2:$A$2001,A1659)=0,"TIDAK ADA","OK"))</f>
        <v/>
      </c>
    </row>
    <row r="1660" customFormat="false" ht="15" hidden="false" customHeight="false" outlineLevel="0" collapsed="false">
      <c r="A1660" s="21"/>
      <c r="B1660" s="22"/>
      <c r="C1660" s="21"/>
      <c r="D1660" s="24"/>
      <c r="E1660" s="22"/>
      <c r="F1660" s="29" t="str">
        <f aca="false">IF(C1660="","",IFERROR(INDEX(Produk!$J$2:$J$100,MATCH(C1660,Produk!$A$2:$A$100,0)),"PRODUK?"))</f>
        <v/>
      </c>
      <c r="G1660" s="29" t="str">
        <f aca="false">IF(A1660="","",IF(COUNTIF(Anggota!$A$2:$A$2001,A1660)=0,"TIDAK ADA","OK"))</f>
        <v/>
      </c>
    </row>
    <row r="1661" customFormat="false" ht="15" hidden="false" customHeight="false" outlineLevel="0" collapsed="false">
      <c r="A1661" s="21"/>
      <c r="B1661" s="22"/>
      <c r="C1661" s="21"/>
      <c r="D1661" s="24"/>
      <c r="E1661" s="22"/>
      <c r="F1661" s="29" t="str">
        <f aca="false">IF(C1661="","",IFERROR(INDEX(Produk!$J$2:$J$100,MATCH(C1661,Produk!$A$2:$A$100,0)),"PRODUK?"))</f>
        <v/>
      </c>
      <c r="G1661" s="29" t="str">
        <f aca="false">IF(A1661="","",IF(COUNTIF(Anggota!$A$2:$A$2001,A1661)=0,"TIDAK ADA","OK"))</f>
        <v/>
      </c>
    </row>
    <row r="1662" customFormat="false" ht="15" hidden="false" customHeight="false" outlineLevel="0" collapsed="false">
      <c r="A1662" s="21"/>
      <c r="B1662" s="22"/>
      <c r="C1662" s="21"/>
      <c r="D1662" s="24"/>
      <c r="E1662" s="22"/>
      <c r="F1662" s="29" t="str">
        <f aca="false">IF(C1662="","",IFERROR(INDEX(Produk!$J$2:$J$100,MATCH(C1662,Produk!$A$2:$A$100,0)),"PRODUK?"))</f>
        <v/>
      </c>
      <c r="G1662" s="29" t="str">
        <f aca="false">IF(A1662="","",IF(COUNTIF(Anggota!$A$2:$A$2001,A1662)=0,"TIDAK ADA","OK"))</f>
        <v/>
      </c>
    </row>
    <row r="1663" customFormat="false" ht="15" hidden="false" customHeight="false" outlineLevel="0" collapsed="false">
      <c r="A1663" s="21"/>
      <c r="B1663" s="22"/>
      <c r="C1663" s="21"/>
      <c r="D1663" s="24"/>
      <c r="E1663" s="22"/>
      <c r="F1663" s="29" t="str">
        <f aca="false">IF(C1663="","",IFERROR(INDEX(Produk!$J$2:$J$100,MATCH(C1663,Produk!$A$2:$A$100,0)),"PRODUK?"))</f>
        <v/>
      </c>
      <c r="G1663" s="29" t="str">
        <f aca="false">IF(A1663="","",IF(COUNTIF(Anggota!$A$2:$A$2001,A1663)=0,"TIDAK ADA","OK"))</f>
        <v/>
      </c>
    </row>
    <row r="1664" customFormat="false" ht="15" hidden="false" customHeight="false" outlineLevel="0" collapsed="false">
      <c r="A1664" s="21"/>
      <c r="B1664" s="22"/>
      <c r="C1664" s="21"/>
      <c r="D1664" s="24"/>
      <c r="E1664" s="22"/>
      <c r="F1664" s="29" t="str">
        <f aca="false">IF(C1664="","",IFERROR(INDEX(Produk!$J$2:$J$100,MATCH(C1664,Produk!$A$2:$A$100,0)),"PRODUK?"))</f>
        <v/>
      </c>
      <c r="G1664" s="29" t="str">
        <f aca="false">IF(A1664="","",IF(COUNTIF(Anggota!$A$2:$A$2001,A1664)=0,"TIDAK ADA","OK"))</f>
        <v/>
      </c>
    </row>
    <row r="1665" customFormat="false" ht="15" hidden="false" customHeight="false" outlineLevel="0" collapsed="false">
      <c r="A1665" s="21"/>
      <c r="B1665" s="22"/>
      <c r="C1665" s="21"/>
      <c r="D1665" s="24"/>
      <c r="E1665" s="22"/>
      <c r="F1665" s="29" t="str">
        <f aca="false">IF(C1665="","",IFERROR(INDEX(Produk!$J$2:$J$100,MATCH(C1665,Produk!$A$2:$A$100,0)),"PRODUK?"))</f>
        <v/>
      </c>
      <c r="G1665" s="29" t="str">
        <f aca="false">IF(A1665="","",IF(COUNTIF(Anggota!$A$2:$A$2001,A1665)=0,"TIDAK ADA","OK"))</f>
        <v/>
      </c>
    </row>
    <row r="1666" customFormat="false" ht="15" hidden="false" customHeight="false" outlineLevel="0" collapsed="false">
      <c r="A1666" s="21"/>
      <c r="B1666" s="22"/>
      <c r="C1666" s="21"/>
      <c r="D1666" s="24"/>
      <c r="E1666" s="22"/>
      <c r="F1666" s="29" t="str">
        <f aca="false">IF(C1666="","",IFERROR(INDEX(Produk!$J$2:$J$100,MATCH(C1666,Produk!$A$2:$A$100,0)),"PRODUK?"))</f>
        <v/>
      </c>
      <c r="G1666" s="29" t="str">
        <f aca="false">IF(A1666="","",IF(COUNTIF(Anggota!$A$2:$A$2001,A1666)=0,"TIDAK ADA","OK"))</f>
        <v/>
      </c>
    </row>
    <row r="1667" customFormat="false" ht="15" hidden="false" customHeight="false" outlineLevel="0" collapsed="false">
      <c r="A1667" s="21"/>
      <c r="B1667" s="22"/>
      <c r="C1667" s="21"/>
      <c r="D1667" s="24"/>
      <c r="E1667" s="22"/>
      <c r="F1667" s="29" t="str">
        <f aca="false">IF(C1667="","",IFERROR(INDEX(Produk!$J$2:$J$100,MATCH(C1667,Produk!$A$2:$A$100,0)),"PRODUK?"))</f>
        <v/>
      </c>
      <c r="G1667" s="29" t="str">
        <f aca="false">IF(A1667="","",IF(COUNTIF(Anggota!$A$2:$A$2001,A1667)=0,"TIDAK ADA","OK"))</f>
        <v/>
      </c>
    </row>
    <row r="1668" customFormat="false" ht="15" hidden="false" customHeight="false" outlineLevel="0" collapsed="false">
      <c r="A1668" s="21"/>
      <c r="B1668" s="22"/>
      <c r="C1668" s="21"/>
      <c r="D1668" s="24"/>
      <c r="E1668" s="22"/>
      <c r="F1668" s="29" t="str">
        <f aca="false">IF(C1668="","",IFERROR(INDEX(Produk!$J$2:$J$100,MATCH(C1668,Produk!$A$2:$A$100,0)),"PRODUK?"))</f>
        <v/>
      </c>
      <c r="G1668" s="29" t="str">
        <f aca="false">IF(A1668="","",IF(COUNTIF(Anggota!$A$2:$A$2001,A1668)=0,"TIDAK ADA","OK"))</f>
        <v/>
      </c>
    </row>
    <row r="1669" customFormat="false" ht="15" hidden="false" customHeight="false" outlineLevel="0" collapsed="false">
      <c r="A1669" s="21"/>
      <c r="B1669" s="22"/>
      <c r="C1669" s="21"/>
      <c r="D1669" s="24"/>
      <c r="E1669" s="22"/>
      <c r="F1669" s="29" t="str">
        <f aca="false">IF(C1669="","",IFERROR(INDEX(Produk!$J$2:$J$100,MATCH(C1669,Produk!$A$2:$A$100,0)),"PRODUK?"))</f>
        <v/>
      </c>
      <c r="G1669" s="29" t="str">
        <f aca="false">IF(A1669="","",IF(COUNTIF(Anggota!$A$2:$A$2001,A1669)=0,"TIDAK ADA","OK"))</f>
        <v/>
      </c>
    </row>
    <row r="1670" customFormat="false" ht="15" hidden="false" customHeight="false" outlineLevel="0" collapsed="false">
      <c r="A1670" s="21"/>
      <c r="B1670" s="22"/>
      <c r="C1670" s="21"/>
      <c r="D1670" s="24"/>
      <c r="E1670" s="22"/>
      <c r="F1670" s="29" t="str">
        <f aca="false">IF(C1670="","",IFERROR(INDEX(Produk!$J$2:$J$100,MATCH(C1670,Produk!$A$2:$A$100,0)),"PRODUK?"))</f>
        <v/>
      </c>
      <c r="G1670" s="29" t="str">
        <f aca="false">IF(A1670="","",IF(COUNTIF(Anggota!$A$2:$A$2001,A1670)=0,"TIDAK ADA","OK"))</f>
        <v/>
      </c>
    </row>
    <row r="1671" customFormat="false" ht="15" hidden="false" customHeight="false" outlineLevel="0" collapsed="false">
      <c r="A1671" s="21"/>
      <c r="B1671" s="22"/>
      <c r="C1671" s="21"/>
      <c r="D1671" s="24"/>
      <c r="E1671" s="22"/>
      <c r="F1671" s="29" t="str">
        <f aca="false">IF(C1671="","",IFERROR(INDEX(Produk!$J$2:$J$100,MATCH(C1671,Produk!$A$2:$A$100,0)),"PRODUK?"))</f>
        <v/>
      </c>
      <c r="G1671" s="29" t="str">
        <f aca="false">IF(A1671="","",IF(COUNTIF(Anggota!$A$2:$A$2001,A1671)=0,"TIDAK ADA","OK"))</f>
        <v/>
      </c>
    </row>
    <row r="1672" customFormat="false" ht="15" hidden="false" customHeight="false" outlineLevel="0" collapsed="false">
      <c r="A1672" s="21"/>
      <c r="B1672" s="22"/>
      <c r="C1672" s="21"/>
      <c r="D1672" s="24"/>
      <c r="E1672" s="22"/>
      <c r="F1672" s="29" t="str">
        <f aca="false">IF(C1672="","",IFERROR(INDEX(Produk!$J$2:$J$100,MATCH(C1672,Produk!$A$2:$A$100,0)),"PRODUK?"))</f>
        <v/>
      </c>
      <c r="G1672" s="29" t="str">
        <f aca="false">IF(A1672="","",IF(COUNTIF(Anggota!$A$2:$A$2001,A1672)=0,"TIDAK ADA","OK"))</f>
        <v/>
      </c>
    </row>
    <row r="1673" customFormat="false" ht="15" hidden="false" customHeight="false" outlineLevel="0" collapsed="false">
      <c r="A1673" s="21"/>
      <c r="B1673" s="22"/>
      <c r="C1673" s="21"/>
      <c r="D1673" s="24"/>
      <c r="E1673" s="22"/>
      <c r="F1673" s="29" t="str">
        <f aca="false">IF(C1673="","",IFERROR(INDEX(Produk!$J$2:$J$100,MATCH(C1673,Produk!$A$2:$A$100,0)),"PRODUK?"))</f>
        <v/>
      </c>
      <c r="G1673" s="29" t="str">
        <f aca="false">IF(A1673="","",IF(COUNTIF(Anggota!$A$2:$A$2001,A1673)=0,"TIDAK ADA","OK"))</f>
        <v/>
      </c>
    </row>
    <row r="1674" customFormat="false" ht="15" hidden="false" customHeight="false" outlineLevel="0" collapsed="false">
      <c r="A1674" s="21"/>
      <c r="B1674" s="22"/>
      <c r="C1674" s="21"/>
      <c r="D1674" s="24"/>
      <c r="E1674" s="22"/>
      <c r="F1674" s="29" t="str">
        <f aca="false">IF(C1674="","",IFERROR(INDEX(Produk!$J$2:$J$100,MATCH(C1674,Produk!$A$2:$A$100,0)),"PRODUK?"))</f>
        <v/>
      </c>
      <c r="G1674" s="29" t="str">
        <f aca="false">IF(A1674="","",IF(COUNTIF(Anggota!$A$2:$A$2001,A1674)=0,"TIDAK ADA","OK"))</f>
        <v/>
      </c>
    </row>
    <row r="1675" customFormat="false" ht="15" hidden="false" customHeight="false" outlineLevel="0" collapsed="false">
      <c r="A1675" s="21"/>
      <c r="B1675" s="22"/>
      <c r="C1675" s="21"/>
      <c r="D1675" s="24"/>
      <c r="E1675" s="22"/>
      <c r="F1675" s="29" t="str">
        <f aca="false">IF(C1675="","",IFERROR(INDEX(Produk!$J$2:$J$100,MATCH(C1675,Produk!$A$2:$A$100,0)),"PRODUK?"))</f>
        <v/>
      </c>
      <c r="G1675" s="29" t="str">
        <f aca="false">IF(A1675="","",IF(COUNTIF(Anggota!$A$2:$A$2001,A1675)=0,"TIDAK ADA","OK"))</f>
        <v/>
      </c>
    </row>
    <row r="1676" customFormat="false" ht="15" hidden="false" customHeight="false" outlineLevel="0" collapsed="false">
      <c r="A1676" s="21"/>
      <c r="B1676" s="22"/>
      <c r="C1676" s="21"/>
      <c r="D1676" s="24"/>
      <c r="E1676" s="22"/>
      <c r="F1676" s="29" t="str">
        <f aca="false">IF(C1676="","",IFERROR(INDEX(Produk!$J$2:$J$100,MATCH(C1676,Produk!$A$2:$A$100,0)),"PRODUK?"))</f>
        <v/>
      </c>
      <c r="G1676" s="29" t="str">
        <f aca="false">IF(A1676="","",IF(COUNTIF(Anggota!$A$2:$A$2001,A1676)=0,"TIDAK ADA","OK"))</f>
        <v/>
      </c>
    </row>
    <row r="1677" customFormat="false" ht="15" hidden="false" customHeight="false" outlineLevel="0" collapsed="false">
      <c r="A1677" s="21"/>
      <c r="B1677" s="22"/>
      <c r="C1677" s="21"/>
      <c r="D1677" s="24"/>
      <c r="E1677" s="22"/>
      <c r="F1677" s="29" t="str">
        <f aca="false">IF(C1677="","",IFERROR(INDEX(Produk!$J$2:$J$100,MATCH(C1677,Produk!$A$2:$A$100,0)),"PRODUK?"))</f>
        <v/>
      </c>
      <c r="G1677" s="29" t="str">
        <f aca="false">IF(A1677="","",IF(COUNTIF(Anggota!$A$2:$A$2001,A1677)=0,"TIDAK ADA","OK"))</f>
        <v/>
      </c>
    </row>
    <row r="1678" customFormat="false" ht="15" hidden="false" customHeight="false" outlineLevel="0" collapsed="false">
      <c r="A1678" s="21"/>
      <c r="B1678" s="22"/>
      <c r="C1678" s="21"/>
      <c r="D1678" s="24"/>
      <c r="E1678" s="22"/>
      <c r="F1678" s="29" t="str">
        <f aca="false">IF(C1678="","",IFERROR(INDEX(Produk!$J$2:$J$100,MATCH(C1678,Produk!$A$2:$A$100,0)),"PRODUK?"))</f>
        <v/>
      </c>
      <c r="G1678" s="29" t="str">
        <f aca="false">IF(A1678="","",IF(COUNTIF(Anggota!$A$2:$A$2001,A1678)=0,"TIDAK ADA","OK"))</f>
        <v/>
      </c>
    </row>
    <row r="1679" customFormat="false" ht="15" hidden="false" customHeight="false" outlineLevel="0" collapsed="false">
      <c r="A1679" s="21"/>
      <c r="B1679" s="22"/>
      <c r="C1679" s="21"/>
      <c r="D1679" s="24"/>
      <c r="E1679" s="22"/>
      <c r="F1679" s="29" t="str">
        <f aca="false">IF(C1679="","",IFERROR(INDEX(Produk!$J$2:$J$100,MATCH(C1679,Produk!$A$2:$A$100,0)),"PRODUK?"))</f>
        <v/>
      </c>
      <c r="G1679" s="29" t="str">
        <f aca="false">IF(A1679="","",IF(COUNTIF(Anggota!$A$2:$A$2001,A1679)=0,"TIDAK ADA","OK"))</f>
        <v/>
      </c>
    </row>
    <row r="1680" customFormat="false" ht="15" hidden="false" customHeight="false" outlineLevel="0" collapsed="false">
      <c r="A1680" s="21"/>
      <c r="B1680" s="22"/>
      <c r="C1680" s="21"/>
      <c r="D1680" s="24"/>
      <c r="E1680" s="22"/>
      <c r="F1680" s="29" t="str">
        <f aca="false">IF(C1680="","",IFERROR(INDEX(Produk!$J$2:$J$100,MATCH(C1680,Produk!$A$2:$A$100,0)),"PRODUK?"))</f>
        <v/>
      </c>
      <c r="G1680" s="29" t="str">
        <f aca="false">IF(A1680="","",IF(COUNTIF(Anggota!$A$2:$A$2001,A1680)=0,"TIDAK ADA","OK"))</f>
        <v/>
      </c>
    </row>
    <row r="1681" customFormat="false" ht="15" hidden="false" customHeight="false" outlineLevel="0" collapsed="false">
      <c r="A1681" s="21"/>
      <c r="B1681" s="22"/>
      <c r="C1681" s="21"/>
      <c r="D1681" s="24"/>
      <c r="E1681" s="22"/>
      <c r="F1681" s="29" t="str">
        <f aca="false">IF(C1681="","",IFERROR(INDEX(Produk!$J$2:$J$100,MATCH(C1681,Produk!$A$2:$A$100,0)),"PRODUK?"))</f>
        <v/>
      </c>
      <c r="G1681" s="29" t="str">
        <f aca="false">IF(A1681="","",IF(COUNTIF(Anggota!$A$2:$A$2001,A1681)=0,"TIDAK ADA","OK"))</f>
        <v/>
      </c>
    </row>
    <row r="1682" customFormat="false" ht="15" hidden="false" customHeight="false" outlineLevel="0" collapsed="false">
      <c r="A1682" s="21"/>
      <c r="B1682" s="22"/>
      <c r="C1682" s="21"/>
      <c r="D1682" s="24"/>
      <c r="E1682" s="22"/>
      <c r="F1682" s="29" t="str">
        <f aca="false">IF(C1682="","",IFERROR(INDEX(Produk!$J$2:$J$100,MATCH(C1682,Produk!$A$2:$A$100,0)),"PRODUK?"))</f>
        <v/>
      </c>
      <c r="G1682" s="29" t="str">
        <f aca="false">IF(A1682="","",IF(COUNTIF(Anggota!$A$2:$A$2001,A1682)=0,"TIDAK ADA","OK"))</f>
        <v/>
      </c>
    </row>
    <row r="1683" customFormat="false" ht="15" hidden="false" customHeight="false" outlineLevel="0" collapsed="false">
      <c r="A1683" s="21"/>
      <c r="B1683" s="22"/>
      <c r="C1683" s="21"/>
      <c r="D1683" s="24"/>
      <c r="E1683" s="22"/>
      <c r="F1683" s="29" t="str">
        <f aca="false">IF(C1683="","",IFERROR(INDEX(Produk!$J$2:$J$100,MATCH(C1683,Produk!$A$2:$A$100,0)),"PRODUK?"))</f>
        <v/>
      </c>
      <c r="G1683" s="29" t="str">
        <f aca="false">IF(A1683="","",IF(COUNTIF(Anggota!$A$2:$A$2001,A1683)=0,"TIDAK ADA","OK"))</f>
        <v/>
      </c>
    </row>
    <row r="1684" customFormat="false" ht="15" hidden="false" customHeight="false" outlineLevel="0" collapsed="false">
      <c r="A1684" s="21"/>
      <c r="B1684" s="22"/>
      <c r="C1684" s="21"/>
      <c r="D1684" s="24"/>
      <c r="E1684" s="22"/>
      <c r="F1684" s="29" t="str">
        <f aca="false">IF(C1684="","",IFERROR(INDEX(Produk!$J$2:$J$100,MATCH(C1684,Produk!$A$2:$A$100,0)),"PRODUK?"))</f>
        <v/>
      </c>
      <c r="G1684" s="29" t="str">
        <f aca="false">IF(A1684="","",IF(COUNTIF(Anggota!$A$2:$A$2001,A1684)=0,"TIDAK ADA","OK"))</f>
        <v/>
      </c>
    </row>
    <row r="1685" customFormat="false" ht="15" hidden="false" customHeight="false" outlineLevel="0" collapsed="false">
      <c r="A1685" s="21"/>
      <c r="B1685" s="22"/>
      <c r="C1685" s="21"/>
      <c r="D1685" s="24"/>
      <c r="E1685" s="22"/>
      <c r="F1685" s="29" t="str">
        <f aca="false">IF(C1685="","",IFERROR(INDEX(Produk!$J$2:$J$100,MATCH(C1685,Produk!$A$2:$A$100,0)),"PRODUK?"))</f>
        <v/>
      </c>
      <c r="G1685" s="29" t="str">
        <f aca="false">IF(A1685="","",IF(COUNTIF(Anggota!$A$2:$A$2001,A1685)=0,"TIDAK ADA","OK"))</f>
        <v/>
      </c>
    </row>
    <row r="1686" customFormat="false" ht="15" hidden="false" customHeight="false" outlineLevel="0" collapsed="false">
      <c r="A1686" s="21"/>
      <c r="B1686" s="22"/>
      <c r="C1686" s="21"/>
      <c r="D1686" s="24"/>
      <c r="E1686" s="22"/>
      <c r="F1686" s="29" t="str">
        <f aca="false">IF(C1686="","",IFERROR(INDEX(Produk!$J$2:$J$100,MATCH(C1686,Produk!$A$2:$A$100,0)),"PRODUK?"))</f>
        <v/>
      </c>
      <c r="G1686" s="29" t="str">
        <f aca="false">IF(A1686="","",IF(COUNTIF(Anggota!$A$2:$A$2001,A1686)=0,"TIDAK ADA","OK"))</f>
        <v/>
      </c>
    </row>
    <row r="1687" customFormat="false" ht="15" hidden="false" customHeight="false" outlineLevel="0" collapsed="false">
      <c r="A1687" s="21"/>
      <c r="B1687" s="22"/>
      <c r="C1687" s="21"/>
      <c r="D1687" s="24"/>
      <c r="E1687" s="22"/>
      <c r="F1687" s="29" t="str">
        <f aca="false">IF(C1687="","",IFERROR(INDEX(Produk!$J$2:$J$100,MATCH(C1687,Produk!$A$2:$A$100,0)),"PRODUK?"))</f>
        <v/>
      </c>
      <c r="G1687" s="29" t="str">
        <f aca="false">IF(A1687="","",IF(COUNTIF(Anggota!$A$2:$A$2001,A1687)=0,"TIDAK ADA","OK"))</f>
        <v/>
      </c>
    </row>
    <row r="1688" customFormat="false" ht="15" hidden="false" customHeight="false" outlineLevel="0" collapsed="false">
      <c r="A1688" s="21"/>
      <c r="B1688" s="22"/>
      <c r="C1688" s="21"/>
      <c r="D1688" s="24"/>
      <c r="E1688" s="22"/>
      <c r="F1688" s="29" t="str">
        <f aca="false">IF(C1688="","",IFERROR(INDEX(Produk!$J$2:$J$100,MATCH(C1688,Produk!$A$2:$A$100,0)),"PRODUK?"))</f>
        <v/>
      </c>
      <c r="G1688" s="29" t="str">
        <f aca="false">IF(A1688="","",IF(COUNTIF(Anggota!$A$2:$A$2001,A1688)=0,"TIDAK ADA","OK"))</f>
        <v/>
      </c>
    </row>
    <row r="1689" customFormat="false" ht="15" hidden="false" customHeight="false" outlineLevel="0" collapsed="false">
      <c r="A1689" s="21"/>
      <c r="B1689" s="22"/>
      <c r="C1689" s="21"/>
      <c r="D1689" s="24"/>
      <c r="E1689" s="22"/>
      <c r="F1689" s="29" t="str">
        <f aca="false">IF(C1689="","",IFERROR(INDEX(Produk!$J$2:$J$100,MATCH(C1689,Produk!$A$2:$A$100,0)),"PRODUK?"))</f>
        <v/>
      </c>
      <c r="G1689" s="29" t="str">
        <f aca="false">IF(A1689="","",IF(COUNTIF(Anggota!$A$2:$A$2001,A1689)=0,"TIDAK ADA","OK"))</f>
        <v/>
      </c>
    </row>
    <row r="1690" customFormat="false" ht="15" hidden="false" customHeight="false" outlineLevel="0" collapsed="false">
      <c r="A1690" s="21"/>
      <c r="B1690" s="22"/>
      <c r="C1690" s="21"/>
      <c r="D1690" s="24"/>
      <c r="E1690" s="22"/>
      <c r="F1690" s="29" t="str">
        <f aca="false">IF(C1690="","",IFERROR(INDEX(Produk!$J$2:$J$100,MATCH(C1690,Produk!$A$2:$A$100,0)),"PRODUK?"))</f>
        <v/>
      </c>
      <c r="G1690" s="29" t="str">
        <f aca="false">IF(A1690="","",IF(COUNTIF(Anggota!$A$2:$A$2001,A1690)=0,"TIDAK ADA","OK"))</f>
        <v/>
      </c>
    </row>
    <row r="1691" customFormat="false" ht="15" hidden="false" customHeight="false" outlineLevel="0" collapsed="false">
      <c r="A1691" s="21"/>
      <c r="B1691" s="22"/>
      <c r="C1691" s="21"/>
      <c r="D1691" s="24"/>
      <c r="E1691" s="22"/>
      <c r="F1691" s="29" t="str">
        <f aca="false">IF(C1691="","",IFERROR(INDEX(Produk!$J$2:$J$100,MATCH(C1691,Produk!$A$2:$A$100,0)),"PRODUK?"))</f>
        <v/>
      </c>
      <c r="G1691" s="29" t="str">
        <f aca="false">IF(A1691="","",IF(COUNTIF(Anggota!$A$2:$A$2001,A1691)=0,"TIDAK ADA","OK"))</f>
        <v/>
      </c>
    </row>
    <row r="1692" customFormat="false" ht="15" hidden="false" customHeight="false" outlineLevel="0" collapsed="false">
      <c r="A1692" s="21"/>
      <c r="B1692" s="22"/>
      <c r="C1692" s="21"/>
      <c r="D1692" s="24"/>
      <c r="E1692" s="22"/>
      <c r="F1692" s="29" t="str">
        <f aca="false">IF(C1692="","",IFERROR(INDEX(Produk!$J$2:$J$100,MATCH(C1692,Produk!$A$2:$A$100,0)),"PRODUK?"))</f>
        <v/>
      </c>
      <c r="G1692" s="29" t="str">
        <f aca="false">IF(A1692="","",IF(COUNTIF(Anggota!$A$2:$A$2001,A1692)=0,"TIDAK ADA","OK"))</f>
        <v/>
      </c>
    </row>
    <row r="1693" customFormat="false" ht="15" hidden="false" customHeight="false" outlineLevel="0" collapsed="false">
      <c r="A1693" s="21"/>
      <c r="B1693" s="22"/>
      <c r="C1693" s="21"/>
      <c r="D1693" s="24"/>
      <c r="E1693" s="22"/>
      <c r="F1693" s="29" t="str">
        <f aca="false">IF(C1693="","",IFERROR(INDEX(Produk!$J$2:$J$100,MATCH(C1693,Produk!$A$2:$A$100,0)),"PRODUK?"))</f>
        <v/>
      </c>
      <c r="G1693" s="29" t="str">
        <f aca="false">IF(A1693="","",IF(COUNTIF(Anggota!$A$2:$A$2001,A1693)=0,"TIDAK ADA","OK"))</f>
        <v/>
      </c>
    </row>
    <row r="1694" customFormat="false" ht="15" hidden="false" customHeight="false" outlineLevel="0" collapsed="false">
      <c r="A1694" s="21"/>
      <c r="B1694" s="22"/>
      <c r="C1694" s="21"/>
      <c r="D1694" s="24"/>
      <c r="E1694" s="22"/>
      <c r="F1694" s="29" t="str">
        <f aca="false">IF(C1694="","",IFERROR(INDEX(Produk!$J$2:$J$100,MATCH(C1694,Produk!$A$2:$A$100,0)),"PRODUK?"))</f>
        <v/>
      </c>
      <c r="G1694" s="29" t="str">
        <f aca="false">IF(A1694="","",IF(COUNTIF(Anggota!$A$2:$A$2001,A1694)=0,"TIDAK ADA","OK"))</f>
        <v/>
      </c>
    </row>
    <row r="1695" customFormat="false" ht="15" hidden="false" customHeight="false" outlineLevel="0" collapsed="false">
      <c r="A1695" s="21"/>
      <c r="B1695" s="22"/>
      <c r="C1695" s="21"/>
      <c r="D1695" s="24"/>
      <c r="E1695" s="22"/>
      <c r="F1695" s="29" t="str">
        <f aca="false">IF(C1695="","",IFERROR(INDEX(Produk!$J$2:$J$100,MATCH(C1695,Produk!$A$2:$A$100,0)),"PRODUK?"))</f>
        <v/>
      </c>
      <c r="G1695" s="29" t="str">
        <f aca="false">IF(A1695="","",IF(COUNTIF(Anggota!$A$2:$A$2001,A1695)=0,"TIDAK ADA","OK"))</f>
        <v/>
      </c>
    </row>
    <row r="1696" customFormat="false" ht="15" hidden="false" customHeight="false" outlineLevel="0" collapsed="false">
      <c r="A1696" s="21"/>
      <c r="B1696" s="22"/>
      <c r="C1696" s="21"/>
      <c r="D1696" s="24"/>
      <c r="E1696" s="22"/>
      <c r="F1696" s="29" t="str">
        <f aca="false">IF(C1696="","",IFERROR(INDEX(Produk!$J$2:$J$100,MATCH(C1696,Produk!$A$2:$A$100,0)),"PRODUK?"))</f>
        <v/>
      </c>
      <c r="G1696" s="29" t="str">
        <f aca="false">IF(A1696="","",IF(COUNTIF(Anggota!$A$2:$A$2001,A1696)=0,"TIDAK ADA","OK"))</f>
        <v/>
      </c>
    </row>
    <row r="1697" customFormat="false" ht="15" hidden="false" customHeight="false" outlineLevel="0" collapsed="false">
      <c r="A1697" s="21"/>
      <c r="B1697" s="22"/>
      <c r="C1697" s="21"/>
      <c r="D1697" s="24"/>
      <c r="E1697" s="22"/>
      <c r="F1697" s="29" t="str">
        <f aca="false">IF(C1697="","",IFERROR(INDEX(Produk!$J$2:$J$100,MATCH(C1697,Produk!$A$2:$A$100,0)),"PRODUK?"))</f>
        <v/>
      </c>
      <c r="G1697" s="29" t="str">
        <f aca="false">IF(A1697="","",IF(COUNTIF(Anggota!$A$2:$A$2001,A1697)=0,"TIDAK ADA","OK"))</f>
        <v/>
      </c>
    </row>
    <row r="1698" customFormat="false" ht="15" hidden="false" customHeight="false" outlineLevel="0" collapsed="false">
      <c r="A1698" s="21"/>
      <c r="B1698" s="22"/>
      <c r="C1698" s="21"/>
      <c r="D1698" s="24"/>
      <c r="E1698" s="22"/>
      <c r="F1698" s="29" t="str">
        <f aca="false">IF(C1698="","",IFERROR(INDEX(Produk!$J$2:$J$100,MATCH(C1698,Produk!$A$2:$A$100,0)),"PRODUK?"))</f>
        <v/>
      </c>
      <c r="G1698" s="29" t="str">
        <f aca="false">IF(A1698="","",IF(COUNTIF(Anggota!$A$2:$A$2001,A1698)=0,"TIDAK ADA","OK"))</f>
        <v/>
      </c>
    </row>
    <row r="1699" customFormat="false" ht="15" hidden="false" customHeight="false" outlineLevel="0" collapsed="false">
      <c r="A1699" s="21"/>
      <c r="B1699" s="22"/>
      <c r="C1699" s="21"/>
      <c r="D1699" s="24"/>
      <c r="E1699" s="22"/>
      <c r="F1699" s="29" t="str">
        <f aca="false">IF(C1699="","",IFERROR(INDEX(Produk!$J$2:$J$100,MATCH(C1699,Produk!$A$2:$A$100,0)),"PRODUK?"))</f>
        <v/>
      </c>
      <c r="G1699" s="29" t="str">
        <f aca="false">IF(A1699="","",IF(COUNTIF(Anggota!$A$2:$A$2001,A1699)=0,"TIDAK ADA","OK"))</f>
        <v/>
      </c>
    </row>
    <row r="1700" customFormat="false" ht="15" hidden="false" customHeight="false" outlineLevel="0" collapsed="false">
      <c r="A1700" s="21"/>
      <c r="B1700" s="22"/>
      <c r="C1700" s="21"/>
      <c r="D1700" s="24"/>
      <c r="E1700" s="22"/>
      <c r="F1700" s="29" t="str">
        <f aca="false">IF(C1700="","",IFERROR(INDEX(Produk!$J$2:$J$100,MATCH(C1700,Produk!$A$2:$A$100,0)),"PRODUK?"))</f>
        <v/>
      </c>
      <c r="G1700" s="29" t="str">
        <f aca="false">IF(A1700="","",IF(COUNTIF(Anggota!$A$2:$A$2001,A1700)=0,"TIDAK ADA","OK"))</f>
        <v/>
      </c>
    </row>
    <row r="1701" customFormat="false" ht="15" hidden="false" customHeight="false" outlineLevel="0" collapsed="false">
      <c r="A1701" s="21"/>
      <c r="B1701" s="22"/>
      <c r="C1701" s="21"/>
      <c r="D1701" s="24"/>
      <c r="E1701" s="22"/>
      <c r="F1701" s="29" t="str">
        <f aca="false">IF(C1701="","",IFERROR(INDEX(Produk!$J$2:$J$100,MATCH(C1701,Produk!$A$2:$A$100,0)),"PRODUK?"))</f>
        <v/>
      </c>
      <c r="G1701" s="29" t="str">
        <f aca="false">IF(A1701="","",IF(COUNTIF(Anggota!$A$2:$A$2001,A1701)=0,"TIDAK ADA","OK"))</f>
        <v/>
      </c>
    </row>
    <row r="1702" customFormat="false" ht="15" hidden="false" customHeight="false" outlineLevel="0" collapsed="false">
      <c r="A1702" s="21"/>
      <c r="B1702" s="22"/>
      <c r="C1702" s="21"/>
      <c r="D1702" s="24"/>
      <c r="E1702" s="22"/>
      <c r="F1702" s="29" t="str">
        <f aca="false">IF(C1702="","",IFERROR(INDEX(Produk!$J$2:$J$100,MATCH(C1702,Produk!$A$2:$A$100,0)),"PRODUK?"))</f>
        <v/>
      </c>
      <c r="G1702" s="29" t="str">
        <f aca="false">IF(A1702="","",IF(COUNTIF(Anggota!$A$2:$A$2001,A1702)=0,"TIDAK ADA","OK"))</f>
        <v/>
      </c>
    </row>
    <row r="1703" customFormat="false" ht="15" hidden="false" customHeight="false" outlineLevel="0" collapsed="false">
      <c r="A1703" s="21"/>
      <c r="B1703" s="22"/>
      <c r="C1703" s="21"/>
      <c r="D1703" s="24"/>
      <c r="E1703" s="22"/>
      <c r="F1703" s="29" t="str">
        <f aca="false">IF(C1703="","",IFERROR(INDEX(Produk!$J$2:$J$100,MATCH(C1703,Produk!$A$2:$A$100,0)),"PRODUK?"))</f>
        <v/>
      </c>
      <c r="G1703" s="29" t="str">
        <f aca="false">IF(A1703="","",IF(COUNTIF(Anggota!$A$2:$A$2001,A1703)=0,"TIDAK ADA","OK"))</f>
        <v/>
      </c>
    </row>
    <row r="1704" customFormat="false" ht="15" hidden="false" customHeight="false" outlineLevel="0" collapsed="false">
      <c r="A1704" s="21"/>
      <c r="B1704" s="22"/>
      <c r="C1704" s="21"/>
      <c r="D1704" s="24"/>
      <c r="E1704" s="22"/>
      <c r="F1704" s="29" t="str">
        <f aca="false">IF(C1704="","",IFERROR(INDEX(Produk!$J$2:$J$100,MATCH(C1704,Produk!$A$2:$A$100,0)),"PRODUK?"))</f>
        <v/>
      </c>
      <c r="G1704" s="29" t="str">
        <f aca="false">IF(A1704="","",IF(COUNTIF(Anggota!$A$2:$A$2001,A1704)=0,"TIDAK ADA","OK"))</f>
        <v/>
      </c>
    </row>
    <row r="1705" customFormat="false" ht="15" hidden="false" customHeight="false" outlineLevel="0" collapsed="false">
      <c r="A1705" s="21"/>
      <c r="B1705" s="22"/>
      <c r="C1705" s="21"/>
      <c r="D1705" s="24"/>
      <c r="E1705" s="22"/>
      <c r="F1705" s="29" t="str">
        <f aca="false">IF(C1705="","",IFERROR(INDEX(Produk!$J$2:$J$100,MATCH(C1705,Produk!$A$2:$A$100,0)),"PRODUK?"))</f>
        <v/>
      </c>
      <c r="G1705" s="29" t="str">
        <f aca="false">IF(A1705="","",IF(COUNTIF(Anggota!$A$2:$A$2001,A1705)=0,"TIDAK ADA","OK"))</f>
        <v/>
      </c>
    </row>
    <row r="1706" customFormat="false" ht="15" hidden="false" customHeight="false" outlineLevel="0" collapsed="false">
      <c r="A1706" s="21"/>
      <c r="B1706" s="22"/>
      <c r="C1706" s="21"/>
      <c r="D1706" s="24"/>
      <c r="E1706" s="22"/>
      <c r="F1706" s="29" t="str">
        <f aca="false">IF(C1706="","",IFERROR(INDEX(Produk!$J$2:$J$100,MATCH(C1706,Produk!$A$2:$A$100,0)),"PRODUK?"))</f>
        <v/>
      </c>
      <c r="G1706" s="29" t="str">
        <f aca="false">IF(A1706="","",IF(COUNTIF(Anggota!$A$2:$A$2001,A1706)=0,"TIDAK ADA","OK"))</f>
        <v/>
      </c>
    </row>
    <row r="1707" customFormat="false" ht="15" hidden="false" customHeight="false" outlineLevel="0" collapsed="false">
      <c r="A1707" s="21"/>
      <c r="B1707" s="22"/>
      <c r="C1707" s="21"/>
      <c r="D1707" s="24"/>
      <c r="E1707" s="22"/>
      <c r="F1707" s="29" t="str">
        <f aca="false">IF(C1707="","",IFERROR(INDEX(Produk!$J$2:$J$100,MATCH(C1707,Produk!$A$2:$A$100,0)),"PRODUK?"))</f>
        <v/>
      </c>
      <c r="G1707" s="29" t="str">
        <f aca="false">IF(A1707="","",IF(COUNTIF(Anggota!$A$2:$A$2001,A1707)=0,"TIDAK ADA","OK"))</f>
        <v/>
      </c>
    </row>
    <row r="1708" customFormat="false" ht="15" hidden="false" customHeight="false" outlineLevel="0" collapsed="false">
      <c r="A1708" s="21"/>
      <c r="B1708" s="22"/>
      <c r="C1708" s="21"/>
      <c r="D1708" s="24"/>
      <c r="E1708" s="22"/>
      <c r="F1708" s="29" t="str">
        <f aca="false">IF(C1708="","",IFERROR(INDEX(Produk!$J$2:$J$100,MATCH(C1708,Produk!$A$2:$A$100,0)),"PRODUK?"))</f>
        <v/>
      </c>
      <c r="G1708" s="29" t="str">
        <f aca="false">IF(A1708="","",IF(COUNTIF(Anggota!$A$2:$A$2001,A1708)=0,"TIDAK ADA","OK"))</f>
        <v/>
      </c>
    </row>
    <row r="1709" customFormat="false" ht="15" hidden="false" customHeight="false" outlineLevel="0" collapsed="false">
      <c r="A1709" s="21"/>
      <c r="B1709" s="22"/>
      <c r="C1709" s="21"/>
      <c r="D1709" s="24"/>
      <c r="E1709" s="22"/>
      <c r="F1709" s="29" t="str">
        <f aca="false">IF(C1709="","",IFERROR(INDEX(Produk!$J$2:$J$100,MATCH(C1709,Produk!$A$2:$A$100,0)),"PRODUK?"))</f>
        <v/>
      </c>
      <c r="G1709" s="29" t="str">
        <f aca="false">IF(A1709="","",IF(COUNTIF(Anggota!$A$2:$A$2001,A1709)=0,"TIDAK ADA","OK"))</f>
        <v/>
      </c>
    </row>
    <row r="1710" customFormat="false" ht="15" hidden="false" customHeight="false" outlineLevel="0" collapsed="false">
      <c r="A1710" s="21"/>
      <c r="B1710" s="22"/>
      <c r="C1710" s="21"/>
      <c r="D1710" s="24"/>
      <c r="E1710" s="22"/>
      <c r="F1710" s="29" t="str">
        <f aca="false">IF(C1710="","",IFERROR(INDEX(Produk!$J$2:$J$100,MATCH(C1710,Produk!$A$2:$A$100,0)),"PRODUK?"))</f>
        <v/>
      </c>
      <c r="G1710" s="29" t="str">
        <f aca="false">IF(A1710="","",IF(COUNTIF(Anggota!$A$2:$A$2001,A1710)=0,"TIDAK ADA","OK"))</f>
        <v/>
      </c>
    </row>
    <row r="1711" customFormat="false" ht="15" hidden="false" customHeight="false" outlineLevel="0" collapsed="false">
      <c r="A1711" s="21"/>
      <c r="B1711" s="22"/>
      <c r="C1711" s="21"/>
      <c r="D1711" s="24"/>
      <c r="E1711" s="22"/>
      <c r="F1711" s="29" t="str">
        <f aca="false">IF(C1711="","",IFERROR(INDEX(Produk!$J$2:$J$100,MATCH(C1711,Produk!$A$2:$A$100,0)),"PRODUK?"))</f>
        <v/>
      </c>
      <c r="G1711" s="29" t="str">
        <f aca="false">IF(A1711="","",IF(COUNTIF(Anggota!$A$2:$A$2001,A1711)=0,"TIDAK ADA","OK"))</f>
        <v/>
      </c>
    </row>
    <row r="1712" customFormat="false" ht="15" hidden="false" customHeight="false" outlineLevel="0" collapsed="false">
      <c r="A1712" s="21"/>
      <c r="B1712" s="22"/>
      <c r="C1712" s="21"/>
      <c r="D1712" s="24"/>
      <c r="E1712" s="22"/>
      <c r="F1712" s="29" t="str">
        <f aca="false">IF(C1712="","",IFERROR(INDEX(Produk!$J$2:$J$100,MATCH(C1712,Produk!$A$2:$A$100,0)),"PRODUK?"))</f>
        <v/>
      </c>
      <c r="G1712" s="29" t="str">
        <f aca="false">IF(A1712="","",IF(COUNTIF(Anggota!$A$2:$A$2001,A1712)=0,"TIDAK ADA","OK"))</f>
        <v/>
      </c>
    </row>
    <row r="1713" customFormat="false" ht="15" hidden="false" customHeight="false" outlineLevel="0" collapsed="false">
      <c r="A1713" s="21"/>
      <c r="B1713" s="22"/>
      <c r="C1713" s="21"/>
      <c r="D1713" s="24"/>
      <c r="E1713" s="22"/>
      <c r="F1713" s="29" t="str">
        <f aca="false">IF(C1713="","",IFERROR(INDEX(Produk!$J$2:$J$100,MATCH(C1713,Produk!$A$2:$A$100,0)),"PRODUK?"))</f>
        <v/>
      </c>
      <c r="G1713" s="29" t="str">
        <f aca="false">IF(A1713="","",IF(COUNTIF(Anggota!$A$2:$A$2001,A1713)=0,"TIDAK ADA","OK"))</f>
        <v/>
      </c>
    </row>
    <row r="1714" customFormat="false" ht="15" hidden="false" customHeight="false" outlineLevel="0" collapsed="false">
      <c r="A1714" s="21"/>
      <c r="B1714" s="22"/>
      <c r="C1714" s="21"/>
      <c r="D1714" s="24"/>
      <c r="E1714" s="22"/>
      <c r="F1714" s="29" t="str">
        <f aca="false">IF(C1714="","",IFERROR(INDEX(Produk!$J$2:$J$100,MATCH(C1714,Produk!$A$2:$A$100,0)),"PRODUK?"))</f>
        <v/>
      </c>
      <c r="G1714" s="29" t="str">
        <f aca="false">IF(A1714="","",IF(COUNTIF(Anggota!$A$2:$A$2001,A1714)=0,"TIDAK ADA","OK"))</f>
        <v/>
      </c>
    </row>
    <row r="1715" customFormat="false" ht="15" hidden="false" customHeight="false" outlineLevel="0" collapsed="false">
      <c r="A1715" s="21"/>
      <c r="B1715" s="22"/>
      <c r="C1715" s="21"/>
      <c r="D1715" s="24"/>
      <c r="E1715" s="22"/>
      <c r="F1715" s="29" t="str">
        <f aca="false">IF(C1715="","",IFERROR(INDEX(Produk!$J$2:$J$100,MATCH(C1715,Produk!$A$2:$A$100,0)),"PRODUK?"))</f>
        <v/>
      </c>
      <c r="G1715" s="29" t="str">
        <f aca="false">IF(A1715="","",IF(COUNTIF(Anggota!$A$2:$A$2001,A1715)=0,"TIDAK ADA","OK"))</f>
        <v/>
      </c>
    </row>
    <row r="1716" customFormat="false" ht="15" hidden="false" customHeight="false" outlineLevel="0" collapsed="false">
      <c r="A1716" s="21"/>
      <c r="B1716" s="22"/>
      <c r="C1716" s="21"/>
      <c r="D1716" s="24"/>
      <c r="E1716" s="22"/>
      <c r="F1716" s="29" t="str">
        <f aca="false">IF(C1716="","",IFERROR(INDEX(Produk!$J$2:$J$100,MATCH(C1716,Produk!$A$2:$A$100,0)),"PRODUK?"))</f>
        <v/>
      </c>
      <c r="G1716" s="29" t="str">
        <f aca="false">IF(A1716="","",IF(COUNTIF(Anggota!$A$2:$A$2001,A1716)=0,"TIDAK ADA","OK"))</f>
        <v/>
      </c>
    </row>
    <row r="1717" customFormat="false" ht="15" hidden="false" customHeight="false" outlineLevel="0" collapsed="false">
      <c r="A1717" s="21"/>
      <c r="B1717" s="22"/>
      <c r="C1717" s="21"/>
      <c r="D1717" s="24"/>
      <c r="E1717" s="22"/>
      <c r="F1717" s="29" t="str">
        <f aca="false">IF(C1717="","",IFERROR(INDEX(Produk!$J$2:$J$100,MATCH(C1717,Produk!$A$2:$A$100,0)),"PRODUK?"))</f>
        <v/>
      </c>
      <c r="G1717" s="29" t="str">
        <f aca="false">IF(A1717="","",IF(COUNTIF(Anggota!$A$2:$A$2001,A1717)=0,"TIDAK ADA","OK"))</f>
        <v/>
      </c>
    </row>
    <row r="1718" customFormat="false" ht="15" hidden="false" customHeight="false" outlineLevel="0" collapsed="false">
      <c r="A1718" s="21"/>
      <c r="B1718" s="22"/>
      <c r="C1718" s="21"/>
      <c r="D1718" s="24"/>
      <c r="E1718" s="22"/>
      <c r="F1718" s="29" t="str">
        <f aca="false">IF(C1718="","",IFERROR(INDEX(Produk!$J$2:$J$100,MATCH(C1718,Produk!$A$2:$A$100,0)),"PRODUK?"))</f>
        <v/>
      </c>
      <c r="G1718" s="29" t="str">
        <f aca="false">IF(A1718="","",IF(COUNTIF(Anggota!$A$2:$A$2001,A1718)=0,"TIDAK ADA","OK"))</f>
        <v/>
      </c>
    </row>
    <row r="1719" customFormat="false" ht="15" hidden="false" customHeight="false" outlineLevel="0" collapsed="false">
      <c r="A1719" s="21"/>
      <c r="B1719" s="22"/>
      <c r="C1719" s="21"/>
      <c r="D1719" s="24"/>
      <c r="E1719" s="22"/>
      <c r="F1719" s="29" t="str">
        <f aca="false">IF(C1719="","",IFERROR(INDEX(Produk!$J$2:$J$100,MATCH(C1719,Produk!$A$2:$A$100,0)),"PRODUK?"))</f>
        <v/>
      </c>
      <c r="G1719" s="29" t="str">
        <f aca="false">IF(A1719="","",IF(COUNTIF(Anggota!$A$2:$A$2001,A1719)=0,"TIDAK ADA","OK"))</f>
        <v/>
      </c>
    </row>
    <row r="1720" customFormat="false" ht="15" hidden="false" customHeight="false" outlineLevel="0" collapsed="false">
      <c r="A1720" s="21"/>
      <c r="B1720" s="22"/>
      <c r="C1720" s="21"/>
      <c r="D1720" s="24"/>
      <c r="E1720" s="22"/>
      <c r="F1720" s="29" t="str">
        <f aca="false">IF(C1720="","",IFERROR(INDEX(Produk!$J$2:$J$100,MATCH(C1720,Produk!$A$2:$A$100,0)),"PRODUK?"))</f>
        <v/>
      </c>
      <c r="G1720" s="29" t="str">
        <f aca="false">IF(A1720="","",IF(COUNTIF(Anggota!$A$2:$A$2001,A1720)=0,"TIDAK ADA","OK"))</f>
        <v/>
      </c>
    </row>
    <row r="1721" customFormat="false" ht="15" hidden="false" customHeight="false" outlineLevel="0" collapsed="false">
      <c r="A1721" s="21"/>
      <c r="B1721" s="22"/>
      <c r="C1721" s="21"/>
      <c r="D1721" s="24"/>
      <c r="E1721" s="22"/>
      <c r="F1721" s="29" t="str">
        <f aca="false">IF(C1721="","",IFERROR(INDEX(Produk!$J$2:$J$100,MATCH(C1721,Produk!$A$2:$A$100,0)),"PRODUK?"))</f>
        <v/>
      </c>
      <c r="G1721" s="29" t="str">
        <f aca="false">IF(A1721="","",IF(COUNTIF(Anggota!$A$2:$A$2001,A1721)=0,"TIDAK ADA","OK"))</f>
        <v/>
      </c>
    </row>
    <row r="1722" customFormat="false" ht="15" hidden="false" customHeight="false" outlineLevel="0" collapsed="false">
      <c r="A1722" s="21"/>
      <c r="B1722" s="22"/>
      <c r="C1722" s="21"/>
      <c r="D1722" s="24"/>
      <c r="E1722" s="22"/>
      <c r="F1722" s="29" t="str">
        <f aca="false">IF(C1722="","",IFERROR(INDEX(Produk!$J$2:$J$100,MATCH(C1722,Produk!$A$2:$A$100,0)),"PRODUK?"))</f>
        <v/>
      </c>
      <c r="G1722" s="29" t="str">
        <f aca="false">IF(A1722="","",IF(COUNTIF(Anggota!$A$2:$A$2001,A1722)=0,"TIDAK ADA","OK"))</f>
        <v/>
      </c>
    </row>
    <row r="1723" customFormat="false" ht="15" hidden="false" customHeight="false" outlineLevel="0" collapsed="false">
      <c r="A1723" s="21"/>
      <c r="B1723" s="22"/>
      <c r="C1723" s="21"/>
      <c r="D1723" s="24"/>
      <c r="E1723" s="22"/>
      <c r="F1723" s="29" t="str">
        <f aca="false">IF(C1723="","",IFERROR(INDEX(Produk!$J$2:$J$100,MATCH(C1723,Produk!$A$2:$A$100,0)),"PRODUK?"))</f>
        <v/>
      </c>
      <c r="G1723" s="29" t="str">
        <f aca="false">IF(A1723="","",IF(COUNTIF(Anggota!$A$2:$A$2001,A1723)=0,"TIDAK ADA","OK"))</f>
        <v/>
      </c>
    </row>
    <row r="1724" customFormat="false" ht="15" hidden="false" customHeight="false" outlineLevel="0" collapsed="false">
      <c r="A1724" s="21"/>
      <c r="B1724" s="22"/>
      <c r="C1724" s="21"/>
      <c r="D1724" s="24"/>
      <c r="E1724" s="22"/>
      <c r="F1724" s="29" t="str">
        <f aca="false">IF(C1724="","",IFERROR(INDEX(Produk!$J$2:$J$100,MATCH(C1724,Produk!$A$2:$A$100,0)),"PRODUK?"))</f>
        <v/>
      </c>
      <c r="G1724" s="29" t="str">
        <f aca="false">IF(A1724="","",IF(COUNTIF(Anggota!$A$2:$A$2001,A1724)=0,"TIDAK ADA","OK"))</f>
        <v/>
      </c>
    </row>
    <row r="1725" customFormat="false" ht="15" hidden="false" customHeight="false" outlineLevel="0" collapsed="false">
      <c r="A1725" s="21"/>
      <c r="B1725" s="22"/>
      <c r="C1725" s="21"/>
      <c r="D1725" s="24"/>
      <c r="E1725" s="22"/>
      <c r="F1725" s="29" t="str">
        <f aca="false">IF(C1725="","",IFERROR(INDEX(Produk!$J$2:$J$100,MATCH(C1725,Produk!$A$2:$A$100,0)),"PRODUK?"))</f>
        <v/>
      </c>
      <c r="G1725" s="29" t="str">
        <f aca="false">IF(A1725="","",IF(COUNTIF(Anggota!$A$2:$A$2001,A1725)=0,"TIDAK ADA","OK"))</f>
        <v/>
      </c>
    </row>
    <row r="1726" customFormat="false" ht="15" hidden="false" customHeight="false" outlineLevel="0" collapsed="false">
      <c r="A1726" s="21"/>
      <c r="B1726" s="22"/>
      <c r="C1726" s="21"/>
      <c r="D1726" s="24"/>
      <c r="E1726" s="22"/>
      <c r="F1726" s="29" t="str">
        <f aca="false">IF(C1726="","",IFERROR(INDEX(Produk!$J$2:$J$100,MATCH(C1726,Produk!$A$2:$A$100,0)),"PRODUK?"))</f>
        <v/>
      </c>
      <c r="G1726" s="29" t="str">
        <f aca="false">IF(A1726="","",IF(COUNTIF(Anggota!$A$2:$A$2001,A1726)=0,"TIDAK ADA","OK"))</f>
        <v/>
      </c>
    </row>
    <row r="1727" customFormat="false" ht="15" hidden="false" customHeight="false" outlineLevel="0" collapsed="false">
      <c r="A1727" s="21"/>
      <c r="B1727" s="22"/>
      <c r="C1727" s="21"/>
      <c r="D1727" s="24"/>
      <c r="E1727" s="22"/>
      <c r="F1727" s="29" t="str">
        <f aca="false">IF(C1727="","",IFERROR(INDEX(Produk!$J$2:$J$100,MATCH(C1727,Produk!$A$2:$A$100,0)),"PRODUK?"))</f>
        <v/>
      </c>
      <c r="G1727" s="29" t="str">
        <f aca="false">IF(A1727="","",IF(COUNTIF(Anggota!$A$2:$A$2001,A1727)=0,"TIDAK ADA","OK"))</f>
        <v/>
      </c>
    </row>
    <row r="1728" customFormat="false" ht="15" hidden="false" customHeight="false" outlineLevel="0" collapsed="false">
      <c r="A1728" s="21"/>
      <c r="B1728" s="22"/>
      <c r="C1728" s="21"/>
      <c r="D1728" s="24"/>
      <c r="E1728" s="22"/>
      <c r="F1728" s="29" t="str">
        <f aca="false">IF(C1728="","",IFERROR(INDEX(Produk!$J$2:$J$100,MATCH(C1728,Produk!$A$2:$A$100,0)),"PRODUK?"))</f>
        <v/>
      </c>
      <c r="G1728" s="29" t="str">
        <f aca="false">IF(A1728="","",IF(COUNTIF(Anggota!$A$2:$A$2001,A1728)=0,"TIDAK ADA","OK"))</f>
        <v/>
      </c>
    </row>
    <row r="1729" customFormat="false" ht="15" hidden="false" customHeight="false" outlineLevel="0" collapsed="false">
      <c r="A1729" s="21"/>
      <c r="B1729" s="22"/>
      <c r="C1729" s="21"/>
      <c r="D1729" s="24"/>
      <c r="E1729" s="22"/>
      <c r="F1729" s="29" t="str">
        <f aca="false">IF(C1729="","",IFERROR(INDEX(Produk!$J$2:$J$100,MATCH(C1729,Produk!$A$2:$A$100,0)),"PRODUK?"))</f>
        <v/>
      </c>
      <c r="G1729" s="29" t="str">
        <f aca="false">IF(A1729="","",IF(COUNTIF(Anggota!$A$2:$A$2001,A1729)=0,"TIDAK ADA","OK"))</f>
        <v/>
      </c>
    </row>
    <row r="1730" customFormat="false" ht="15" hidden="false" customHeight="false" outlineLevel="0" collapsed="false">
      <c r="A1730" s="21"/>
      <c r="B1730" s="22"/>
      <c r="C1730" s="21"/>
      <c r="D1730" s="24"/>
      <c r="E1730" s="22"/>
      <c r="F1730" s="29" t="str">
        <f aca="false">IF(C1730="","",IFERROR(INDEX(Produk!$J$2:$J$100,MATCH(C1730,Produk!$A$2:$A$100,0)),"PRODUK?"))</f>
        <v/>
      </c>
      <c r="G1730" s="29" t="str">
        <f aca="false">IF(A1730="","",IF(COUNTIF(Anggota!$A$2:$A$2001,A1730)=0,"TIDAK ADA","OK"))</f>
        <v/>
      </c>
    </row>
    <row r="1731" customFormat="false" ht="15" hidden="false" customHeight="false" outlineLevel="0" collapsed="false">
      <c r="A1731" s="21"/>
      <c r="B1731" s="22"/>
      <c r="C1731" s="21"/>
      <c r="D1731" s="24"/>
      <c r="E1731" s="22"/>
      <c r="F1731" s="29" t="str">
        <f aca="false">IF(C1731="","",IFERROR(INDEX(Produk!$J$2:$J$100,MATCH(C1731,Produk!$A$2:$A$100,0)),"PRODUK?"))</f>
        <v/>
      </c>
      <c r="G1731" s="29" t="str">
        <f aca="false">IF(A1731="","",IF(COUNTIF(Anggota!$A$2:$A$2001,A1731)=0,"TIDAK ADA","OK"))</f>
        <v/>
      </c>
    </row>
    <row r="1732" customFormat="false" ht="15" hidden="false" customHeight="false" outlineLevel="0" collapsed="false">
      <c r="A1732" s="21"/>
      <c r="B1732" s="22"/>
      <c r="C1732" s="21"/>
      <c r="D1732" s="24"/>
      <c r="E1732" s="22"/>
      <c r="F1732" s="29" t="str">
        <f aca="false">IF(C1732="","",IFERROR(INDEX(Produk!$J$2:$J$100,MATCH(C1732,Produk!$A$2:$A$100,0)),"PRODUK?"))</f>
        <v/>
      </c>
      <c r="G1732" s="29" t="str">
        <f aca="false">IF(A1732="","",IF(COUNTIF(Anggota!$A$2:$A$2001,A1732)=0,"TIDAK ADA","OK"))</f>
        <v/>
      </c>
    </row>
    <row r="1733" customFormat="false" ht="15" hidden="false" customHeight="false" outlineLevel="0" collapsed="false">
      <c r="A1733" s="21"/>
      <c r="B1733" s="22"/>
      <c r="C1733" s="21"/>
      <c r="D1733" s="24"/>
      <c r="E1733" s="22"/>
      <c r="F1733" s="29" t="str">
        <f aca="false">IF(C1733="","",IFERROR(INDEX(Produk!$J$2:$J$100,MATCH(C1733,Produk!$A$2:$A$100,0)),"PRODUK?"))</f>
        <v/>
      </c>
      <c r="G1733" s="29" t="str">
        <f aca="false">IF(A1733="","",IF(COUNTIF(Anggota!$A$2:$A$2001,A1733)=0,"TIDAK ADA","OK"))</f>
        <v/>
      </c>
    </row>
    <row r="1734" customFormat="false" ht="15" hidden="false" customHeight="false" outlineLevel="0" collapsed="false">
      <c r="A1734" s="21"/>
      <c r="B1734" s="22"/>
      <c r="C1734" s="21"/>
      <c r="D1734" s="24"/>
      <c r="E1734" s="22"/>
      <c r="F1734" s="29" t="str">
        <f aca="false">IF(C1734="","",IFERROR(INDEX(Produk!$J$2:$J$100,MATCH(C1734,Produk!$A$2:$A$100,0)),"PRODUK?"))</f>
        <v/>
      </c>
      <c r="G1734" s="29" t="str">
        <f aca="false">IF(A1734="","",IF(COUNTIF(Anggota!$A$2:$A$2001,A1734)=0,"TIDAK ADA","OK"))</f>
        <v/>
      </c>
    </row>
    <row r="1735" customFormat="false" ht="15" hidden="false" customHeight="false" outlineLevel="0" collapsed="false">
      <c r="A1735" s="21"/>
      <c r="B1735" s="22"/>
      <c r="C1735" s="21"/>
      <c r="D1735" s="24"/>
      <c r="E1735" s="22"/>
      <c r="F1735" s="29" t="str">
        <f aca="false">IF(C1735="","",IFERROR(INDEX(Produk!$J$2:$J$100,MATCH(C1735,Produk!$A$2:$A$100,0)),"PRODUK?"))</f>
        <v/>
      </c>
      <c r="G1735" s="29" t="str">
        <f aca="false">IF(A1735="","",IF(COUNTIF(Anggota!$A$2:$A$2001,A1735)=0,"TIDAK ADA","OK"))</f>
        <v/>
      </c>
    </row>
    <row r="1736" customFormat="false" ht="15" hidden="false" customHeight="false" outlineLevel="0" collapsed="false">
      <c r="A1736" s="21"/>
      <c r="B1736" s="22"/>
      <c r="C1736" s="21"/>
      <c r="D1736" s="24"/>
      <c r="E1736" s="22"/>
      <c r="F1736" s="29" t="str">
        <f aca="false">IF(C1736="","",IFERROR(INDEX(Produk!$J$2:$J$100,MATCH(C1736,Produk!$A$2:$A$100,0)),"PRODUK?"))</f>
        <v/>
      </c>
      <c r="G1736" s="29" t="str">
        <f aca="false">IF(A1736="","",IF(COUNTIF(Anggota!$A$2:$A$2001,A1736)=0,"TIDAK ADA","OK"))</f>
        <v/>
      </c>
    </row>
    <row r="1737" customFormat="false" ht="15" hidden="false" customHeight="false" outlineLevel="0" collapsed="false">
      <c r="A1737" s="21"/>
      <c r="B1737" s="22"/>
      <c r="C1737" s="21"/>
      <c r="D1737" s="24"/>
      <c r="E1737" s="22"/>
      <c r="F1737" s="29" t="str">
        <f aca="false">IF(C1737="","",IFERROR(INDEX(Produk!$J$2:$J$100,MATCH(C1737,Produk!$A$2:$A$100,0)),"PRODUK?"))</f>
        <v/>
      </c>
      <c r="G1737" s="29" t="str">
        <f aca="false">IF(A1737="","",IF(COUNTIF(Anggota!$A$2:$A$2001,A1737)=0,"TIDAK ADA","OK"))</f>
        <v/>
      </c>
    </row>
    <row r="1738" customFormat="false" ht="15" hidden="false" customHeight="false" outlineLevel="0" collapsed="false">
      <c r="A1738" s="21"/>
      <c r="B1738" s="22"/>
      <c r="C1738" s="21"/>
      <c r="D1738" s="24"/>
      <c r="E1738" s="22"/>
      <c r="F1738" s="29" t="str">
        <f aca="false">IF(C1738="","",IFERROR(INDEX(Produk!$J$2:$J$100,MATCH(C1738,Produk!$A$2:$A$100,0)),"PRODUK?"))</f>
        <v/>
      </c>
      <c r="G1738" s="29" t="str">
        <f aca="false">IF(A1738="","",IF(COUNTIF(Anggota!$A$2:$A$2001,A1738)=0,"TIDAK ADA","OK"))</f>
        <v/>
      </c>
    </row>
    <row r="1739" customFormat="false" ht="15" hidden="false" customHeight="false" outlineLevel="0" collapsed="false">
      <c r="A1739" s="21"/>
      <c r="B1739" s="22"/>
      <c r="C1739" s="21"/>
      <c r="D1739" s="24"/>
      <c r="E1739" s="22"/>
      <c r="F1739" s="29" t="str">
        <f aca="false">IF(C1739="","",IFERROR(INDEX(Produk!$J$2:$J$100,MATCH(C1739,Produk!$A$2:$A$100,0)),"PRODUK?"))</f>
        <v/>
      </c>
      <c r="G1739" s="29" t="str">
        <f aca="false">IF(A1739="","",IF(COUNTIF(Anggota!$A$2:$A$2001,A1739)=0,"TIDAK ADA","OK"))</f>
        <v/>
      </c>
    </row>
    <row r="1740" customFormat="false" ht="15" hidden="false" customHeight="false" outlineLevel="0" collapsed="false">
      <c r="A1740" s="21"/>
      <c r="B1740" s="22"/>
      <c r="C1740" s="21"/>
      <c r="D1740" s="24"/>
      <c r="E1740" s="22"/>
      <c r="F1740" s="29" t="str">
        <f aca="false">IF(C1740="","",IFERROR(INDEX(Produk!$J$2:$J$100,MATCH(C1740,Produk!$A$2:$A$100,0)),"PRODUK?"))</f>
        <v/>
      </c>
      <c r="G1740" s="29" t="str">
        <f aca="false">IF(A1740="","",IF(COUNTIF(Anggota!$A$2:$A$2001,A1740)=0,"TIDAK ADA","OK"))</f>
        <v/>
      </c>
    </row>
    <row r="1741" customFormat="false" ht="15" hidden="false" customHeight="false" outlineLevel="0" collapsed="false">
      <c r="A1741" s="21"/>
      <c r="B1741" s="22"/>
      <c r="C1741" s="21"/>
      <c r="D1741" s="24"/>
      <c r="E1741" s="22"/>
      <c r="F1741" s="29" t="str">
        <f aca="false">IF(C1741="","",IFERROR(INDEX(Produk!$J$2:$J$100,MATCH(C1741,Produk!$A$2:$A$100,0)),"PRODUK?"))</f>
        <v/>
      </c>
      <c r="G1741" s="29" t="str">
        <f aca="false">IF(A1741="","",IF(COUNTIF(Anggota!$A$2:$A$2001,A1741)=0,"TIDAK ADA","OK"))</f>
        <v/>
      </c>
    </row>
    <row r="1742" customFormat="false" ht="15" hidden="false" customHeight="false" outlineLevel="0" collapsed="false">
      <c r="A1742" s="21"/>
      <c r="B1742" s="22"/>
      <c r="C1742" s="21"/>
      <c r="D1742" s="24"/>
      <c r="E1742" s="22"/>
      <c r="F1742" s="29" t="str">
        <f aca="false">IF(C1742="","",IFERROR(INDEX(Produk!$J$2:$J$100,MATCH(C1742,Produk!$A$2:$A$100,0)),"PRODUK?"))</f>
        <v/>
      </c>
      <c r="G1742" s="29" t="str">
        <f aca="false">IF(A1742="","",IF(COUNTIF(Anggota!$A$2:$A$2001,A1742)=0,"TIDAK ADA","OK"))</f>
        <v/>
      </c>
    </row>
    <row r="1743" customFormat="false" ht="15" hidden="false" customHeight="false" outlineLevel="0" collapsed="false">
      <c r="A1743" s="21"/>
      <c r="B1743" s="22"/>
      <c r="C1743" s="21"/>
      <c r="D1743" s="24"/>
      <c r="E1743" s="22"/>
      <c r="F1743" s="29" t="str">
        <f aca="false">IF(C1743="","",IFERROR(INDEX(Produk!$J$2:$J$100,MATCH(C1743,Produk!$A$2:$A$100,0)),"PRODUK?"))</f>
        <v/>
      </c>
      <c r="G1743" s="29" t="str">
        <f aca="false">IF(A1743="","",IF(COUNTIF(Anggota!$A$2:$A$2001,A1743)=0,"TIDAK ADA","OK"))</f>
        <v/>
      </c>
    </row>
    <row r="1744" customFormat="false" ht="15" hidden="false" customHeight="false" outlineLevel="0" collapsed="false">
      <c r="A1744" s="21"/>
      <c r="B1744" s="22"/>
      <c r="C1744" s="21"/>
      <c r="D1744" s="24"/>
      <c r="E1744" s="22"/>
      <c r="F1744" s="29" t="str">
        <f aca="false">IF(C1744="","",IFERROR(INDEX(Produk!$J$2:$J$100,MATCH(C1744,Produk!$A$2:$A$100,0)),"PRODUK?"))</f>
        <v/>
      </c>
      <c r="G1744" s="29" t="str">
        <f aca="false">IF(A1744="","",IF(COUNTIF(Anggota!$A$2:$A$2001,A1744)=0,"TIDAK ADA","OK"))</f>
        <v/>
      </c>
    </row>
    <row r="1745" customFormat="false" ht="15" hidden="false" customHeight="false" outlineLevel="0" collapsed="false">
      <c r="A1745" s="21"/>
      <c r="B1745" s="22"/>
      <c r="C1745" s="21"/>
      <c r="D1745" s="24"/>
      <c r="E1745" s="22"/>
      <c r="F1745" s="29" t="str">
        <f aca="false">IF(C1745="","",IFERROR(INDEX(Produk!$J$2:$J$100,MATCH(C1745,Produk!$A$2:$A$100,0)),"PRODUK?"))</f>
        <v/>
      </c>
      <c r="G1745" s="29" t="str">
        <f aca="false">IF(A1745="","",IF(COUNTIF(Anggota!$A$2:$A$2001,A1745)=0,"TIDAK ADA","OK"))</f>
        <v/>
      </c>
    </row>
    <row r="1746" customFormat="false" ht="15" hidden="false" customHeight="false" outlineLevel="0" collapsed="false">
      <c r="A1746" s="21"/>
      <c r="B1746" s="22"/>
      <c r="C1746" s="21"/>
      <c r="D1746" s="24"/>
      <c r="E1746" s="22"/>
      <c r="F1746" s="29" t="str">
        <f aca="false">IF(C1746="","",IFERROR(INDEX(Produk!$J$2:$J$100,MATCH(C1746,Produk!$A$2:$A$100,0)),"PRODUK?"))</f>
        <v/>
      </c>
      <c r="G1746" s="29" t="str">
        <f aca="false">IF(A1746="","",IF(COUNTIF(Anggota!$A$2:$A$2001,A1746)=0,"TIDAK ADA","OK"))</f>
        <v/>
      </c>
    </row>
    <row r="1747" customFormat="false" ht="15" hidden="false" customHeight="false" outlineLevel="0" collapsed="false">
      <c r="A1747" s="21"/>
      <c r="B1747" s="22"/>
      <c r="C1747" s="21"/>
      <c r="D1747" s="24"/>
      <c r="E1747" s="22"/>
      <c r="F1747" s="29" t="str">
        <f aca="false">IF(C1747="","",IFERROR(INDEX(Produk!$J$2:$J$100,MATCH(C1747,Produk!$A$2:$A$100,0)),"PRODUK?"))</f>
        <v/>
      </c>
      <c r="G1747" s="29" t="str">
        <f aca="false">IF(A1747="","",IF(COUNTIF(Anggota!$A$2:$A$2001,A1747)=0,"TIDAK ADA","OK"))</f>
        <v/>
      </c>
    </row>
    <row r="1748" customFormat="false" ht="15" hidden="false" customHeight="false" outlineLevel="0" collapsed="false">
      <c r="A1748" s="21"/>
      <c r="B1748" s="22"/>
      <c r="C1748" s="21"/>
      <c r="D1748" s="24"/>
      <c r="E1748" s="22"/>
      <c r="F1748" s="29" t="str">
        <f aca="false">IF(C1748="","",IFERROR(INDEX(Produk!$J$2:$J$100,MATCH(C1748,Produk!$A$2:$A$100,0)),"PRODUK?"))</f>
        <v/>
      </c>
      <c r="G1748" s="29" t="str">
        <f aca="false">IF(A1748="","",IF(COUNTIF(Anggota!$A$2:$A$2001,A1748)=0,"TIDAK ADA","OK"))</f>
        <v/>
      </c>
    </row>
    <row r="1749" customFormat="false" ht="15" hidden="false" customHeight="false" outlineLevel="0" collapsed="false">
      <c r="A1749" s="21"/>
      <c r="B1749" s="22"/>
      <c r="C1749" s="21"/>
      <c r="D1749" s="24"/>
      <c r="E1749" s="22"/>
      <c r="F1749" s="29" t="str">
        <f aca="false">IF(C1749="","",IFERROR(INDEX(Produk!$J$2:$J$100,MATCH(C1749,Produk!$A$2:$A$100,0)),"PRODUK?"))</f>
        <v/>
      </c>
      <c r="G1749" s="29" t="str">
        <f aca="false">IF(A1749="","",IF(COUNTIF(Anggota!$A$2:$A$2001,A1749)=0,"TIDAK ADA","OK"))</f>
        <v/>
      </c>
    </row>
    <row r="1750" customFormat="false" ht="15" hidden="false" customHeight="false" outlineLevel="0" collapsed="false">
      <c r="A1750" s="21"/>
      <c r="B1750" s="22"/>
      <c r="C1750" s="21"/>
      <c r="D1750" s="24"/>
      <c r="E1750" s="22"/>
      <c r="F1750" s="29" t="str">
        <f aca="false">IF(C1750="","",IFERROR(INDEX(Produk!$J$2:$J$100,MATCH(C1750,Produk!$A$2:$A$100,0)),"PRODUK?"))</f>
        <v/>
      </c>
      <c r="G1750" s="29" t="str">
        <f aca="false">IF(A1750="","",IF(COUNTIF(Anggota!$A$2:$A$2001,A1750)=0,"TIDAK ADA","OK"))</f>
        <v/>
      </c>
    </row>
    <row r="1751" customFormat="false" ht="15" hidden="false" customHeight="false" outlineLevel="0" collapsed="false">
      <c r="A1751" s="21"/>
      <c r="B1751" s="22"/>
      <c r="C1751" s="21"/>
      <c r="D1751" s="24"/>
      <c r="E1751" s="22"/>
      <c r="F1751" s="29" t="str">
        <f aca="false">IF(C1751="","",IFERROR(INDEX(Produk!$J$2:$J$100,MATCH(C1751,Produk!$A$2:$A$100,0)),"PRODUK?"))</f>
        <v/>
      </c>
      <c r="G1751" s="29" t="str">
        <f aca="false">IF(A1751="","",IF(COUNTIF(Anggota!$A$2:$A$2001,A1751)=0,"TIDAK ADA","OK"))</f>
        <v/>
      </c>
    </row>
    <row r="1752" customFormat="false" ht="15" hidden="false" customHeight="false" outlineLevel="0" collapsed="false">
      <c r="A1752" s="21"/>
      <c r="B1752" s="22"/>
      <c r="C1752" s="21"/>
      <c r="D1752" s="24"/>
      <c r="E1752" s="22"/>
      <c r="F1752" s="29" t="str">
        <f aca="false">IF(C1752="","",IFERROR(INDEX(Produk!$J$2:$J$100,MATCH(C1752,Produk!$A$2:$A$100,0)),"PRODUK?"))</f>
        <v/>
      </c>
      <c r="G1752" s="29" t="str">
        <f aca="false">IF(A1752="","",IF(COUNTIF(Anggota!$A$2:$A$2001,A1752)=0,"TIDAK ADA","OK"))</f>
        <v/>
      </c>
    </row>
    <row r="1753" customFormat="false" ht="15" hidden="false" customHeight="false" outlineLevel="0" collapsed="false">
      <c r="A1753" s="21"/>
      <c r="B1753" s="22"/>
      <c r="C1753" s="21"/>
      <c r="D1753" s="24"/>
      <c r="E1753" s="22"/>
      <c r="F1753" s="29" t="str">
        <f aca="false">IF(C1753="","",IFERROR(INDEX(Produk!$J$2:$J$100,MATCH(C1753,Produk!$A$2:$A$100,0)),"PRODUK?"))</f>
        <v/>
      </c>
      <c r="G1753" s="29" t="str">
        <f aca="false">IF(A1753="","",IF(COUNTIF(Anggota!$A$2:$A$2001,A1753)=0,"TIDAK ADA","OK"))</f>
        <v/>
      </c>
    </row>
    <row r="1754" customFormat="false" ht="15" hidden="false" customHeight="false" outlineLevel="0" collapsed="false">
      <c r="A1754" s="21"/>
      <c r="B1754" s="22"/>
      <c r="C1754" s="21"/>
      <c r="D1754" s="24"/>
      <c r="E1754" s="22"/>
      <c r="F1754" s="29" t="str">
        <f aca="false">IF(C1754="","",IFERROR(INDEX(Produk!$J$2:$J$100,MATCH(C1754,Produk!$A$2:$A$100,0)),"PRODUK?"))</f>
        <v/>
      </c>
      <c r="G1754" s="29" t="str">
        <f aca="false">IF(A1754="","",IF(COUNTIF(Anggota!$A$2:$A$2001,A1754)=0,"TIDAK ADA","OK"))</f>
        <v/>
      </c>
    </row>
    <row r="1755" customFormat="false" ht="15" hidden="false" customHeight="false" outlineLevel="0" collapsed="false">
      <c r="A1755" s="21"/>
      <c r="B1755" s="22"/>
      <c r="C1755" s="21"/>
      <c r="D1755" s="24"/>
      <c r="E1755" s="22"/>
      <c r="F1755" s="29" t="str">
        <f aca="false">IF(C1755="","",IFERROR(INDEX(Produk!$J$2:$J$100,MATCH(C1755,Produk!$A$2:$A$100,0)),"PRODUK?"))</f>
        <v/>
      </c>
      <c r="G1755" s="29" t="str">
        <f aca="false">IF(A1755="","",IF(COUNTIF(Anggota!$A$2:$A$2001,A1755)=0,"TIDAK ADA","OK"))</f>
        <v/>
      </c>
    </row>
    <row r="1756" customFormat="false" ht="15" hidden="false" customHeight="false" outlineLevel="0" collapsed="false">
      <c r="A1756" s="21"/>
      <c r="B1756" s="22"/>
      <c r="C1756" s="21"/>
      <c r="D1756" s="24"/>
      <c r="E1756" s="22"/>
      <c r="F1756" s="29" t="str">
        <f aca="false">IF(C1756="","",IFERROR(INDEX(Produk!$J$2:$J$100,MATCH(C1756,Produk!$A$2:$A$100,0)),"PRODUK?"))</f>
        <v/>
      </c>
      <c r="G1756" s="29" t="str">
        <f aca="false">IF(A1756="","",IF(COUNTIF(Anggota!$A$2:$A$2001,A1756)=0,"TIDAK ADA","OK"))</f>
        <v/>
      </c>
    </row>
    <row r="1757" customFormat="false" ht="15" hidden="false" customHeight="false" outlineLevel="0" collapsed="false">
      <c r="A1757" s="21"/>
      <c r="B1757" s="22"/>
      <c r="C1757" s="21"/>
      <c r="D1757" s="24"/>
      <c r="E1757" s="22"/>
      <c r="F1757" s="29" t="str">
        <f aca="false">IF(C1757="","",IFERROR(INDEX(Produk!$J$2:$J$100,MATCH(C1757,Produk!$A$2:$A$100,0)),"PRODUK?"))</f>
        <v/>
      </c>
      <c r="G1757" s="29" t="str">
        <f aca="false">IF(A1757="","",IF(COUNTIF(Anggota!$A$2:$A$2001,A1757)=0,"TIDAK ADA","OK"))</f>
        <v/>
      </c>
    </row>
    <row r="1758" customFormat="false" ht="15" hidden="false" customHeight="false" outlineLevel="0" collapsed="false">
      <c r="A1758" s="21"/>
      <c r="B1758" s="22"/>
      <c r="C1758" s="21"/>
      <c r="D1758" s="24"/>
      <c r="E1758" s="22"/>
      <c r="F1758" s="29" t="str">
        <f aca="false">IF(C1758="","",IFERROR(INDEX(Produk!$J$2:$J$100,MATCH(C1758,Produk!$A$2:$A$100,0)),"PRODUK?"))</f>
        <v/>
      </c>
      <c r="G1758" s="29" t="str">
        <f aca="false">IF(A1758="","",IF(COUNTIF(Anggota!$A$2:$A$2001,A1758)=0,"TIDAK ADA","OK"))</f>
        <v/>
      </c>
    </row>
    <row r="1759" customFormat="false" ht="15" hidden="false" customHeight="false" outlineLevel="0" collapsed="false">
      <c r="A1759" s="21"/>
      <c r="B1759" s="22"/>
      <c r="C1759" s="21"/>
      <c r="D1759" s="24"/>
      <c r="E1759" s="22"/>
      <c r="F1759" s="29" t="str">
        <f aca="false">IF(C1759="","",IFERROR(INDEX(Produk!$J$2:$J$100,MATCH(C1759,Produk!$A$2:$A$100,0)),"PRODUK?"))</f>
        <v/>
      </c>
      <c r="G1759" s="29" t="str">
        <f aca="false">IF(A1759="","",IF(COUNTIF(Anggota!$A$2:$A$2001,A1759)=0,"TIDAK ADA","OK"))</f>
        <v/>
      </c>
    </row>
    <row r="1760" customFormat="false" ht="15" hidden="false" customHeight="false" outlineLevel="0" collapsed="false">
      <c r="A1760" s="21"/>
      <c r="B1760" s="22"/>
      <c r="C1760" s="21"/>
      <c r="D1760" s="24"/>
      <c r="E1760" s="22"/>
      <c r="F1760" s="29" t="str">
        <f aca="false">IF(C1760="","",IFERROR(INDEX(Produk!$J$2:$J$100,MATCH(C1760,Produk!$A$2:$A$100,0)),"PRODUK?"))</f>
        <v/>
      </c>
      <c r="G1760" s="29" t="str">
        <f aca="false">IF(A1760="","",IF(COUNTIF(Anggota!$A$2:$A$2001,A1760)=0,"TIDAK ADA","OK"))</f>
        <v/>
      </c>
    </row>
    <row r="1761" customFormat="false" ht="15" hidden="false" customHeight="false" outlineLevel="0" collapsed="false">
      <c r="A1761" s="21"/>
      <c r="B1761" s="22"/>
      <c r="C1761" s="21"/>
      <c r="D1761" s="24"/>
      <c r="E1761" s="22"/>
      <c r="F1761" s="29" t="str">
        <f aca="false">IF(C1761="","",IFERROR(INDEX(Produk!$J$2:$J$100,MATCH(C1761,Produk!$A$2:$A$100,0)),"PRODUK?"))</f>
        <v/>
      </c>
      <c r="G1761" s="29" t="str">
        <f aca="false">IF(A1761="","",IF(COUNTIF(Anggota!$A$2:$A$2001,A1761)=0,"TIDAK ADA","OK"))</f>
        <v/>
      </c>
    </row>
    <row r="1762" customFormat="false" ht="15" hidden="false" customHeight="false" outlineLevel="0" collapsed="false">
      <c r="A1762" s="21"/>
      <c r="B1762" s="22"/>
      <c r="C1762" s="21"/>
      <c r="D1762" s="24"/>
      <c r="E1762" s="22"/>
      <c r="F1762" s="29" t="str">
        <f aca="false">IF(C1762="","",IFERROR(INDEX(Produk!$J$2:$J$100,MATCH(C1762,Produk!$A$2:$A$100,0)),"PRODUK?"))</f>
        <v/>
      </c>
      <c r="G1762" s="29" t="str">
        <f aca="false">IF(A1762="","",IF(COUNTIF(Anggota!$A$2:$A$2001,A1762)=0,"TIDAK ADA","OK"))</f>
        <v/>
      </c>
    </row>
    <row r="1763" customFormat="false" ht="15" hidden="false" customHeight="false" outlineLevel="0" collapsed="false">
      <c r="A1763" s="21"/>
      <c r="B1763" s="22"/>
      <c r="C1763" s="21"/>
      <c r="D1763" s="24"/>
      <c r="E1763" s="22"/>
      <c r="F1763" s="29" t="str">
        <f aca="false">IF(C1763="","",IFERROR(INDEX(Produk!$J$2:$J$100,MATCH(C1763,Produk!$A$2:$A$100,0)),"PRODUK?"))</f>
        <v/>
      </c>
      <c r="G1763" s="29" t="str">
        <f aca="false">IF(A1763="","",IF(COUNTIF(Anggota!$A$2:$A$2001,A1763)=0,"TIDAK ADA","OK"))</f>
        <v/>
      </c>
    </row>
    <row r="1764" customFormat="false" ht="15" hidden="false" customHeight="false" outlineLevel="0" collapsed="false">
      <c r="A1764" s="21"/>
      <c r="B1764" s="22"/>
      <c r="C1764" s="21"/>
      <c r="D1764" s="24"/>
      <c r="E1764" s="22"/>
      <c r="F1764" s="29" t="str">
        <f aca="false">IF(C1764="","",IFERROR(INDEX(Produk!$J$2:$J$100,MATCH(C1764,Produk!$A$2:$A$100,0)),"PRODUK?"))</f>
        <v/>
      </c>
      <c r="G1764" s="29" t="str">
        <f aca="false">IF(A1764="","",IF(COUNTIF(Anggota!$A$2:$A$2001,A1764)=0,"TIDAK ADA","OK"))</f>
        <v/>
      </c>
    </row>
    <row r="1765" customFormat="false" ht="15" hidden="false" customHeight="false" outlineLevel="0" collapsed="false">
      <c r="A1765" s="21"/>
      <c r="B1765" s="22"/>
      <c r="C1765" s="21"/>
      <c r="D1765" s="24"/>
      <c r="E1765" s="22"/>
      <c r="F1765" s="29" t="str">
        <f aca="false">IF(C1765="","",IFERROR(INDEX(Produk!$J$2:$J$100,MATCH(C1765,Produk!$A$2:$A$100,0)),"PRODUK?"))</f>
        <v/>
      </c>
      <c r="G1765" s="29" t="str">
        <f aca="false">IF(A1765="","",IF(COUNTIF(Anggota!$A$2:$A$2001,A1765)=0,"TIDAK ADA","OK"))</f>
        <v/>
      </c>
    </row>
    <row r="1766" customFormat="false" ht="15" hidden="false" customHeight="false" outlineLevel="0" collapsed="false">
      <c r="A1766" s="21"/>
      <c r="B1766" s="22"/>
      <c r="C1766" s="21"/>
      <c r="D1766" s="24"/>
      <c r="E1766" s="22"/>
      <c r="F1766" s="29" t="str">
        <f aca="false">IF(C1766="","",IFERROR(INDEX(Produk!$J$2:$J$100,MATCH(C1766,Produk!$A$2:$A$100,0)),"PRODUK?"))</f>
        <v/>
      </c>
      <c r="G1766" s="29" t="str">
        <f aca="false">IF(A1766="","",IF(COUNTIF(Anggota!$A$2:$A$2001,A1766)=0,"TIDAK ADA","OK"))</f>
        <v/>
      </c>
    </row>
    <row r="1767" customFormat="false" ht="15" hidden="false" customHeight="false" outlineLevel="0" collapsed="false">
      <c r="A1767" s="21"/>
      <c r="B1767" s="22"/>
      <c r="C1767" s="21"/>
      <c r="D1767" s="24"/>
      <c r="E1767" s="22"/>
      <c r="F1767" s="29" t="str">
        <f aca="false">IF(C1767="","",IFERROR(INDEX(Produk!$J$2:$J$100,MATCH(C1767,Produk!$A$2:$A$100,0)),"PRODUK?"))</f>
        <v/>
      </c>
      <c r="G1767" s="29" t="str">
        <f aca="false">IF(A1767="","",IF(COUNTIF(Anggota!$A$2:$A$2001,A1767)=0,"TIDAK ADA","OK"))</f>
        <v/>
      </c>
    </row>
    <row r="1768" customFormat="false" ht="15" hidden="false" customHeight="false" outlineLevel="0" collapsed="false">
      <c r="A1768" s="21"/>
      <c r="B1768" s="22"/>
      <c r="C1768" s="21"/>
      <c r="D1768" s="24"/>
      <c r="E1768" s="22"/>
      <c r="F1768" s="29" t="str">
        <f aca="false">IF(C1768="","",IFERROR(INDEX(Produk!$J$2:$J$100,MATCH(C1768,Produk!$A$2:$A$100,0)),"PRODUK?"))</f>
        <v/>
      </c>
      <c r="G1768" s="29" t="str">
        <f aca="false">IF(A1768="","",IF(COUNTIF(Anggota!$A$2:$A$2001,A1768)=0,"TIDAK ADA","OK"))</f>
        <v/>
      </c>
    </row>
    <row r="1769" customFormat="false" ht="15" hidden="false" customHeight="false" outlineLevel="0" collapsed="false">
      <c r="A1769" s="21"/>
      <c r="B1769" s="22"/>
      <c r="C1769" s="21"/>
      <c r="D1769" s="24"/>
      <c r="E1769" s="22"/>
      <c r="F1769" s="29" t="str">
        <f aca="false">IF(C1769="","",IFERROR(INDEX(Produk!$J$2:$J$100,MATCH(C1769,Produk!$A$2:$A$100,0)),"PRODUK?"))</f>
        <v/>
      </c>
      <c r="G1769" s="29" t="str">
        <f aca="false">IF(A1769="","",IF(COUNTIF(Anggota!$A$2:$A$2001,A1769)=0,"TIDAK ADA","OK"))</f>
        <v/>
      </c>
    </row>
    <row r="1770" customFormat="false" ht="15" hidden="false" customHeight="false" outlineLevel="0" collapsed="false">
      <c r="A1770" s="21"/>
      <c r="B1770" s="22"/>
      <c r="C1770" s="21"/>
      <c r="D1770" s="24"/>
      <c r="E1770" s="22"/>
      <c r="F1770" s="29" t="str">
        <f aca="false">IF(C1770="","",IFERROR(INDEX(Produk!$J$2:$J$100,MATCH(C1770,Produk!$A$2:$A$100,0)),"PRODUK?"))</f>
        <v/>
      </c>
      <c r="G1770" s="29" t="str">
        <f aca="false">IF(A1770="","",IF(COUNTIF(Anggota!$A$2:$A$2001,A1770)=0,"TIDAK ADA","OK"))</f>
        <v/>
      </c>
    </row>
    <row r="1771" customFormat="false" ht="15" hidden="false" customHeight="false" outlineLevel="0" collapsed="false">
      <c r="A1771" s="21"/>
      <c r="B1771" s="22"/>
      <c r="C1771" s="21"/>
      <c r="D1771" s="24"/>
      <c r="E1771" s="22"/>
      <c r="F1771" s="29" t="str">
        <f aca="false">IF(C1771="","",IFERROR(INDEX(Produk!$J$2:$J$100,MATCH(C1771,Produk!$A$2:$A$100,0)),"PRODUK?"))</f>
        <v/>
      </c>
      <c r="G1771" s="29" t="str">
        <f aca="false">IF(A1771="","",IF(COUNTIF(Anggota!$A$2:$A$2001,A1771)=0,"TIDAK ADA","OK"))</f>
        <v/>
      </c>
    </row>
    <row r="1772" customFormat="false" ht="15" hidden="false" customHeight="false" outlineLevel="0" collapsed="false">
      <c r="A1772" s="21"/>
      <c r="B1772" s="22"/>
      <c r="C1772" s="21"/>
      <c r="D1772" s="24"/>
      <c r="E1772" s="22"/>
      <c r="F1772" s="29" t="str">
        <f aca="false">IF(C1772="","",IFERROR(INDEX(Produk!$J$2:$J$100,MATCH(C1772,Produk!$A$2:$A$100,0)),"PRODUK?"))</f>
        <v/>
      </c>
      <c r="G1772" s="29" t="str">
        <f aca="false">IF(A1772="","",IF(COUNTIF(Anggota!$A$2:$A$2001,A1772)=0,"TIDAK ADA","OK"))</f>
        <v/>
      </c>
    </row>
    <row r="1773" customFormat="false" ht="15" hidden="false" customHeight="false" outlineLevel="0" collapsed="false">
      <c r="A1773" s="21"/>
      <c r="B1773" s="22"/>
      <c r="C1773" s="21"/>
      <c r="D1773" s="24"/>
      <c r="E1773" s="22"/>
      <c r="F1773" s="29" t="str">
        <f aca="false">IF(C1773="","",IFERROR(INDEX(Produk!$J$2:$J$100,MATCH(C1773,Produk!$A$2:$A$100,0)),"PRODUK?"))</f>
        <v/>
      </c>
      <c r="G1773" s="29" t="str">
        <f aca="false">IF(A1773="","",IF(COUNTIF(Anggota!$A$2:$A$2001,A1773)=0,"TIDAK ADA","OK"))</f>
        <v/>
      </c>
    </row>
    <row r="1774" customFormat="false" ht="15" hidden="false" customHeight="false" outlineLevel="0" collapsed="false">
      <c r="A1774" s="21"/>
      <c r="B1774" s="22"/>
      <c r="C1774" s="21"/>
      <c r="D1774" s="24"/>
      <c r="E1774" s="22"/>
      <c r="F1774" s="29" t="str">
        <f aca="false">IF(C1774="","",IFERROR(INDEX(Produk!$J$2:$J$100,MATCH(C1774,Produk!$A$2:$A$100,0)),"PRODUK?"))</f>
        <v/>
      </c>
      <c r="G1774" s="29" t="str">
        <f aca="false">IF(A1774="","",IF(COUNTIF(Anggota!$A$2:$A$2001,A1774)=0,"TIDAK ADA","OK"))</f>
        <v/>
      </c>
    </row>
    <row r="1775" customFormat="false" ht="15" hidden="false" customHeight="false" outlineLevel="0" collapsed="false">
      <c r="A1775" s="21"/>
      <c r="B1775" s="22"/>
      <c r="C1775" s="21"/>
      <c r="D1775" s="24"/>
      <c r="E1775" s="22"/>
      <c r="F1775" s="29" t="str">
        <f aca="false">IF(C1775="","",IFERROR(INDEX(Produk!$J$2:$J$100,MATCH(C1775,Produk!$A$2:$A$100,0)),"PRODUK?"))</f>
        <v/>
      </c>
      <c r="G1775" s="29" t="str">
        <f aca="false">IF(A1775="","",IF(COUNTIF(Anggota!$A$2:$A$2001,A1775)=0,"TIDAK ADA","OK"))</f>
        <v/>
      </c>
    </row>
    <row r="1776" customFormat="false" ht="15" hidden="false" customHeight="false" outlineLevel="0" collapsed="false">
      <c r="A1776" s="21"/>
      <c r="B1776" s="22"/>
      <c r="C1776" s="21"/>
      <c r="D1776" s="24"/>
      <c r="E1776" s="22"/>
      <c r="F1776" s="29" t="str">
        <f aca="false">IF(C1776="","",IFERROR(INDEX(Produk!$J$2:$J$100,MATCH(C1776,Produk!$A$2:$A$100,0)),"PRODUK?"))</f>
        <v/>
      </c>
      <c r="G1776" s="29" t="str">
        <f aca="false">IF(A1776="","",IF(COUNTIF(Anggota!$A$2:$A$2001,A1776)=0,"TIDAK ADA","OK"))</f>
        <v/>
      </c>
    </row>
    <row r="1777" customFormat="false" ht="15" hidden="false" customHeight="false" outlineLevel="0" collapsed="false">
      <c r="A1777" s="21"/>
      <c r="B1777" s="22"/>
      <c r="C1777" s="21"/>
      <c r="D1777" s="24"/>
      <c r="E1777" s="22"/>
      <c r="F1777" s="29" t="str">
        <f aca="false">IF(C1777="","",IFERROR(INDEX(Produk!$J$2:$J$100,MATCH(C1777,Produk!$A$2:$A$100,0)),"PRODUK?"))</f>
        <v/>
      </c>
      <c r="G1777" s="29" t="str">
        <f aca="false">IF(A1777="","",IF(COUNTIF(Anggota!$A$2:$A$2001,A1777)=0,"TIDAK ADA","OK"))</f>
        <v/>
      </c>
    </row>
    <row r="1778" customFormat="false" ht="15" hidden="false" customHeight="false" outlineLevel="0" collapsed="false">
      <c r="A1778" s="21"/>
      <c r="B1778" s="22"/>
      <c r="C1778" s="21"/>
      <c r="D1778" s="24"/>
      <c r="E1778" s="22"/>
      <c r="F1778" s="29" t="str">
        <f aca="false">IF(C1778="","",IFERROR(INDEX(Produk!$J$2:$J$100,MATCH(C1778,Produk!$A$2:$A$100,0)),"PRODUK?"))</f>
        <v/>
      </c>
      <c r="G1778" s="29" t="str">
        <f aca="false">IF(A1778="","",IF(COUNTIF(Anggota!$A$2:$A$2001,A1778)=0,"TIDAK ADA","OK"))</f>
        <v/>
      </c>
    </row>
    <row r="1779" customFormat="false" ht="15" hidden="false" customHeight="false" outlineLevel="0" collapsed="false">
      <c r="A1779" s="21"/>
      <c r="B1779" s="22"/>
      <c r="C1779" s="21"/>
      <c r="D1779" s="24"/>
      <c r="E1779" s="22"/>
      <c r="F1779" s="29" t="str">
        <f aca="false">IF(C1779="","",IFERROR(INDEX(Produk!$J$2:$J$100,MATCH(C1779,Produk!$A$2:$A$100,0)),"PRODUK?"))</f>
        <v/>
      </c>
      <c r="G1779" s="29" t="str">
        <f aca="false">IF(A1779="","",IF(COUNTIF(Anggota!$A$2:$A$2001,A1779)=0,"TIDAK ADA","OK"))</f>
        <v/>
      </c>
    </row>
    <row r="1780" customFormat="false" ht="15" hidden="false" customHeight="false" outlineLevel="0" collapsed="false">
      <c r="A1780" s="21"/>
      <c r="B1780" s="22"/>
      <c r="C1780" s="21"/>
      <c r="D1780" s="24"/>
      <c r="E1780" s="22"/>
      <c r="F1780" s="29" t="str">
        <f aca="false">IF(C1780="","",IFERROR(INDEX(Produk!$J$2:$J$100,MATCH(C1780,Produk!$A$2:$A$100,0)),"PRODUK?"))</f>
        <v/>
      </c>
      <c r="G1780" s="29" t="str">
        <f aca="false">IF(A1780="","",IF(COUNTIF(Anggota!$A$2:$A$2001,A1780)=0,"TIDAK ADA","OK"))</f>
        <v/>
      </c>
    </row>
    <row r="1781" customFormat="false" ht="15" hidden="false" customHeight="false" outlineLevel="0" collapsed="false">
      <c r="A1781" s="21"/>
      <c r="B1781" s="22"/>
      <c r="C1781" s="21"/>
      <c r="D1781" s="24"/>
      <c r="E1781" s="22"/>
      <c r="F1781" s="29" t="str">
        <f aca="false">IF(C1781="","",IFERROR(INDEX(Produk!$J$2:$J$100,MATCH(C1781,Produk!$A$2:$A$100,0)),"PRODUK?"))</f>
        <v/>
      </c>
      <c r="G1781" s="29" t="str">
        <f aca="false">IF(A1781="","",IF(COUNTIF(Anggota!$A$2:$A$2001,A1781)=0,"TIDAK ADA","OK"))</f>
        <v/>
      </c>
    </row>
    <row r="1782" customFormat="false" ht="15" hidden="false" customHeight="false" outlineLevel="0" collapsed="false">
      <c r="A1782" s="21"/>
      <c r="B1782" s="22"/>
      <c r="C1782" s="21"/>
      <c r="D1782" s="24"/>
      <c r="E1782" s="22"/>
      <c r="F1782" s="29" t="str">
        <f aca="false">IF(C1782="","",IFERROR(INDEX(Produk!$J$2:$J$100,MATCH(C1782,Produk!$A$2:$A$100,0)),"PRODUK?"))</f>
        <v/>
      </c>
      <c r="G1782" s="29" t="str">
        <f aca="false">IF(A1782="","",IF(COUNTIF(Anggota!$A$2:$A$2001,A1782)=0,"TIDAK ADA","OK"))</f>
        <v/>
      </c>
    </row>
    <row r="1783" customFormat="false" ht="15" hidden="false" customHeight="false" outlineLevel="0" collapsed="false">
      <c r="A1783" s="21"/>
      <c r="B1783" s="22"/>
      <c r="C1783" s="21"/>
      <c r="D1783" s="24"/>
      <c r="E1783" s="22"/>
      <c r="F1783" s="29" t="str">
        <f aca="false">IF(C1783="","",IFERROR(INDEX(Produk!$J$2:$J$100,MATCH(C1783,Produk!$A$2:$A$100,0)),"PRODUK?"))</f>
        <v/>
      </c>
      <c r="G1783" s="29" t="str">
        <f aca="false">IF(A1783="","",IF(COUNTIF(Anggota!$A$2:$A$2001,A1783)=0,"TIDAK ADA","OK"))</f>
        <v/>
      </c>
    </row>
    <row r="1784" customFormat="false" ht="15" hidden="false" customHeight="false" outlineLevel="0" collapsed="false">
      <c r="A1784" s="21"/>
      <c r="B1784" s="22"/>
      <c r="C1784" s="21"/>
      <c r="D1784" s="24"/>
      <c r="E1784" s="22"/>
      <c r="F1784" s="29" t="str">
        <f aca="false">IF(C1784="","",IFERROR(INDEX(Produk!$J$2:$J$100,MATCH(C1784,Produk!$A$2:$A$100,0)),"PRODUK?"))</f>
        <v/>
      </c>
      <c r="G1784" s="29" t="str">
        <f aca="false">IF(A1784="","",IF(COUNTIF(Anggota!$A$2:$A$2001,A1784)=0,"TIDAK ADA","OK"))</f>
        <v/>
      </c>
    </row>
    <row r="1785" customFormat="false" ht="15" hidden="false" customHeight="false" outlineLevel="0" collapsed="false">
      <c r="A1785" s="21"/>
      <c r="B1785" s="22"/>
      <c r="C1785" s="21"/>
      <c r="D1785" s="24"/>
      <c r="E1785" s="22"/>
      <c r="F1785" s="29" t="str">
        <f aca="false">IF(C1785="","",IFERROR(INDEX(Produk!$J$2:$J$100,MATCH(C1785,Produk!$A$2:$A$100,0)),"PRODUK?"))</f>
        <v/>
      </c>
      <c r="G1785" s="29" t="str">
        <f aca="false">IF(A1785="","",IF(COUNTIF(Anggota!$A$2:$A$2001,A1785)=0,"TIDAK ADA","OK"))</f>
        <v/>
      </c>
    </row>
    <row r="1786" customFormat="false" ht="15" hidden="false" customHeight="false" outlineLevel="0" collapsed="false">
      <c r="A1786" s="21"/>
      <c r="B1786" s="22"/>
      <c r="C1786" s="21"/>
      <c r="D1786" s="24"/>
      <c r="E1786" s="22"/>
      <c r="F1786" s="29" t="str">
        <f aca="false">IF(C1786="","",IFERROR(INDEX(Produk!$J$2:$J$100,MATCH(C1786,Produk!$A$2:$A$100,0)),"PRODUK?"))</f>
        <v/>
      </c>
      <c r="G1786" s="29" t="str">
        <f aca="false">IF(A1786="","",IF(COUNTIF(Anggota!$A$2:$A$2001,A1786)=0,"TIDAK ADA","OK"))</f>
        <v/>
      </c>
    </row>
    <row r="1787" customFormat="false" ht="15" hidden="false" customHeight="false" outlineLevel="0" collapsed="false">
      <c r="A1787" s="21"/>
      <c r="B1787" s="22"/>
      <c r="C1787" s="21"/>
      <c r="D1787" s="24"/>
      <c r="E1787" s="22"/>
      <c r="F1787" s="29" t="str">
        <f aca="false">IF(C1787="","",IFERROR(INDEX(Produk!$J$2:$J$100,MATCH(C1787,Produk!$A$2:$A$100,0)),"PRODUK?"))</f>
        <v/>
      </c>
      <c r="G1787" s="29" t="str">
        <f aca="false">IF(A1787="","",IF(COUNTIF(Anggota!$A$2:$A$2001,A1787)=0,"TIDAK ADA","OK"))</f>
        <v/>
      </c>
    </row>
    <row r="1788" customFormat="false" ht="15" hidden="false" customHeight="false" outlineLevel="0" collapsed="false">
      <c r="A1788" s="21"/>
      <c r="B1788" s="22"/>
      <c r="C1788" s="21"/>
      <c r="D1788" s="24"/>
      <c r="E1788" s="22"/>
      <c r="F1788" s="29" t="str">
        <f aca="false">IF(C1788="","",IFERROR(INDEX(Produk!$J$2:$J$100,MATCH(C1788,Produk!$A$2:$A$100,0)),"PRODUK?"))</f>
        <v/>
      </c>
      <c r="G1788" s="29" t="str">
        <f aca="false">IF(A1788="","",IF(COUNTIF(Anggota!$A$2:$A$2001,A1788)=0,"TIDAK ADA","OK"))</f>
        <v/>
      </c>
    </row>
    <row r="1789" customFormat="false" ht="15" hidden="false" customHeight="false" outlineLevel="0" collapsed="false">
      <c r="A1789" s="21"/>
      <c r="B1789" s="22"/>
      <c r="C1789" s="21"/>
      <c r="D1789" s="24"/>
      <c r="E1789" s="22"/>
      <c r="F1789" s="29" t="str">
        <f aca="false">IF(C1789="","",IFERROR(INDEX(Produk!$J$2:$J$100,MATCH(C1789,Produk!$A$2:$A$100,0)),"PRODUK?"))</f>
        <v/>
      </c>
      <c r="G1789" s="29" t="str">
        <f aca="false">IF(A1789="","",IF(COUNTIF(Anggota!$A$2:$A$2001,A1789)=0,"TIDAK ADA","OK"))</f>
        <v/>
      </c>
    </row>
    <row r="1790" customFormat="false" ht="15" hidden="false" customHeight="false" outlineLevel="0" collapsed="false">
      <c r="A1790" s="21"/>
      <c r="B1790" s="22"/>
      <c r="C1790" s="21"/>
      <c r="D1790" s="24"/>
      <c r="E1790" s="22"/>
      <c r="F1790" s="29" t="str">
        <f aca="false">IF(C1790="","",IFERROR(INDEX(Produk!$J$2:$J$100,MATCH(C1790,Produk!$A$2:$A$100,0)),"PRODUK?"))</f>
        <v/>
      </c>
      <c r="G1790" s="29" t="str">
        <f aca="false">IF(A1790="","",IF(COUNTIF(Anggota!$A$2:$A$2001,A1790)=0,"TIDAK ADA","OK"))</f>
        <v/>
      </c>
    </row>
    <row r="1791" customFormat="false" ht="15" hidden="false" customHeight="false" outlineLevel="0" collapsed="false">
      <c r="A1791" s="21"/>
      <c r="B1791" s="22"/>
      <c r="C1791" s="21"/>
      <c r="D1791" s="24"/>
      <c r="E1791" s="22"/>
      <c r="F1791" s="29" t="str">
        <f aca="false">IF(C1791="","",IFERROR(INDEX(Produk!$J$2:$J$100,MATCH(C1791,Produk!$A$2:$A$100,0)),"PRODUK?"))</f>
        <v/>
      </c>
      <c r="G1791" s="29" t="str">
        <f aca="false">IF(A1791="","",IF(COUNTIF(Anggota!$A$2:$A$2001,A1791)=0,"TIDAK ADA","OK"))</f>
        <v/>
      </c>
    </row>
    <row r="1792" customFormat="false" ht="15" hidden="false" customHeight="false" outlineLevel="0" collapsed="false">
      <c r="A1792" s="21"/>
      <c r="B1792" s="22"/>
      <c r="C1792" s="21"/>
      <c r="D1792" s="24"/>
      <c r="E1792" s="22"/>
      <c r="F1792" s="29" t="str">
        <f aca="false">IF(C1792="","",IFERROR(INDEX(Produk!$J$2:$J$100,MATCH(C1792,Produk!$A$2:$A$100,0)),"PRODUK?"))</f>
        <v/>
      </c>
      <c r="G1792" s="29" t="str">
        <f aca="false">IF(A1792="","",IF(COUNTIF(Anggota!$A$2:$A$2001,A1792)=0,"TIDAK ADA","OK"))</f>
        <v/>
      </c>
    </row>
    <row r="1793" customFormat="false" ht="15" hidden="false" customHeight="false" outlineLevel="0" collapsed="false">
      <c r="A1793" s="21"/>
      <c r="B1793" s="22"/>
      <c r="C1793" s="21"/>
      <c r="D1793" s="24"/>
      <c r="E1793" s="22"/>
      <c r="F1793" s="29" t="str">
        <f aca="false">IF(C1793="","",IFERROR(INDEX(Produk!$J$2:$J$100,MATCH(C1793,Produk!$A$2:$A$100,0)),"PRODUK?"))</f>
        <v/>
      </c>
      <c r="G1793" s="29" t="str">
        <f aca="false">IF(A1793="","",IF(COUNTIF(Anggota!$A$2:$A$2001,A1793)=0,"TIDAK ADA","OK"))</f>
        <v/>
      </c>
    </row>
    <row r="1794" customFormat="false" ht="15" hidden="false" customHeight="false" outlineLevel="0" collapsed="false">
      <c r="A1794" s="21"/>
      <c r="B1794" s="22"/>
      <c r="C1794" s="21"/>
      <c r="D1794" s="24"/>
      <c r="E1794" s="22"/>
      <c r="F1794" s="29" t="str">
        <f aca="false">IF(C1794="","",IFERROR(INDEX(Produk!$J$2:$J$100,MATCH(C1794,Produk!$A$2:$A$100,0)),"PRODUK?"))</f>
        <v/>
      </c>
      <c r="G1794" s="29" t="str">
        <f aca="false">IF(A1794="","",IF(COUNTIF(Anggota!$A$2:$A$2001,A1794)=0,"TIDAK ADA","OK"))</f>
        <v/>
      </c>
    </row>
    <row r="1795" customFormat="false" ht="15" hidden="false" customHeight="false" outlineLevel="0" collapsed="false">
      <c r="A1795" s="21"/>
      <c r="B1795" s="22"/>
      <c r="C1795" s="21"/>
      <c r="D1795" s="24"/>
      <c r="E1795" s="22"/>
      <c r="F1795" s="29" t="str">
        <f aca="false">IF(C1795="","",IFERROR(INDEX(Produk!$J$2:$J$100,MATCH(C1795,Produk!$A$2:$A$100,0)),"PRODUK?"))</f>
        <v/>
      </c>
      <c r="G1795" s="29" t="str">
        <f aca="false">IF(A1795="","",IF(COUNTIF(Anggota!$A$2:$A$2001,A1795)=0,"TIDAK ADA","OK"))</f>
        <v/>
      </c>
    </row>
    <row r="1796" customFormat="false" ht="15" hidden="false" customHeight="false" outlineLevel="0" collapsed="false">
      <c r="A1796" s="21"/>
      <c r="B1796" s="22"/>
      <c r="C1796" s="21"/>
      <c r="D1796" s="24"/>
      <c r="E1796" s="22"/>
      <c r="F1796" s="29" t="str">
        <f aca="false">IF(C1796="","",IFERROR(INDEX(Produk!$J$2:$J$100,MATCH(C1796,Produk!$A$2:$A$100,0)),"PRODUK?"))</f>
        <v/>
      </c>
      <c r="G1796" s="29" t="str">
        <f aca="false">IF(A1796="","",IF(COUNTIF(Anggota!$A$2:$A$2001,A1796)=0,"TIDAK ADA","OK"))</f>
        <v/>
      </c>
    </row>
    <row r="1797" customFormat="false" ht="15" hidden="false" customHeight="false" outlineLevel="0" collapsed="false">
      <c r="A1797" s="21"/>
      <c r="B1797" s="22"/>
      <c r="C1797" s="21"/>
      <c r="D1797" s="24"/>
      <c r="E1797" s="22"/>
      <c r="F1797" s="29" t="str">
        <f aca="false">IF(C1797="","",IFERROR(INDEX(Produk!$J$2:$J$100,MATCH(C1797,Produk!$A$2:$A$100,0)),"PRODUK?"))</f>
        <v/>
      </c>
      <c r="G1797" s="29" t="str">
        <f aca="false">IF(A1797="","",IF(COUNTIF(Anggota!$A$2:$A$2001,A1797)=0,"TIDAK ADA","OK"))</f>
        <v/>
      </c>
    </row>
    <row r="1798" customFormat="false" ht="15" hidden="false" customHeight="false" outlineLevel="0" collapsed="false">
      <c r="A1798" s="21"/>
      <c r="B1798" s="22"/>
      <c r="C1798" s="21"/>
      <c r="D1798" s="24"/>
      <c r="E1798" s="22"/>
      <c r="F1798" s="29" t="str">
        <f aca="false">IF(C1798="","",IFERROR(INDEX(Produk!$J$2:$J$100,MATCH(C1798,Produk!$A$2:$A$100,0)),"PRODUK?"))</f>
        <v/>
      </c>
      <c r="G1798" s="29" t="str">
        <f aca="false">IF(A1798="","",IF(COUNTIF(Anggota!$A$2:$A$2001,A1798)=0,"TIDAK ADA","OK"))</f>
        <v/>
      </c>
    </row>
    <row r="1799" customFormat="false" ht="15" hidden="false" customHeight="false" outlineLevel="0" collapsed="false">
      <c r="A1799" s="21"/>
      <c r="B1799" s="22"/>
      <c r="C1799" s="21"/>
      <c r="D1799" s="24"/>
      <c r="E1799" s="22"/>
      <c r="F1799" s="29" t="str">
        <f aca="false">IF(C1799="","",IFERROR(INDEX(Produk!$J$2:$J$100,MATCH(C1799,Produk!$A$2:$A$100,0)),"PRODUK?"))</f>
        <v/>
      </c>
      <c r="G1799" s="29" t="str">
        <f aca="false">IF(A1799="","",IF(COUNTIF(Anggota!$A$2:$A$2001,A1799)=0,"TIDAK ADA","OK"))</f>
        <v/>
      </c>
    </row>
    <row r="1800" customFormat="false" ht="15" hidden="false" customHeight="false" outlineLevel="0" collapsed="false">
      <c r="A1800" s="21"/>
      <c r="B1800" s="22"/>
      <c r="C1800" s="21"/>
      <c r="D1800" s="24"/>
      <c r="E1800" s="22"/>
      <c r="F1800" s="29" t="str">
        <f aca="false">IF(C1800="","",IFERROR(INDEX(Produk!$J$2:$J$100,MATCH(C1800,Produk!$A$2:$A$100,0)),"PRODUK?"))</f>
        <v/>
      </c>
      <c r="G1800" s="29" t="str">
        <f aca="false">IF(A1800="","",IF(COUNTIF(Anggota!$A$2:$A$2001,A1800)=0,"TIDAK ADA","OK"))</f>
        <v/>
      </c>
    </row>
    <row r="1801" customFormat="false" ht="15" hidden="false" customHeight="false" outlineLevel="0" collapsed="false">
      <c r="A1801" s="21"/>
      <c r="B1801" s="22"/>
      <c r="C1801" s="21"/>
      <c r="D1801" s="24"/>
      <c r="E1801" s="22"/>
      <c r="F1801" s="29" t="str">
        <f aca="false">IF(C1801="","",IFERROR(INDEX(Produk!$J$2:$J$100,MATCH(C1801,Produk!$A$2:$A$100,0)),"PRODUK?"))</f>
        <v/>
      </c>
      <c r="G1801" s="29" t="str">
        <f aca="false">IF(A1801="","",IF(COUNTIF(Anggota!$A$2:$A$2001,A1801)=0,"TIDAK ADA","OK"))</f>
        <v/>
      </c>
    </row>
    <row r="1802" customFormat="false" ht="15" hidden="false" customHeight="false" outlineLevel="0" collapsed="false">
      <c r="A1802" s="21"/>
      <c r="B1802" s="22"/>
      <c r="C1802" s="21"/>
      <c r="D1802" s="24"/>
      <c r="E1802" s="22"/>
      <c r="F1802" s="29" t="str">
        <f aca="false">IF(C1802="","",IFERROR(INDEX(Produk!$J$2:$J$100,MATCH(C1802,Produk!$A$2:$A$100,0)),"PRODUK?"))</f>
        <v/>
      </c>
      <c r="G1802" s="29" t="str">
        <f aca="false">IF(A1802="","",IF(COUNTIF(Anggota!$A$2:$A$2001,A1802)=0,"TIDAK ADA","OK"))</f>
        <v/>
      </c>
    </row>
    <row r="1803" customFormat="false" ht="15" hidden="false" customHeight="false" outlineLevel="0" collapsed="false">
      <c r="A1803" s="21"/>
      <c r="B1803" s="22"/>
      <c r="C1803" s="21"/>
      <c r="D1803" s="24"/>
      <c r="E1803" s="22"/>
      <c r="F1803" s="29" t="str">
        <f aca="false">IF(C1803="","",IFERROR(INDEX(Produk!$J$2:$J$100,MATCH(C1803,Produk!$A$2:$A$100,0)),"PRODUK?"))</f>
        <v/>
      </c>
      <c r="G1803" s="29" t="str">
        <f aca="false">IF(A1803="","",IF(COUNTIF(Anggota!$A$2:$A$2001,A1803)=0,"TIDAK ADA","OK"))</f>
        <v/>
      </c>
    </row>
    <row r="1804" customFormat="false" ht="15" hidden="false" customHeight="false" outlineLevel="0" collapsed="false">
      <c r="A1804" s="21"/>
      <c r="B1804" s="22"/>
      <c r="C1804" s="21"/>
      <c r="D1804" s="24"/>
      <c r="E1804" s="22"/>
      <c r="F1804" s="29" t="str">
        <f aca="false">IF(C1804="","",IFERROR(INDEX(Produk!$J$2:$J$100,MATCH(C1804,Produk!$A$2:$A$100,0)),"PRODUK?"))</f>
        <v/>
      </c>
      <c r="G1804" s="29" t="str">
        <f aca="false">IF(A1804="","",IF(COUNTIF(Anggota!$A$2:$A$2001,A1804)=0,"TIDAK ADA","OK"))</f>
        <v/>
      </c>
    </row>
    <row r="1805" customFormat="false" ht="15" hidden="false" customHeight="false" outlineLevel="0" collapsed="false">
      <c r="A1805" s="21"/>
      <c r="B1805" s="22"/>
      <c r="C1805" s="21"/>
      <c r="D1805" s="24"/>
      <c r="E1805" s="22"/>
      <c r="F1805" s="29" t="str">
        <f aca="false">IF(C1805="","",IFERROR(INDEX(Produk!$J$2:$J$100,MATCH(C1805,Produk!$A$2:$A$100,0)),"PRODUK?"))</f>
        <v/>
      </c>
      <c r="G1805" s="29" t="str">
        <f aca="false">IF(A1805="","",IF(COUNTIF(Anggota!$A$2:$A$2001,A1805)=0,"TIDAK ADA","OK"))</f>
        <v/>
      </c>
    </row>
    <row r="1806" customFormat="false" ht="15" hidden="false" customHeight="false" outlineLevel="0" collapsed="false">
      <c r="A1806" s="21"/>
      <c r="B1806" s="22"/>
      <c r="C1806" s="21"/>
      <c r="D1806" s="24"/>
      <c r="E1806" s="22"/>
      <c r="F1806" s="29" t="str">
        <f aca="false">IF(C1806="","",IFERROR(INDEX(Produk!$J$2:$J$100,MATCH(C1806,Produk!$A$2:$A$100,0)),"PRODUK?"))</f>
        <v/>
      </c>
      <c r="G1806" s="29" t="str">
        <f aca="false">IF(A1806="","",IF(COUNTIF(Anggota!$A$2:$A$2001,A1806)=0,"TIDAK ADA","OK"))</f>
        <v/>
      </c>
    </row>
    <row r="1807" customFormat="false" ht="15" hidden="false" customHeight="false" outlineLevel="0" collapsed="false">
      <c r="A1807" s="21"/>
      <c r="B1807" s="22"/>
      <c r="C1807" s="21"/>
      <c r="D1807" s="24"/>
      <c r="E1807" s="22"/>
      <c r="F1807" s="29" t="str">
        <f aca="false">IF(C1807="","",IFERROR(INDEX(Produk!$J$2:$J$100,MATCH(C1807,Produk!$A$2:$A$100,0)),"PRODUK?"))</f>
        <v/>
      </c>
      <c r="G1807" s="29" t="str">
        <f aca="false">IF(A1807="","",IF(COUNTIF(Anggota!$A$2:$A$2001,A1807)=0,"TIDAK ADA","OK"))</f>
        <v/>
      </c>
    </row>
    <row r="1808" customFormat="false" ht="15" hidden="false" customHeight="false" outlineLevel="0" collapsed="false">
      <c r="A1808" s="21"/>
      <c r="B1808" s="22"/>
      <c r="C1808" s="21"/>
      <c r="D1808" s="24"/>
      <c r="E1808" s="22"/>
      <c r="F1808" s="29" t="str">
        <f aca="false">IF(C1808="","",IFERROR(INDEX(Produk!$J$2:$J$100,MATCH(C1808,Produk!$A$2:$A$100,0)),"PRODUK?"))</f>
        <v/>
      </c>
      <c r="G1808" s="29" t="str">
        <f aca="false">IF(A1808="","",IF(COUNTIF(Anggota!$A$2:$A$2001,A1808)=0,"TIDAK ADA","OK"))</f>
        <v/>
      </c>
    </row>
    <row r="1809" customFormat="false" ht="15" hidden="false" customHeight="false" outlineLevel="0" collapsed="false">
      <c r="A1809" s="21"/>
      <c r="B1809" s="22"/>
      <c r="C1809" s="21"/>
      <c r="D1809" s="24"/>
      <c r="E1809" s="22"/>
      <c r="F1809" s="29" t="str">
        <f aca="false">IF(C1809="","",IFERROR(INDEX(Produk!$J$2:$J$100,MATCH(C1809,Produk!$A$2:$A$100,0)),"PRODUK?"))</f>
        <v/>
      </c>
      <c r="G1809" s="29" t="str">
        <f aca="false">IF(A1809="","",IF(COUNTIF(Anggota!$A$2:$A$2001,A1809)=0,"TIDAK ADA","OK"))</f>
        <v/>
      </c>
    </row>
    <row r="1810" customFormat="false" ht="15" hidden="false" customHeight="false" outlineLevel="0" collapsed="false">
      <c r="A1810" s="21"/>
      <c r="B1810" s="22"/>
      <c r="C1810" s="21"/>
      <c r="D1810" s="24"/>
      <c r="E1810" s="22"/>
      <c r="F1810" s="29" t="str">
        <f aca="false">IF(C1810="","",IFERROR(INDEX(Produk!$J$2:$J$100,MATCH(C1810,Produk!$A$2:$A$100,0)),"PRODUK?"))</f>
        <v/>
      </c>
      <c r="G1810" s="29" t="str">
        <f aca="false">IF(A1810="","",IF(COUNTIF(Anggota!$A$2:$A$2001,A1810)=0,"TIDAK ADA","OK"))</f>
        <v/>
      </c>
    </row>
    <row r="1811" customFormat="false" ht="15" hidden="false" customHeight="false" outlineLevel="0" collapsed="false">
      <c r="A1811" s="21"/>
      <c r="B1811" s="22"/>
      <c r="C1811" s="21"/>
      <c r="D1811" s="24"/>
      <c r="E1811" s="22"/>
      <c r="F1811" s="29" t="str">
        <f aca="false">IF(C1811="","",IFERROR(INDEX(Produk!$J$2:$J$100,MATCH(C1811,Produk!$A$2:$A$100,0)),"PRODUK?"))</f>
        <v/>
      </c>
      <c r="G1811" s="29" t="str">
        <f aca="false">IF(A1811="","",IF(COUNTIF(Anggota!$A$2:$A$2001,A1811)=0,"TIDAK ADA","OK"))</f>
        <v/>
      </c>
    </row>
    <row r="1812" customFormat="false" ht="15" hidden="false" customHeight="false" outlineLevel="0" collapsed="false">
      <c r="A1812" s="21"/>
      <c r="B1812" s="22"/>
      <c r="C1812" s="21"/>
      <c r="D1812" s="24"/>
      <c r="E1812" s="22"/>
      <c r="F1812" s="29" t="str">
        <f aca="false">IF(C1812="","",IFERROR(INDEX(Produk!$J$2:$J$100,MATCH(C1812,Produk!$A$2:$A$100,0)),"PRODUK?"))</f>
        <v/>
      </c>
      <c r="G1812" s="29" t="str">
        <f aca="false">IF(A1812="","",IF(COUNTIF(Anggota!$A$2:$A$2001,A1812)=0,"TIDAK ADA","OK"))</f>
        <v/>
      </c>
    </row>
    <row r="1813" customFormat="false" ht="15" hidden="false" customHeight="false" outlineLevel="0" collapsed="false">
      <c r="A1813" s="21"/>
      <c r="B1813" s="22"/>
      <c r="C1813" s="21"/>
      <c r="D1813" s="24"/>
      <c r="E1813" s="22"/>
      <c r="F1813" s="29" t="str">
        <f aca="false">IF(C1813="","",IFERROR(INDEX(Produk!$J$2:$J$100,MATCH(C1813,Produk!$A$2:$A$100,0)),"PRODUK?"))</f>
        <v/>
      </c>
      <c r="G1813" s="29" t="str">
        <f aca="false">IF(A1813="","",IF(COUNTIF(Anggota!$A$2:$A$2001,A1813)=0,"TIDAK ADA","OK"))</f>
        <v/>
      </c>
    </row>
    <row r="1814" customFormat="false" ht="15" hidden="false" customHeight="false" outlineLevel="0" collapsed="false">
      <c r="A1814" s="21"/>
      <c r="B1814" s="22"/>
      <c r="C1814" s="21"/>
      <c r="D1814" s="24"/>
      <c r="E1814" s="22"/>
      <c r="F1814" s="29" t="str">
        <f aca="false">IF(C1814="","",IFERROR(INDEX(Produk!$J$2:$J$100,MATCH(C1814,Produk!$A$2:$A$100,0)),"PRODUK?"))</f>
        <v/>
      </c>
      <c r="G1814" s="29" t="str">
        <f aca="false">IF(A1814="","",IF(COUNTIF(Anggota!$A$2:$A$2001,A1814)=0,"TIDAK ADA","OK"))</f>
        <v/>
      </c>
    </row>
    <row r="1815" customFormat="false" ht="15" hidden="false" customHeight="false" outlineLevel="0" collapsed="false">
      <c r="A1815" s="21"/>
      <c r="B1815" s="22"/>
      <c r="C1815" s="21"/>
      <c r="D1815" s="24"/>
      <c r="E1815" s="22"/>
      <c r="F1815" s="29" t="str">
        <f aca="false">IF(C1815="","",IFERROR(INDEX(Produk!$J$2:$J$100,MATCH(C1815,Produk!$A$2:$A$100,0)),"PRODUK?"))</f>
        <v/>
      </c>
      <c r="G1815" s="29" t="str">
        <f aca="false">IF(A1815="","",IF(COUNTIF(Anggota!$A$2:$A$2001,A1815)=0,"TIDAK ADA","OK"))</f>
        <v/>
      </c>
    </row>
    <row r="1816" customFormat="false" ht="15" hidden="false" customHeight="false" outlineLevel="0" collapsed="false">
      <c r="A1816" s="21"/>
      <c r="B1816" s="22"/>
      <c r="C1816" s="21"/>
      <c r="D1816" s="24"/>
      <c r="E1816" s="22"/>
      <c r="F1816" s="29" t="str">
        <f aca="false">IF(C1816="","",IFERROR(INDEX(Produk!$J$2:$J$100,MATCH(C1816,Produk!$A$2:$A$100,0)),"PRODUK?"))</f>
        <v/>
      </c>
      <c r="G1816" s="29" t="str">
        <f aca="false">IF(A1816="","",IF(COUNTIF(Anggota!$A$2:$A$2001,A1816)=0,"TIDAK ADA","OK"))</f>
        <v/>
      </c>
    </row>
    <row r="1817" customFormat="false" ht="15" hidden="false" customHeight="false" outlineLevel="0" collapsed="false">
      <c r="A1817" s="21"/>
      <c r="B1817" s="22"/>
      <c r="C1817" s="21"/>
      <c r="D1817" s="24"/>
      <c r="E1817" s="22"/>
      <c r="F1817" s="29" t="str">
        <f aca="false">IF(C1817="","",IFERROR(INDEX(Produk!$J$2:$J$100,MATCH(C1817,Produk!$A$2:$A$100,0)),"PRODUK?"))</f>
        <v/>
      </c>
      <c r="G1817" s="29" t="str">
        <f aca="false">IF(A1817="","",IF(COUNTIF(Anggota!$A$2:$A$2001,A1817)=0,"TIDAK ADA","OK"))</f>
        <v/>
      </c>
    </row>
    <row r="1818" customFormat="false" ht="15" hidden="false" customHeight="false" outlineLevel="0" collapsed="false">
      <c r="A1818" s="21"/>
      <c r="B1818" s="22"/>
      <c r="C1818" s="21"/>
      <c r="D1818" s="24"/>
      <c r="E1818" s="22"/>
      <c r="F1818" s="29" t="str">
        <f aca="false">IF(C1818="","",IFERROR(INDEX(Produk!$J$2:$J$100,MATCH(C1818,Produk!$A$2:$A$100,0)),"PRODUK?"))</f>
        <v/>
      </c>
      <c r="G1818" s="29" t="str">
        <f aca="false">IF(A1818="","",IF(COUNTIF(Anggota!$A$2:$A$2001,A1818)=0,"TIDAK ADA","OK"))</f>
        <v/>
      </c>
    </row>
    <row r="1819" customFormat="false" ht="15" hidden="false" customHeight="false" outlineLevel="0" collapsed="false">
      <c r="A1819" s="21"/>
      <c r="B1819" s="22"/>
      <c r="C1819" s="21"/>
      <c r="D1819" s="24"/>
      <c r="E1819" s="22"/>
      <c r="F1819" s="29" t="str">
        <f aca="false">IF(C1819="","",IFERROR(INDEX(Produk!$J$2:$J$100,MATCH(C1819,Produk!$A$2:$A$100,0)),"PRODUK?"))</f>
        <v/>
      </c>
      <c r="G1819" s="29" t="str">
        <f aca="false">IF(A1819="","",IF(COUNTIF(Anggota!$A$2:$A$2001,A1819)=0,"TIDAK ADA","OK"))</f>
        <v/>
      </c>
    </row>
    <row r="1820" customFormat="false" ht="15" hidden="false" customHeight="false" outlineLevel="0" collapsed="false">
      <c r="A1820" s="21"/>
      <c r="B1820" s="22"/>
      <c r="C1820" s="21"/>
      <c r="D1820" s="24"/>
      <c r="E1820" s="22"/>
      <c r="F1820" s="29" t="str">
        <f aca="false">IF(C1820="","",IFERROR(INDEX(Produk!$J$2:$J$100,MATCH(C1820,Produk!$A$2:$A$100,0)),"PRODUK?"))</f>
        <v/>
      </c>
      <c r="G1820" s="29" t="str">
        <f aca="false">IF(A1820="","",IF(COUNTIF(Anggota!$A$2:$A$2001,A1820)=0,"TIDAK ADA","OK"))</f>
        <v/>
      </c>
    </row>
    <row r="1821" customFormat="false" ht="15" hidden="false" customHeight="false" outlineLevel="0" collapsed="false">
      <c r="A1821" s="21"/>
      <c r="B1821" s="22"/>
      <c r="C1821" s="21"/>
      <c r="D1821" s="24"/>
      <c r="E1821" s="22"/>
      <c r="F1821" s="29" t="str">
        <f aca="false">IF(C1821="","",IFERROR(INDEX(Produk!$J$2:$J$100,MATCH(C1821,Produk!$A$2:$A$100,0)),"PRODUK?"))</f>
        <v/>
      </c>
      <c r="G1821" s="29" t="str">
        <f aca="false">IF(A1821="","",IF(COUNTIF(Anggota!$A$2:$A$2001,A1821)=0,"TIDAK ADA","OK"))</f>
        <v/>
      </c>
    </row>
    <row r="1822" customFormat="false" ht="15" hidden="false" customHeight="false" outlineLevel="0" collapsed="false">
      <c r="A1822" s="21"/>
      <c r="B1822" s="22"/>
      <c r="C1822" s="21"/>
      <c r="D1822" s="24"/>
      <c r="E1822" s="22"/>
      <c r="F1822" s="29" t="str">
        <f aca="false">IF(C1822="","",IFERROR(INDEX(Produk!$J$2:$J$100,MATCH(C1822,Produk!$A$2:$A$100,0)),"PRODUK?"))</f>
        <v/>
      </c>
      <c r="G1822" s="29" t="str">
        <f aca="false">IF(A1822="","",IF(COUNTIF(Anggota!$A$2:$A$2001,A1822)=0,"TIDAK ADA","OK"))</f>
        <v/>
      </c>
    </row>
    <row r="1823" customFormat="false" ht="15" hidden="false" customHeight="false" outlineLevel="0" collapsed="false">
      <c r="A1823" s="21"/>
      <c r="B1823" s="22"/>
      <c r="C1823" s="21"/>
      <c r="D1823" s="24"/>
      <c r="E1823" s="22"/>
      <c r="F1823" s="29" t="str">
        <f aca="false">IF(C1823="","",IFERROR(INDEX(Produk!$J$2:$J$100,MATCH(C1823,Produk!$A$2:$A$100,0)),"PRODUK?"))</f>
        <v/>
      </c>
      <c r="G1823" s="29" t="str">
        <f aca="false">IF(A1823="","",IF(COUNTIF(Anggota!$A$2:$A$2001,A1823)=0,"TIDAK ADA","OK"))</f>
        <v/>
      </c>
    </row>
    <row r="1824" customFormat="false" ht="15" hidden="false" customHeight="false" outlineLevel="0" collapsed="false">
      <c r="A1824" s="21"/>
      <c r="B1824" s="22"/>
      <c r="C1824" s="21"/>
      <c r="D1824" s="24"/>
      <c r="E1824" s="22"/>
      <c r="F1824" s="29" t="str">
        <f aca="false">IF(C1824="","",IFERROR(INDEX(Produk!$J$2:$J$100,MATCH(C1824,Produk!$A$2:$A$100,0)),"PRODUK?"))</f>
        <v/>
      </c>
      <c r="G1824" s="29" t="str">
        <f aca="false">IF(A1824="","",IF(COUNTIF(Anggota!$A$2:$A$2001,A1824)=0,"TIDAK ADA","OK"))</f>
        <v/>
      </c>
    </row>
    <row r="1825" customFormat="false" ht="15" hidden="false" customHeight="false" outlineLevel="0" collapsed="false">
      <c r="A1825" s="21"/>
      <c r="B1825" s="22"/>
      <c r="C1825" s="21"/>
      <c r="D1825" s="24"/>
      <c r="E1825" s="22"/>
      <c r="F1825" s="29" t="str">
        <f aca="false">IF(C1825="","",IFERROR(INDEX(Produk!$J$2:$J$100,MATCH(C1825,Produk!$A$2:$A$100,0)),"PRODUK?"))</f>
        <v/>
      </c>
      <c r="G1825" s="29" t="str">
        <f aca="false">IF(A1825="","",IF(COUNTIF(Anggota!$A$2:$A$2001,A1825)=0,"TIDAK ADA","OK"))</f>
        <v/>
      </c>
    </row>
    <row r="1826" customFormat="false" ht="15" hidden="false" customHeight="false" outlineLevel="0" collapsed="false">
      <c r="A1826" s="21"/>
      <c r="B1826" s="22"/>
      <c r="C1826" s="21"/>
      <c r="D1826" s="24"/>
      <c r="E1826" s="22"/>
      <c r="F1826" s="29" t="str">
        <f aca="false">IF(C1826="","",IFERROR(INDEX(Produk!$J$2:$J$100,MATCH(C1826,Produk!$A$2:$A$100,0)),"PRODUK?"))</f>
        <v/>
      </c>
      <c r="G1826" s="29" t="str">
        <f aca="false">IF(A1826="","",IF(COUNTIF(Anggota!$A$2:$A$2001,A1826)=0,"TIDAK ADA","OK"))</f>
        <v/>
      </c>
    </row>
    <row r="1827" customFormat="false" ht="15" hidden="false" customHeight="false" outlineLevel="0" collapsed="false">
      <c r="A1827" s="21"/>
      <c r="B1827" s="22"/>
      <c r="C1827" s="21"/>
      <c r="D1827" s="24"/>
      <c r="E1827" s="22"/>
      <c r="F1827" s="29" t="str">
        <f aca="false">IF(C1827="","",IFERROR(INDEX(Produk!$J$2:$J$100,MATCH(C1827,Produk!$A$2:$A$100,0)),"PRODUK?"))</f>
        <v/>
      </c>
      <c r="G1827" s="29" t="str">
        <f aca="false">IF(A1827="","",IF(COUNTIF(Anggota!$A$2:$A$2001,A1827)=0,"TIDAK ADA","OK"))</f>
        <v/>
      </c>
    </row>
    <row r="1828" customFormat="false" ht="15" hidden="false" customHeight="false" outlineLevel="0" collapsed="false">
      <c r="A1828" s="21"/>
      <c r="B1828" s="22"/>
      <c r="C1828" s="21"/>
      <c r="D1828" s="24"/>
      <c r="E1828" s="22"/>
      <c r="F1828" s="29" t="str">
        <f aca="false">IF(C1828="","",IFERROR(INDEX(Produk!$J$2:$J$100,MATCH(C1828,Produk!$A$2:$A$100,0)),"PRODUK?"))</f>
        <v/>
      </c>
      <c r="G1828" s="29" t="str">
        <f aca="false">IF(A1828="","",IF(COUNTIF(Anggota!$A$2:$A$2001,A1828)=0,"TIDAK ADA","OK"))</f>
        <v/>
      </c>
    </row>
    <row r="1829" customFormat="false" ht="15" hidden="false" customHeight="false" outlineLevel="0" collapsed="false">
      <c r="A1829" s="21"/>
      <c r="B1829" s="22"/>
      <c r="C1829" s="21"/>
      <c r="D1829" s="24"/>
      <c r="E1829" s="22"/>
      <c r="F1829" s="29" t="str">
        <f aca="false">IF(C1829="","",IFERROR(INDEX(Produk!$J$2:$J$100,MATCH(C1829,Produk!$A$2:$A$100,0)),"PRODUK?"))</f>
        <v/>
      </c>
      <c r="G1829" s="29" t="str">
        <f aca="false">IF(A1829="","",IF(COUNTIF(Anggota!$A$2:$A$2001,A1829)=0,"TIDAK ADA","OK"))</f>
        <v/>
      </c>
    </row>
    <row r="1830" customFormat="false" ht="15" hidden="false" customHeight="false" outlineLevel="0" collapsed="false">
      <c r="A1830" s="21"/>
      <c r="B1830" s="22"/>
      <c r="C1830" s="21"/>
      <c r="D1830" s="24"/>
      <c r="E1830" s="22"/>
      <c r="F1830" s="29" t="str">
        <f aca="false">IF(C1830="","",IFERROR(INDEX(Produk!$J$2:$J$100,MATCH(C1830,Produk!$A$2:$A$100,0)),"PRODUK?"))</f>
        <v/>
      </c>
      <c r="G1830" s="29" t="str">
        <f aca="false">IF(A1830="","",IF(COUNTIF(Anggota!$A$2:$A$2001,A1830)=0,"TIDAK ADA","OK"))</f>
        <v/>
      </c>
    </row>
    <row r="1831" customFormat="false" ht="15" hidden="false" customHeight="false" outlineLevel="0" collapsed="false">
      <c r="A1831" s="21"/>
      <c r="B1831" s="22"/>
      <c r="C1831" s="21"/>
      <c r="D1831" s="24"/>
      <c r="E1831" s="22"/>
      <c r="F1831" s="29" t="str">
        <f aca="false">IF(C1831="","",IFERROR(INDEX(Produk!$J$2:$J$100,MATCH(C1831,Produk!$A$2:$A$100,0)),"PRODUK?"))</f>
        <v/>
      </c>
      <c r="G1831" s="29" t="str">
        <f aca="false">IF(A1831="","",IF(COUNTIF(Anggota!$A$2:$A$2001,A1831)=0,"TIDAK ADA","OK"))</f>
        <v/>
      </c>
    </row>
    <row r="1832" customFormat="false" ht="15" hidden="false" customHeight="false" outlineLevel="0" collapsed="false">
      <c r="A1832" s="21"/>
      <c r="B1832" s="22"/>
      <c r="C1832" s="21"/>
      <c r="D1832" s="24"/>
      <c r="E1832" s="22"/>
      <c r="F1832" s="29" t="str">
        <f aca="false">IF(C1832="","",IFERROR(INDEX(Produk!$J$2:$J$100,MATCH(C1832,Produk!$A$2:$A$100,0)),"PRODUK?"))</f>
        <v/>
      </c>
      <c r="G1832" s="29" t="str">
        <f aca="false">IF(A1832="","",IF(COUNTIF(Anggota!$A$2:$A$2001,A1832)=0,"TIDAK ADA","OK"))</f>
        <v/>
      </c>
    </row>
    <row r="1833" customFormat="false" ht="15" hidden="false" customHeight="false" outlineLevel="0" collapsed="false">
      <c r="A1833" s="21"/>
      <c r="B1833" s="22"/>
      <c r="C1833" s="21"/>
      <c r="D1833" s="24"/>
      <c r="E1833" s="22"/>
      <c r="F1833" s="29" t="str">
        <f aca="false">IF(C1833="","",IFERROR(INDEX(Produk!$J$2:$J$100,MATCH(C1833,Produk!$A$2:$A$100,0)),"PRODUK?"))</f>
        <v/>
      </c>
      <c r="G1833" s="29" t="str">
        <f aca="false">IF(A1833="","",IF(COUNTIF(Anggota!$A$2:$A$2001,A1833)=0,"TIDAK ADA","OK"))</f>
        <v/>
      </c>
    </row>
    <row r="1834" customFormat="false" ht="15" hidden="false" customHeight="false" outlineLevel="0" collapsed="false">
      <c r="A1834" s="21"/>
      <c r="B1834" s="22"/>
      <c r="C1834" s="21"/>
      <c r="D1834" s="24"/>
      <c r="E1834" s="22"/>
      <c r="F1834" s="29" t="str">
        <f aca="false">IF(C1834="","",IFERROR(INDEX(Produk!$J$2:$J$100,MATCH(C1834,Produk!$A$2:$A$100,0)),"PRODUK?"))</f>
        <v/>
      </c>
      <c r="G1834" s="29" t="str">
        <f aca="false">IF(A1834="","",IF(COUNTIF(Anggota!$A$2:$A$2001,A1834)=0,"TIDAK ADA","OK"))</f>
        <v/>
      </c>
    </row>
    <row r="1835" customFormat="false" ht="15" hidden="false" customHeight="false" outlineLevel="0" collapsed="false">
      <c r="A1835" s="21"/>
      <c r="B1835" s="22"/>
      <c r="C1835" s="21"/>
      <c r="D1835" s="24"/>
      <c r="E1835" s="22"/>
      <c r="F1835" s="29" t="str">
        <f aca="false">IF(C1835="","",IFERROR(INDEX(Produk!$J$2:$J$100,MATCH(C1835,Produk!$A$2:$A$100,0)),"PRODUK?"))</f>
        <v/>
      </c>
      <c r="G1835" s="29" t="str">
        <f aca="false">IF(A1835="","",IF(COUNTIF(Anggota!$A$2:$A$2001,A1835)=0,"TIDAK ADA","OK"))</f>
        <v/>
      </c>
    </row>
    <row r="1836" customFormat="false" ht="15" hidden="false" customHeight="false" outlineLevel="0" collapsed="false">
      <c r="A1836" s="21"/>
      <c r="B1836" s="22"/>
      <c r="C1836" s="21"/>
      <c r="D1836" s="24"/>
      <c r="E1836" s="22"/>
      <c r="F1836" s="29" t="str">
        <f aca="false">IF(C1836="","",IFERROR(INDEX(Produk!$J$2:$J$100,MATCH(C1836,Produk!$A$2:$A$100,0)),"PRODUK?"))</f>
        <v/>
      </c>
      <c r="G1836" s="29" t="str">
        <f aca="false">IF(A1836="","",IF(COUNTIF(Anggota!$A$2:$A$2001,A1836)=0,"TIDAK ADA","OK"))</f>
        <v/>
      </c>
    </row>
    <row r="1837" customFormat="false" ht="15" hidden="false" customHeight="false" outlineLevel="0" collapsed="false">
      <c r="A1837" s="21"/>
      <c r="B1837" s="22"/>
      <c r="C1837" s="21"/>
      <c r="D1837" s="24"/>
      <c r="E1837" s="22"/>
      <c r="F1837" s="29" t="str">
        <f aca="false">IF(C1837="","",IFERROR(INDEX(Produk!$J$2:$J$100,MATCH(C1837,Produk!$A$2:$A$100,0)),"PRODUK?"))</f>
        <v/>
      </c>
      <c r="G1837" s="29" t="str">
        <f aca="false">IF(A1837="","",IF(COUNTIF(Anggota!$A$2:$A$2001,A1837)=0,"TIDAK ADA","OK"))</f>
        <v/>
      </c>
    </row>
    <row r="1838" customFormat="false" ht="15" hidden="false" customHeight="false" outlineLevel="0" collapsed="false">
      <c r="A1838" s="21"/>
      <c r="B1838" s="22"/>
      <c r="C1838" s="21"/>
      <c r="D1838" s="24"/>
      <c r="E1838" s="22"/>
      <c r="F1838" s="29" t="str">
        <f aca="false">IF(C1838="","",IFERROR(INDEX(Produk!$J$2:$J$100,MATCH(C1838,Produk!$A$2:$A$100,0)),"PRODUK?"))</f>
        <v/>
      </c>
      <c r="G1838" s="29" t="str">
        <f aca="false">IF(A1838="","",IF(COUNTIF(Anggota!$A$2:$A$2001,A1838)=0,"TIDAK ADA","OK"))</f>
        <v/>
      </c>
    </row>
    <row r="1839" customFormat="false" ht="15" hidden="false" customHeight="false" outlineLevel="0" collapsed="false">
      <c r="A1839" s="21"/>
      <c r="B1839" s="22"/>
      <c r="C1839" s="21"/>
      <c r="D1839" s="24"/>
      <c r="E1839" s="22"/>
      <c r="F1839" s="29" t="str">
        <f aca="false">IF(C1839="","",IFERROR(INDEX(Produk!$J$2:$J$100,MATCH(C1839,Produk!$A$2:$A$100,0)),"PRODUK?"))</f>
        <v/>
      </c>
      <c r="G1839" s="29" t="str">
        <f aca="false">IF(A1839="","",IF(COUNTIF(Anggota!$A$2:$A$2001,A1839)=0,"TIDAK ADA","OK"))</f>
        <v/>
      </c>
    </row>
    <row r="1840" customFormat="false" ht="15" hidden="false" customHeight="false" outlineLevel="0" collapsed="false">
      <c r="A1840" s="21"/>
      <c r="B1840" s="22"/>
      <c r="C1840" s="21"/>
      <c r="D1840" s="24"/>
      <c r="E1840" s="22"/>
      <c r="F1840" s="29" t="str">
        <f aca="false">IF(C1840="","",IFERROR(INDEX(Produk!$J$2:$J$100,MATCH(C1840,Produk!$A$2:$A$100,0)),"PRODUK?"))</f>
        <v/>
      </c>
      <c r="G1840" s="29" t="str">
        <f aca="false">IF(A1840="","",IF(COUNTIF(Anggota!$A$2:$A$2001,A1840)=0,"TIDAK ADA","OK"))</f>
        <v/>
      </c>
    </row>
    <row r="1841" customFormat="false" ht="15" hidden="false" customHeight="false" outlineLevel="0" collapsed="false">
      <c r="A1841" s="21"/>
      <c r="B1841" s="22"/>
      <c r="C1841" s="21"/>
      <c r="D1841" s="24"/>
      <c r="E1841" s="22"/>
      <c r="F1841" s="29" t="str">
        <f aca="false">IF(C1841="","",IFERROR(INDEX(Produk!$J$2:$J$100,MATCH(C1841,Produk!$A$2:$A$100,0)),"PRODUK?"))</f>
        <v/>
      </c>
      <c r="G1841" s="29" t="str">
        <f aca="false">IF(A1841="","",IF(COUNTIF(Anggota!$A$2:$A$2001,A1841)=0,"TIDAK ADA","OK"))</f>
        <v/>
      </c>
    </row>
    <row r="1842" customFormat="false" ht="15" hidden="false" customHeight="false" outlineLevel="0" collapsed="false">
      <c r="A1842" s="21"/>
      <c r="B1842" s="22"/>
      <c r="C1842" s="21"/>
      <c r="D1842" s="24"/>
      <c r="E1842" s="22"/>
      <c r="F1842" s="29" t="str">
        <f aca="false">IF(C1842="","",IFERROR(INDEX(Produk!$J$2:$J$100,MATCH(C1842,Produk!$A$2:$A$100,0)),"PRODUK?"))</f>
        <v/>
      </c>
      <c r="G1842" s="29" t="str">
        <f aca="false">IF(A1842="","",IF(COUNTIF(Anggota!$A$2:$A$2001,A1842)=0,"TIDAK ADA","OK"))</f>
        <v/>
      </c>
    </row>
    <row r="1843" customFormat="false" ht="15" hidden="false" customHeight="false" outlineLevel="0" collapsed="false">
      <c r="A1843" s="21"/>
      <c r="B1843" s="22"/>
      <c r="C1843" s="21"/>
      <c r="D1843" s="24"/>
      <c r="E1843" s="22"/>
      <c r="F1843" s="29" t="str">
        <f aca="false">IF(C1843="","",IFERROR(INDEX(Produk!$J$2:$J$100,MATCH(C1843,Produk!$A$2:$A$100,0)),"PRODUK?"))</f>
        <v/>
      </c>
      <c r="G1843" s="29" t="str">
        <f aca="false">IF(A1843="","",IF(COUNTIF(Anggota!$A$2:$A$2001,A1843)=0,"TIDAK ADA","OK"))</f>
        <v/>
      </c>
    </row>
    <row r="1844" customFormat="false" ht="15" hidden="false" customHeight="false" outlineLevel="0" collapsed="false">
      <c r="A1844" s="21"/>
      <c r="B1844" s="22"/>
      <c r="C1844" s="21"/>
      <c r="D1844" s="24"/>
      <c r="E1844" s="22"/>
      <c r="F1844" s="29" t="str">
        <f aca="false">IF(C1844="","",IFERROR(INDEX(Produk!$J$2:$J$100,MATCH(C1844,Produk!$A$2:$A$100,0)),"PRODUK?"))</f>
        <v/>
      </c>
      <c r="G1844" s="29" t="str">
        <f aca="false">IF(A1844="","",IF(COUNTIF(Anggota!$A$2:$A$2001,A1844)=0,"TIDAK ADA","OK"))</f>
        <v/>
      </c>
    </row>
    <row r="1845" customFormat="false" ht="15" hidden="false" customHeight="false" outlineLevel="0" collapsed="false">
      <c r="A1845" s="21"/>
      <c r="B1845" s="22"/>
      <c r="C1845" s="21"/>
      <c r="D1845" s="24"/>
      <c r="E1845" s="22"/>
      <c r="F1845" s="29" t="str">
        <f aca="false">IF(C1845="","",IFERROR(INDEX(Produk!$J$2:$J$100,MATCH(C1845,Produk!$A$2:$A$100,0)),"PRODUK?"))</f>
        <v/>
      </c>
      <c r="G1845" s="29" t="str">
        <f aca="false">IF(A1845="","",IF(COUNTIF(Anggota!$A$2:$A$2001,A1845)=0,"TIDAK ADA","OK"))</f>
        <v/>
      </c>
    </row>
    <row r="1846" customFormat="false" ht="15" hidden="false" customHeight="false" outlineLevel="0" collapsed="false">
      <c r="A1846" s="21"/>
      <c r="B1846" s="22"/>
      <c r="C1846" s="21"/>
      <c r="D1846" s="24"/>
      <c r="E1846" s="22"/>
      <c r="F1846" s="29" t="str">
        <f aca="false">IF(C1846="","",IFERROR(INDEX(Produk!$J$2:$J$100,MATCH(C1846,Produk!$A$2:$A$100,0)),"PRODUK?"))</f>
        <v/>
      </c>
      <c r="G1846" s="29" t="str">
        <f aca="false">IF(A1846="","",IF(COUNTIF(Anggota!$A$2:$A$2001,A1846)=0,"TIDAK ADA","OK"))</f>
        <v/>
      </c>
    </row>
    <row r="1847" customFormat="false" ht="15" hidden="false" customHeight="false" outlineLevel="0" collapsed="false">
      <c r="A1847" s="21"/>
      <c r="B1847" s="22"/>
      <c r="C1847" s="21"/>
      <c r="D1847" s="24"/>
      <c r="E1847" s="22"/>
      <c r="F1847" s="29" t="str">
        <f aca="false">IF(C1847="","",IFERROR(INDEX(Produk!$J$2:$J$100,MATCH(C1847,Produk!$A$2:$A$100,0)),"PRODUK?"))</f>
        <v/>
      </c>
      <c r="G1847" s="29" t="str">
        <f aca="false">IF(A1847="","",IF(COUNTIF(Anggota!$A$2:$A$2001,A1847)=0,"TIDAK ADA","OK"))</f>
        <v/>
      </c>
    </row>
    <row r="1848" customFormat="false" ht="15" hidden="false" customHeight="false" outlineLevel="0" collapsed="false">
      <c r="A1848" s="21"/>
      <c r="B1848" s="22"/>
      <c r="C1848" s="21"/>
      <c r="D1848" s="24"/>
      <c r="E1848" s="22"/>
      <c r="F1848" s="29" t="str">
        <f aca="false">IF(C1848="","",IFERROR(INDEX(Produk!$J$2:$J$100,MATCH(C1848,Produk!$A$2:$A$100,0)),"PRODUK?"))</f>
        <v/>
      </c>
      <c r="G1848" s="29" t="str">
        <f aca="false">IF(A1848="","",IF(COUNTIF(Anggota!$A$2:$A$2001,A1848)=0,"TIDAK ADA","OK"))</f>
        <v/>
      </c>
    </row>
    <row r="1849" customFormat="false" ht="15" hidden="false" customHeight="false" outlineLevel="0" collapsed="false">
      <c r="A1849" s="21"/>
      <c r="B1849" s="22"/>
      <c r="C1849" s="21"/>
      <c r="D1849" s="24"/>
      <c r="E1849" s="22"/>
      <c r="F1849" s="29" t="str">
        <f aca="false">IF(C1849="","",IFERROR(INDEX(Produk!$J$2:$J$100,MATCH(C1849,Produk!$A$2:$A$100,0)),"PRODUK?"))</f>
        <v/>
      </c>
      <c r="G1849" s="29" t="str">
        <f aca="false">IF(A1849="","",IF(COUNTIF(Anggota!$A$2:$A$2001,A1849)=0,"TIDAK ADA","OK"))</f>
        <v/>
      </c>
    </row>
    <row r="1850" customFormat="false" ht="15" hidden="false" customHeight="false" outlineLevel="0" collapsed="false">
      <c r="A1850" s="21"/>
      <c r="B1850" s="22"/>
      <c r="C1850" s="21"/>
      <c r="D1850" s="24"/>
      <c r="E1850" s="22"/>
      <c r="F1850" s="29" t="str">
        <f aca="false">IF(C1850="","",IFERROR(INDEX(Produk!$J$2:$J$100,MATCH(C1850,Produk!$A$2:$A$100,0)),"PRODUK?"))</f>
        <v/>
      </c>
      <c r="G1850" s="29" t="str">
        <f aca="false">IF(A1850="","",IF(COUNTIF(Anggota!$A$2:$A$2001,A1850)=0,"TIDAK ADA","OK"))</f>
        <v/>
      </c>
    </row>
    <row r="1851" customFormat="false" ht="15" hidden="false" customHeight="false" outlineLevel="0" collapsed="false">
      <c r="A1851" s="21"/>
      <c r="B1851" s="22"/>
      <c r="C1851" s="21"/>
      <c r="D1851" s="24"/>
      <c r="E1851" s="22"/>
      <c r="F1851" s="29" t="str">
        <f aca="false">IF(C1851="","",IFERROR(INDEX(Produk!$J$2:$J$100,MATCH(C1851,Produk!$A$2:$A$100,0)),"PRODUK?"))</f>
        <v/>
      </c>
      <c r="G1851" s="29" t="str">
        <f aca="false">IF(A1851="","",IF(COUNTIF(Anggota!$A$2:$A$2001,A1851)=0,"TIDAK ADA","OK"))</f>
        <v/>
      </c>
    </row>
    <row r="1852" customFormat="false" ht="15" hidden="false" customHeight="false" outlineLevel="0" collapsed="false">
      <c r="A1852" s="21"/>
      <c r="B1852" s="22"/>
      <c r="C1852" s="21"/>
      <c r="D1852" s="24"/>
      <c r="E1852" s="22"/>
      <c r="F1852" s="29" t="str">
        <f aca="false">IF(C1852="","",IFERROR(INDEX(Produk!$J$2:$J$100,MATCH(C1852,Produk!$A$2:$A$100,0)),"PRODUK?"))</f>
        <v/>
      </c>
      <c r="G1852" s="29" t="str">
        <f aca="false">IF(A1852="","",IF(COUNTIF(Anggota!$A$2:$A$2001,A1852)=0,"TIDAK ADA","OK"))</f>
        <v/>
      </c>
    </row>
    <row r="1853" customFormat="false" ht="15" hidden="false" customHeight="false" outlineLevel="0" collapsed="false">
      <c r="A1853" s="21"/>
      <c r="B1853" s="22"/>
      <c r="C1853" s="21"/>
      <c r="D1853" s="24"/>
      <c r="E1853" s="22"/>
      <c r="F1853" s="29" t="str">
        <f aca="false">IF(C1853="","",IFERROR(INDEX(Produk!$J$2:$J$100,MATCH(C1853,Produk!$A$2:$A$100,0)),"PRODUK?"))</f>
        <v/>
      </c>
      <c r="G1853" s="29" t="str">
        <f aca="false">IF(A1853="","",IF(COUNTIF(Anggota!$A$2:$A$2001,A1853)=0,"TIDAK ADA","OK"))</f>
        <v/>
      </c>
    </row>
    <row r="1854" customFormat="false" ht="15" hidden="false" customHeight="false" outlineLevel="0" collapsed="false">
      <c r="A1854" s="21"/>
      <c r="B1854" s="22"/>
      <c r="C1854" s="21"/>
      <c r="D1854" s="24"/>
      <c r="E1854" s="22"/>
      <c r="F1854" s="29" t="str">
        <f aca="false">IF(C1854="","",IFERROR(INDEX(Produk!$J$2:$J$100,MATCH(C1854,Produk!$A$2:$A$100,0)),"PRODUK?"))</f>
        <v/>
      </c>
      <c r="G1854" s="29" t="str">
        <f aca="false">IF(A1854="","",IF(COUNTIF(Anggota!$A$2:$A$2001,A1854)=0,"TIDAK ADA","OK"))</f>
        <v/>
      </c>
    </row>
    <row r="1855" customFormat="false" ht="15" hidden="false" customHeight="false" outlineLevel="0" collapsed="false">
      <c r="A1855" s="21"/>
      <c r="B1855" s="22"/>
      <c r="C1855" s="21"/>
      <c r="D1855" s="24"/>
      <c r="E1855" s="22"/>
      <c r="F1855" s="29" t="str">
        <f aca="false">IF(C1855="","",IFERROR(INDEX(Produk!$J$2:$J$100,MATCH(C1855,Produk!$A$2:$A$100,0)),"PRODUK?"))</f>
        <v/>
      </c>
      <c r="G1855" s="29" t="str">
        <f aca="false">IF(A1855="","",IF(COUNTIF(Anggota!$A$2:$A$2001,A1855)=0,"TIDAK ADA","OK"))</f>
        <v/>
      </c>
    </row>
    <row r="1856" customFormat="false" ht="15" hidden="false" customHeight="false" outlineLevel="0" collapsed="false">
      <c r="A1856" s="21"/>
      <c r="B1856" s="22"/>
      <c r="C1856" s="21"/>
      <c r="D1856" s="24"/>
      <c r="E1856" s="22"/>
      <c r="F1856" s="29" t="str">
        <f aca="false">IF(C1856="","",IFERROR(INDEX(Produk!$J$2:$J$100,MATCH(C1856,Produk!$A$2:$A$100,0)),"PRODUK?"))</f>
        <v/>
      </c>
      <c r="G1856" s="29" t="str">
        <f aca="false">IF(A1856="","",IF(COUNTIF(Anggota!$A$2:$A$2001,A1856)=0,"TIDAK ADA","OK"))</f>
        <v/>
      </c>
    </row>
    <row r="1857" customFormat="false" ht="15" hidden="false" customHeight="false" outlineLevel="0" collapsed="false">
      <c r="A1857" s="21"/>
      <c r="B1857" s="22"/>
      <c r="C1857" s="21"/>
      <c r="D1857" s="24"/>
      <c r="E1857" s="22"/>
      <c r="F1857" s="29" t="str">
        <f aca="false">IF(C1857="","",IFERROR(INDEX(Produk!$J$2:$J$100,MATCH(C1857,Produk!$A$2:$A$100,0)),"PRODUK?"))</f>
        <v/>
      </c>
      <c r="G1857" s="29" t="str">
        <f aca="false">IF(A1857="","",IF(COUNTIF(Anggota!$A$2:$A$2001,A1857)=0,"TIDAK ADA","OK"))</f>
        <v/>
      </c>
    </row>
    <row r="1858" customFormat="false" ht="15" hidden="false" customHeight="false" outlineLevel="0" collapsed="false">
      <c r="A1858" s="21"/>
      <c r="B1858" s="22"/>
      <c r="C1858" s="21"/>
      <c r="D1858" s="24"/>
      <c r="E1858" s="22"/>
      <c r="F1858" s="29" t="str">
        <f aca="false">IF(C1858="","",IFERROR(INDEX(Produk!$J$2:$J$100,MATCH(C1858,Produk!$A$2:$A$100,0)),"PRODUK?"))</f>
        <v/>
      </c>
      <c r="G1858" s="29" t="str">
        <f aca="false">IF(A1858="","",IF(COUNTIF(Anggota!$A$2:$A$2001,A1858)=0,"TIDAK ADA","OK"))</f>
        <v/>
      </c>
    </row>
    <row r="1859" customFormat="false" ht="15" hidden="false" customHeight="false" outlineLevel="0" collapsed="false">
      <c r="A1859" s="21"/>
      <c r="B1859" s="22"/>
      <c r="C1859" s="21"/>
      <c r="D1859" s="24"/>
      <c r="E1859" s="22"/>
      <c r="F1859" s="29" t="str">
        <f aca="false">IF(C1859="","",IFERROR(INDEX(Produk!$J$2:$J$100,MATCH(C1859,Produk!$A$2:$A$100,0)),"PRODUK?"))</f>
        <v/>
      </c>
      <c r="G1859" s="29" t="str">
        <f aca="false">IF(A1859="","",IF(COUNTIF(Anggota!$A$2:$A$2001,A1859)=0,"TIDAK ADA","OK"))</f>
        <v/>
      </c>
    </row>
    <row r="1860" customFormat="false" ht="15" hidden="false" customHeight="false" outlineLevel="0" collapsed="false">
      <c r="A1860" s="21"/>
      <c r="B1860" s="22"/>
      <c r="C1860" s="21"/>
      <c r="D1860" s="24"/>
      <c r="E1860" s="22"/>
      <c r="F1860" s="29" t="str">
        <f aca="false">IF(C1860="","",IFERROR(INDEX(Produk!$J$2:$J$100,MATCH(C1860,Produk!$A$2:$A$100,0)),"PRODUK?"))</f>
        <v/>
      </c>
      <c r="G1860" s="29" t="str">
        <f aca="false">IF(A1860="","",IF(COUNTIF(Anggota!$A$2:$A$2001,A1860)=0,"TIDAK ADA","OK"))</f>
        <v/>
      </c>
    </row>
    <row r="1861" customFormat="false" ht="15" hidden="false" customHeight="false" outlineLevel="0" collapsed="false">
      <c r="A1861" s="21"/>
      <c r="B1861" s="22"/>
      <c r="C1861" s="21"/>
      <c r="D1861" s="24"/>
      <c r="E1861" s="22"/>
      <c r="F1861" s="29" t="str">
        <f aca="false">IF(C1861="","",IFERROR(INDEX(Produk!$J$2:$J$100,MATCH(C1861,Produk!$A$2:$A$100,0)),"PRODUK?"))</f>
        <v/>
      </c>
      <c r="G1861" s="29" t="str">
        <f aca="false">IF(A1861="","",IF(COUNTIF(Anggota!$A$2:$A$2001,A1861)=0,"TIDAK ADA","OK"))</f>
        <v/>
      </c>
    </row>
    <row r="1862" customFormat="false" ht="15" hidden="false" customHeight="false" outlineLevel="0" collapsed="false">
      <c r="A1862" s="21"/>
      <c r="B1862" s="22"/>
      <c r="C1862" s="21"/>
      <c r="D1862" s="24"/>
      <c r="E1862" s="22"/>
      <c r="F1862" s="29" t="str">
        <f aca="false">IF(C1862="","",IFERROR(INDEX(Produk!$J$2:$J$100,MATCH(C1862,Produk!$A$2:$A$100,0)),"PRODUK?"))</f>
        <v/>
      </c>
      <c r="G1862" s="29" t="str">
        <f aca="false">IF(A1862="","",IF(COUNTIF(Anggota!$A$2:$A$2001,A1862)=0,"TIDAK ADA","OK"))</f>
        <v/>
      </c>
    </row>
    <row r="1863" customFormat="false" ht="15" hidden="false" customHeight="false" outlineLevel="0" collapsed="false">
      <c r="A1863" s="21"/>
      <c r="B1863" s="22"/>
      <c r="C1863" s="21"/>
      <c r="D1863" s="24"/>
      <c r="E1863" s="22"/>
      <c r="F1863" s="29" t="str">
        <f aca="false">IF(C1863="","",IFERROR(INDEX(Produk!$J$2:$J$100,MATCH(C1863,Produk!$A$2:$A$100,0)),"PRODUK?"))</f>
        <v/>
      </c>
      <c r="G1863" s="29" t="str">
        <f aca="false">IF(A1863="","",IF(COUNTIF(Anggota!$A$2:$A$2001,A1863)=0,"TIDAK ADA","OK"))</f>
        <v/>
      </c>
    </row>
    <row r="1864" customFormat="false" ht="15" hidden="false" customHeight="false" outlineLevel="0" collapsed="false">
      <c r="A1864" s="21"/>
      <c r="B1864" s="22"/>
      <c r="C1864" s="21"/>
      <c r="D1864" s="24"/>
      <c r="E1864" s="22"/>
      <c r="F1864" s="29" t="str">
        <f aca="false">IF(C1864="","",IFERROR(INDEX(Produk!$J$2:$J$100,MATCH(C1864,Produk!$A$2:$A$100,0)),"PRODUK?"))</f>
        <v/>
      </c>
      <c r="G1864" s="29" t="str">
        <f aca="false">IF(A1864="","",IF(COUNTIF(Anggota!$A$2:$A$2001,A1864)=0,"TIDAK ADA","OK"))</f>
        <v/>
      </c>
    </row>
    <row r="1865" customFormat="false" ht="15" hidden="false" customHeight="false" outlineLevel="0" collapsed="false">
      <c r="A1865" s="21"/>
      <c r="B1865" s="22"/>
      <c r="C1865" s="21"/>
      <c r="D1865" s="24"/>
      <c r="E1865" s="22"/>
      <c r="F1865" s="29" t="str">
        <f aca="false">IF(C1865="","",IFERROR(INDEX(Produk!$J$2:$J$100,MATCH(C1865,Produk!$A$2:$A$100,0)),"PRODUK?"))</f>
        <v/>
      </c>
      <c r="G1865" s="29" t="str">
        <f aca="false">IF(A1865="","",IF(COUNTIF(Anggota!$A$2:$A$2001,A1865)=0,"TIDAK ADA","OK"))</f>
        <v/>
      </c>
    </row>
    <row r="1866" customFormat="false" ht="15" hidden="false" customHeight="false" outlineLevel="0" collapsed="false">
      <c r="A1866" s="21"/>
      <c r="B1866" s="22"/>
      <c r="C1866" s="21"/>
      <c r="D1866" s="24"/>
      <c r="E1866" s="22"/>
      <c r="F1866" s="29" t="str">
        <f aca="false">IF(C1866="","",IFERROR(INDEX(Produk!$J$2:$J$100,MATCH(C1866,Produk!$A$2:$A$100,0)),"PRODUK?"))</f>
        <v/>
      </c>
      <c r="G1866" s="29" t="str">
        <f aca="false">IF(A1866="","",IF(COUNTIF(Anggota!$A$2:$A$2001,A1866)=0,"TIDAK ADA","OK"))</f>
        <v/>
      </c>
    </row>
    <row r="1867" customFormat="false" ht="15" hidden="false" customHeight="false" outlineLevel="0" collapsed="false">
      <c r="A1867" s="21"/>
      <c r="B1867" s="22"/>
      <c r="C1867" s="21"/>
      <c r="D1867" s="24"/>
      <c r="E1867" s="22"/>
      <c r="F1867" s="29" t="str">
        <f aca="false">IF(C1867="","",IFERROR(INDEX(Produk!$J$2:$J$100,MATCH(C1867,Produk!$A$2:$A$100,0)),"PRODUK?"))</f>
        <v/>
      </c>
      <c r="G1867" s="29" t="str">
        <f aca="false">IF(A1867="","",IF(COUNTIF(Anggota!$A$2:$A$2001,A1867)=0,"TIDAK ADA","OK"))</f>
        <v/>
      </c>
    </row>
    <row r="1868" customFormat="false" ht="15" hidden="false" customHeight="false" outlineLevel="0" collapsed="false">
      <c r="A1868" s="21"/>
      <c r="B1868" s="22"/>
      <c r="C1868" s="21"/>
      <c r="D1868" s="24"/>
      <c r="E1868" s="22"/>
      <c r="F1868" s="29" t="str">
        <f aca="false">IF(C1868="","",IFERROR(INDEX(Produk!$J$2:$J$100,MATCH(C1868,Produk!$A$2:$A$100,0)),"PRODUK?"))</f>
        <v/>
      </c>
      <c r="G1868" s="29" t="str">
        <f aca="false">IF(A1868="","",IF(COUNTIF(Anggota!$A$2:$A$2001,A1868)=0,"TIDAK ADA","OK"))</f>
        <v/>
      </c>
    </row>
    <row r="1869" customFormat="false" ht="15" hidden="false" customHeight="false" outlineLevel="0" collapsed="false">
      <c r="A1869" s="21"/>
      <c r="B1869" s="22"/>
      <c r="C1869" s="21"/>
      <c r="D1869" s="24"/>
      <c r="E1869" s="22"/>
      <c r="F1869" s="29" t="str">
        <f aca="false">IF(C1869="","",IFERROR(INDEX(Produk!$J$2:$J$100,MATCH(C1869,Produk!$A$2:$A$100,0)),"PRODUK?"))</f>
        <v/>
      </c>
      <c r="G1869" s="29" t="str">
        <f aca="false">IF(A1869="","",IF(COUNTIF(Anggota!$A$2:$A$2001,A1869)=0,"TIDAK ADA","OK"))</f>
        <v/>
      </c>
    </row>
    <row r="1870" customFormat="false" ht="15" hidden="false" customHeight="false" outlineLevel="0" collapsed="false">
      <c r="A1870" s="21"/>
      <c r="B1870" s="22"/>
      <c r="C1870" s="21"/>
      <c r="D1870" s="24"/>
      <c r="E1870" s="22"/>
      <c r="F1870" s="29" t="str">
        <f aca="false">IF(C1870="","",IFERROR(INDEX(Produk!$J$2:$J$100,MATCH(C1870,Produk!$A$2:$A$100,0)),"PRODUK?"))</f>
        <v/>
      </c>
      <c r="G1870" s="29" t="str">
        <f aca="false">IF(A1870="","",IF(COUNTIF(Anggota!$A$2:$A$2001,A1870)=0,"TIDAK ADA","OK"))</f>
        <v/>
      </c>
    </row>
    <row r="1871" customFormat="false" ht="15" hidden="false" customHeight="false" outlineLevel="0" collapsed="false">
      <c r="A1871" s="21"/>
      <c r="B1871" s="22"/>
      <c r="C1871" s="21"/>
      <c r="D1871" s="24"/>
      <c r="E1871" s="22"/>
      <c r="F1871" s="29" t="str">
        <f aca="false">IF(C1871="","",IFERROR(INDEX(Produk!$J$2:$J$100,MATCH(C1871,Produk!$A$2:$A$100,0)),"PRODUK?"))</f>
        <v/>
      </c>
      <c r="G1871" s="29" t="str">
        <f aca="false">IF(A1871="","",IF(COUNTIF(Anggota!$A$2:$A$2001,A1871)=0,"TIDAK ADA","OK"))</f>
        <v/>
      </c>
    </row>
    <row r="1872" customFormat="false" ht="15" hidden="false" customHeight="false" outlineLevel="0" collapsed="false">
      <c r="A1872" s="21"/>
      <c r="B1872" s="22"/>
      <c r="C1872" s="21"/>
      <c r="D1872" s="24"/>
      <c r="E1872" s="22"/>
      <c r="F1872" s="29" t="str">
        <f aca="false">IF(C1872="","",IFERROR(INDEX(Produk!$J$2:$J$100,MATCH(C1872,Produk!$A$2:$A$100,0)),"PRODUK?"))</f>
        <v/>
      </c>
      <c r="G1872" s="29" t="str">
        <f aca="false">IF(A1872="","",IF(COUNTIF(Anggota!$A$2:$A$2001,A1872)=0,"TIDAK ADA","OK"))</f>
        <v/>
      </c>
    </row>
    <row r="1873" customFormat="false" ht="15" hidden="false" customHeight="false" outlineLevel="0" collapsed="false">
      <c r="A1873" s="21"/>
      <c r="B1873" s="22"/>
      <c r="C1873" s="21"/>
      <c r="D1873" s="24"/>
      <c r="E1873" s="22"/>
      <c r="F1873" s="29" t="str">
        <f aca="false">IF(C1873="","",IFERROR(INDEX(Produk!$J$2:$J$100,MATCH(C1873,Produk!$A$2:$A$100,0)),"PRODUK?"))</f>
        <v/>
      </c>
      <c r="G1873" s="29" t="str">
        <f aca="false">IF(A1873="","",IF(COUNTIF(Anggota!$A$2:$A$2001,A1873)=0,"TIDAK ADA","OK"))</f>
        <v/>
      </c>
    </row>
    <row r="1874" customFormat="false" ht="15" hidden="false" customHeight="false" outlineLevel="0" collapsed="false">
      <c r="A1874" s="21"/>
      <c r="B1874" s="22"/>
      <c r="C1874" s="21"/>
      <c r="D1874" s="24"/>
      <c r="E1874" s="22"/>
      <c r="F1874" s="29" t="str">
        <f aca="false">IF(C1874="","",IFERROR(INDEX(Produk!$J$2:$J$100,MATCH(C1874,Produk!$A$2:$A$100,0)),"PRODUK?"))</f>
        <v/>
      </c>
      <c r="G1874" s="29" t="str">
        <f aca="false">IF(A1874="","",IF(COUNTIF(Anggota!$A$2:$A$2001,A1874)=0,"TIDAK ADA","OK"))</f>
        <v/>
      </c>
    </row>
    <row r="1875" customFormat="false" ht="15" hidden="false" customHeight="false" outlineLevel="0" collapsed="false">
      <c r="A1875" s="21"/>
      <c r="B1875" s="22"/>
      <c r="C1875" s="21"/>
      <c r="D1875" s="24"/>
      <c r="E1875" s="22"/>
      <c r="F1875" s="29" t="str">
        <f aca="false">IF(C1875="","",IFERROR(INDEX(Produk!$J$2:$J$100,MATCH(C1875,Produk!$A$2:$A$100,0)),"PRODUK?"))</f>
        <v/>
      </c>
      <c r="G1875" s="29" t="str">
        <f aca="false">IF(A1875="","",IF(COUNTIF(Anggota!$A$2:$A$2001,A1875)=0,"TIDAK ADA","OK"))</f>
        <v/>
      </c>
    </row>
    <row r="1876" customFormat="false" ht="15" hidden="false" customHeight="false" outlineLevel="0" collapsed="false">
      <c r="A1876" s="21"/>
      <c r="B1876" s="22"/>
      <c r="C1876" s="21"/>
      <c r="D1876" s="24"/>
      <c r="E1876" s="22"/>
      <c r="F1876" s="29" t="str">
        <f aca="false">IF(C1876="","",IFERROR(INDEX(Produk!$J$2:$J$100,MATCH(C1876,Produk!$A$2:$A$100,0)),"PRODUK?"))</f>
        <v/>
      </c>
      <c r="G1876" s="29" t="str">
        <f aca="false">IF(A1876="","",IF(COUNTIF(Anggota!$A$2:$A$2001,A1876)=0,"TIDAK ADA","OK"))</f>
        <v/>
      </c>
    </row>
    <row r="1877" customFormat="false" ht="15" hidden="false" customHeight="false" outlineLevel="0" collapsed="false">
      <c r="A1877" s="21"/>
      <c r="B1877" s="22"/>
      <c r="C1877" s="21"/>
      <c r="D1877" s="24"/>
      <c r="E1877" s="22"/>
      <c r="F1877" s="29" t="str">
        <f aca="false">IF(C1877="","",IFERROR(INDEX(Produk!$J$2:$J$100,MATCH(C1877,Produk!$A$2:$A$100,0)),"PRODUK?"))</f>
        <v/>
      </c>
      <c r="G1877" s="29" t="str">
        <f aca="false">IF(A1877="","",IF(COUNTIF(Anggota!$A$2:$A$2001,A1877)=0,"TIDAK ADA","OK"))</f>
        <v/>
      </c>
    </row>
    <row r="1878" customFormat="false" ht="15" hidden="false" customHeight="false" outlineLevel="0" collapsed="false">
      <c r="A1878" s="21"/>
      <c r="B1878" s="22"/>
      <c r="C1878" s="21"/>
      <c r="D1878" s="24"/>
      <c r="E1878" s="22"/>
      <c r="F1878" s="29" t="str">
        <f aca="false">IF(C1878="","",IFERROR(INDEX(Produk!$J$2:$J$100,MATCH(C1878,Produk!$A$2:$A$100,0)),"PRODUK?"))</f>
        <v/>
      </c>
      <c r="G1878" s="29" t="str">
        <f aca="false">IF(A1878="","",IF(COUNTIF(Anggota!$A$2:$A$2001,A1878)=0,"TIDAK ADA","OK"))</f>
        <v/>
      </c>
    </row>
    <row r="1879" customFormat="false" ht="15" hidden="false" customHeight="false" outlineLevel="0" collapsed="false">
      <c r="A1879" s="21"/>
      <c r="B1879" s="22"/>
      <c r="C1879" s="21"/>
      <c r="D1879" s="24"/>
      <c r="E1879" s="22"/>
      <c r="F1879" s="29" t="str">
        <f aca="false">IF(C1879="","",IFERROR(INDEX(Produk!$J$2:$J$100,MATCH(C1879,Produk!$A$2:$A$100,0)),"PRODUK?"))</f>
        <v/>
      </c>
      <c r="G1879" s="29" t="str">
        <f aca="false">IF(A1879="","",IF(COUNTIF(Anggota!$A$2:$A$2001,A1879)=0,"TIDAK ADA","OK"))</f>
        <v/>
      </c>
    </row>
    <row r="1880" customFormat="false" ht="15" hidden="false" customHeight="false" outlineLevel="0" collapsed="false">
      <c r="A1880" s="21"/>
      <c r="B1880" s="22"/>
      <c r="C1880" s="21"/>
      <c r="D1880" s="24"/>
      <c r="E1880" s="22"/>
      <c r="F1880" s="29" t="str">
        <f aca="false">IF(C1880="","",IFERROR(INDEX(Produk!$J$2:$J$100,MATCH(C1880,Produk!$A$2:$A$100,0)),"PRODUK?"))</f>
        <v/>
      </c>
      <c r="G1880" s="29" t="str">
        <f aca="false">IF(A1880="","",IF(COUNTIF(Anggota!$A$2:$A$2001,A1880)=0,"TIDAK ADA","OK"))</f>
        <v/>
      </c>
    </row>
    <row r="1881" customFormat="false" ht="15" hidden="false" customHeight="false" outlineLevel="0" collapsed="false">
      <c r="A1881" s="21"/>
      <c r="B1881" s="22"/>
      <c r="C1881" s="21"/>
      <c r="D1881" s="24"/>
      <c r="E1881" s="22"/>
      <c r="F1881" s="29" t="str">
        <f aca="false">IF(C1881="","",IFERROR(INDEX(Produk!$J$2:$J$100,MATCH(C1881,Produk!$A$2:$A$100,0)),"PRODUK?"))</f>
        <v/>
      </c>
      <c r="G1881" s="29" t="str">
        <f aca="false">IF(A1881="","",IF(COUNTIF(Anggota!$A$2:$A$2001,A1881)=0,"TIDAK ADA","OK"))</f>
        <v/>
      </c>
    </row>
    <row r="1882" customFormat="false" ht="15" hidden="false" customHeight="false" outlineLevel="0" collapsed="false">
      <c r="A1882" s="21"/>
      <c r="B1882" s="22"/>
      <c r="C1882" s="21"/>
      <c r="D1882" s="24"/>
      <c r="E1882" s="22"/>
      <c r="F1882" s="29" t="str">
        <f aca="false">IF(C1882="","",IFERROR(INDEX(Produk!$J$2:$J$100,MATCH(C1882,Produk!$A$2:$A$100,0)),"PRODUK?"))</f>
        <v/>
      </c>
      <c r="G1882" s="29" t="str">
        <f aca="false">IF(A1882="","",IF(COUNTIF(Anggota!$A$2:$A$2001,A1882)=0,"TIDAK ADA","OK"))</f>
        <v/>
      </c>
    </row>
    <row r="1883" customFormat="false" ht="15" hidden="false" customHeight="false" outlineLevel="0" collapsed="false">
      <c r="A1883" s="21"/>
      <c r="B1883" s="22"/>
      <c r="C1883" s="21"/>
      <c r="D1883" s="24"/>
      <c r="E1883" s="22"/>
      <c r="F1883" s="29" t="str">
        <f aca="false">IF(C1883="","",IFERROR(INDEX(Produk!$J$2:$J$100,MATCH(C1883,Produk!$A$2:$A$100,0)),"PRODUK?"))</f>
        <v/>
      </c>
      <c r="G1883" s="29" t="str">
        <f aca="false">IF(A1883="","",IF(COUNTIF(Anggota!$A$2:$A$2001,A1883)=0,"TIDAK ADA","OK"))</f>
        <v/>
      </c>
    </row>
    <row r="1884" customFormat="false" ht="15" hidden="false" customHeight="false" outlineLevel="0" collapsed="false">
      <c r="A1884" s="21"/>
      <c r="B1884" s="22"/>
      <c r="C1884" s="21"/>
      <c r="D1884" s="24"/>
      <c r="E1884" s="22"/>
      <c r="F1884" s="29" t="str">
        <f aca="false">IF(C1884="","",IFERROR(INDEX(Produk!$J$2:$J$100,MATCH(C1884,Produk!$A$2:$A$100,0)),"PRODUK?"))</f>
        <v/>
      </c>
      <c r="G1884" s="29" t="str">
        <f aca="false">IF(A1884="","",IF(COUNTIF(Anggota!$A$2:$A$2001,A1884)=0,"TIDAK ADA","OK"))</f>
        <v/>
      </c>
    </row>
    <row r="1885" customFormat="false" ht="15" hidden="false" customHeight="false" outlineLevel="0" collapsed="false">
      <c r="A1885" s="21"/>
      <c r="B1885" s="22"/>
      <c r="C1885" s="21"/>
      <c r="D1885" s="24"/>
      <c r="E1885" s="22"/>
      <c r="F1885" s="29" t="str">
        <f aca="false">IF(C1885="","",IFERROR(INDEX(Produk!$J$2:$J$100,MATCH(C1885,Produk!$A$2:$A$100,0)),"PRODUK?"))</f>
        <v/>
      </c>
      <c r="G1885" s="29" t="str">
        <f aca="false">IF(A1885="","",IF(COUNTIF(Anggota!$A$2:$A$2001,A1885)=0,"TIDAK ADA","OK"))</f>
        <v/>
      </c>
    </row>
    <row r="1886" customFormat="false" ht="15" hidden="false" customHeight="false" outlineLevel="0" collapsed="false">
      <c r="A1886" s="21"/>
      <c r="B1886" s="22"/>
      <c r="C1886" s="21"/>
      <c r="D1886" s="24"/>
      <c r="E1886" s="22"/>
      <c r="F1886" s="29" t="str">
        <f aca="false">IF(C1886="","",IFERROR(INDEX(Produk!$J$2:$J$100,MATCH(C1886,Produk!$A$2:$A$100,0)),"PRODUK?"))</f>
        <v/>
      </c>
      <c r="G1886" s="29" t="str">
        <f aca="false">IF(A1886="","",IF(COUNTIF(Anggota!$A$2:$A$2001,A1886)=0,"TIDAK ADA","OK"))</f>
        <v/>
      </c>
    </row>
    <row r="1887" customFormat="false" ht="15" hidden="false" customHeight="false" outlineLevel="0" collapsed="false">
      <c r="A1887" s="21"/>
      <c r="B1887" s="22"/>
      <c r="C1887" s="21"/>
      <c r="D1887" s="24"/>
      <c r="E1887" s="22"/>
      <c r="F1887" s="29" t="str">
        <f aca="false">IF(C1887="","",IFERROR(INDEX(Produk!$J$2:$J$100,MATCH(C1887,Produk!$A$2:$A$100,0)),"PRODUK?"))</f>
        <v/>
      </c>
      <c r="G1887" s="29" t="str">
        <f aca="false">IF(A1887="","",IF(COUNTIF(Anggota!$A$2:$A$2001,A1887)=0,"TIDAK ADA","OK"))</f>
        <v/>
      </c>
    </row>
    <row r="1888" customFormat="false" ht="15" hidden="false" customHeight="false" outlineLevel="0" collapsed="false">
      <c r="A1888" s="21"/>
      <c r="B1888" s="22"/>
      <c r="C1888" s="21"/>
      <c r="D1888" s="24"/>
      <c r="E1888" s="22"/>
      <c r="F1888" s="29" t="str">
        <f aca="false">IF(C1888="","",IFERROR(INDEX(Produk!$J$2:$J$100,MATCH(C1888,Produk!$A$2:$A$100,0)),"PRODUK?"))</f>
        <v/>
      </c>
      <c r="G1888" s="29" t="str">
        <f aca="false">IF(A1888="","",IF(COUNTIF(Anggota!$A$2:$A$2001,A1888)=0,"TIDAK ADA","OK"))</f>
        <v/>
      </c>
    </row>
    <row r="1889" customFormat="false" ht="15" hidden="false" customHeight="false" outlineLevel="0" collapsed="false">
      <c r="A1889" s="21"/>
      <c r="B1889" s="22"/>
      <c r="C1889" s="21"/>
      <c r="D1889" s="24"/>
      <c r="E1889" s="22"/>
      <c r="F1889" s="29" t="str">
        <f aca="false">IF(C1889="","",IFERROR(INDEX(Produk!$J$2:$J$100,MATCH(C1889,Produk!$A$2:$A$100,0)),"PRODUK?"))</f>
        <v/>
      </c>
      <c r="G1889" s="29" t="str">
        <f aca="false">IF(A1889="","",IF(COUNTIF(Anggota!$A$2:$A$2001,A1889)=0,"TIDAK ADA","OK"))</f>
        <v/>
      </c>
    </row>
    <row r="1890" customFormat="false" ht="15" hidden="false" customHeight="false" outlineLevel="0" collapsed="false">
      <c r="A1890" s="21"/>
      <c r="B1890" s="22"/>
      <c r="C1890" s="21"/>
      <c r="D1890" s="24"/>
      <c r="E1890" s="22"/>
      <c r="F1890" s="29" t="str">
        <f aca="false">IF(C1890="","",IFERROR(INDEX(Produk!$J$2:$J$100,MATCH(C1890,Produk!$A$2:$A$100,0)),"PRODUK?"))</f>
        <v/>
      </c>
      <c r="G1890" s="29" t="str">
        <f aca="false">IF(A1890="","",IF(COUNTIF(Anggota!$A$2:$A$2001,A1890)=0,"TIDAK ADA","OK"))</f>
        <v/>
      </c>
    </row>
    <row r="1891" customFormat="false" ht="15" hidden="false" customHeight="false" outlineLevel="0" collapsed="false">
      <c r="A1891" s="21"/>
      <c r="B1891" s="22"/>
      <c r="C1891" s="21"/>
      <c r="D1891" s="24"/>
      <c r="E1891" s="22"/>
      <c r="F1891" s="29" t="str">
        <f aca="false">IF(C1891="","",IFERROR(INDEX(Produk!$J$2:$J$100,MATCH(C1891,Produk!$A$2:$A$100,0)),"PRODUK?"))</f>
        <v/>
      </c>
      <c r="G1891" s="29" t="str">
        <f aca="false">IF(A1891="","",IF(COUNTIF(Anggota!$A$2:$A$2001,A1891)=0,"TIDAK ADA","OK"))</f>
        <v/>
      </c>
    </row>
    <row r="1892" customFormat="false" ht="15" hidden="false" customHeight="false" outlineLevel="0" collapsed="false">
      <c r="A1892" s="21"/>
      <c r="B1892" s="22"/>
      <c r="C1892" s="21"/>
      <c r="D1892" s="24"/>
      <c r="E1892" s="22"/>
      <c r="F1892" s="29" t="str">
        <f aca="false">IF(C1892="","",IFERROR(INDEX(Produk!$J$2:$J$100,MATCH(C1892,Produk!$A$2:$A$100,0)),"PRODUK?"))</f>
        <v/>
      </c>
      <c r="G1892" s="29" t="str">
        <f aca="false">IF(A1892="","",IF(COUNTIF(Anggota!$A$2:$A$2001,A1892)=0,"TIDAK ADA","OK"))</f>
        <v/>
      </c>
    </row>
    <row r="1893" customFormat="false" ht="15" hidden="false" customHeight="false" outlineLevel="0" collapsed="false">
      <c r="A1893" s="21"/>
      <c r="B1893" s="22"/>
      <c r="C1893" s="21"/>
      <c r="D1893" s="24"/>
      <c r="E1893" s="22"/>
      <c r="F1893" s="29" t="str">
        <f aca="false">IF(C1893="","",IFERROR(INDEX(Produk!$J$2:$J$100,MATCH(C1893,Produk!$A$2:$A$100,0)),"PRODUK?"))</f>
        <v/>
      </c>
      <c r="G1893" s="29" t="str">
        <f aca="false">IF(A1893="","",IF(COUNTIF(Anggota!$A$2:$A$2001,A1893)=0,"TIDAK ADA","OK"))</f>
        <v/>
      </c>
    </row>
    <row r="1894" customFormat="false" ht="15" hidden="false" customHeight="false" outlineLevel="0" collapsed="false">
      <c r="A1894" s="21"/>
      <c r="B1894" s="22"/>
      <c r="C1894" s="21"/>
      <c r="D1894" s="24"/>
      <c r="E1894" s="22"/>
      <c r="F1894" s="29" t="str">
        <f aca="false">IF(C1894="","",IFERROR(INDEX(Produk!$J$2:$J$100,MATCH(C1894,Produk!$A$2:$A$100,0)),"PRODUK?"))</f>
        <v/>
      </c>
      <c r="G1894" s="29" t="str">
        <f aca="false">IF(A1894="","",IF(COUNTIF(Anggota!$A$2:$A$2001,A1894)=0,"TIDAK ADA","OK"))</f>
        <v/>
      </c>
    </row>
    <row r="1895" customFormat="false" ht="15" hidden="false" customHeight="false" outlineLevel="0" collapsed="false">
      <c r="A1895" s="21"/>
      <c r="B1895" s="22"/>
      <c r="C1895" s="21"/>
      <c r="D1895" s="24"/>
      <c r="E1895" s="22"/>
      <c r="F1895" s="29" t="str">
        <f aca="false">IF(C1895="","",IFERROR(INDEX(Produk!$J$2:$J$100,MATCH(C1895,Produk!$A$2:$A$100,0)),"PRODUK?"))</f>
        <v/>
      </c>
      <c r="G1895" s="29" t="str">
        <f aca="false">IF(A1895="","",IF(COUNTIF(Anggota!$A$2:$A$2001,A1895)=0,"TIDAK ADA","OK"))</f>
        <v/>
      </c>
    </row>
    <row r="1896" customFormat="false" ht="15" hidden="false" customHeight="false" outlineLevel="0" collapsed="false">
      <c r="A1896" s="21"/>
      <c r="B1896" s="22"/>
      <c r="C1896" s="21"/>
      <c r="D1896" s="24"/>
      <c r="E1896" s="22"/>
      <c r="F1896" s="29" t="str">
        <f aca="false">IF(C1896="","",IFERROR(INDEX(Produk!$J$2:$J$100,MATCH(C1896,Produk!$A$2:$A$100,0)),"PRODUK?"))</f>
        <v/>
      </c>
      <c r="G1896" s="29" t="str">
        <f aca="false">IF(A1896="","",IF(COUNTIF(Anggota!$A$2:$A$2001,A1896)=0,"TIDAK ADA","OK"))</f>
        <v/>
      </c>
    </row>
    <row r="1897" customFormat="false" ht="15" hidden="false" customHeight="false" outlineLevel="0" collapsed="false">
      <c r="A1897" s="21"/>
      <c r="B1897" s="22"/>
      <c r="C1897" s="21"/>
      <c r="D1897" s="24"/>
      <c r="E1897" s="22"/>
      <c r="F1897" s="29" t="str">
        <f aca="false">IF(C1897="","",IFERROR(INDEX(Produk!$J$2:$J$100,MATCH(C1897,Produk!$A$2:$A$100,0)),"PRODUK?"))</f>
        <v/>
      </c>
      <c r="G1897" s="29" t="str">
        <f aca="false">IF(A1897="","",IF(COUNTIF(Anggota!$A$2:$A$2001,A1897)=0,"TIDAK ADA","OK"))</f>
        <v/>
      </c>
    </row>
    <row r="1898" customFormat="false" ht="15" hidden="false" customHeight="false" outlineLevel="0" collapsed="false">
      <c r="A1898" s="21"/>
      <c r="B1898" s="22"/>
      <c r="C1898" s="21"/>
      <c r="D1898" s="24"/>
      <c r="E1898" s="22"/>
      <c r="F1898" s="29" t="str">
        <f aca="false">IF(C1898="","",IFERROR(INDEX(Produk!$J$2:$J$100,MATCH(C1898,Produk!$A$2:$A$100,0)),"PRODUK?"))</f>
        <v/>
      </c>
      <c r="G1898" s="29" t="str">
        <f aca="false">IF(A1898="","",IF(COUNTIF(Anggota!$A$2:$A$2001,A1898)=0,"TIDAK ADA","OK"))</f>
        <v/>
      </c>
    </row>
    <row r="1899" customFormat="false" ht="15" hidden="false" customHeight="false" outlineLevel="0" collapsed="false">
      <c r="A1899" s="21"/>
      <c r="B1899" s="22"/>
      <c r="C1899" s="21"/>
      <c r="D1899" s="24"/>
      <c r="E1899" s="22"/>
      <c r="F1899" s="29" t="str">
        <f aca="false">IF(C1899="","",IFERROR(INDEX(Produk!$J$2:$J$100,MATCH(C1899,Produk!$A$2:$A$100,0)),"PRODUK?"))</f>
        <v/>
      </c>
      <c r="G1899" s="29" t="str">
        <f aca="false">IF(A1899="","",IF(COUNTIF(Anggota!$A$2:$A$2001,A1899)=0,"TIDAK ADA","OK"))</f>
        <v/>
      </c>
    </row>
    <row r="1900" customFormat="false" ht="15" hidden="false" customHeight="false" outlineLevel="0" collapsed="false">
      <c r="A1900" s="21"/>
      <c r="B1900" s="22"/>
      <c r="C1900" s="21"/>
      <c r="D1900" s="24"/>
      <c r="E1900" s="22"/>
      <c r="F1900" s="29" t="str">
        <f aca="false">IF(C1900="","",IFERROR(INDEX(Produk!$J$2:$J$100,MATCH(C1900,Produk!$A$2:$A$100,0)),"PRODUK?"))</f>
        <v/>
      </c>
      <c r="G1900" s="29" t="str">
        <f aca="false">IF(A1900="","",IF(COUNTIF(Anggota!$A$2:$A$2001,A1900)=0,"TIDAK ADA","OK"))</f>
        <v/>
      </c>
    </row>
    <row r="1901" customFormat="false" ht="15" hidden="false" customHeight="false" outlineLevel="0" collapsed="false">
      <c r="A1901" s="21"/>
      <c r="B1901" s="22"/>
      <c r="C1901" s="21"/>
      <c r="D1901" s="24"/>
      <c r="E1901" s="22"/>
      <c r="F1901" s="29" t="str">
        <f aca="false">IF(C1901="","",IFERROR(INDEX(Produk!$J$2:$J$100,MATCH(C1901,Produk!$A$2:$A$100,0)),"PRODUK?"))</f>
        <v/>
      </c>
      <c r="G1901" s="29" t="str">
        <f aca="false">IF(A1901="","",IF(COUNTIF(Anggota!$A$2:$A$2001,A1901)=0,"TIDAK ADA","OK"))</f>
        <v/>
      </c>
    </row>
    <row r="1902" customFormat="false" ht="15" hidden="false" customHeight="false" outlineLevel="0" collapsed="false">
      <c r="A1902" s="21"/>
      <c r="B1902" s="22"/>
      <c r="C1902" s="21"/>
      <c r="D1902" s="24"/>
      <c r="E1902" s="22"/>
      <c r="F1902" s="29" t="str">
        <f aca="false">IF(C1902="","",IFERROR(INDEX(Produk!$J$2:$J$100,MATCH(C1902,Produk!$A$2:$A$100,0)),"PRODUK?"))</f>
        <v/>
      </c>
      <c r="G1902" s="29" t="str">
        <f aca="false">IF(A1902="","",IF(COUNTIF(Anggota!$A$2:$A$2001,A1902)=0,"TIDAK ADA","OK"))</f>
        <v/>
      </c>
    </row>
    <row r="1903" customFormat="false" ht="15" hidden="false" customHeight="false" outlineLevel="0" collapsed="false">
      <c r="A1903" s="21"/>
      <c r="B1903" s="22"/>
      <c r="C1903" s="21"/>
      <c r="D1903" s="24"/>
      <c r="E1903" s="22"/>
      <c r="F1903" s="29" t="str">
        <f aca="false">IF(C1903="","",IFERROR(INDEX(Produk!$J$2:$J$100,MATCH(C1903,Produk!$A$2:$A$100,0)),"PRODUK?"))</f>
        <v/>
      </c>
      <c r="G1903" s="29" t="str">
        <f aca="false">IF(A1903="","",IF(COUNTIF(Anggota!$A$2:$A$2001,A1903)=0,"TIDAK ADA","OK"))</f>
        <v/>
      </c>
    </row>
    <row r="1904" customFormat="false" ht="15" hidden="false" customHeight="false" outlineLevel="0" collapsed="false">
      <c r="A1904" s="21"/>
      <c r="B1904" s="22"/>
      <c r="C1904" s="21"/>
      <c r="D1904" s="24"/>
      <c r="E1904" s="22"/>
      <c r="F1904" s="29" t="str">
        <f aca="false">IF(C1904="","",IFERROR(INDEX(Produk!$J$2:$J$100,MATCH(C1904,Produk!$A$2:$A$100,0)),"PRODUK?"))</f>
        <v/>
      </c>
      <c r="G1904" s="29" t="str">
        <f aca="false">IF(A1904="","",IF(COUNTIF(Anggota!$A$2:$A$2001,A1904)=0,"TIDAK ADA","OK"))</f>
        <v/>
      </c>
    </row>
    <row r="1905" customFormat="false" ht="15" hidden="false" customHeight="false" outlineLevel="0" collapsed="false">
      <c r="A1905" s="21"/>
      <c r="B1905" s="22"/>
      <c r="C1905" s="21"/>
      <c r="D1905" s="24"/>
      <c r="E1905" s="22"/>
      <c r="F1905" s="29" t="str">
        <f aca="false">IF(C1905="","",IFERROR(INDEX(Produk!$J$2:$J$100,MATCH(C1905,Produk!$A$2:$A$100,0)),"PRODUK?"))</f>
        <v/>
      </c>
      <c r="G1905" s="29" t="str">
        <f aca="false">IF(A1905="","",IF(COUNTIF(Anggota!$A$2:$A$2001,A1905)=0,"TIDAK ADA","OK"))</f>
        <v/>
      </c>
    </row>
    <row r="1906" customFormat="false" ht="15" hidden="false" customHeight="false" outlineLevel="0" collapsed="false">
      <c r="A1906" s="21"/>
      <c r="B1906" s="22"/>
      <c r="C1906" s="21"/>
      <c r="D1906" s="24"/>
      <c r="E1906" s="22"/>
      <c r="F1906" s="29" t="str">
        <f aca="false">IF(C1906="","",IFERROR(INDEX(Produk!$J$2:$J$100,MATCH(C1906,Produk!$A$2:$A$100,0)),"PRODUK?"))</f>
        <v/>
      </c>
      <c r="G1906" s="29" t="str">
        <f aca="false">IF(A1906="","",IF(COUNTIF(Anggota!$A$2:$A$2001,A1906)=0,"TIDAK ADA","OK"))</f>
        <v/>
      </c>
    </row>
    <row r="1907" customFormat="false" ht="15" hidden="false" customHeight="false" outlineLevel="0" collapsed="false">
      <c r="A1907" s="21"/>
      <c r="B1907" s="22"/>
      <c r="C1907" s="21"/>
      <c r="D1907" s="24"/>
      <c r="E1907" s="22"/>
      <c r="F1907" s="29" t="str">
        <f aca="false">IF(C1907="","",IFERROR(INDEX(Produk!$J$2:$J$100,MATCH(C1907,Produk!$A$2:$A$100,0)),"PRODUK?"))</f>
        <v/>
      </c>
      <c r="G1907" s="29" t="str">
        <f aca="false">IF(A1907="","",IF(COUNTIF(Anggota!$A$2:$A$2001,A1907)=0,"TIDAK ADA","OK"))</f>
        <v/>
      </c>
    </row>
    <row r="1908" customFormat="false" ht="15" hidden="false" customHeight="false" outlineLevel="0" collapsed="false">
      <c r="A1908" s="21"/>
      <c r="B1908" s="22"/>
      <c r="C1908" s="21"/>
      <c r="D1908" s="24"/>
      <c r="E1908" s="22"/>
      <c r="F1908" s="29" t="str">
        <f aca="false">IF(C1908="","",IFERROR(INDEX(Produk!$J$2:$J$100,MATCH(C1908,Produk!$A$2:$A$100,0)),"PRODUK?"))</f>
        <v/>
      </c>
      <c r="G1908" s="29" t="str">
        <f aca="false">IF(A1908="","",IF(COUNTIF(Anggota!$A$2:$A$2001,A1908)=0,"TIDAK ADA","OK"))</f>
        <v/>
      </c>
    </row>
    <row r="1909" customFormat="false" ht="15" hidden="false" customHeight="false" outlineLevel="0" collapsed="false">
      <c r="A1909" s="21"/>
      <c r="B1909" s="22"/>
      <c r="C1909" s="21"/>
      <c r="D1909" s="24"/>
      <c r="E1909" s="22"/>
      <c r="F1909" s="29" t="str">
        <f aca="false">IF(C1909="","",IFERROR(INDEX(Produk!$J$2:$J$100,MATCH(C1909,Produk!$A$2:$A$100,0)),"PRODUK?"))</f>
        <v/>
      </c>
      <c r="G1909" s="29" t="str">
        <f aca="false">IF(A1909="","",IF(COUNTIF(Anggota!$A$2:$A$2001,A1909)=0,"TIDAK ADA","OK"))</f>
        <v/>
      </c>
    </row>
    <row r="1910" customFormat="false" ht="15" hidden="false" customHeight="false" outlineLevel="0" collapsed="false">
      <c r="A1910" s="21"/>
      <c r="B1910" s="22"/>
      <c r="C1910" s="21"/>
      <c r="D1910" s="24"/>
      <c r="E1910" s="22"/>
      <c r="F1910" s="29" t="str">
        <f aca="false">IF(C1910="","",IFERROR(INDEX(Produk!$J$2:$J$100,MATCH(C1910,Produk!$A$2:$A$100,0)),"PRODUK?"))</f>
        <v/>
      </c>
      <c r="G1910" s="29" t="str">
        <f aca="false">IF(A1910="","",IF(COUNTIF(Anggota!$A$2:$A$2001,A1910)=0,"TIDAK ADA","OK"))</f>
        <v/>
      </c>
    </row>
    <row r="1911" customFormat="false" ht="15" hidden="false" customHeight="false" outlineLevel="0" collapsed="false">
      <c r="A1911" s="21"/>
      <c r="B1911" s="22"/>
      <c r="C1911" s="21"/>
      <c r="D1911" s="24"/>
      <c r="E1911" s="22"/>
      <c r="F1911" s="29" t="str">
        <f aca="false">IF(C1911="","",IFERROR(INDEX(Produk!$J$2:$J$100,MATCH(C1911,Produk!$A$2:$A$100,0)),"PRODUK?"))</f>
        <v/>
      </c>
      <c r="G1911" s="29" t="str">
        <f aca="false">IF(A1911="","",IF(COUNTIF(Anggota!$A$2:$A$2001,A1911)=0,"TIDAK ADA","OK"))</f>
        <v/>
      </c>
    </row>
    <row r="1912" customFormat="false" ht="15" hidden="false" customHeight="false" outlineLevel="0" collapsed="false">
      <c r="A1912" s="21"/>
      <c r="B1912" s="22"/>
      <c r="C1912" s="21"/>
      <c r="D1912" s="24"/>
      <c r="E1912" s="22"/>
      <c r="F1912" s="29" t="str">
        <f aca="false">IF(C1912="","",IFERROR(INDEX(Produk!$J$2:$J$100,MATCH(C1912,Produk!$A$2:$A$100,0)),"PRODUK?"))</f>
        <v/>
      </c>
      <c r="G1912" s="29" t="str">
        <f aca="false">IF(A1912="","",IF(COUNTIF(Anggota!$A$2:$A$2001,A1912)=0,"TIDAK ADA","OK"))</f>
        <v/>
      </c>
    </row>
    <row r="1913" customFormat="false" ht="15" hidden="false" customHeight="false" outlineLevel="0" collapsed="false">
      <c r="A1913" s="21"/>
      <c r="B1913" s="22"/>
      <c r="C1913" s="21"/>
      <c r="D1913" s="24"/>
      <c r="E1913" s="22"/>
      <c r="F1913" s="29" t="str">
        <f aca="false">IF(C1913="","",IFERROR(INDEX(Produk!$J$2:$J$100,MATCH(C1913,Produk!$A$2:$A$100,0)),"PRODUK?"))</f>
        <v/>
      </c>
      <c r="G1913" s="29" t="str">
        <f aca="false">IF(A1913="","",IF(COUNTIF(Anggota!$A$2:$A$2001,A1913)=0,"TIDAK ADA","OK"))</f>
        <v/>
      </c>
    </row>
    <row r="1914" customFormat="false" ht="15" hidden="false" customHeight="false" outlineLevel="0" collapsed="false">
      <c r="A1914" s="21"/>
      <c r="B1914" s="22"/>
      <c r="C1914" s="21"/>
      <c r="D1914" s="24"/>
      <c r="E1914" s="22"/>
      <c r="F1914" s="29" t="str">
        <f aca="false">IF(C1914="","",IFERROR(INDEX(Produk!$J$2:$J$100,MATCH(C1914,Produk!$A$2:$A$100,0)),"PRODUK?"))</f>
        <v/>
      </c>
      <c r="G1914" s="29" t="str">
        <f aca="false">IF(A1914="","",IF(COUNTIF(Anggota!$A$2:$A$2001,A1914)=0,"TIDAK ADA","OK"))</f>
        <v/>
      </c>
    </row>
    <row r="1915" customFormat="false" ht="15" hidden="false" customHeight="false" outlineLevel="0" collapsed="false">
      <c r="A1915" s="21"/>
      <c r="B1915" s="22"/>
      <c r="C1915" s="21"/>
      <c r="D1915" s="24"/>
      <c r="E1915" s="22"/>
      <c r="F1915" s="29" t="str">
        <f aca="false">IF(C1915="","",IFERROR(INDEX(Produk!$J$2:$J$100,MATCH(C1915,Produk!$A$2:$A$100,0)),"PRODUK?"))</f>
        <v/>
      </c>
      <c r="G1915" s="29" t="str">
        <f aca="false">IF(A1915="","",IF(COUNTIF(Anggota!$A$2:$A$2001,A1915)=0,"TIDAK ADA","OK"))</f>
        <v/>
      </c>
    </row>
    <row r="1916" customFormat="false" ht="15" hidden="false" customHeight="false" outlineLevel="0" collapsed="false">
      <c r="A1916" s="21"/>
      <c r="B1916" s="22"/>
      <c r="C1916" s="21"/>
      <c r="D1916" s="24"/>
      <c r="E1916" s="22"/>
      <c r="F1916" s="29" t="str">
        <f aca="false">IF(C1916="","",IFERROR(INDEX(Produk!$J$2:$J$100,MATCH(C1916,Produk!$A$2:$A$100,0)),"PRODUK?"))</f>
        <v/>
      </c>
      <c r="G1916" s="29" t="str">
        <f aca="false">IF(A1916="","",IF(COUNTIF(Anggota!$A$2:$A$2001,A1916)=0,"TIDAK ADA","OK"))</f>
        <v/>
      </c>
    </row>
    <row r="1917" customFormat="false" ht="15" hidden="false" customHeight="false" outlineLevel="0" collapsed="false">
      <c r="A1917" s="21"/>
      <c r="B1917" s="22"/>
      <c r="C1917" s="21"/>
      <c r="D1917" s="24"/>
      <c r="E1917" s="22"/>
      <c r="F1917" s="29" t="str">
        <f aca="false">IF(C1917="","",IFERROR(INDEX(Produk!$J$2:$J$100,MATCH(C1917,Produk!$A$2:$A$100,0)),"PRODUK?"))</f>
        <v/>
      </c>
      <c r="G1917" s="29" t="str">
        <f aca="false">IF(A1917="","",IF(COUNTIF(Anggota!$A$2:$A$2001,A1917)=0,"TIDAK ADA","OK"))</f>
        <v/>
      </c>
    </row>
    <row r="1918" customFormat="false" ht="15" hidden="false" customHeight="false" outlineLevel="0" collapsed="false">
      <c r="A1918" s="21"/>
      <c r="B1918" s="22"/>
      <c r="C1918" s="21"/>
      <c r="D1918" s="24"/>
      <c r="E1918" s="22"/>
      <c r="F1918" s="29" t="str">
        <f aca="false">IF(C1918="","",IFERROR(INDEX(Produk!$J$2:$J$100,MATCH(C1918,Produk!$A$2:$A$100,0)),"PRODUK?"))</f>
        <v/>
      </c>
      <c r="G1918" s="29" t="str">
        <f aca="false">IF(A1918="","",IF(COUNTIF(Anggota!$A$2:$A$2001,A1918)=0,"TIDAK ADA","OK"))</f>
        <v/>
      </c>
    </row>
    <row r="1919" customFormat="false" ht="15" hidden="false" customHeight="false" outlineLevel="0" collapsed="false">
      <c r="A1919" s="21"/>
      <c r="B1919" s="22"/>
      <c r="C1919" s="21"/>
      <c r="D1919" s="24"/>
      <c r="E1919" s="22"/>
      <c r="F1919" s="29" t="str">
        <f aca="false">IF(C1919="","",IFERROR(INDEX(Produk!$J$2:$J$100,MATCH(C1919,Produk!$A$2:$A$100,0)),"PRODUK?"))</f>
        <v/>
      </c>
      <c r="G1919" s="29" t="str">
        <f aca="false">IF(A1919="","",IF(COUNTIF(Anggota!$A$2:$A$2001,A1919)=0,"TIDAK ADA","OK"))</f>
        <v/>
      </c>
    </row>
    <row r="1920" customFormat="false" ht="15" hidden="false" customHeight="false" outlineLevel="0" collapsed="false">
      <c r="A1920" s="21"/>
      <c r="B1920" s="22"/>
      <c r="C1920" s="21"/>
      <c r="D1920" s="24"/>
      <c r="E1920" s="22"/>
      <c r="F1920" s="29" t="str">
        <f aca="false">IF(C1920="","",IFERROR(INDEX(Produk!$J$2:$J$100,MATCH(C1920,Produk!$A$2:$A$100,0)),"PRODUK?"))</f>
        <v/>
      </c>
      <c r="G1920" s="29" t="str">
        <f aca="false">IF(A1920="","",IF(COUNTIF(Anggota!$A$2:$A$2001,A1920)=0,"TIDAK ADA","OK"))</f>
        <v/>
      </c>
    </row>
    <row r="1921" customFormat="false" ht="15" hidden="false" customHeight="false" outlineLevel="0" collapsed="false">
      <c r="A1921" s="21"/>
      <c r="B1921" s="22"/>
      <c r="C1921" s="21"/>
      <c r="D1921" s="24"/>
      <c r="E1921" s="22"/>
      <c r="F1921" s="29" t="str">
        <f aca="false">IF(C1921="","",IFERROR(INDEX(Produk!$J$2:$J$100,MATCH(C1921,Produk!$A$2:$A$100,0)),"PRODUK?"))</f>
        <v/>
      </c>
      <c r="G1921" s="29" t="str">
        <f aca="false">IF(A1921="","",IF(COUNTIF(Anggota!$A$2:$A$2001,A1921)=0,"TIDAK ADA","OK"))</f>
        <v/>
      </c>
    </row>
    <row r="1922" customFormat="false" ht="15" hidden="false" customHeight="false" outlineLevel="0" collapsed="false">
      <c r="A1922" s="21"/>
      <c r="B1922" s="22"/>
      <c r="C1922" s="21"/>
      <c r="D1922" s="24"/>
      <c r="E1922" s="22"/>
      <c r="F1922" s="29" t="str">
        <f aca="false">IF(C1922="","",IFERROR(INDEX(Produk!$J$2:$J$100,MATCH(C1922,Produk!$A$2:$A$100,0)),"PRODUK?"))</f>
        <v/>
      </c>
      <c r="G1922" s="29" t="str">
        <f aca="false">IF(A1922="","",IF(COUNTIF(Anggota!$A$2:$A$2001,A1922)=0,"TIDAK ADA","OK"))</f>
        <v/>
      </c>
    </row>
    <row r="1923" customFormat="false" ht="15" hidden="false" customHeight="false" outlineLevel="0" collapsed="false">
      <c r="A1923" s="21"/>
      <c r="B1923" s="22"/>
      <c r="C1923" s="21"/>
      <c r="D1923" s="24"/>
      <c r="E1923" s="22"/>
      <c r="F1923" s="29" t="str">
        <f aca="false">IF(C1923="","",IFERROR(INDEX(Produk!$J$2:$J$100,MATCH(C1923,Produk!$A$2:$A$100,0)),"PRODUK?"))</f>
        <v/>
      </c>
      <c r="G1923" s="29" t="str">
        <f aca="false">IF(A1923="","",IF(COUNTIF(Anggota!$A$2:$A$2001,A1923)=0,"TIDAK ADA","OK"))</f>
        <v/>
      </c>
    </row>
    <row r="1924" customFormat="false" ht="15" hidden="false" customHeight="false" outlineLevel="0" collapsed="false">
      <c r="A1924" s="21"/>
      <c r="B1924" s="22"/>
      <c r="C1924" s="21"/>
      <c r="D1924" s="24"/>
      <c r="E1924" s="22"/>
      <c r="F1924" s="29" t="str">
        <f aca="false">IF(C1924="","",IFERROR(INDEX(Produk!$J$2:$J$100,MATCH(C1924,Produk!$A$2:$A$100,0)),"PRODUK?"))</f>
        <v/>
      </c>
      <c r="G1924" s="29" t="str">
        <f aca="false">IF(A1924="","",IF(COUNTIF(Anggota!$A$2:$A$2001,A1924)=0,"TIDAK ADA","OK"))</f>
        <v/>
      </c>
    </row>
    <row r="1925" customFormat="false" ht="15" hidden="false" customHeight="false" outlineLevel="0" collapsed="false">
      <c r="A1925" s="21"/>
      <c r="B1925" s="22"/>
      <c r="C1925" s="21"/>
      <c r="D1925" s="24"/>
      <c r="E1925" s="22"/>
      <c r="F1925" s="29" t="str">
        <f aca="false">IF(C1925="","",IFERROR(INDEX(Produk!$J$2:$J$100,MATCH(C1925,Produk!$A$2:$A$100,0)),"PRODUK?"))</f>
        <v/>
      </c>
      <c r="G1925" s="29" t="str">
        <f aca="false">IF(A1925="","",IF(COUNTIF(Anggota!$A$2:$A$2001,A1925)=0,"TIDAK ADA","OK"))</f>
        <v/>
      </c>
    </row>
    <row r="1926" customFormat="false" ht="15" hidden="false" customHeight="false" outlineLevel="0" collapsed="false">
      <c r="A1926" s="21"/>
      <c r="B1926" s="22"/>
      <c r="C1926" s="21"/>
      <c r="D1926" s="24"/>
      <c r="E1926" s="22"/>
      <c r="F1926" s="29" t="str">
        <f aca="false">IF(C1926="","",IFERROR(INDEX(Produk!$J$2:$J$100,MATCH(C1926,Produk!$A$2:$A$100,0)),"PRODUK?"))</f>
        <v/>
      </c>
      <c r="G1926" s="29" t="str">
        <f aca="false">IF(A1926="","",IF(COUNTIF(Anggota!$A$2:$A$2001,A1926)=0,"TIDAK ADA","OK"))</f>
        <v/>
      </c>
    </row>
    <row r="1927" customFormat="false" ht="15" hidden="false" customHeight="false" outlineLevel="0" collapsed="false">
      <c r="A1927" s="21"/>
      <c r="B1927" s="22"/>
      <c r="C1927" s="21"/>
      <c r="D1927" s="24"/>
      <c r="E1927" s="22"/>
      <c r="F1927" s="29" t="str">
        <f aca="false">IF(C1927="","",IFERROR(INDEX(Produk!$J$2:$J$100,MATCH(C1927,Produk!$A$2:$A$100,0)),"PRODUK?"))</f>
        <v/>
      </c>
      <c r="G1927" s="29" t="str">
        <f aca="false">IF(A1927="","",IF(COUNTIF(Anggota!$A$2:$A$2001,A1927)=0,"TIDAK ADA","OK"))</f>
        <v/>
      </c>
    </row>
    <row r="1928" customFormat="false" ht="15" hidden="false" customHeight="false" outlineLevel="0" collapsed="false">
      <c r="A1928" s="21"/>
      <c r="B1928" s="22"/>
      <c r="C1928" s="21"/>
      <c r="D1928" s="24"/>
      <c r="E1928" s="22"/>
      <c r="F1928" s="29" t="str">
        <f aca="false">IF(C1928="","",IFERROR(INDEX(Produk!$J$2:$J$100,MATCH(C1928,Produk!$A$2:$A$100,0)),"PRODUK?"))</f>
        <v/>
      </c>
      <c r="G1928" s="29" t="str">
        <f aca="false">IF(A1928="","",IF(COUNTIF(Anggota!$A$2:$A$2001,A1928)=0,"TIDAK ADA","OK"))</f>
        <v/>
      </c>
    </row>
    <row r="1929" customFormat="false" ht="15" hidden="false" customHeight="false" outlineLevel="0" collapsed="false">
      <c r="A1929" s="21"/>
      <c r="B1929" s="22"/>
      <c r="C1929" s="21"/>
      <c r="D1929" s="24"/>
      <c r="E1929" s="22"/>
      <c r="F1929" s="29" t="str">
        <f aca="false">IF(C1929="","",IFERROR(INDEX(Produk!$J$2:$J$100,MATCH(C1929,Produk!$A$2:$A$100,0)),"PRODUK?"))</f>
        <v/>
      </c>
      <c r="G1929" s="29" t="str">
        <f aca="false">IF(A1929="","",IF(COUNTIF(Anggota!$A$2:$A$2001,A1929)=0,"TIDAK ADA","OK"))</f>
        <v/>
      </c>
    </row>
    <row r="1930" customFormat="false" ht="15" hidden="false" customHeight="false" outlineLevel="0" collapsed="false">
      <c r="A1930" s="21"/>
      <c r="B1930" s="22"/>
      <c r="C1930" s="21"/>
      <c r="D1930" s="24"/>
      <c r="E1930" s="22"/>
      <c r="F1930" s="29" t="str">
        <f aca="false">IF(C1930="","",IFERROR(INDEX(Produk!$J$2:$J$100,MATCH(C1930,Produk!$A$2:$A$100,0)),"PRODUK?"))</f>
        <v/>
      </c>
      <c r="G1930" s="29" t="str">
        <f aca="false">IF(A1930="","",IF(COUNTIF(Anggota!$A$2:$A$2001,A1930)=0,"TIDAK ADA","OK"))</f>
        <v/>
      </c>
    </row>
    <row r="1931" customFormat="false" ht="15" hidden="false" customHeight="false" outlineLevel="0" collapsed="false">
      <c r="A1931" s="21"/>
      <c r="B1931" s="22"/>
      <c r="C1931" s="21"/>
      <c r="D1931" s="24"/>
      <c r="E1931" s="22"/>
      <c r="F1931" s="29" t="str">
        <f aca="false">IF(C1931="","",IFERROR(INDEX(Produk!$J$2:$J$100,MATCH(C1931,Produk!$A$2:$A$100,0)),"PRODUK?"))</f>
        <v/>
      </c>
      <c r="G1931" s="29" t="str">
        <f aca="false">IF(A1931="","",IF(COUNTIF(Anggota!$A$2:$A$2001,A1931)=0,"TIDAK ADA","OK"))</f>
        <v/>
      </c>
    </row>
    <row r="1932" customFormat="false" ht="15" hidden="false" customHeight="false" outlineLevel="0" collapsed="false">
      <c r="A1932" s="21"/>
      <c r="B1932" s="22"/>
      <c r="C1932" s="21"/>
      <c r="D1932" s="24"/>
      <c r="E1932" s="22"/>
      <c r="F1932" s="29" t="str">
        <f aca="false">IF(C1932="","",IFERROR(INDEX(Produk!$J$2:$J$100,MATCH(C1932,Produk!$A$2:$A$100,0)),"PRODUK?"))</f>
        <v/>
      </c>
      <c r="G1932" s="29" t="str">
        <f aca="false">IF(A1932="","",IF(COUNTIF(Anggota!$A$2:$A$2001,A1932)=0,"TIDAK ADA","OK"))</f>
        <v/>
      </c>
    </row>
    <row r="1933" customFormat="false" ht="15" hidden="false" customHeight="false" outlineLevel="0" collapsed="false">
      <c r="A1933" s="21"/>
      <c r="B1933" s="22"/>
      <c r="C1933" s="21"/>
      <c r="D1933" s="24"/>
      <c r="E1933" s="22"/>
      <c r="F1933" s="29" t="str">
        <f aca="false">IF(C1933="","",IFERROR(INDEX(Produk!$J$2:$J$100,MATCH(C1933,Produk!$A$2:$A$100,0)),"PRODUK?"))</f>
        <v/>
      </c>
      <c r="G1933" s="29" t="str">
        <f aca="false">IF(A1933="","",IF(COUNTIF(Anggota!$A$2:$A$2001,A1933)=0,"TIDAK ADA","OK"))</f>
        <v/>
      </c>
    </row>
    <row r="1934" customFormat="false" ht="15" hidden="false" customHeight="false" outlineLevel="0" collapsed="false">
      <c r="A1934" s="21"/>
      <c r="B1934" s="22"/>
      <c r="C1934" s="21"/>
      <c r="D1934" s="24"/>
      <c r="E1934" s="22"/>
      <c r="F1934" s="29" t="str">
        <f aca="false">IF(C1934="","",IFERROR(INDEX(Produk!$J$2:$J$100,MATCH(C1934,Produk!$A$2:$A$100,0)),"PRODUK?"))</f>
        <v/>
      </c>
      <c r="G1934" s="29" t="str">
        <f aca="false">IF(A1934="","",IF(COUNTIF(Anggota!$A$2:$A$2001,A1934)=0,"TIDAK ADA","OK"))</f>
        <v/>
      </c>
    </row>
    <row r="1935" customFormat="false" ht="15" hidden="false" customHeight="false" outlineLevel="0" collapsed="false">
      <c r="A1935" s="21"/>
      <c r="B1935" s="22"/>
      <c r="C1935" s="21"/>
      <c r="D1935" s="24"/>
      <c r="E1935" s="22"/>
      <c r="F1935" s="29" t="str">
        <f aca="false">IF(C1935="","",IFERROR(INDEX(Produk!$J$2:$J$100,MATCH(C1935,Produk!$A$2:$A$100,0)),"PRODUK?"))</f>
        <v/>
      </c>
      <c r="G1935" s="29" t="str">
        <f aca="false">IF(A1935="","",IF(COUNTIF(Anggota!$A$2:$A$2001,A1935)=0,"TIDAK ADA","OK"))</f>
        <v/>
      </c>
    </row>
    <row r="1936" customFormat="false" ht="15" hidden="false" customHeight="false" outlineLevel="0" collapsed="false">
      <c r="A1936" s="21"/>
      <c r="B1936" s="22"/>
      <c r="C1936" s="21"/>
      <c r="D1936" s="24"/>
      <c r="E1936" s="22"/>
      <c r="F1936" s="29" t="str">
        <f aca="false">IF(C1936="","",IFERROR(INDEX(Produk!$J$2:$J$100,MATCH(C1936,Produk!$A$2:$A$100,0)),"PRODUK?"))</f>
        <v/>
      </c>
      <c r="G1936" s="29" t="str">
        <f aca="false">IF(A1936="","",IF(COUNTIF(Anggota!$A$2:$A$2001,A1936)=0,"TIDAK ADA","OK"))</f>
        <v/>
      </c>
    </row>
    <row r="1937" customFormat="false" ht="15" hidden="false" customHeight="false" outlineLevel="0" collapsed="false">
      <c r="A1937" s="21"/>
      <c r="B1937" s="22"/>
      <c r="C1937" s="21"/>
      <c r="D1937" s="24"/>
      <c r="E1937" s="22"/>
      <c r="F1937" s="29" t="str">
        <f aca="false">IF(C1937="","",IFERROR(INDEX(Produk!$J$2:$J$100,MATCH(C1937,Produk!$A$2:$A$100,0)),"PRODUK?"))</f>
        <v/>
      </c>
      <c r="G1937" s="29" t="str">
        <f aca="false">IF(A1937="","",IF(COUNTIF(Anggota!$A$2:$A$2001,A1937)=0,"TIDAK ADA","OK"))</f>
        <v/>
      </c>
    </row>
    <row r="1938" customFormat="false" ht="15" hidden="false" customHeight="false" outlineLevel="0" collapsed="false">
      <c r="A1938" s="21"/>
      <c r="B1938" s="22"/>
      <c r="C1938" s="21"/>
      <c r="D1938" s="24"/>
      <c r="E1938" s="22"/>
      <c r="F1938" s="29" t="str">
        <f aca="false">IF(C1938="","",IFERROR(INDEX(Produk!$J$2:$J$100,MATCH(C1938,Produk!$A$2:$A$100,0)),"PRODUK?"))</f>
        <v/>
      </c>
      <c r="G1938" s="29" t="str">
        <f aca="false">IF(A1938="","",IF(COUNTIF(Anggota!$A$2:$A$2001,A1938)=0,"TIDAK ADA","OK"))</f>
        <v/>
      </c>
    </row>
    <row r="1939" customFormat="false" ht="15" hidden="false" customHeight="false" outlineLevel="0" collapsed="false">
      <c r="A1939" s="21"/>
      <c r="B1939" s="22"/>
      <c r="C1939" s="21"/>
      <c r="D1939" s="24"/>
      <c r="E1939" s="22"/>
      <c r="F1939" s="29" t="str">
        <f aca="false">IF(C1939="","",IFERROR(INDEX(Produk!$J$2:$J$100,MATCH(C1939,Produk!$A$2:$A$100,0)),"PRODUK?"))</f>
        <v/>
      </c>
      <c r="G1939" s="29" t="str">
        <f aca="false">IF(A1939="","",IF(COUNTIF(Anggota!$A$2:$A$2001,A1939)=0,"TIDAK ADA","OK"))</f>
        <v/>
      </c>
    </row>
    <row r="1940" customFormat="false" ht="15" hidden="false" customHeight="false" outlineLevel="0" collapsed="false">
      <c r="A1940" s="21"/>
      <c r="B1940" s="22"/>
      <c r="C1940" s="21"/>
      <c r="D1940" s="24"/>
      <c r="E1940" s="22"/>
      <c r="F1940" s="29" t="str">
        <f aca="false">IF(C1940="","",IFERROR(INDEX(Produk!$J$2:$J$100,MATCH(C1940,Produk!$A$2:$A$100,0)),"PRODUK?"))</f>
        <v/>
      </c>
      <c r="G1940" s="29" t="str">
        <f aca="false">IF(A1940="","",IF(COUNTIF(Anggota!$A$2:$A$2001,A1940)=0,"TIDAK ADA","OK"))</f>
        <v/>
      </c>
    </row>
    <row r="1941" customFormat="false" ht="15" hidden="false" customHeight="false" outlineLevel="0" collapsed="false">
      <c r="A1941" s="21"/>
      <c r="B1941" s="22"/>
      <c r="C1941" s="21"/>
      <c r="D1941" s="24"/>
      <c r="E1941" s="22"/>
      <c r="F1941" s="29" t="str">
        <f aca="false">IF(C1941="","",IFERROR(INDEX(Produk!$J$2:$J$100,MATCH(C1941,Produk!$A$2:$A$100,0)),"PRODUK?"))</f>
        <v/>
      </c>
      <c r="G1941" s="29" t="str">
        <f aca="false">IF(A1941="","",IF(COUNTIF(Anggota!$A$2:$A$2001,A1941)=0,"TIDAK ADA","OK"))</f>
        <v/>
      </c>
    </row>
    <row r="1942" customFormat="false" ht="15" hidden="false" customHeight="false" outlineLevel="0" collapsed="false">
      <c r="A1942" s="21"/>
      <c r="B1942" s="22"/>
      <c r="C1942" s="21"/>
      <c r="D1942" s="24"/>
      <c r="E1942" s="22"/>
      <c r="F1942" s="29" t="str">
        <f aca="false">IF(C1942="","",IFERROR(INDEX(Produk!$J$2:$J$100,MATCH(C1942,Produk!$A$2:$A$100,0)),"PRODUK?"))</f>
        <v/>
      </c>
      <c r="G1942" s="29" t="str">
        <f aca="false">IF(A1942="","",IF(COUNTIF(Anggota!$A$2:$A$2001,A1942)=0,"TIDAK ADA","OK"))</f>
        <v/>
      </c>
    </row>
    <row r="1943" customFormat="false" ht="15" hidden="false" customHeight="false" outlineLevel="0" collapsed="false">
      <c r="A1943" s="21"/>
      <c r="B1943" s="22"/>
      <c r="C1943" s="21"/>
      <c r="D1943" s="24"/>
      <c r="E1943" s="22"/>
      <c r="F1943" s="29" t="str">
        <f aca="false">IF(C1943="","",IFERROR(INDEX(Produk!$J$2:$J$100,MATCH(C1943,Produk!$A$2:$A$100,0)),"PRODUK?"))</f>
        <v/>
      </c>
      <c r="G1943" s="29" t="str">
        <f aca="false">IF(A1943="","",IF(COUNTIF(Anggota!$A$2:$A$2001,A1943)=0,"TIDAK ADA","OK"))</f>
        <v/>
      </c>
    </row>
    <row r="1944" customFormat="false" ht="15" hidden="false" customHeight="false" outlineLevel="0" collapsed="false">
      <c r="A1944" s="21"/>
      <c r="B1944" s="22"/>
      <c r="C1944" s="21"/>
      <c r="D1944" s="24"/>
      <c r="E1944" s="22"/>
      <c r="F1944" s="29" t="str">
        <f aca="false">IF(C1944="","",IFERROR(INDEX(Produk!$J$2:$J$100,MATCH(C1944,Produk!$A$2:$A$100,0)),"PRODUK?"))</f>
        <v/>
      </c>
      <c r="G1944" s="29" t="str">
        <f aca="false">IF(A1944="","",IF(COUNTIF(Anggota!$A$2:$A$2001,A1944)=0,"TIDAK ADA","OK"))</f>
        <v/>
      </c>
    </row>
    <row r="1945" customFormat="false" ht="15" hidden="false" customHeight="false" outlineLevel="0" collapsed="false">
      <c r="A1945" s="21"/>
      <c r="B1945" s="22"/>
      <c r="C1945" s="21"/>
      <c r="D1945" s="24"/>
      <c r="E1945" s="22"/>
      <c r="F1945" s="29" t="str">
        <f aca="false">IF(C1945="","",IFERROR(INDEX(Produk!$J$2:$J$100,MATCH(C1945,Produk!$A$2:$A$100,0)),"PRODUK?"))</f>
        <v/>
      </c>
      <c r="G1945" s="29" t="str">
        <f aca="false">IF(A1945="","",IF(COUNTIF(Anggota!$A$2:$A$2001,A1945)=0,"TIDAK ADA","OK"))</f>
        <v/>
      </c>
    </row>
    <row r="1946" customFormat="false" ht="15" hidden="false" customHeight="false" outlineLevel="0" collapsed="false">
      <c r="A1946" s="21"/>
      <c r="B1946" s="22"/>
      <c r="C1946" s="21"/>
      <c r="D1946" s="24"/>
      <c r="E1946" s="22"/>
      <c r="F1946" s="29" t="str">
        <f aca="false">IF(C1946="","",IFERROR(INDEX(Produk!$J$2:$J$100,MATCH(C1946,Produk!$A$2:$A$100,0)),"PRODUK?"))</f>
        <v/>
      </c>
      <c r="G1946" s="29" t="str">
        <f aca="false">IF(A1946="","",IF(COUNTIF(Anggota!$A$2:$A$2001,A1946)=0,"TIDAK ADA","OK"))</f>
        <v/>
      </c>
    </row>
    <row r="1947" customFormat="false" ht="15" hidden="false" customHeight="false" outlineLevel="0" collapsed="false">
      <c r="A1947" s="21"/>
      <c r="B1947" s="22"/>
      <c r="C1947" s="21"/>
      <c r="D1947" s="24"/>
      <c r="E1947" s="22"/>
      <c r="F1947" s="29" t="str">
        <f aca="false">IF(C1947="","",IFERROR(INDEX(Produk!$J$2:$J$100,MATCH(C1947,Produk!$A$2:$A$100,0)),"PRODUK?"))</f>
        <v/>
      </c>
      <c r="G1947" s="29" t="str">
        <f aca="false">IF(A1947="","",IF(COUNTIF(Anggota!$A$2:$A$2001,A1947)=0,"TIDAK ADA","OK"))</f>
        <v/>
      </c>
    </row>
    <row r="1948" customFormat="false" ht="15" hidden="false" customHeight="false" outlineLevel="0" collapsed="false">
      <c r="A1948" s="21"/>
      <c r="B1948" s="22"/>
      <c r="C1948" s="21"/>
      <c r="D1948" s="24"/>
      <c r="E1948" s="22"/>
      <c r="F1948" s="29" t="str">
        <f aca="false">IF(C1948="","",IFERROR(INDEX(Produk!$J$2:$J$100,MATCH(C1948,Produk!$A$2:$A$100,0)),"PRODUK?"))</f>
        <v/>
      </c>
      <c r="G1948" s="29" t="str">
        <f aca="false">IF(A1948="","",IF(COUNTIF(Anggota!$A$2:$A$2001,A1948)=0,"TIDAK ADA","OK"))</f>
        <v/>
      </c>
    </row>
    <row r="1949" customFormat="false" ht="15" hidden="false" customHeight="false" outlineLevel="0" collapsed="false">
      <c r="A1949" s="21"/>
      <c r="B1949" s="22"/>
      <c r="C1949" s="21"/>
      <c r="D1949" s="24"/>
      <c r="E1949" s="22"/>
      <c r="F1949" s="29" t="str">
        <f aca="false">IF(C1949="","",IFERROR(INDEX(Produk!$J$2:$J$100,MATCH(C1949,Produk!$A$2:$A$100,0)),"PRODUK?"))</f>
        <v/>
      </c>
      <c r="G1949" s="29" t="str">
        <f aca="false">IF(A1949="","",IF(COUNTIF(Anggota!$A$2:$A$2001,A1949)=0,"TIDAK ADA","OK"))</f>
        <v/>
      </c>
    </row>
    <row r="1950" customFormat="false" ht="15" hidden="false" customHeight="false" outlineLevel="0" collapsed="false">
      <c r="A1950" s="21"/>
      <c r="B1950" s="22"/>
      <c r="C1950" s="21"/>
      <c r="D1950" s="24"/>
      <c r="E1950" s="22"/>
      <c r="F1950" s="29" t="str">
        <f aca="false">IF(C1950="","",IFERROR(INDEX(Produk!$J$2:$J$100,MATCH(C1950,Produk!$A$2:$A$100,0)),"PRODUK?"))</f>
        <v/>
      </c>
      <c r="G1950" s="29" t="str">
        <f aca="false">IF(A1950="","",IF(COUNTIF(Anggota!$A$2:$A$2001,A1950)=0,"TIDAK ADA","OK"))</f>
        <v/>
      </c>
    </row>
    <row r="1951" customFormat="false" ht="15" hidden="false" customHeight="false" outlineLevel="0" collapsed="false">
      <c r="A1951" s="21"/>
      <c r="B1951" s="22"/>
      <c r="C1951" s="21"/>
      <c r="D1951" s="24"/>
      <c r="E1951" s="22"/>
      <c r="F1951" s="29" t="str">
        <f aca="false">IF(C1951="","",IFERROR(INDEX(Produk!$J$2:$J$100,MATCH(C1951,Produk!$A$2:$A$100,0)),"PRODUK?"))</f>
        <v/>
      </c>
      <c r="G1951" s="29" t="str">
        <f aca="false">IF(A1951="","",IF(COUNTIF(Anggota!$A$2:$A$2001,A1951)=0,"TIDAK ADA","OK"))</f>
        <v/>
      </c>
    </row>
    <row r="1952" customFormat="false" ht="15" hidden="false" customHeight="false" outlineLevel="0" collapsed="false">
      <c r="A1952" s="21"/>
      <c r="B1952" s="22"/>
      <c r="C1952" s="21"/>
      <c r="D1952" s="24"/>
      <c r="E1952" s="22"/>
      <c r="F1952" s="29" t="str">
        <f aca="false">IF(C1952="","",IFERROR(INDEX(Produk!$J$2:$J$100,MATCH(C1952,Produk!$A$2:$A$100,0)),"PRODUK?"))</f>
        <v/>
      </c>
      <c r="G1952" s="29" t="str">
        <f aca="false">IF(A1952="","",IF(COUNTIF(Anggota!$A$2:$A$2001,A1952)=0,"TIDAK ADA","OK"))</f>
        <v/>
      </c>
    </row>
    <row r="1953" customFormat="false" ht="15" hidden="false" customHeight="false" outlineLevel="0" collapsed="false">
      <c r="A1953" s="21"/>
      <c r="B1953" s="22"/>
      <c r="C1953" s="21"/>
      <c r="D1953" s="24"/>
      <c r="E1953" s="22"/>
      <c r="F1953" s="29" t="str">
        <f aca="false">IF(C1953="","",IFERROR(INDEX(Produk!$J$2:$J$100,MATCH(C1953,Produk!$A$2:$A$100,0)),"PRODUK?"))</f>
        <v/>
      </c>
      <c r="G1953" s="29" t="str">
        <f aca="false">IF(A1953="","",IF(COUNTIF(Anggota!$A$2:$A$2001,A1953)=0,"TIDAK ADA","OK"))</f>
        <v/>
      </c>
    </row>
    <row r="1954" customFormat="false" ht="15" hidden="false" customHeight="false" outlineLevel="0" collapsed="false">
      <c r="A1954" s="21"/>
      <c r="B1954" s="22"/>
      <c r="C1954" s="21"/>
      <c r="D1954" s="24"/>
      <c r="E1954" s="22"/>
      <c r="F1954" s="29" t="str">
        <f aca="false">IF(C1954="","",IFERROR(INDEX(Produk!$J$2:$J$100,MATCH(C1954,Produk!$A$2:$A$100,0)),"PRODUK?"))</f>
        <v/>
      </c>
      <c r="G1954" s="29" t="str">
        <f aca="false">IF(A1954="","",IF(COUNTIF(Anggota!$A$2:$A$2001,A1954)=0,"TIDAK ADA","OK"))</f>
        <v/>
      </c>
    </row>
    <row r="1955" customFormat="false" ht="15" hidden="false" customHeight="false" outlineLevel="0" collapsed="false">
      <c r="A1955" s="21"/>
      <c r="B1955" s="22"/>
      <c r="C1955" s="21"/>
      <c r="D1955" s="24"/>
      <c r="E1955" s="22"/>
      <c r="F1955" s="29" t="str">
        <f aca="false">IF(C1955="","",IFERROR(INDEX(Produk!$J$2:$J$100,MATCH(C1955,Produk!$A$2:$A$100,0)),"PRODUK?"))</f>
        <v/>
      </c>
      <c r="G1955" s="29" t="str">
        <f aca="false">IF(A1955="","",IF(COUNTIF(Anggota!$A$2:$A$2001,A1955)=0,"TIDAK ADA","OK"))</f>
        <v/>
      </c>
    </row>
    <row r="1956" customFormat="false" ht="15" hidden="false" customHeight="false" outlineLevel="0" collapsed="false">
      <c r="A1956" s="21"/>
      <c r="B1956" s="22"/>
      <c r="C1956" s="21"/>
      <c r="D1956" s="24"/>
      <c r="E1956" s="22"/>
      <c r="F1956" s="29" t="str">
        <f aca="false">IF(C1956="","",IFERROR(INDEX(Produk!$J$2:$J$100,MATCH(C1956,Produk!$A$2:$A$100,0)),"PRODUK?"))</f>
        <v/>
      </c>
      <c r="G1956" s="29" t="str">
        <f aca="false">IF(A1956="","",IF(COUNTIF(Anggota!$A$2:$A$2001,A1956)=0,"TIDAK ADA","OK"))</f>
        <v/>
      </c>
    </row>
    <row r="1957" customFormat="false" ht="15" hidden="false" customHeight="false" outlineLevel="0" collapsed="false">
      <c r="A1957" s="21"/>
      <c r="B1957" s="22"/>
      <c r="C1957" s="21"/>
      <c r="D1957" s="24"/>
      <c r="E1957" s="22"/>
      <c r="F1957" s="29" t="str">
        <f aca="false">IF(C1957="","",IFERROR(INDEX(Produk!$J$2:$J$100,MATCH(C1957,Produk!$A$2:$A$100,0)),"PRODUK?"))</f>
        <v/>
      </c>
      <c r="G1957" s="29" t="str">
        <f aca="false">IF(A1957="","",IF(COUNTIF(Anggota!$A$2:$A$2001,A1957)=0,"TIDAK ADA","OK"))</f>
        <v/>
      </c>
    </row>
    <row r="1958" customFormat="false" ht="15" hidden="false" customHeight="false" outlineLevel="0" collapsed="false">
      <c r="A1958" s="21"/>
      <c r="B1958" s="22"/>
      <c r="C1958" s="21"/>
      <c r="D1958" s="24"/>
      <c r="E1958" s="22"/>
      <c r="F1958" s="29" t="str">
        <f aca="false">IF(C1958="","",IFERROR(INDEX(Produk!$J$2:$J$100,MATCH(C1958,Produk!$A$2:$A$100,0)),"PRODUK?"))</f>
        <v/>
      </c>
      <c r="G1958" s="29" t="str">
        <f aca="false">IF(A1958="","",IF(COUNTIF(Anggota!$A$2:$A$2001,A1958)=0,"TIDAK ADA","OK"))</f>
        <v/>
      </c>
    </row>
    <row r="1959" customFormat="false" ht="15" hidden="false" customHeight="false" outlineLevel="0" collapsed="false">
      <c r="A1959" s="21"/>
      <c r="B1959" s="22"/>
      <c r="C1959" s="21"/>
      <c r="D1959" s="24"/>
      <c r="E1959" s="22"/>
      <c r="F1959" s="29" t="str">
        <f aca="false">IF(C1959="","",IFERROR(INDEX(Produk!$J$2:$J$100,MATCH(C1959,Produk!$A$2:$A$100,0)),"PRODUK?"))</f>
        <v/>
      </c>
      <c r="G1959" s="29" t="str">
        <f aca="false">IF(A1959="","",IF(COUNTIF(Anggota!$A$2:$A$2001,A1959)=0,"TIDAK ADA","OK"))</f>
        <v/>
      </c>
    </row>
    <row r="1960" customFormat="false" ht="15" hidden="false" customHeight="false" outlineLevel="0" collapsed="false">
      <c r="A1960" s="21"/>
      <c r="B1960" s="22"/>
      <c r="C1960" s="21"/>
      <c r="D1960" s="24"/>
      <c r="E1960" s="22"/>
      <c r="F1960" s="29" t="str">
        <f aca="false">IF(C1960="","",IFERROR(INDEX(Produk!$J$2:$J$100,MATCH(C1960,Produk!$A$2:$A$100,0)),"PRODUK?"))</f>
        <v/>
      </c>
      <c r="G1960" s="29" t="str">
        <f aca="false">IF(A1960="","",IF(COUNTIF(Anggota!$A$2:$A$2001,A1960)=0,"TIDAK ADA","OK"))</f>
        <v/>
      </c>
    </row>
    <row r="1961" customFormat="false" ht="15" hidden="false" customHeight="false" outlineLevel="0" collapsed="false">
      <c r="A1961" s="21"/>
      <c r="B1961" s="22"/>
      <c r="C1961" s="21"/>
      <c r="D1961" s="24"/>
      <c r="E1961" s="22"/>
      <c r="F1961" s="29" t="str">
        <f aca="false">IF(C1961="","",IFERROR(INDEX(Produk!$J$2:$J$100,MATCH(C1961,Produk!$A$2:$A$100,0)),"PRODUK?"))</f>
        <v/>
      </c>
      <c r="G1961" s="29" t="str">
        <f aca="false">IF(A1961="","",IF(COUNTIF(Anggota!$A$2:$A$2001,A1961)=0,"TIDAK ADA","OK"))</f>
        <v/>
      </c>
    </row>
    <row r="1962" customFormat="false" ht="15" hidden="false" customHeight="false" outlineLevel="0" collapsed="false">
      <c r="A1962" s="21"/>
      <c r="B1962" s="22"/>
      <c r="C1962" s="21"/>
      <c r="D1962" s="24"/>
      <c r="E1962" s="22"/>
      <c r="F1962" s="29" t="str">
        <f aca="false">IF(C1962="","",IFERROR(INDEX(Produk!$J$2:$J$100,MATCH(C1962,Produk!$A$2:$A$100,0)),"PRODUK?"))</f>
        <v/>
      </c>
      <c r="G1962" s="29" t="str">
        <f aca="false">IF(A1962="","",IF(COUNTIF(Anggota!$A$2:$A$2001,A1962)=0,"TIDAK ADA","OK"))</f>
        <v/>
      </c>
    </row>
    <row r="1963" customFormat="false" ht="15" hidden="false" customHeight="false" outlineLevel="0" collapsed="false">
      <c r="A1963" s="21"/>
      <c r="B1963" s="22"/>
      <c r="C1963" s="21"/>
      <c r="D1963" s="24"/>
      <c r="E1963" s="22"/>
      <c r="F1963" s="29" t="str">
        <f aca="false">IF(C1963="","",IFERROR(INDEX(Produk!$J$2:$J$100,MATCH(C1963,Produk!$A$2:$A$100,0)),"PRODUK?"))</f>
        <v/>
      </c>
      <c r="G1963" s="29" t="str">
        <f aca="false">IF(A1963="","",IF(COUNTIF(Anggota!$A$2:$A$2001,A1963)=0,"TIDAK ADA","OK"))</f>
        <v/>
      </c>
    </row>
    <row r="1964" customFormat="false" ht="15" hidden="false" customHeight="false" outlineLevel="0" collapsed="false">
      <c r="A1964" s="21"/>
      <c r="B1964" s="22"/>
      <c r="C1964" s="21"/>
      <c r="D1964" s="24"/>
      <c r="E1964" s="22"/>
      <c r="F1964" s="29" t="str">
        <f aca="false">IF(C1964="","",IFERROR(INDEX(Produk!$J$2:$J$100,MATCH(C1964,Produk!$A$2:$A$100,0)),"PRODUK?"))</f>
        <v/>
      </c>
      <c r="G1964" s="29" t="str">
        <f aca="false">IF(A1964="","",IF(COUNTIF(Anggota!$A$2:$A$2001,A1964)=0,"TIDAK ADA","OK"))</f>
        <v/>
      </c>
    </row>
    <row r="1965" customFormat="false" ht="15" hidden="false" customHeight="false" outlineLevel="0" collapsed="false">
      <c r="A1965" s="21"/>
      <c r="B1965" s="22"/>
      <c r="C1965" s="21"/>
      <c r="D1965" s="24"/>
      <c r="E1965" s="22"/>
      <c r="F1965" s="29" t="str">
        <f aca="false">IF(C1965="","",IFERROR(INDEX(Produk!$J$2:$J$100,MATCH(C1965,Produk!$A$2:$A$100,0)),"PRODUK?"))</f>
        <v/>
      </c>
      <c r="G1965" s="29" t="str">
        <f aca="false">IF(A1965="","",IF(COUNTIF(Anggota!$A$2:$A$2001,A1965)=0,"TIDAK ADA","OK"))</f>
        <v/>
      </c>
    </row>
    <row r="1966" customFormat="false" ht="15" hidden="false" customHeight="false" outlineLevel="0" collapsed="false">
      <c r="A1966" s="21"/>
      <c r="B1966" s="22"/>
      <c r="C1966" s="21"/>
      <c r="D1966" s="24"/>
      <c r="E1966" s="22"/>
      <c r="F1966" s="29" t="str">
        <f aca="false">IF(C1966="","",IFERROR(INDEX(Produk!$J$2:$J$100,MATCH(C1966,Produk!$A$2:$A$100,0)),"PRODUK?"))</f>
        <v/>
      </c>
      <c r="G1966" s="29" t="str">
        <f aca="false">IF(A1966="","",IF(COUNTIF(Anggota!$A$2:$A$2001,A1966)=0,"TIDAK ADA","OK"))</f>
        <v/>
      </c>
    </row>
    <row r="1967" customFormat="false" ht="15" hidden="false" customHeight="false" outlineLevel="0" collapsed="false">
      <c r="A1967" s="21"/>
      <c r="B1967" s="22"/>
      <c r="C1967" s="21"/>
      <c r="D1967" s="24"/>
      <c r="E1967" s="22"/>
      <c r="F1967" s="29" t="str">
        <f aca="false">IF(C1967="","",IFERROR(INDEX(Produk!$J$2:$J$100,MATCH(C1967,Produk!$A$2:$A$100,0)),"PRODUK?"))</f>
        <v/>
      </c>
      <c r="G1967" s="29" t="str">
        <f aca="false">IF(A1967="","",IF(COUNTIF(Anggota!$A$2:$A$2001,A1967)=0,"TIDAK ADA","OK"))</f>
        <v/>
      </c>
    </row>
    <row r="1968" customFormat="false" ht="15" hidden="false" customHeight="false" outlineLevel="0" collapsed="false">
      <c r="A1968" s="21"/>
      <c r="B1968" s="22"/>
      <c r="C1968" s="21"/>
      <c r="D1968" s="24"/>
      <c r="E1968" s="22"/>
      <c r="F1968" s="29" t="str">
        <f aca="false">IF(C1968="","",IFERROR(INDEX(Produk!$J$2:$J$100,MATCH(C1968,Produk!$A$2:$A$100,0)),"PRODUK?"))</f>
        <v/>
      </c>
      <c r="G1968" s="29" t="str">
        <f aca="false">IF(A1968="","",IF(COUNTIF(Anggota!$A$2:$A$2001,A1968)=0,"TIDAK ADA","OK"))</f>
        <v/>
      </c>
    </row>
    <row r="1969" customFormat="false" ht="15" hidden="false" customHeight="false" outlineLevel="0" collapsed="false">
      <c r="A1969" s="21"/>
      <c r="B1969" s="22"/>
      <c r="C1969" s="21"/>
      <c r="D1969" s="24"/>
      <c r="E1969" s="22"/>
      <c r="F1969" s="29" t="str">
        <f aca="false">IF(C1969="","",IFERROR(INDEX(Produk!$J$2:$J$100,MATCH(C1969,Produk!$A$2:$A$100,0)),"PRODUK?"))</f>
        <v/>
      </c>
      <c r="G1969" s="29" t="str">
        <f aca="false">IF(A1969="","",IF(COUNTIF(Anggota!$A$2:$A$2001,A1969)=0,"TIDAK ADA","OK"))</f>
        <v/>
      </c>
    </row>
    <row r="1970" customFormat="false" ht="15" hidden="false" customHeight="false" outlineLevel="0" collapsed="false">
      <c r="A1970" s="21"/>
      <c r="B1970" s="22"/>
      <c r="C1970" s="21"/>
      <c r="D1970" s="24"/>
      <c r="E1970" s="22"/>
      <c r="F1970" s="29" t="str">
        <f aca="false">IF(C1970="","",IFERROR(INDEX(Produk!$J$2:$J$100,MATCH(C1970,Produk!$A$2:$A$100,0)),"PRODUK?"))</f>
        <v/>
      </c>
      <c r="G1970" s="29" t="str">
        <f aca="false">IF(A1970="","",IF(COUNTIF(Anggota!$A$2:$A$2001,A1970)=0,"TIDAK ADA","OK"))</f>
        <v/>
      </c>
    </row>
    <row r="1971" customFormat="false" ht="15" hidden="false" customHeight="false" outlineLevel="0" collapsed="false">
      <c r="A1971" s="21"/>
      <c r="B1971" s="22"/>
      <c r="C1971" s="21"/>
      <c r="D1971" s="24"/>
      <c r="E1971" s="22"/>
      <c r="F1971" s="29" t="str">
        <f aca="false">IF(C1971="","",IFERROR(INDEX(Produk!$J$2:$J$100,MATCH(C1971,Produk!$A$2:$A$100,0)),"PRODUK?"))</f>
        <v/>
      </c>
      <c r="G1971" s="29" t="str">
        <f aca="false">IF(A1971="","",IF(COUNTIF(Anggota!$A$2:$A$2001,A1971)=0,"TIDAK ADA","OK"))</f>
        <v/>
      </c>
    </row>
    <row r="1972" customFormat="false" ht="15" hidden="false" customHeight="false" outlineLevel="0" collapsed="false">
      <c r="A1972" s="21"/>
      <c r="B1972" s="22"/>
      <c r="C1972" s="21"/>
      <c r="D1972" s="24"/>
      <c r="E1972" s="22"/>
      <c r="F1972" s="29" t="str">
        <f aca="false">IF(C1972="","",IFERROR(INDEX(Produk!$J$2:$J$100,MATCH(C1972,Produk!$A$2:$A$100,0)),"PRODUK?"))</f>
        <v/>
      </c>
      <c r="G1972" s="29" t="str">
        <f aca="false">IF(A1972="","",IF(COUNTIF(Anggota!$A$2:$A$2001,A1972)=0,"TIDAK ADA","OK"))</f>
        <v/>
      </c>
    </row>
    <row r="1973" customFormat="false" ht="15" hidden="false" customHeight="false" outlineLevel="0" collapsed="false">
      <c r="A1973" s="21"/>
      <c r="B1973" s="22"/>
      <c r="C1973" s="21"/>
      <c r="D1973" s="24"/>
      <c r="E1973" s="22"/>
      <c r="F1973" s="29" t="str">
        <f aca="false">IF(C1973="","",IFERROR(INDEX(Produk!$J$2:$J$100,MATCH(C1973,Produk!$A$2:$A$100,0)),"PRODUK?"))</f>
        <v/>
      </c>
      <c r="G1973" s="29" t="str">
        <f aca="false">IF(A1973="","",IF(COUNTIF(Anggota!$A$2:$A$2001,A1973)=0,"TIDAK ADA","OK"))</f>
        <v/>
      </c>
    </row>
    <row r="1974" customFormat="false" ht="15" hidden="false" customHeight="false" outlineLevel="0" collapsed="false">
      <c r="A1974" s="21"/>
      <c r="B1974" s="22"/>
      <c r="C1974" s="21"/>
      <c r="D1974" s="24"/>
      <c r="E1974" s="22"/>
      <c r="F1974" s="29" t="str">
        <f aca="false">IF(C1974="","",IFERROR(INDEX(Produk!$J$2:$J$100,MATCH(C1974,Produk!$A$2:$A$100,0)),"PRODUK?"))</f>
        <v/>
      </c>
      <c r="G1974" s="29" t="str">
        <f aca="false">IF(A1974="","",IF(COUNTIF(Anggota!$A$2:$A$2001,A1974)=0,"TIDAK ADA","OK"))</f>
        <v/>
      </c>
    </row>
    <row r="1975" customFormat="false" ht="15" hidden="false" customHeight="false" outlineLevel="0" collapsed="false">
      <c r="A1975" s="21"/>
      <c r="B1975" s="22"/>
      <c r="C1975" s="21"/>
      <c r="D1975" s="24"/>
      <c r="E1975" s="22"/>
      <c r="F1975" s="29" t="str">
        <f aca="false">IF(C1975="","",IFERROR(INDEX(Produk!$J$2:$J$100,MATCH(C1975,Produk!$A$2:$A$100,0)),"PRODUK?"))</f>
        <v/>
      </c>
      <c r="G1975" s="29" t="str">
        <f aca="false">IF(A1975="","",IF(COUNTIF(Anggota!$A$2:$A$2001,A1975)=0,"TIDAK ADA","OK"))</f>
        <v/>
      </c>
    </row>
    <row r="1976" customFormat="false" ht="15" hidden="false" customHeight="false" outlineLevel="0" collapsed="false">
      <c r="A1976" s="21"/>
      <c r="B1976" s="22"/>
      <c r="C1976" s="21"/>
      <c r="D1976" s="24"/>
      <c r="E1976" s="22"/>
      <c r="F1976" s="29" t="str">
        <f aca="false">IF(C1976="","",IFERROR(INDEX(Produk!$J$2:$J$100,MATCH(C1976,Produk!$A$2:$A$100,0)),"PRODUK?"))</f>
        <v/>
      </c>
      <c r="G1976" s="29" t="str">
        <f aca="false">IF(A1976="","",IF(COUNTIF(Anggota!$A$2:$A$2001,A1976)=0,"TIDAK ADA","OK"))</f>
        <v/>
      </c>
    </row>
    <row r="1977" customFormat="false" ht="15" hidden="false" customHeight="false" outlineLevel="0" collapsed="false">
      <c r="A1977" s="21"/>
      <c r="B1977" s="22"/>
      <c r="C1977" s="21"/>
      <c r="D1977" s="24"/>
      <c r="E1977" s="22"/>
      <c r="F1977" s="29" t="str">
        <f aca="false">IF(C1977="","",IFERROR(INDEX(Produk!$J$2:$J$100,MATCH(C1977,Produk!$A$2:$A$100,0)),"PRODUK?"))</f>
        <v/>
      </c>
      <c r="G1977" s="29" t="str">
        <f aca="false">IF(A1977="","",IF(COUNTIF(Anggota!$A$2:$A$2001,A1977)=0,"TIDAK ADA","OK"))</f>
        <v/>
      </c>
    </row>
    <row r="1978" customFormat="false" ht="15" hidden="false" customHeight="false" outlineLevel="0" collapsed="false">
      <c r="A1978" s="21"/>
      <c r="B1978" s="22"/>
      <c r="C1978" s="21"/>
      <c r="D1978" s="24"/>
      <c r="E1978" s="22"/>
      <c r="F1978" s="29" t="str">
        <f aca="false">IF(C1978="","",IFERROR(INDEX(Produk!$J$2:$J$100,MATCH(C1978,Produk!$A$2:$A$100,0)),"PRODUK?"))</f>
        <v/>
      </c>
      <c r="G1978" s="29" t="str">
        <f aca="false">IF(A1978="","",IF(COUNTIF(Anggota!$A$2:$A$2001,A1978)=0,"TIDAK ADA","OK"))</f>
        <v/>
      </c>
    </row>
    <row r="1979" customFormat="false" ht="15" hidden="false" customHeight="false" outlineLevel="0" collapsed="false">
      <c r="A1979" s="21"/>
      <c r="B1979" s="22"/>
      <c r="C1979" s="21"/>
      <c r="D1979" s="24"/>
      <c r="E1979" s="22"/>
      <c r="F1979" s="29" t="str">
        <f aca="false">IF(C1979="","",IFERROR(INDEX(Produk!$J$2:$J$100,MATCH(C1979,Produk!$A$2:$A$100,0)),"PRODUK?"))</f>
        <v/>
      </c>
      <c r="G1979" s="29" t="str">
        <f aca="false">IF(A1979="","",IF(COUNTIF(Anggota!$A$2:$A$2001,A1979)=0,"TIDAK ADA","OK"))</f>
        <v/>
      </c>
    </row>
    <row r="1980" customFormat="false" ht="15" hidden="false" customHeight="false" outlineLevel="0" collapsed="false">
      <c r="A1980" s="21"/>
      <c r="B1980" s="22"/>
      <c r="C1980" s="21"/>
      <c r="D1980" s="24"/>
      <c r="E1980" s="22"/>
      <c r="F1980" s="29" t="str">
        <f aca="false">IF(C1980="","",IFERROR(INDEX(Produk!$J$2:$J$100,MATCH(C1980,Produk!$A$2:$A$100,0)),"PRODUK?"))</f>
        <v/>
      </c>
      <c r="G1980" s="29" t="str">
        <f aca="false">IF(A1980="","",IF(COUNTIF(Anggota!$A$2:$A$2001,A1980)=0,"TIDAK ADA","OK"))</f>
        <v/>
      </c>
    </row>
    <row r="1981" customFormat="false" ht="15" hidden="false" customHeight="false" outlineLevel="0" collapsed="false">
      <c r="A1981" s="21"/>
      <c r="B1981" s="22"/>
      <c r="C1981" s="21"/>
      <c r="D1981" s="24"/>
      <c r="E1981" s="22"/>
      <c r="F1981" s="29" t="str">
        <f aca="false">IF(C1981="","",IFERROR(INDEX(Produk!$J$2:$J$100,MATCH(C1981,Produk!$A$2:$A$100,0)),"PRODUK?"))</f>
        <v/>
      </c>
      <c r="G1981" s="29" t="str">
        <f aca="false">IF(A1981="","",IF(COUNTIF(Anggota!$A$2:$A$2001,A1981)=0,"TIDAK ADA","OK"))</f>
        <v/>
      </c>
    </row>
    <row r="1982" customFormat="false" ht="15" hidden="false" customHeight="false" outlineLevel="0" collapsed="false">
      <c r="A1982" s="21"/>
      <c r="B1982" s="22"/>
      <c r="C1982" s="21"/>
      <c r="D1982" s="24"/>
      <c r="E1982" s="22"/>
      <c r="F1982" s="29" t="str">
        <f aca="false">IF(C1982="","",IFERROR(INDEX(Produk!$J$2:$J$100,MATCH(C1982,Produk!$A$2:$A$100,0)),"PRODUK?"))</f>
        <v/>
      </c>
      <c r="G1982" s="29" t="str">
        <f aca="false">IF(A1982="","",IF(COUNTIF(Anggota!$A$2:$A$2001,A1982)=0,"TIDAK ADA","OK"))</f>
        <v/>
      </c>
    </row>
    <row r="1983" customFormat="false" ht="15" hidden="false" customHeight="false" outlineLevel="0" collapsed="false">
      <c r="A1983" s="21"/>
      <c r="B1983" s="22"/>
      <c r="C1983" s="21"/>
      <c r="D1983" s="24"/>
      <c r="E1983" s="22"/>
      <c r="F1983" s="29" t="str">
        <f aca="false">IF(C1983="","",IFERROR(INDEX(Produk!$J$2:$J$100,MATCH(C1983,Produk!$A$2:$A$100,0)),"PRODUK?"))</f>
        <v/>
      </c>
      <c r="G1983" s="29" t="str">
        <f aca="false">IF(A1983="","",IF(COUNTIF(Anggota!$A$2:$A$2001,A1983)=0,"TIDAK ADA","OK"))</f>
        <v/>
      </c>
    </row>
    <row r="1984" customFormat="false" ht="15" hidden="false" customHeight="false" outlineLevel="0" collapsed="false">
      <c r="A1984" s="21"/>
      <c r="B1984" s="22"/>
      <c r="C1984" s="21"/>
      <c r="D1984" s="24"/>
      <c r="E1984" s="22"/>
      <c r="F1984" s="29" t="str">
        <f aca="false">IF(C1984="","",IFERROR(INDEX(Produk!$J$2:$J$100,MATCH(C1984,Produk!$A$2:$A$100,0)),"PRODUK?"))</f>
        <v/>
      </c>
      <c r="G1984" s="29" t="str">
        <f aca="false">IF(A1984="","",IF(COUNTIF(Anggota!$A$2:$A$2001,A1984)=0,"TIDAK ADA","OK"))</f>
        <v/>
      </c>
    </row>
    <row r="1985" customFormat="false" ht="15" hidden="false" customHeight="false" outlineLevel="0" collapsed="false">
      <c r="A1985" s="21"/>
      <c r="B1985" s="22"/>
      <c r="C1985" s="21"/>
      <c r="D1985" s="24"/>
      <c r="E1985" s="22"/>
      <c r="F1985" s="29" t="str">
        <f aca="false">IF(C1985="","",IFERROR(INDEX(Produk!$J$2:$J$100,MATCH(C1985,Produk!$A$2:$A$100,0)),"PRODUK?"))</f>
        <v/>
      </c>
      <c r="G1985" s="29" t="str">
        <f aca="false">IF(A1985="","",IF(COUNTIF(Anggota!$A$2:$A$2001,A1985)=0,"TIDAK ADA","OK"))</f>
        <v/>
      </c>
    </row>
    <row r="1986" customFormat="false" ht="15" hidden="false" customHeight="false" outlineLevel="0" collapsed="false">
      <c r="A1986" s="21"/>
      <c r="B1986" s="22"/>
      <c r="C1986" s="21"/>
      <c r="D1986" s="24"/>
      <c r="E1986" s="22"/>
      <c r="F1986" s="29" t="str">
        <f aca="false">IF(C1986="","",IFERROR(INDEX(Produk!$J$2:$J$100,MATCH(C1986,Produk!$A$2:$A$100,0)),"PRODUK?"))</f>
        <v/>
      </c>
      <c r="G1986" s="29" t="str">
        <f aca="false">IF(A1986="","",IF(COUNTIF(Anggota!$A$2:$A$2001,A1986)=0,"TIDAK ADA","OK"))</f>
        <v/>
      </c>
    </row>
    <row r="1987" customFormat="false" ht="15" hidden="false" customHeight="false" outlineLevel="0" collapsed="false">
      <c r="A1987" s="21"/>
      <c r="B1987" s="22"/>
      <c r="C1987" s="21"/>
      <c r="D1987" s="24"/>
      <c r="E1987" s="22"/>
      <c r="F1987" s="29" t="str">
        <f aca="false">IF(C1987="","",IFERROR(INDEX(Produk!$J$2:$J$100,MATCH(C1987,Produk!$A$2:$A$100,0)),"PRODUK?"))</f>
        <v/>
      </c>
      <c r="G1987" s="29" t="str">
        <f aca="false">IF(A1987="","",IF(COUNTIF(Anggota!$A$2:$A$2001,A1987)=0,"TIDAK ADA","OK"))</f>
        <v/>
      </c>
    </row>
    <row r="1988" customFormat="false" ht="15" hidden="false" customHeight="false" outlineLevel="0" collapsed="false">
      <c r="A1988" s="21"/>
      <c r="B1988" s="22"/>
      <c r="C1988" s="21"/>
      <c r="D1988" s="24"/>
      <c r="E1988" s="22"/>
      <c r="F1988" s="29" t="str">
        <f aca="false">IF(C1988="","",IFERROR(INDEX(Produk!$J$2:$J$100,MATCH(C1988,Produk!$A$2:$A$100,0)),"PRODUK?"))</f>
        <v/>
      </c>
      <c r="G1988" s="29" t="str">
        <f aca="false">IF(A1988="","",IF(COUNTIF(Anggota!$A$2:$A$2001,A1988)=0,"TIDAK ADA","OK"))</f>
        <v/>
      </c>
    </row>
    <row r="1989" customFormat="false" ht="15" hidden="false" customHeight="false" outlineLevel="0" collapsed="false">
      <c r="A1989" s="21"/>
      <c r="B1989" s="22"/>
      <c r="C1989" s="21"/>
      <c r="D1989" s="24"/>
      <c r="E1989" s="22"/>
      <c r="F1989" s="29" t="str">
        <f aca="false">IF(C1989="","",IFERROR(INDEX(Produk!$J$2:$J$100,MATCH(C1989,Produk!$A$2:$A$100,0)),"PRODUK?"))</f>
        <v/>
      </c>
      <c r="G1989" s="29" t="str">
        <f aca="false">IF(A1989="","",IF(COUNTIF(Anggota!$A$2:$A$2001,A1989)=0,"TIDAK ADA","OK"))</f>
        <v/>
      </c>
    </row>
    <row r="1990" customFormat="false" ht="15" hidden="false" customHeight="false" outlineLevel="0" collapsed="false">
      <c r="A1990" s="21"/>
      <c r="B1990" s="22"/>
      <c r="C1990" s="21"/>
      <c r="D1990" s="24"/>
      <c r="E1990" s="22"/>
      <c r="F1990" s="29" t="str">
        <f aca="false">IF(C1990="","",IFERROR(INDEX(Produk!$J$2:$J$100,MATCH(C1990,Produk!$A$2:$A$100,0)),"PRODUK?"))</f>
        <v/>
      </c>
      <c r="G1990" s="29" t="str">
        <f aca="false">IF(A1990="","",IF(COUNTIF(Anggota!$A$2:$A$2001,A1990)=0,"TIDAK ADA","OK"))</f>
        <v/>
      </c>
    </row>
    <row r="1991" customFormat="false" ht="15" hidden="false" customHeight="false" outlineLevel="0" collapsed="false">
      <c r="A1991" s="21"/>
      <c r="B1991" s="22"/>
      <c r="C1991" s="21"/>
      <c r="D1991" s="24"/>
      <c r="E1991" s="22"/>
      <c r="F1991" s="29" t="str">
        <f aca="false">IF(C1991="","",IFERROR(INDEX(Produk!$J$2:$J$100,MATCH(C1991,Produk!$A$2:$A$100,0)),"PRODUK?"))</f>
        <v/>
      </c>
      <c r="G1991" s="29" t="str">
        <f aca="false">IF(A1991="","",IF(COUNTIF(Anggota!$A$2:$A$2001,A1991)=0,"TIDAK ADA","OK"))</f>
        <v/>
      </c>
    </row>
    <row r="1992" customFormat="false" ht="15" hidden="false" customHeight="false" outlineLevel="0" collapsed="false">
      <c r="A1992" s="21"/>
      <c r="B1992" s="22"/>
      <c r="C1992" s="21"/>
      <c r="D1992" s="24"/>
      <c r="E1992" s="22"/>
      <c r="F1992" s="29" t="str">
        <f aca="false">IF(C1992="","",IFERROR(INDEX(Produk!$J$2:$J$100,MATCH(C1992,Produk!$A$2:$A$100,0)),"PRODUK?"))</f>
        <v/>
      </c>
      <c r="G1992" s="29" t="str">
        <f aca="false">IF(A1992="","",IF(COUNTIF(Anggota!$A$2:$A$2001,A1992)=0,"TIDAK ADA","OK"))</f>
        <v/>
      </c>
    </row>
    <row r="1993" customFormat="false" ht="15" hidden="false" customHeight="false" outlineLevel="0" collapsed="false">
      <c r="A1993" s="21"/>
      <c r="B1993" s="22"/>
      <c r="C1993" s="21"/>
      <c r="D1993" s="24"/>
      <c r="E1993" s="22"/>
      <c r="F1993" s="29" t="str">
        <f aca="false">IF(C1993="","",IFERROR(INDEX(Produk!$J$2:$J$100,MATCH(C1993,Produk!$A$2:$A$100,0)),"PRODUK?"))</f>
        <v/>
      </c>
      <c r="G1993" s="29" t="str">
        <f aca="false">IF(A1993="","",IF(COUNTIF(Anggota!$A$2:$A$2001,A1993)=0,"TIDAK ADA","OK"))</f>
        <v/>
      </c>
    </row>
    <row r="1994" customFormat="false" ht="15" hidden="false" customHeight="false" outlineLevel="0" collapsed="false">
      <c r="A1994" s="21"/>
      <c r="B1994" s="22"/>
      <c r="C1994" s="21"/>
      <c r="D1994" s="24"/>
      <c r="E1994" s="22"/>
      <c r="F1994" s="29" t="str">
        <f aca="false">IF(C1994="","",IFERROR(INDEX(Produk!$J$2:$J$100,MATCH(C1994,Produk!$A$2:$A$100,0)),"PRODUK?"))</f>
        <v/>
      </c>
      <c r="G1994" s="29" t="str">
        <f aca="false">IF(A1994="","",IF(COUNTIF(Anggota!$A$2:$A$2001,A1994)=0,"TIDAK ADA","OK"))</f>
        <v/>
      </c>
    </row>
    <row r="1995" customFormat="false" ht="15" hidden="false" customHeight="false" outlineLevel="0" collapsed="false">
      <c r="A1995" s="21"/>
      <c r="B1995" s="22"/>
      <c r="C1995" s="21"/>
      <c r="D1995" s="24"/>
      <c r="E1995" s="22"/>
      <c r="F1995" s="29" t="str">
        <f aca="false">IF(C1995="","",IFERROR(INDEX(Produk!$J$2:$J$100,MATCH(C1995,Produk!$A$2:$A$100,0)),"PRODUK?"))</f>
        <v/>
      </c>
      <c r="G1995" s="29" t="str">
        <f aca="false">IF(A1995="","",IF(COUNTIF(Anggota!$A$2:$A$2001,A1995)=0,"TIDAK ADA","OK"))</f>
        <v/>
      </c>
    </row>
    <row r="1996" customFormat="false" ht="15" hidden="false" customHeight="false" outlineLevel="0" collapsed="false">
      <c r="A1996" s="21"/>
      <c r="B1996" s="22"/>
      <c r="C1996" s="21"/>
      <c r="D1996" s="24"/>
      <c r="E1996" s="22"/>
      <c r="F1996" s="29" t="str">
        <f aca="false">IF(C1996="","",IFERROR(INDEX(Produk!$J$2:$J$100,MATCH(C1996,Produk!$A$2:$A$100,0)),"PRODUK?"))</f>
        <v/>
      </c>
      <c r="G1996" s="29" t="str">
        <f aca="false">IF(A1996="","",IF(COUNTIF(Anggota!$A$2:$A$2001,A1996)=0,"TIDAK ADA","OK"))</f>
        <v/>
      </c>
    </row>
    <row r="1997" customFormat="false" ht="15" hidden="false" customHeight="false" outlineLevel="0" collapsed="false">
      <c r="A1997" s="21"/>
      <c r="B1997" s="22"/>
      <c r="C1997" s="21"/>
      <c r="D1997" s="24"/>
      <c r="E1997" s="22"/>
      <c r="F1997" s="29" t="str">
        <f aca="false">IF(C1997="","",IFERROR(INDEX(Produk!$J$2:$J$100,MATCH(C1997,Produk!$A$2:$A$100,0)),"PRODUK?"))</f>
        <v/>
      </c>
      <c r="G1997" s="29" t="str">
        <f aca="false">IF(A1997="","",IF(COUNTIF(Anggota!$A$2:$A$2001,A1997)=0,"TIDAK ADA","OK"))</f>
        <v/>
      </c>
    </row>
    <row r="1998" customFormat="false" ht="15" hidden="false" customHeight="false" outlineLevel="0" collapsed="false">
      <c r="A1998" s="21"/>
      <c r="B1998" s="22"/>
      <c r="C1998" s="21"/>
      <c r="D1998" s="24"/>
      <c r="E1998" s="22"/>
      <c r="F1998" s="29" t="str">
        <f aca="false">IF(C1998="","",IFERROR(INDEX(Produk!$J$2:$J$100,MATCH(C1998,Produk!$A$2:$A$100,0)),"PRODUK?"))</f>
        <v/>
      </c>
      <c r="G1998" s="29" t="str">
        <f aca="false">IF(A1998="","",IF(COUNTIF(Anggota!$A$2:$A$2001,A1998)=0,"TIDAK ADA","OK"))</f>
        <v/>
      </c>
    </row>
    <row r="1999" customFormat="false" ht="15" hidden="false" customHeight="false" outlineLevel="0" collapsed="false">
      <c r="A1999" s="21"/>
      <c r="B1999" s="22"/>
      <c r="C1999" s="21"/>
      <c r="D1999" s="24"/>
      <c r="E1999" s="22"/>
      <c r="F1999" s="29" t="str">
        <f aca="false">IF(C1999="","",IFERROR(INDEX(Produk!$J$2:$J$100,MATCH(C1999,Produk!$A$2:$A$100,0)),"PRODUK?"))</f>
        <v/>
      </c>
      <c r="G1999" s="29" t="str">
        <f aca="false">IF(A1999="","",IF(COUNTIF(Anggota!$A$2:$A$2001,A1999)=0,"TIDAK ADA","OK"))</f>
        <v/>
      </c>
    </row>
    <row r="2000" customFormat="false" ht="15" hidden="false" customHeight="false" outlineLevel="0" collapsed="false">
      <c r="A2000" s="21"/>
      <c r="B2000" s="22"/>
      <c r="C2000" s="21"/>
      <c r="D2000" s="24"/>
      <c r="E2000" s="22"/>
      <c r="F2000" s="29" t="str">
        <f aca="false">IF(C2000="","",IFERROR(INDEX(Produk!$J$2:$J$100,MATCH(C2000,Produk!$A$2:$A$100,0)),"PRODUK?"))</f>
        <v/>
      </c>
      <c r="G2000" s="29" t="str">
        <f aca="false">IF(A2000="","",IF(COUNTIF(Anggota!$A$2:$A$2001,A2000)=0,"TIDAK ADA","OK"))</f>
        <v/>
      </c>
    </row>
    <row r="2001" customFormat="false" ht="15" hidden="false" customHeight="false" outlineLevel="0" collapsed="false">
      <c r="A2001" s="21"/>
      <c r="B2001" s="22"/>
      <c r="C2001" s="21"/>
      <c r="D2001" s="24"/>
      <c r="E2001" s="22"/>
      <c r="F2001" s="29" t="str">
        <f aca="false">IF(C2001="","",IFERROR(INDEX(Produk!$J$2:$J$100,MATCH(C2001,Produk!$A$2:$A$100,0)),"PRODUK?"))</f>
        <v/>
      </c>
      <c r="G2001" s="29" t="str">
        <f aca="false">IF(A2001="","",IF(COUNTIF(Anggota!$A$2:$A$2001,A2001)=0,"TIDAK ADA","OK"))</f>
        <v/>
      </c>
    </row>
  </sheetData>
  <conditionalFormatting sqref="F2:G2001">
    <cfRule type="cellIs" priority="2" operator="equal" aboveAverage="0" equalAverage="0" bottom="0" percent="0" rank="0" text="" dxfId="0">
      <formula>"GANDA"</formula>
    </cfRule>
    <cfRule type="cellIs" priority="3" operator="equal" aboveAverage="0" equalAverage="0" bottom="0" percent="0" rank="0" text="" dxfId="0">
      <formula>"TIDAK VALID"</formula>
    </cfRule>
    <cfRule type="cellIs" priority="4" operator="equal" aboveAverage="0" equalAverage="0" bottom="0" percent="0" rank="0" text="" dxfId="0">
      <formula>"TIDAK ADA"</formula>
    </cfRule>
    <cfRule type="cellIs" priority="5" operator="equal" aboveAverage="0" equalAverage="0" bottom="0" percent="0" rank="0" text="" dxfId="0">
      <formula>"PRODUK?"</formula>
    </cfRule>
    <cfRule type="cellIs" priority="6" operator="equal" aboveAverage="0" equalAverage="0" bottom="0" percent="0" rank="0" text="" dxfId="0">
      <formula>"SELISIH"</formula>
    </cfRule>
  </conditionalFormatting>
  <dataValidations count="1">
    <dataValidation allowBlank="true" error="Pilih dari daftar." errorStyle="stop" errorTitle="Nilai tidak valid" operator="between" showDropDown="false" showErrorMessage="true" showInputMessage="false" sqref="C2:C2001" type="list">
      <formula1>Produk!$A$2:$A$100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20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28"/>
    <col collapsed="false" customWidth="true" hidden="false" outlineLevel="0" max="3" min="3" style="0" width="12"/>
    <col collapsed="false" customWidth="true" hidden="false" outlineLevel="0" max="4" min="4" style="0" width="14"/>
    <col collapsed="false" customWidth="true" hidden="false" outlineLevel="0" max="5" min="5" style="0" width="13"/>
    <col collapsed="false" customWidth="true" hidden="false" outlineLevel="0" max="6" min="6" style="0" width="16"/>
    <col collapsed="false" customWidth="true" hidden="false" outlineLevel="0" max="7" min="7" style="0" width="10"/>
    <col collapsed="false" customWidth="true" hidden="false" outlineLevel="0" max="8" min="8" style="0" width="17"/>
    <col collapsed="false" customWidth="true" hidden="false" outlineLevel="0" max="9" min="9" style="0" width="16"/>
    <col collapsed="false" customWidth="true" hidden="false" outlineLevel="0" max="10" min="10" style="0" width="15"/>
    <col collapsed="false" customWidth="true" hidden="false" outlineLevel="0" max="11" min="11" style="0" width="17"/>
    <col collapsed="false" customWidth="true" hidden="false" outlineLevel="0" max="12" min="12" style="0" width="13"/>
    <col collapsed="false" customWidth="true" hidden="false" outlineLevel="0" max="13" min="13" style="0" width="12"/>
    <col collapsed="false" customWidth="true" hidden="false" outlineLevel="0" max="14" min="14" style="0" width="16"/>
    <col collapsed="false" customWidth="true" hidden="false" outlineLevel="0" max="15" min="15" style="0" width="14"/>
    <col collapsed="false" customWidth="true" hidden="false" outlineLevel="0" max="16" min="16" style="0" width="26"/>
    <col collapsed="false" customWidth="true" hidden="false" outlineLevel="0" max="17" min="17" style="0" width="11"/>
    <col collapsed="false" customWidth="true" hidden="false" outlineLevel="0" max="18" min="18" style="0" width="13"/>
    <col collapsed="false" customWidth="true" hidden="false" outlineLevel="0" max="19" min="19" style="0" width="14"/>
  </cols>
  <sheetData>
    <row r="1" customFormat="false" ht="30" hidden="false" customHeight="true" outlineLevel="0" collapsed="false">
      <c r="A1" s="20" t="s">
        <v>98</v>
      </c>
      <c r="B1" s="23" t="s">
        <v>143</v>
      </c>
      <c r="C1" s="20" t="s">
        <v>67</v>
      </c>
      <c r="D1" s="23" t="s">
        <v>159</v>
      </c>
      <c r="E1" s="23" t="s">
        <v>161</v>
      </c>
      <c r="F1" s="23" t="s">
        <v>163</v>
      </c>
      <c r="G1" s="23" t="s">
        <v>165</v>
      </c>
      <c r="H1" s="20" t="s">
        <v>167</v>
      </c>
      <c r="I1" s="23" t="s">
        <v>170</v>
      </c>
      <c r="J1" s="23" t="s">
        <v>173</v>
      </c>
      <c r="K1" s="23" t="s">
        <v>176</v>
      </c>
      <c r="L1" s="20" t="s">
        <v>179</v>
      </c>
      <c r="M1" s="23" t="s">
        <v>182</v>
      </c>
      <c r="N1" s="20" t="s">
        <v>184</v>
      </c>
      <c r="O1" s="23" t="s">
        <v>187</v>
      </c>
      <c r="P1" s="23" t="s">
        <v>133</v>
      </c>
      <c r="Q1" s="27" t="s">
        <v>149</v>
      </c>
      <c r="R1" s="27" t="s">
        <v>151</v>
      </c>
      <c r="S1" s="27" t="s">
        <v>190</v>
      </c>
    </row>
    <row r="2" customFormat="false" ht="15" hidden="false" customHeight="false" outlineLevel="0" collapsed="false">
      <c r="A2" s="21"/>
      <c r="B2" s="22"/>
      <c r="C2" s="21"/>
      <c r="D2" s="21"/>
      <c r="E2" s="28"/>
      <c r="F2" s="24"/>
      <c r="G2" s="26"/>
      <c r="H2" s="24"/>
      <c r="I2" s="24"/>
      <c r="J2" s="24"/>
      <c r="K2" s="24"/>
      <c r="L2" s="26"/>
      <c r="M2" s="26"/>
      <c r="N2" s="22"/>
      <c r="O2" s="21"/>
      <c r="P2" s="22"/>
      <c r="Q2" s="29" t="str">
        <f aca="false">IF(C2="","",IF(O2&lt;&gt;"",O2,IFERROR(INDEX(Produk!$J$2:$J$100,MATCH(C2,Produk!$A$2:$A$100,0)),"PRODUK?")))</f>
        <v/>
      </c>
      <c r="R2" s="29" t="str">
        <f aca="false">IF(A2="","",IF(COUNTIF(Anggota!$A$2:$A$2001,A2)=0,"TIDAK ADA","OK"))</f>
        <v/>
      </c>
      <c r="S2" s="29" t="str">
        <f aca="false">IF(H2="","",IF(OR(J2="",L2=""),"-",IF(ABS(H2-J2*L2)&gt;Info_Koperasi!$C$10,"SELISIH","OK")))</f>
        <v/>
      </c>
    </row>
    <row r="3" customFormat="false" ht="15" hidden="false" customHeight="false" outlineLevel="0" collapsed="false">
      <c r="A3" s="21"/>
      <c r="B3" s="22"/>
      <c r="C3" s="21"/>
      <c r="D3" s="21"/>
      <c r="E3" s="28"/>
      <c r="F3" s="24"/>
      <c r="G3" s="26"/>
      <c r="H3" s="24"/>
      <c r="I3" s="24"/>
      <c r="J3" s="24"/>
      <c r="K3" s="24"/>
      <c r="L3" s="26"/>
      <c r="M3" s="26"/>
      <c r="N3" s="22"/>
      <c r="O3" s="21"/>
      <c r="P3" s="22"/>
      <c r="Q3" s="29" t="str">
        <f aca="false">IF(C3="","",IF(O3&lt;&gt;"",O3,IFERROR(INDEX(Produk!$J$2:$J$100,MATCH(C3,Produk!$A$2:$A$100,0)),"PRODUK?")))</f>
        <v/>
      </c>
      <c r="R3" s="29" t="str">
        <f aca="false">IF(A3="","",IF(COUNTIF(Anggota!$A$2:$A$2001,A3)=0,"TIDAK ADA","OK"))</f>
        <v/>
      </c>
      <c r="S3" s="29" t="str">
        <f aca="false">IF(H3="","",IF(OR(J3="",L3=""),"-",IF(ABS(H3-J3*L3)&gt;Info_Koperasi!$C$10,"SELISIH","OK")))</f>
        <v/>
      </c>
    </row>
    <row r="4" customFormat="false" ht="15" hidden="false" customHeight="false" outlineLevel="0" collapsed="false">
      <c r="A4" s="21"/>
      <c r="B4" s="22"/>
      <c r="C4" s="21"/>
      <c r="D4" s="21"/>
      <c r="E4" s="28"/>
      <c r="F4" s="24"/>
      <c r="G4" s="26"/>
      <c r="H4" s="24"/>
      <c r="I4" s="24"/>
      <c r="J4" s="24"/>
      <c r="K4" s="24"/>
      <c r="L4" s="26"/>
      <c r="M4" s="26"/>
      <c r="N4" s="22"/>
      <c r="O4" s="21"/>
      <c r="P4" s="22"/>
      <c r="Q4" s="29" t="str">
        <f aca="false">IF(C4="","",IF(O4&lt;&gt;"",O4,IFERROR(INDEX(Produk!$J$2:$J$100,MATCH(C4,Produk!$A$2:$A$100,0)),"PRODUK?")))</f>
        <v/>
      </c>
      <c r="R4" s="29" t="str">
        <f aca="false">IF(A4="","",IF(COUNTIF(Anggota!$A$2:$A$2001,A4)=0,"TIDAK ADA","OK"))</f>
        <v/>
      </c>
      <c r="S4" s="29" t="str">
        <f aca="false">IF(H4="","",IF(OR(J4="",L4=""),"-",IF(ABS(H4-J4*L4)&gt;Info_Koperasi!$C$10,"SELISIH","OK")))</f>
        <v/>
      </c>
    </row>
    <row r="5" customFormat="false" ht="15" hidden="false" customHeight="false" outlineLevel="0" collapsed="false">
      <c r="A5" s="21"/>
      <c r="B5" s="22"/>
      <c r="C5" s="21"/>
      <c r="D5" s="21"/>
      <c r="E5" s="28"/>
      <c r="F5" s="24"/>
      <c r="G5" s="26"/>
      <c r="H5" s="24"/>
      <c r="I5" s="24"/>
      <c r="J5" s="24"/>
      <c r="K5" s="24"/>
      <c r="L5" s="26"/>
      <c r="M5" s="26"/>
      <c r="N5" s="22"/>
      <c r="O5" s="21"/>
      <c r="P5" s="22"/>
      <c r="Q5" s="29" t="str">
        <f aca="false">IF(C5="","",IF(O5&lt;&gt;"",O5,IFERROR(INDEX(Produk!$J$2:$J$100,MATCH(C5,Produk!$A$2:$A$100,0)),"PRODUK?")))</f>
        <v/>
      </c>
      <c r="R5" s="29" t="str">
        <f aca="false">IF(A5="","",IF(COUNTIF(Anggota!$A$2:$A$2001,A5)=0,"TIDAK ADA","OK"))</f>
        <v/>
      </c>
      <c r="S5" s="29" t="str">
        <f aca="false">IF(H5="","",IF(OR(J5="",L5=""),"-",IF(ABS(H5-J5*L5)&gt;Info_Koperasi!$C$10,"SELISIH","OK")))</f>
        <v/>
      </c>
    </row>
    <row r="6" customFormat="false" ht="15" hidden="false" customHeight="false" outlineLevel="0" collapsed="false">
      <c r="A6" s="21"/>
      <c r="B6" s="22"/>
      <c r="C6" s="21"/>
      <c r="D6" s="21"/>
      <c r="E6" s="28"/>
      <c r="F6" s="24"/>
      <c r="G6" s="26"/>
      <c r="H6" s="24"/>
      <c r="I6" s="24"/>
      <c r="J6" s="24"/>
      <c r="K6" s="24"/>
      <c r="L6" s="26"/>
      <c r="M6" s="26"/>
      <c r="N6" s="22"/>
      <c r="O6" s="21"/>
      <c r="P6" s="22"/>
      <c r="Q6" s="29" t="str">
        <f aca="false">IF(C6="","",IF(O6&lt;&gt;"",O6,IFERROR(INDEX(Produk!$J$2:$J$100,MATCH(C6,Produk!$A$2:$A$100,0)),"PRODUK?")))</f>
        <v/>
      </c>
      <c r="R6" s="29" t="str">
        <f aca="false">IF(A6="","",IF(COUNTIF(Anggota!$A$2:$A$2001,A6)=0,"TIDAK ADA","OK"))</f>
        <v/>
      </c>
      <c r="S6" s="29" t="str">
        <f aca="false">IF(H6="","",IF(OR(J6="",L6=""),"-",IF(ABS(H6-J6*L6)&gt;Info_Koperasi!$C$10,"SELISIH","OK")))</f>
        <v/>
      </c>
    </row>
    <row r="7" customFormat="false" ht="15" hidden="false" customHeight="false" outlineLevel="0" collapsed="false">
      <c r="A7" s="21"/>
      <c r="B7" s="22"/>
      <c r="C7" s="21"/>
      <c r="D7" s="21"/>
      <c r="E7" s="28"/>
      <c r="F7" s="24"/>
      <c r="G7" s="26"/>
      <c r="H7" s="24"/>
      <c r="I7" s="24"/>
      <c r="J7" s="24"/>
      <c r="K7" s="24"/>
      <c r="L7" s="26"/>
      <c r="M7" s="26"/>
      <c r="N7" s="22"/>
      <c r="O7" s="21"/>
      <c r="P7" s="22"/>
      <c r="Q7" s="29" t="str">
        <f aca="false">IF(C7="","",IF(O7&lt;&gt;"",O7,IFERROR(INDEX(Produk!$J$2:$J$100,MATCH(C7,Produk!$A$2:$A$100,0)),"PRODUK?")))</f>
        <v/>
      </c>
      <c r="R7" s="29" t="str">
        <f aca="false">IF(A7="","",IF(COUNTIF(Anggota!$A$2:$A$2001,A7)=0,"TIDAK ADA","OK"))</f>
        <v/>
      </c>
      <c r="S7" s="29" t="str">
        <f aca="false">IF(H7="","",IF(OR(J7="",L7=""),"-",IF(ABS(H7-J7*L7)&gt;Info_Koperasi!$C$10,"SELISIH","OK")))</f>
        <v/>
      </c>
    </row>
    <row r="8" customFormat="false" ht="15" hidden="false" customHeight="false" outlineLevel="0" collapsed="false">
      <c r="A8" s="21"/>
      <c r="B8" s="22"/>
      <c r="C8" s="21"/>
      <c r="D8" s="21"/>
      <c r="E8" s="28"/>
      <c r="F8" s="24"/>
      <c r="G8" s="26"/>
      <c r="H8" s="24"/>
      <c r="I8" s="24"/>
      <c r="J8" s="24"/>
      <c r="K8" s="24"/>
      <c r="L8" s="26"/>
      <c r="M8" s="26"/>
      <c r="N8" s="22"/>
      <c r="O8" s="21"/>
      <c r="P8" s="22"/>
      <c r="Q8" s="29" t="str">
        <f aca="false">IF(C8="","",IF(O8&lt;&gt;"",O8,IFERROR(INDEX(Produk!$J$2:$J$100,MATCH(C8,Produk!$A$2:$A$100,0)),"PRODUK?")))</f>
        <v/>
      </c>
      <c r="R8" s="29" t="str">
        <f aca="false">IF(A8="","",IF(COUNTIF(Anggota!$A$2:$A$2001,A8)=0,"TIDAK ADA","OK"))</f>
        <v/>
      </c>
      <c r="S8" s="29" t="str">
        <f aca="false">IF(H8="","",IF(OR(J8="",L8=""),"-",IF(ABS(H8-J8*L8)&gt;Info_Koperasi!$C$10,"SELISIH","OK")))</f>
        <v/>
      </c>
    </row>
    <row r="9" customFormat="false" ht="15" hidden="false" customHeight="false" outlineLevel="0" collapsed="false">
      <c r="A9" s="21"/>
      <c r="B9" s="22"/>
      <c r="C9" s="21"/>
      <c r="D9" s="21"/>
      <c r="E9" s="28"/>
      <c r="F9" s="24"/>
      <c r="G9" s="26"/>
      <c r="H9" s="24"/>
      <c r="I9" s="24"/>
      <c r="J9" s="24"/>
      <c r="K9" s="24"/>
      <c r="L9" s="26"/>
      <c r="M9" s="26"/>
      <c r="N9" s="22"/>
      <c r="O9" s="21"/>
      <c r="P9" s="22"/>
      <c r="Q9" s="29" t="str">
        <f aca="false">IF(C9="","",IF(O9&lt;&gt;"",O9,IFERROR(INDEX(Produk!$J$2:$J$100,MATCH(C9,Produk!$A$2:$A$100,0)),"PRODUK?")))</f>
        <v/>
      </c>
      <c r="R9" s="29" t="str">
        <f aca="false">IF(A9="","",IF(COUNTIF(Anggota!$A$2:$A$2001,A9)=0,"TIDAK ADA","OK"))</f>
        <v/>
      </c>
      <c r="S9" s="29" t="str">
        <f aca="false">IF(H9="","",IF(OR(J9="",L9=""),"-",IF(ABS(H9-J9*L9)&gt;Info_Koperasi!$C$10,"SELISIH","OK")))</f>
        <v/>
      </c>
    </row>
    <row r="10" customFormat="false" ht="15" hidden="false" customHeight="false" outlineLevel="0" collapsed="false">
      <c r="A10" s="21"/>
      <c r="B10" s="22"/>
      <c r="C10" s="21"/>
      <c r="D10" s="21"/>
      <c r="E10" s="28"/>
      <c r="F10" s="24"/>
      <c r="G10" s="26"/>
      <c r="H10" s="24"/>
      <c r="I10" s="24"/>
      <c r="J10" s="24"/>
      <c r="K10" s="24"/>
      <c r="L10" s="26"/>
      <c r="M10" s="26"/>
      <c r="N10" s="22"/>
      <c r="O10" s="21"/>
      <c r="P10" s="22"/>
      <c r="Q10" s="29" t="str">
        <f aca="false">IF(C10="","",IF(O10&lt;&gt;"",O10,IFERROR(INDEX(Produk!$J$2:$J$100,MATCH(C10,Produk!$A$2:$A$100,0)),"PRODUK?")))</f>
        <v/>
      </c>
      <c r="R10" s="29" t="str">
        <f aca="false">IF(A10="","",IF(COUNTIF(Anggota!$A$2:$A$2001,A10)=0,"TIDAK ADA","OK"))</f>
        <v/>
      </c>
      <c r="S10" s="29" t="str">
        <f aca="false">IF(H10="","",IF(OR(J10="",L10=""),"-",IF(ABS(H10-J10*L10)&gt;Info_Koperasi!$C$10,"SELISIH","OK")))</f>
        <v/>
      </c>
    </row>
    <row r="11" customFormat="false" ht="15" hidden="false" customHeight="false" outlineLevel="0" collapsed="false">
      <c r="A11" s="21"/>
      <c r="B11" s="22"/>
      <c r="C11" s="21"/>
      <c r="D11" s="21"/>
      <c r="E11" s="28"/>
      <c r="F11" s="24"/>
      <c r="G11" s="26"/>
      <c r="H11" s="24"/>
      <c r="I11" s="24"/>
      <c r="J11" s="24"/>
      <c r="K11" s="24"/>
      <c r="L11" s="26"/>
      <c r="M11" s="26"/>
      <c r="N11" s="22"/>
      <c r="O11" s="21"/>
      <c r="P11" s="22"/>
      <c r="Q11" s="29" t="str">
        <f aca="false">IF(C11="","",IF(O11&lt;&gt;"",O11,IFERROR(INDEX(Produk!$J$2:$J$100,MATCH(C11,Produk!$A$2:$A$100,0)),"PRODUK?")))</f>
        <v/>
      </c>
      <c r="R11" s="29" t="str">
        <f aca="false">IF(A11="","",IF(COUNTIF(Anggota!$A$2:$A$2001,A11)=0,"TIDAK ADA","OK"))</f>
        <v/>
      </c>
      <c r="S11" s="29" t="str">
        <f aca="false">IF(H11="","",IF(OR(J11="",L11=""),"-",IF(ABS(H11-J11*L11)&gt;Info_Koperasi!$C$10,"SELISIH","OK")))</f>
        <v/>
      </c>
    </row>
    <row r="12" customFormat="false" ht="15" hidden="false" customHeight="false" outlineLevel="0" collapsed="false">
      <c r="A12" s="21"/>
      <c r="B12" s="22"/>
      <c r="C12" s="21"/>
      <c r="D12" s="21"/>
      <c r="E12" s="28"/>
      <c r="F12" s="24"/>
      <c r="G12" s="26"/>
      <c r="H12" s="24"/>
      <c r="I12" s="24"/>
      <c r="J12" s="24"/>
      <c r="K12" s="24"/>
      <c r="L12" s="26"/>
      <c r="M12" s="26"/>
      <c r="N12" s="22"/>
      <c r="O12" s="21"/>
      <c r="P12" s="22"/>
      <c r="Q12" s="29" t="str">
        <f aca="false">IF(C12="","",IF(O12&lt;&gt;"",O12,IFERROR(INDEX(Produk!$J$2:$J$100,MATCH(C12,Produk!$A$2:$A$100,0)),"PRODUK?")))</f>
        <v/>
      </c>
      <c r="R12" s="29" t="str">
        <f aca="false">IF(A12="","",IF(COUNTIF(Anggota!$A$2:$A$2001,A12)=0,"TIDAK ADA","OK"))</f>
        <v/>
      </c>
      <c r="S12" s="29" t="str">
        <f aca="false">IF(H12="","",IF(OR(J12="",L12=""),"-",IF(ABS(H12-J12*L12)&gt;Info_Koperasi!$C$10,"SELISIH","OK")))</f>
        <v/>
      </c>
    </row>
    <row r="13" customFormat="false" ht="15" hidden="false" customHeight="false" outlineLevel="0" collapsed="false">
      <c r="A13" s="21"/>
      <c r="B13" s="22"/>
      <c r="C13" s="21"/>
      <c r="D13" s="21"/>
      <c r="E13" s="28"/>
      <c r="F13" s="24"/>
      <c r="G13" s="26"/>
      <c r="H13" s="24"/>
      <c r="I13" s="24"/>
      <c r="J13" s="24"/>
      <c r="K13" s="24"/>
      <c r="L13" s="26"/>
      <c r="M13" s="26"/>
      <c r="N13" s="22"/>
      <c r="O13" s="21"/>
      <c r="P13" s="22"/>
      <c r="Q13" s="29" t="str">
        <f aca="false">IF(C13="","",IF(O13&lt;&gt;"",O13,IFERROR(INDEX(Produk!$J$2:$J$100,MATCH(C13,Produk!$A$2:$A$100,0)),"PRODUK?")))</f>
        <v/>
      </c>
      <c r="R13" s="29" t="str">
        <f aca="false">IF(A13="","",IF(COUNTIF(Anggota!$A$2:$A$2001,A13)=0,"TIDAK ADA","OK"))</f>
        <v/>
      </c>
      <c r="S13" s="29" t="str">
        <f aca="false">IF(H13="","",IF(OR(J13="",L13=""),"-",IF(ABS(H13-J13*L13)&gt;Info_Koperasi!$C$10,"SELISIH","OK")))</f>
        <v/>
      </c>
    </row>
    <row r="14" customFormat="false" ht="15" hidden="false" customHeight="false" outlineLevel="0" collapsed="false">
      <c r="A14" s="21"/>
      <c r="B14" s="22"/>
      <c r="C14" s="21"/>
      <c r="D14" s="21"/>
      <c r="E14" s="28"/>
      <c r="F14" s="24"/>
      <c r="G14" s="26"/>
      <c r="H14" s="24"/>
      <c r="I14" s="24"/>
      <c r="J14" s="24"/>
      <c r="K14" s="24"/>
      <c r="L14" s="26"/>
      <c r="M14" s="26"/>
      <c r="N14" s="22"/>
      <c r="O14" s="21"/>
      <c r="P14" s="22"/>
      <c r="Q14" s="29" t="str">
        <f aca="false">IF(C14="","",IF(O14&lt;&gt;"",O14,IFERROR(INDEX(Produk!$J$2:$J$100,MATCH(C14,Produk!$A$2:$A$100,0)),"PRODUK?")))</f>
        <v/>
      </c>
      <c r="R14" s="29" t="str">
        <f aca="false">IF(A14="","",IF(COUNTIF(Anggota!$A$2:$A$2001,A14)=0,"TIDAK ADA","OK"))</f>
        <v/>
      </c>
      <c r="S14" s="29" t="str">
        <f aca="false">IF(H14="","",IF(OR(J14="",L14=""),"-",IF(ABS(H14-J14*L14)&gt;Info_Koperasi!$C$10,"SELISIH","OK")))</f>
        <v/>
      </c>
    </row>
    <row r="15" customFormat="false" ht="15" hidden="false" customHeight="false" outlineLevel="0" collapsed="false">
      <c r="A15" s="21"/>
      <c r="B15" s="22"/>
      <c r="C15" s="21"/>
      <c r="D15" s="21"/>
      <c r="E15" s="28"/>
      <c r="F15" s="24"/>
      <c r="G15" s="26"/>
      <c r="H15" s="24"/>
      <c r="I15" s="24"/>
      <c r="J15" s="24"/>
      <c r="K15" s="24"/>
      <c r="L15" s="26"/>
      <c r="M15" s="26"/>
      <c r="N15" s="22"/>
      <c r="O15" s="21"/>
      <c r="P15" s="22"/>
      <c r="Q15" s="29" t="str">
        <f aca="false">IF(C15="","",IF(O15&lt;&gt;"",O15,IFERROR(INDEX(Produk!$J$2:$J$100,MATCH(C15,Produk!$A$2:$A$100,0)),"PRODUK?")))</f>
        <v/>
      </c>
      <c r="R15" s="29" t="str">
        <f aca="false">IF(A15="","",IF(COUNTIF(Anggota!$A$2:$A$2001,A15)=0,"TIDAK ADA","OK"))</f>
        <v/>
      </c>
      <c r="S15" s="29" t="str">
        <f aca="false">IF(H15="","",IF(OR(J15="",L15=""),"-",IF(ABS(H15-J15*L15)&gt;Info_Koperasi!$C$10,"SELISIH","OK")))</f>
        <v/>
      </c>
    </row>
    <row r="16" customFormat="false" ht="15" hidden="false" customHeight="false" outlineLevel="0" collapsed="false">
      <c r="A16" s="21"/>
      <c r="B16" s="22"/>
      <c r="C16" s="21"/>
      <c r="D16" s="21"/>
      <c r="E16" s="28"/>
      <c r="F16" s="24"/>
      <c r="G16" s="26"/>
      <c r="H16" s="24"/>
      <c r="I16" s="24"/>
      <c r="J16" s="24"/>
      <c r="K16" s="24"/>
      <c r="L16" s="26"/>
      <c r="M16" s="26"/>
      <c r="N16" s="22"/>
      <c r="O16" s="21"/>
      <c r="P16" s="22"/>
      <c r="Q16" s="29" t="str">
        <f aca="false">IF(C16="","",IF(O16&lt;&gt;"",O16,IFERROR(INDEX(Produk!$J$2:$J$100,MATCH(C16,Produk!$A$2:$A$100,0)),"PRODUK?")))</f>
        <v/>
      </c>
      <c r="R16" s="29" t="str">
        <f aca="false">IF(A16="","",IF(COUNTIF(Anggota!$A$2:$A$2001,A16)=0,"TIDAK ADA","OK"))</f>
        <v/>
      </c>
      <c r="S16" s="29" t="str">
        <f aca="false">IF(H16="","",IF(OR(J16="",L16=""),"-",IF(ABS(H16-J16*L16)&gt;Info_Koperasi!$C$10,"SELISIH","OK")))</f>
        <v/>
      </c>
    </row>
    <row r="17" customFormat="false" ht="15" hidden="false" customHeight="false" outlineLevel="0" collapsed="false">
      <c r="A17" s="21"/>
      <c r="B17" s="22"/>
      <c r="C17" s="21"/>
      <c r="D17" s="21"/>
      <c r="E17" s="28"/>
      <c r="F17" s="24"/>
      <c r="G17" s="26"/>
      <c r="H17" s="24"/>
      <c r="I17" s="24"/>
      <c r="J17" s="24"/>
      <c r="K17" s="24"/>
      <c r="L17" s="26"/>
      <c r="M17" s="26"/>
      <c r="N17" s="22"/>
      <c r="O17" s="21"/>
      <c r="P17" s="22"/>
      <c r="Q17" s="29" t="str">
        <f aca="false">IF(C17="","",IF(O17&lt;&gt;"",O17,IFERROR(INDEX(Produk!$J$2:$J$100,MATCH(C17,Produk!$A$2:$A$100,0)),"PRODUK?")))</f>
        <v/>
      </c>
      <c r="R17" s="29" t="str">
        <f aca="false">IF(A17="","",IF(COUNTIF(Anggota!$A$2:$A$2001,A17)=0,"TIDAK ADA","OK"))</f>
        <v/>
      </c>
      <c r="S17" s="29" t="str">
        <f aca="false">IF(H17="","",IF(OR(J17="",L17=""),"-",IF(ABS(H17-J17*L17)&gt;Info_Koperasi!$C$10,"SELISIH","OK")))</f>
        <v/>
      </c>
    </row>
    <row r="18" customFormat="false" ht="15" hidden="false" customHeight="false" outlineLevel="0" collapsed="false">
      <c r="A18" s="21"/>
      <c r="B18" s="22"/>
      <c r="C18" s="21"/>
      <c r="D18" s="21"/>
      <c r="E18" s="28"/>
      <c r="F18" s="24"/>
      <c r="G18" s="26"/>
      <c r="H18" s="24"/>
      <c r="I18" s="24"/>
      <c r="J18" s="24"/>
      <c r="K18" s="24"/>
      <c r="L18" s="26"/>
      <c r="M18" s="26"/>
      <c r="N18" s="22"/>
      <c r="O18" s="21"/>
      <c r="P18" s="22"/>
      <c r="Q18" s="29" t="str">
        <f aca="false">IF(C18="","",IF(O18&lt;&gt;"",O18,IFERROR(INDEX(Produk!$J$2:$J$100,MATCH(C18,Produk!$A$2:$A$100,0)),"PRODUK?")))</f>
        <v/>
      </c>
      <c r="R18" s="29" t="str">
        <f aca="false">IF(A18="","",IF(COUNTIF(Anggota!$A$2:$A$2001,A18)=0,"TIDAK ADA","OK"))</f>
        <v/>
      </c>
      <c r="S18" s="29" t="str">
        <f aca="false">IF(H18="","",IF(OR(J18="",L18=""),"-",IF(ABS(H18-J18*L18)&gt;Info_Koperasi!$C$10,"SELISIH","OK")))</f>
        <v/>
      </c>
    </row>
    <row r="19" customFormat="false" ht="15" hidden="false" customHeight="false" outlineLevel="0" collapsed="false">
      <c r="A19" s="21"/>
      <c r="B19" s="22"/>
      <c r="C19" s="21"/>
      <c r="D19" s="21"/>
      <c r="E19" s="28"/>
      <c r="F19" s="24"/>
      <c r="G19" s="26"/>
      <c r="H19" s="24"/>
      <c r="I19" s="24"/>
      <c r="J19" s="24"/>
      <c r="K19" s="24"/>
      <c r="L19" s="26"/>
      <c r="M19" s="26"/>
      <c r="N19" s="22"/>
      <c r="O19" s="21"/>
      <c r="P19" s="22"/>
      <c r="Q19" s="29" t="str">
        <f aca="false">IF(C19="","",IF(O19&lt;&gt;"",O19,IFERROR(INDEX(Produk!$J$2:$J$100,MATCH(C19,Produk!$A$2:$A$100,0)),"PRODUK?")))</f>
        <v/>
      </c>
      <c r="R19" s="29" t="str">
        <f aca="false">IF(A19="","",IF(COUNTIF(Anggota!$A$2:$A$2001,A19)=0,"TIDAK ADA","OK"))</f>
        <v/>
      </c>
      <c r="S19" s="29" t="str">
        <f aca="false">IF(H19="","",IF(OR(J19="",L19=""),"-",IF(ABS(H19-J19*L19)&gt;Info_Koperasi!$C$10,"SELISIH","OK")))</f>
        <v/>
      </c>
    </row>
    <row r="20" customFormat="false" ht="15" hidden="false" customHeight="false" outlineLevel="0" collapsed="false">
      <c r="A20" s="21"/>
      <c r="B20" s="22"/>
      <c r="C20" s="21"/>
      <c r="D20" s="21"/>
      <c r="E20" s="28"/>
      <c r="F20" s="24"/>
      <c r="G20" s="26"/>
      <c r="H20" s="24"/>
      <c r="I20" s="24"/>
      <c r="J20" s="24"/>
      <c r="K20" s="24"/>
      <c r="L20" s="26"/>
      <c r="M20" s="26"/>
      <c r="N20" s="22"/>
      <c r="O20" s="21"/>
      <c r="P20" s="22"/>
      <c r="Q20" s="29" t="str">
        <f aca="false">IF(C20="","",IF(O20&lt;&gt;"",O20,IFERROR(INDEX(Produk!$J$2:$J$100,MATCH(C20,Produk!$A$2:$A$100,0)),"PRODUK?")))</f>
        <v/>
      </c>
      <c r="R20" s="29" t="str">
        <f aca="false">IF(A20="","",IF(COUNTIF(Anggota!$A$2:$A$2001,A20)=0,"TIDAK ADA","OK"))</f>
        <v/>
      </c>
      <c r="S20" s="29" t="str">
        <f aca="false">IF(H20="","",IF(OR(J20="",L20=""),"-",IF(ABS(H20-J20*L20)&gt;Info_Koperasi!$C$10,"SELISIH","OK")))</f>
        <v/>
      </c>
    </row>
    <row r="21" customFormat="false" ht="15" hidden="false" customHeight="false" outlineLevel="0" collapsed="false">
      <c r="A21" s="21"/>
      <c r="B21" s="22"/>
      <c r="C21" s="21"/>
      <c r="D21" s="21"/>
      <c r="E21" s="28"/>
      <c r="F21" s="24"/>
      <c r="G21" s="26"/>
      <c r="H21" s="24"/>
      <c r="I21" s="24"/>
      <c r="J21" s="24"/>
      <c r="K21" s="24"/>
      <c r="L21" s="26"/>
      <c r="M21" s="26"/>
      <c r="N21" s="22"/>
      <c r="O21" s="21"/>
      <c r="P21" s="22"/>
      <c r="Q21" s="29" t="str">
        <f aca="false">IF(C21="","",IF(O21&lt;&gt;"",O21,IFERROR(INDEX(Produk!$J$2:$J$100,MATCH(C21,Produk!$A$2:$A$100,0)),"PRODUK?")))</f>
        <v/>
      </c>
      <c r="R21" s="29" t="str">
        <f aca="false">IF(A21="","",IF(COUNTIF(Anggota!$A$2:$A$2001,A21)=0,"TIDAK ADA","OK"))</f>
        <v/>
      </c>
      <c r="S21" s="29" t="str">
        <f aca="false">IF(H21="","",IF(OR(J21="",L21=""),"-",IF(ABS(H21-J21*L21)&gt;Info_Koperasi!$C$10,"SELISIH","OK")))</f>
        <v/>
      </c>
    </row>
    <row r="22" customFormat="false" ht="15" hidden="false" customHeight="false" outlineLevel="0" collapsed="false">
      <c r="A22" s="21"/>
      <c r="B22" s="22"/>
      <c r="C22" s="21"/>
      <c r="D22" s="21"/>
      <c r="E22" s="28"/>
      <c r="F22" s="24"/>
      <c r="G22" s="26"/>
      <c r="H22" s="24"/>
      <c r="I22" s="24"/>
      <c r="J22" s="24"/>
      <c r="K22" s="24"/>
      <c r="L22" s="26"/>
      <c r="M22" s="26"/>
      <c r="N22" s="22"/>
      <c r="O22" s="21"/>
      <c r="P22" s="22"/>
      <c r="Q22" s="29" t="str">
        <f aca="false">IF(C22="","",IF(O22&lt;&gt;"",O22,IFERROR(INDEX(Produk!$J$2:$J$100,MATCH(C22,Produk!$A$2:$A$100,0)),"PRODUK?")))</f>
        <v/>
      </c>
      <c r="R22" s="29" t="str">
        <f aca="false">IF(A22="","",IF(COUNTIF(Anggota!$A$2:$A$2001,A22)=0,"TIDAK ADA","OK"))</f>
        <v/>
      </c>
      <c r="S22" s="29" t="str">
        <f aca="false">IF(H22="","",IF(OR(J22="",L22=""),"-",IF(ABS(H22-J22*L22)&gt;Info_Koperasi!$C$10,"SELISIH","OK")))</f>
        <v/>
      </c>
    </row>
    <row r="23" customFormat="false" ht="15" hidden="false" customHeight="false" outlineLevel="0" collapsed="false">
      <c r="A23" s="21"/>
      <c r="B23" s="22"/>
      <c r="C23" s="21"/>
      <c r="D23" s="21"/>
      <c r="E23" s="28"/>
      <c r="F23" s="24"/>
      <c r="G23" s="26"/>
      <c r="H23" s="24"/>
      <c r="I23" s="24"/>
      <c r="J23" s="24"/>
      <c r="K23" s="24"/>
      <c r="L23" s="26"/>
      <c r="M23" s="26"/>
      <c r="N23" s="22"/>
      <c r="O23" s="21"/>
      <c r="P23" s="22"/>
      <c r="Q23" s="29" t="str">
        <f aca="false">IF(C23="","",IF(O23&lt;&gt;"",O23,IFERROR(INDEX(Produk!$J$2:$J$100,MATCH(C23,Produk!$A$2:$A$100,0)),"PRODUK?")))</f>
        <v/>
      </c>
      <c r="R23" s="29" t="str">
        <f aca="false">IF(A23="","",IF(COUNTIF(Anggota!$A$2:$A$2001,A23)=0,"TIDAK ADA","OK"))</f>
        <v/>
      </c>
      <c r="S23" s="29" t="str">
        <f aca="false">IF(H23="","",IF(OR(J23="",L23=""),"-",IF(ABS(H23-J23*L23)&gt;Info_Koperasi!$C$10,"SELISIH","OK")))</f>
        <v/>
      </c>
    </row>
    <row r="24" customFormat="false" ht="15" hidden="false" customHeight="false" outlineLevel="0" collapsed="false">
      <c r="A24" s="21"/>
      <c r="B24" s="22"/>
      <c r="C24" s="21"/>
      <c r="D24" s="21"/>
      <c r="E24" s="28"/>
      <c r="F24" s="24"/>
      <c r="G24" s="26"/>
      <c r="H24" s="24"/>
      <c r="I24" s="24"/>
      <c r="J24" s="24"/>
      <c r="K24" s="24"/>
      <c r="L24" s="26"/>
      <c r="M24" s="26"/>
      <c r="N24" s="22"/>
      <c r="O24" s="21"/>
      <c r="P24" s="22"/>
      <c r="Q24" s="29" t="str">
        <f aca="false">IF(C24="","",IF(O24&lt;&gt;"",O24,IFERROR(INDEX(Produk!$J$2:$J$100,MATCH(C24,Produk!$A$2:$A$100,0)),"PRODUK?")))</f>
        <v/>
      </c>
      <c r="R24" s="29" t="str">
        <f aca="false">IF(A24="","",IF(COUNTIF(Anggota!$A$2:$A$2001,A24)=0,"TIDAK ADA","OK"))</f>
        <v/>
      </c>
      <c r="S24" s="29" t="str">
        <f aca="false">IF(H24="","",IF(OR(J24="",L24=""),"-",IF(ABS(H24-J24*L24)&gt;Info_Koperasi!$C$10,"SELISIH","OK")))</f>
        <v/>
      </c>
    </row>
    <row r="25" customFormat="false" ht="15" hidden="false" customHeight="false" outlineLevel="0" collapsed="false">
      <c r="A25" s="21"/>
      <c r="B25" s="22"/>
      <c r="C25" s="21"/>
      <c r="D25" s="21"/>
      <c r="E25" s="28"/>
      <c r="F25" s="24"/>
      <c r="G25" s="26"/>
      <c r="H25" s="24"/>
      <c r="I25" s="24"/>
      <c r="J25" s="24"/>
      <c r="K25" s="24"/>
      <c r="L25" s="26"/>
      <c r="M25" s="26"/>
      <c r="N25" s="22"/>
      <c r="O25" s="21"/>
      <c r="P25" s="22"/>
      <c r="Q25" s="29" t="str">
        <f aca="false">IF(C25="","",IF(O25&lt;&gt;"",O25,IFERROR(INDEX(Produk!$J$2:$J$100,MATCH(C25,Produk!$A$2:$A$100,0)),"PRODUK?")))</f>
        <v/>
      </c>
      <c r="R25" s="29" t="str">
        <f aca="false">IF(A25="","",IF(COUNTIF(Anggota!$A$2:$A$2001,A25)=0,"TIDAK ADA","OK"))</f>
        <v/>
      </c>
      <c r="S25" s="29" t="str">
        <f aca="false">IF(H25="","",IF(OR(J25="",L25=""),"-",IF(ABS(H25-J25*L25)&gt;Info_Koperasi!$C$10,"SELISIH","OK")))</f>
        <v/>
      </c>
    </row>
    <row r="26" customFormat="false" ht="15" hidden="false" customHeight="false" outlineLevel="0" collapsed="false">
      <c r="A26" s="21"/>
      <c r="B26" s="22"/>
      <c r="C26" s="21"/>
      <c r="D26" s="21"/>
      <c r="E26" s="28"/>
      <c r="F26" s="24"/>
      <c r="G26" s="26"/>
      <c r="H26" s="24"/>
      <c r="I26" s="24"/>
      <c r="J26" s="24"/>
      <c r="K26" s="24"/>
      <c r="L26" s="26"/>
      <c r="M26" s="26"/>
      <c r="N26" s="22"/>
      <c r="O26" s="21"/>
      <c r="P26" s="22"/>
      <c r="Q26" s="29" t="str">
        <f aca="false">IF(C26="","",IF(O26&lt;&gt;"",O26,IFERROR(INDEX(Produk!$J$2:$J$100,MATCH(C26,Produk!$A$2:$A$100,0)),"PRODUK?")))</f>
        <v/>
      </c>
      <c r="R26" s="29" t="str">
        <f aca="false">IF(A26="","",IF(COUNTIF(Anggota!$A$2:$A$2001,A26)=0,"TIDAK ADA","OK"))</f>
        <v/>
      </c>
      <c r="S26" s="29" t="str">
        <f aca="false">IF(H26="","",IF(OR(J26="",L26=""),"-",IF(ABS(H26-J26*L26)&gt;Info_Koperasi!$C$10,"SELISIH","OK")))</f>
        <v/>
      </c>
    </row>
    <row r="27" customFormat="false" ht="15" hidden="false" customHeight="false" outlineLevel="0" collapsed="false">
      <c r="A27" s="21"/>
      <c r="B27" s="22"/>
      <c r="C27" s="21"/>
      <c r="D27" s="21"/>
      <c r="E27" s="28"/>
      <c r="F27" s="24"/>
      <c r="G27" s="26"/>
      <c r="H27" s="24"/>
      <c r="I27" s="24"/>
      <c r="J27" s="24"/>
      <c r="K27" s="24"/>
      <c r="L27" s="26"/>
      <c r="M27" s="26"/>
      <c r="N27" s="22"/>
      <c r="O27" s="21"/>
      <c r="P27" s="22"/>
      <c r="Q27" s="29" t="str">
        <f aca="false">IF(C27="","",IF(O27&lt;&gt;"",O27,IFERROR(INDEX(Produk!$J$2:$J$100,MATCH(C27,Produk!$A$2:$A$100,0)),"PRODUK?")))</f>
        <v/>
      </c>
      <c r="R27" s="29" t="str">
        <f aca="false">IF(A27="","",IF(COUNTIF(Anggota!$A$2:$A$2001,A27)=0,"TIDAK ADA","OK"))</f>
        <v/>
      </c>
      <c r="S27" s="29" t="str">
        <f aca="false">IF(H27="","",IF(OR(J27="",L27=""),"-",IF(ABS(H27-J27*L27)&gt;Info_Koperasi!$C$10,"SELISIH","OK")))</f>
        <v/>
      </c>
    </row>
    <row r="28" customFormat="false" ht="15" hidden="false" customHeight="false" outlineLevel="0" collapsed="false">
      <c r="A28" s="21"/>
      <c r="B28" s="22"/>
      <c r="C28" s="21"/>
      <c r="D28" s="21"/>
      <c r="E28" s="28"/>
      <c r="F28" s="24"/>
      <c r="G28" s="26"/>
      <c r="H28" s="24"/>
      <c r="I28" s="24"/>
      <c r="J28" s="24"/>
      <c r="K28" s="24"/>
      <c r="L28" s="26"/>
      <c r="M28" s="26"/>
      <c r="N28" s="22"/>
      <c r="O28" s="21"/>
      <c r="P28" s="22"/>
      <c r="Q28" s="29" t="str">
        <f aca="false">IF(C28="","",IF(O28&lt;&gt;"",O28,IFERROR(INDEX(Produk!$J$2:$J$100,MATCH(C28,Produk!$A$2:$A$100,0)),"PRODUK?")))</f>
        <v/>
      </c>
      <c r="R28" s="29" t="str">
        <f aca="false">IF(A28="","",IF(COUNTIF(Anggota!$A$2:$A$2001,A28)=0,"TIDAK ADA","OK"))</f>
        <v/>
      </c>
      <c r="S28" s="29" t="str">
        <f aca="false">IF(H28="","",IF(OR(J28="",L28=""),"-",IF(ABS(H28-J28*L28)&gt;Info_Koperasi!$C$10,"SELISIH","OK")))</f>
        <v/>
      </c>
    </row>
    <row r="29" customFormat="false" ht="15" hidden="false" customHeight="false" outlineLevel="0" collapsed="false">
      <c r="A29" s="21"/>
      <c r="B29" s="22"/>
      <c r="C29" s="21"/>
      <c r="D29" s="21"/>
      <c r="E29" s="28"/>
      <c r="F29" s="24"/>
      <c r="G29" s="26"/>
      <c r="H29" s="24"/>
      <c r="I29" s="24"/>
      <c r="J29" s="24"/>
      <c r="K29" s="24"/>
      <c r="L29" s="26"/>
      <c r="M29" s="26"/>
      <c r="N29" s="22"/>
      <c r="O29" s="21"/>
      <c r="P29" s="22"/>
      <c r="Q29" s="29" t="str">
        <f aca="false">IF(C29="","",IF(O29&lt;&gt;"",O29,IFERROR(INDEX(Produk!$J$2:$J$100,MATCH(C29,Produk!$A$2:$A$100,0)),"PRODUK?")))</f>
        <v/>
      </c>
      <c r="R29" s="29" t="str">
        <f aca="false">IF(A29="","",IF(COUNTIF(Anggota!$A$2:$A$2001,A29)=0,"TIDAK ADA","OK"))</f>
        <v/>
      </c>
      <c r="S29" s="29" t="str">
        <f aca="false">IF(H29="","",IF(OR(J29="",L29=""),"-",IF(ABS(H29-J29*L29)&gt;Info_Koperasi!$C$10,"SELISIH","OK")))</f>
        <v/>
      </c>
    </row>
    <row r="30" customFormat="false" ht="15" hidden="false" customHeight="false" outlineLevel="0" collapsed="false">
      <c r="A30" s="21"/>
      <c r="B30" s="22"/>
      <c r="C30" s="21"/>
      <c r="D30" s="21"/>
      <c r="E30" s="28"/>
      <c r="F30" s="24"/>
      <c r="G30" s="26"/>
      <c r="H30" s="24"/>
      <c r="I30" s="24"/>
      <c r="J30" s="24"/>
      <c r="K30" s="24"/>
      <c r="L30" s="26"/>
      <c r="M30" s="26"/>
      <c r="N30" s="22"/>
      <c r="O30" s="21"/>
      <c r="P30" s="22"/>
      <c r="Q30" s="29" t="str">
        <f aca="false">IF(C30="","",IF(O30&lt;&gt;"",O30,IFERROR(INDEX(Produk!$J$2:$J$100,MATCH(C30,Produk!$A$2:$A$100,0)),"PRODUK?")))</f>
        <v/>
      </c>
      <c r="R30" s="29" t="str">
        <f aca="false">IF(A30="","",IF(COUNTIF(Anggota!$A$2:$A$2001,A30)=0,"TIDAK ADA","OK"))</f>
        <v/>
      </c>
      <c r="S30" s="29" t="str">
        <f aca="false">IF(H30="","",IF(OR(J30="",L30=""),"-",IF(ABS(H30-J30*L30)&gt;Info_Koperasi!$C$10,"SELISIH","OK")))</f>
        <v/>
      </c>
    </row>
    <row r="31" customFormat="false" ht="15" hidden="false" customHeight="false" outlineLevel="0" collapsed="false">
      <c r="A31" s="21"/>
      <c r="B31" s="22"/>
      <c r="C31" s="21"/>
      <c r="D31" s="21"/>
      <c r="E31" s="28"/>
      <c r="F31" s="24"/>
      <c r="G31" s="26"/>
      <c r="H31" s="24"/>
      <c r="I31" s="24"/>
      <c r="J31" s="24"/>
      <c r="K31" s="24"/>
      <c r="L31" s="26"/>
      <c r="M31" s="26"/>
      <c r="N31" s="22"/>
      <c r="O31" s="21"/>
      <c r="P31" s="22"/>
      <c r="Q31" s="29" t="str">
        <f aca="false">IF(C31="","",IF(O31&lt;&gt;"",O31,IFERROR(INDEX(Produk!$J$2:$J$100,MATCH(C31,Produk!$A$2:$A$100,0)),"PRODUK?")))</f>
        <v/>
      </c>
      <c r="R31" s="29" t="str">
        <f aca="false">IF(A31="","",IF(COUNTIF(Anggota!$A$2:$A$2001,A31)=0,"TIDAK ADA","OK"))</f>
        <v/>
      </c>
      <c r="S31" s="29" t="str">
        <f aca="false">IF(H31="","",IF(OR(J31="",L31=""),"-",IF(ABS(H31-J31*L31)&gt;Info_Koperasi!$C$10,"SELISIH","OK")))</f>
        <v/>
      </c>
    </row>
    <row r="32" customFormat="false" ht="15" hidden="false" customHeight="false" outlineLevel="0" collapsed="false">
      <c r="A32" s="21"/>
      <c r="B32" s="22"/>
      <c r="C32" s="21"/>
      <c r="D32" s="21"/>
      <c r="E32" s="28"/>
      <c r="F32" s="24"/>
      <c r="G32" s="26"/>
      <c r="H32" s="24"/>
      <c r="I32" s="24"/>
      <c r="J32" s="24"/>
      <c r="K32" s="24"/>
      <c r="L32" s="26"/>
      <c r="M32" s="26"/>
      <c r="N32" s="22"/>
      <c r="O32" s="21"/>
      <c r="P32" s="22"/>
      <c r="Q32" s="29" t="str">
        <f aca="false">IF(C32="","",IF(O32&lt;&gt;"",O32,IFERROR(INDEX(Produk!$J$2:$J$100,MATCH(C32,Produk!$A$2:$A$100,0)),"PRODUK?")))</f>
        <v/>
      </c>
      <c r="R32" s="29" t="str">
        <f aca="false">IF(A32="","",IF(COUNTIF(Anggota!$A$2:$A$2001,A32)=0,"TIDAK ADA","OK"))</f>
        <v/>
      </c>
      <c r="S32" s="29" t="str">
        <f aca="false">IF(H32="","",IF(OR(J32="",L32=""),"-",IF(ABS(H32-J32*L32)&gt;Info_Koperasi!$C$10,"SELISIH","OK")))</f>
        <v/>
      </c>
    </row>
    <row r="33" customFormat="false" ht="15" hidden="false" customHeight="false" outlineLevel="0" collapsed="false">
      <c r="A33" s="21"/>
      <c r="B33" s="22"/>
      <c r="C33" s="21"/>
      <c r="D33" s="21"/>
      <c r="E33" s="28"/>
      <c r="F33" s="24"/>
      <c r="G33" s="26"/>
      <c r="H33" s="24"/>
      <c r="I33" s="24"/>
      <c r="J33" s="24"/>
      <c r="K33" s="24"/>
      <c r="L33" s="26"/>
      <c r="M33" s="26"/>
      <c r="N33" s="22"/>
      <c r="O33" s="21"/>
      <c r="P33" s="22"/>
      <c r="Q33" s="29" t="str">
        <f aca="false">IF(C33="","",IF(O33&lt;&gt;"",O33,IFERROR(INDEX(Produk!$J$2:$J$100,MATCH(C33,Produk!$A$2:$A$100,0)),"PRODUK?")))</f>
        <v/>
      </c>
      <c r="R33" s="29" t="str">
        <f aca="false">IF(A33="","",IF(COUNTIF(Anggota!$A$2:$A$2001,A33)=0,"TIDAK ADA","OK"))</f>
        <v/>
      </c>
      <c r="S33" s="29" t="str">
        <f aca="false">IF(H33="","",IF(OR(J33="",L33=""),"-",IF(ABS(H33-J33*L33)&gt;Info_Koperasi!$C$10,"SELISIH","OK")))</f>
        <v/>
      </c>
    </row>
    <row r="34" customFormat="false" ht="15" hidden="false" customHeight="false" outlineLevel="0" collapsed="false">
      <c r="A34" s="21"/>
      <c r="B34" s="22"/>
      <c r="C34" s="21"/>
      <c r="D34" s="21"/>
      <c r="E34" s="28"/>
      <c r="F34" s="24"/>
      <c r="G34" s="26"/>
      <c r="H34" s="24"/>
      <c r="I34" s="24"/>
      <c r="J34" s="24"/>
      <c r="K34" s="24"/>
      <c r="L34" s="26"/>
      <c r="M34" s="26"/>
      <c r="N34" s="22"/>
      <c r="O34" s="21"/>
      <c r="P34" s="22"/>
      <c r="Q34" s="29" t="str">
        <f aca="false">IF(C34="","",IF(O34&lt;&gt;"",O34,IFERROR(INDEX(Produk!$J$2:$J$100,MATCH(C34,Produk!$A$2:$A$100,0)),"PRODUK?")))</f>
        <v/>
      </c>
      <c r="R34" s="29" t="str">
        <f aca="false">IF(A34="","",IF(COUNTIF(Anggota!$A$2:$A$2001,A34)=0,"TIDAK ADA","OK"))</f>
        <v/>
      </c>
      <c r="S34" s="29" t="str">
        <f aca="false">IF(H34="","",IF(OR(J34="",L34=""),"-",IF(ABS(H34-J34*L34)&gt;Info_Koperasi!$C$10,"SELISIH","OK")))</f>
        <v/>
      </c>
    </row>
    <row r="35" customFormat="false" ht="15" hidden="false" customHeight="false" outlineLevel="0" collapsed="false">
      <c r="A35" s="21"/>
      <c r="B35" s="22"/>
      <c r="C35" s="21"/>
      <c r="D35" s="21"/>
      <c r="E35" s="28"/>
      <c r="F35" s="24"/>
      <c r="G35" s="26"/>
      <c r="H35" s="24"/>
      <c r="I35" s="24"/>
      <c r="J35" s="24"/>
      <c r="K35" s="24"/>
      <c r="L35" s="26"/>
      <c r="M35" s="26"/>
      <c r="N35" s="22"/>
      <c r="O35" s="21"/>
      <c r="P35" s="22"/>
      <c r="Q35" s="29" t="str">
        <f aca="false">IF(C35="","",IF(O35&lt;&gt;"",O35,IFERROR(INDEX(Produk!$J$2:$J$100,MATCH(C35,Produk!$A$2:$A$100,0)),"PRODUK?")))</f>
        <v/>
      </c>
      <c r="R35" s="29" t="str">
        <f aca="false">IF(A35="","",IF(COUNTIF(Anggota!$A$2:$A$2001,A35)=0,"TIDAK ADA","OK"))</f>
        <v/>
      </c>
      <c r="S35" s="29" t="str">
        <f aca="false">IF(H35="","",IF(OR(J35="",L35=""),"-",IF(ABS(H35-J35*L35)&gt;Info_Koperasi!$C$10,"SELISIH","OK")))</f>
        <v/>
      </c>
    </row>
    <row r="36" customFormat="false" ht="15" hidden="false" customHeight="false" outlineLevel="0" collapsed="false">
      <c r="A36" s="21"/>
      <c r="B36" s="22"/>
      <c r="C36" s="21"/>
      <c r="D36" s="21"/>
      <c r="E36" s="28"/>
      <c r="F36" s="24"/>
      <c r="G36" s="26"/>
      <c r="H36" s="24"/>
      <c r="I36" s="24"/>
      <c r="J36" s="24"/>
      <c r="K36" s="24"/>
      <c r="L36" s="26"/>
      <c r="M36" s="26"/>
      <c r="N36" s="22"/>
      <c r="O36" s="21"/>
      <c r="P36" s="22"/>
      <c r="Q36" s="29" t="str">
        <f aca="false">IF(C36="","",IF(O36&lt;&gt;"",O36,IFERROR(INDEX(Produk!$J$2:$J$100,MATCH(C36,Produk!$A$2:$A$100,0)),"PRODUK?")))</f>
        <v/>
      </c>
      <c r="R36" s="29" t="str">
        <f aca="false">IF(A36="","",IF(COUNTIF(Anggota!$A$2:$A$2001,A36)=0,"TIDAK ADA","OK"))</f>
        <v/>
      </c>
      <c r="S36" s="29" t="str">
        <f aca="false">IF(H36="","",IF(OR(J36="",L36=""),"-",IF(ABS(H36-J36*L36)&gt;Info_Koperasi!$C$10,"SELISIH","OK")))</f>
        <v/>
      </c>
    </row>
    <row r="37" customFormat="false" ht="15" hidden="false" customHeight="false" outlineLevel="0" collapsed="false">
      <c r="A37" s="21"/>
      <c r="B37" s="22"/>
      <c r="C37" s="21"/>
      <c r="D37" s="21"/>
      <c r="E37" s="28"/>
      <c r="F37" s="24"/>
      <c r="G37" s="26"/>
      <c r="H37" s="24"/>
      <c r="I37" s="24"/>
      <c r="J37" s="24"/>
      <c r="K37" s="24"/>
      <c r="L37" s="26"/>
      <c r="M37" s="26"/>
      <c r="N37" s="22"/>
      <c r="O37" s="21"/>
      <c r="P37" s="22"/>
      <c r="Q37" s="29" t="str">
        <f aca="false">IF(C37="","",IF(O37&lt;&gt;"",O37,IFERROR(INDEX(Produk!$J$2:$J$100,MATCH(C37,Produk!$A$2:$A$100,0)),"PRODUK?")))</f>
        <v/>
      </c>
      <c r="R37" s="29" t="str">
        <f aca="false">IF(A37="","",IF(COUNTIF(Anggota!$A$2:$A$2001,A37)=0,"TIDAK ADA","OK"))</f>
        <v/>
      </c>
      <c r="S37" s="29" t="str">
        <f aca="false">IF(H37="","",IF(OR(J37="",L37=""),"-",IF(ABS(H37-J37*L37)&gt;Info_Koperasi!$C$10,"SELISIH","OK")))</f>
        <v/>
      </c>
    </row>
    <row r="38" customFormat="false" ht="15" hidden="false" customHeight="false" outlineLevel="0" collapsed="false">
      <c r="A38" s="21"/>
      <c r="B38" s="22"/>
      <c r="C38" s="21"/>
      <c r="D38" s="21"/>
      <c r="E38" s="28"/>
      <c r="F38" s="24"/>
      <c r="G38" s="26"/>
      <c r="H38" s="24"/>
      <c r="I38" s="24"/>
      <c r="J38" s="24"/>
      <c r="K38" s="24"/>
      <c r="L38" s="26"/>
      <c r="M38" s="26"/>
      <c r="N38" s="22"/>
      <c r="O38" s="21"/>
      <c r="P38" s="22"/>
      <c r="Q38" s="29" t="str">
        <f aca="false">IF(C38="","",IF(O38&lt;&gt;"",O38,IFERROR(INDEX(Produk!$J$2:$J$100,MATCH(C38,Produk!$A$2:$A$100,0)),"PRODUK?")))</f>
        <v/>
      </c>
      <c r="R38" s="29" t="str">
        <f aca="false">IF(A38="","",IF(COUNTIF(Anggota!$A$2:$A$2001,A38)=0,"TIDAK ADA","OK"))</f>
        <v/>
      </c>
      <c r="S38" s="29" t="str">
        <f aca="false">IF(H38="","",IF(OR(J38="",L38=""),"-",IF(ABS(H38-J38*L38)&gt;Info_Koperasi!$C$10,"SELISIH","OK")))</f>
        <v/>
      </c>
    </row>
    <row r="39" customFormat="false" ht="15" hidden="false" customHeight="false" outlineLevel="0" collapsed="false">
      <c r="A39" s="21"/>
      <c r="B39" s="22"/>
      <c r="C39" s="21"/>
      <c r="D39" s="21"/>
      <c r="E39" s="28"/>
      <c r="F39" s="24"/>
      <c r="G39" s="26"/>
      <c r="H39" s="24"/>
      <c r="I39" s="24"/>
      <c r="J39" s="24"/>
      <c r="K39" s="24"/>
      <c r="L39" s="26"/>
      <c r="M39" s="26"/>
      <c r="N39" s="22"/>
      <c r="O39" s="21"/>
      <c r="P39" s="22"/>
      <c r="Q39" s="29" t="str">
        <f aca="false">IF(C39="","",IF(O39&lt;&gt;"",O39,IFERROR(INDEX(Produk!$J$2:$J$100,MATCH(C39,Produk!$A$2:$A$100,0)),"PRODUK?")))</f>
        <v/>
      </c>
      <c r="R39" s="29" t="str">
        <f aca="false">IF(A39="","",IF(COUNTIF(Anggota!$A$2:$A$2001,A39)=0,"TIDAK ADA","OK"))</f>
        <v/>
      </c>
      <c r="S39" s="29" t="str">
        <f aca="false">IF(H39="","",IF(OR(J39="",L39=""),"-",IF(ABS(H39-J39*L39)&gt;Info_Koperasi!$C$10,"SELISIH","OK")))</f>
        <v/>
      </c>
    </row>
    <row r="40" customFormat="false" ht="15" hidden="false" customHeight="false" outlineLevel="0" collapsed="false">
      <c r="A40" s="21"/>
      <c r="B40" s="22"/>
      <c r="C40" s="21"/>
      <c r="D40" s="21"/>
      <c r="E40" s="28"/>
      <c r="F40" s="24"/>
      <c r="G40" s="26"/>
      <c r="H40" s="24"/>
      <c r="I40" s="24"/>
      <c r="J40" s="24"/>
      <c r="K40" s="24"/>
      <c r="L40" s="26"/>
      <c r="M40" s="26"/>
      <c r="N40" s="22"/>
      <c r="O40" s="21"/>
      <c r="P40" s="22"/>
      <c r="Q40" s="29" t="str">
        <f aca="false">IF(C40="","",IF(O40&lt;&gt;"",O40,IFERROR(INDEX(Produk!$J$2:$J$100,MATCH(C40,Produk!$A$2:$A$100,0)),"PRODUK?")))</f>
        <v/>
      </c>
      <c r="R40" s="29" t="str">
        <f aca="false">IF(A40="","",IF(COUNTIF(Anggota!$A$2:$A$2001,A40)=0,"TIDAK ADA","OK"))</f>
        <v/>
      </c>
      <c r="S40" s="29" t="str">
        <f aca="false">IF(H40="","",IF(OR(J40="",L40=""),"-",IF(ABS(H40-J40*L40)&gt;Info_Koperasi!$C$10,"SELISIH","OK")))</f>
        <v/>
      </c>
    </row>
    <row r="41" customFormat="false" ht="15" hidden="false" customHeight="false" outlineLevel="0" collapsed="false">
      <c r="A41" s="21"/>
      <c r="B41" s="22"/>
      <c r="C41" s="21"/>
      <c r="D41" s="21"/>
      <c r="E41" s="28"/>
      <c r="F41" s="24"/>
      <c r="G41" s="26"/>
      <c r="H41" s="24"/>
      <c r="I41" s="24"/>
      <c r="J41" s="24"/>
      <c r="K41" s="24"/>
      <c r="L41" s="26"/>
      <c r="M41" s="26"/>
      <c r="N41" s="22"/>
      <c r="O41" s="21"/>
      <c r="P41" s="22"/>
      <c r="Q41" s="29" t="str">
        <f aca="false">IF(C41="","",IF(O41&lt;&gt;"",O41,IFERROR(INDEX(Produk!$J$2:$J$100,MATCH(C41,Produk!$A$2:$A$100,0)),"PRODUK?")))</f>
        <v/>
      </c>
      <c r="R41" s="29" t="str">
        <f aca="false">IF(A41="","",IF(COUNTIF(Anggota!$A$2:$A$2001,A41)=0,"TIDAK ADA","OK"))</f>
        <v/>
      </c>
      <c r="S41" s="29" t="str">
        <f aca="false">IF(H41="","",IF(OR(J41="",L41=""),"-",IF(ABS(H41-J41*L41)&gt;Info_Koperasi!$C$10,"SELISIH","OK")))</f>
        <v/>
      </c>
    </row>
    <row r="42" customFormat="false" ht="15" hidden="false" customHeight="false" outlineLevel="0" collapsed="false">
      <c r="A42" s="21"/>
      <c r="B42" s="22"/>
      <c r="C42" s="21"/>
      <c r="D42" s="21"/>
      <c r="E42" s="28"/>
      <c r="F42" s="24"/>
      <c r="G42" s="26"/>
      <c r="H42" s="24"/>
      <c r="I42" s="24"/>
      <c r="J42" s="24"/>
      <c r="K42" s="24"/>
      <c r="L42" s="26"/>
      <c r="M42" s="26"/>
      <c r="N42" s="22"/>
      <c r="O42" s="21"/>
      <c r="P42" s="22"/>
      <c r="Q42" s="29" t="str">
        <f aca="false">IF(C42="","",IF(O42&lt;&gt;"",O42,IFERROR(INDEX(Produk!$J$2:$J$100,MATCH(C42,Produk!$A$2:$A$100,0)),"PRODUK?")))</f>
        <v/>
      </c>
      <c r="R42" s="29" t="str">
        <f aca="false">IF(A42="","",IF(COUNTIF(Anggota!$A$2:$A$2001,A42)=0,"TIDAK ADA","OK"))</f>
        <v/>
      </c>
      <c r="S42" s="29" t="str">
        <f aca="false">IF(H42="","",IF(OR(J42="",L42=""),"-",IF(ABS(H42-J42*L42)&gt;Info_Koperasi!$C$10,"SELISIH","OK")))</f>
        <v/>
      </c>
    </row>
    <row r="43" customFormat="false" ht="15" hidden="false" customHeight="false" outlineLevel="0" collapsed="false">
      <c r="A43" s="21"/>
      <c r="B43" s="22"/>
      <c r="C43" s="21"/>
      <c r="D43" s="21"/>
      <c r="E43" s="28"/>
      <c r="F43" s="24"/>
      <c r="G43" s="26"/>
      <c r="H43" s="24"/>
      <c r="I43" s="24"/>
      <c r="J43" s="24"/>
      <c r="K43" s="24"/>
      <c r="L43" s="26"/>
      <c r="M43" s="26"/>
      <c r="N43" s="22"/>
      <c r="O43" s="21"/>
      <c r="P43" s="22"/>
      <c r="Q43" s="29" t="str">
        <f aca="false">IF(C43="","",IF(O43&lt;&gt;"",O43,IFERROR(INDEX(Produk!$J$2:$J$100,MATCH(C43,Produk!$A$2:$A$100,0)),"PRODUK?")))</f>
        <v/>
      </c>
      <c r="R43" s="29" t="str">
        <f aca="false">IF(A43="","",IF(COUNTIF(Anggota!$A$2:$A$2001,A43)=0,"TIDAK ADA","OK"))</f>
        <v/>
      </c>
      <c r="S43" s="29" t="str">
        <f aca="false">IF(H43="","",IF(OR(J43="",L43=""),"-",IF(ABS(H43-J43*L43)&gt;Info_Koperasi!$C$10,"SELISIH","OK")))</f>
        <v/>
      </c>
    </row>
    <row r="44" customFormat="false" ht="15" hidden="false" customHeight="false" outlineLevel="0" collapsed="false">
      <c r="A44" s="21"/>
      <c r="B44" s="22"/>
      <c r="C44" s="21"/>
      <c r="D44" s="21"/>
      <c r="E44" s="28"/>
      <c r="F44" s="24"/>
      <c r="G44" s="26"/>
      <c r="H44" s="24"/>
      <c r="I44" s="24"/>
      <c r="J44" s="24"/>
      <c r="K44" s="24"/>
      <c r="L44" s="26"/>
      <c r="M44" s="26"/>
      <c r="N44" s="22"/>
      <c r="O44" s="21"/>
      <c r="P44" s="22"/>
      <c r="Q44" s="29" t="str">
        <f aca="false">IF(C44="","",IF(O44&lt;&gt;"",O44,IFERROR(INDEX(Produk!$J$2:$J$100,MATCH(C44,Produk!$A$2:$A$100,0)),"PRODUK?")))</f>
        <v/>
      </c>
      <c r="R44" s="29" t="str">
        <f aca="false">IF(A44="","",IF(COUNTIF(Anggota!$A$2:$A$2001,A44)=0,"TIDAK ADA","OK"))</f>
        <v/>
      </c>
      <c r="S44" s="29" t="str">
        <f aca="false">IF(H44="","",IF(OR(J44="",L44=""),"-",IF(ABS(H44-J44*L44)&gt;Info_Koperasi!$C$10,"SELISIH","OK")))</f>
        <v/>
      </c>
    </row>
    <row r="45" customFormat="false" ht="15" hidden="false" customHeight="false" outlineLevel="0" collapsed="false">
      <c r="A45" s="21"/>
      <c r="B45" s="22"/>
      <c r="C45" s="21"/>
      <c r="D45" s="21"/>
      <c r="E45" s="28"/>
      <c r="F45" s="24"/>
      <c r="G45" s="26"/>
      <c r="H45" s="24"/>
      <c r="I45" s="24"/>
      <c r="J45" s="24"/>
      <c r="K45" s="24"/>
      <c r="L45" s="26"/>
      <c r="M45" s="26"/>
      <c r="N45" s="22"/>
      <c r="O45" s="21"/>
      <c r="P45" s="22"/>
      <c r="Q45" s="29" t="str">
        <f aca="false">IF(C45="","",IF(O45&lt;&gt;"",O45,IFERROR(INDEX(Produk!$J$2:$J$100,MATCH(C45,Produk!$A$2:$A$100,0)),"PRODUK?")))</f>
        <v/>
      </c>
      <c r="R45" s="29" t="str">
        <f aca="false">IF(A45="","",IF(COUNTIF(Anggota!$A$2:$A$2001,A45)=0,"TIDAK ADA","OK"))</f>
        <v/>
      </c>
      <c r="S45" s="29" t="str">
        <f aca="false">IF(H45="","",IF(OR(J45="",L45=""),"-",IF(ABS(H45-J45*L45)&gt;Info_Koperasi!$C$10,"SELISIH","OK")))</f>
        <v/>
      </c>
    </row>
    <row r="46" customFormat="false" ht="15" hidden="false" customHeight="false" outlineLevel="0" collapsed="false">
      <c r="A46" s="21"/>
      <c r="B46" s="22"/>
      <c r="C46" s="21"/>
      <c r="D46" s="21"/>
      <c r="E46" s="28"/>
      <c r="F46" s="24"/>
      <c r="G46" s="26"/>
      <c r="H46" s="24"/>
      <c r="I46" s="24"/>
      <c r="J46" s="24"/>
      <c r="K46" s="24"/>
      <c r="L46" s="26"/>
      <c r="M46" s="26"/>
      <c r="N46" s="22"/>
      <c r="O46" s="21"/>
      <c r="P46" s="22"/>
      <c r="Q46" s="29" t="str">
        <f aca="false">IF(C46="","",IF(O46&lt;&gt;"",O46,IFERROR(INDEX(Produk!$J$2:$J$100,MATCH(C46,Produk!$A$2:$A$100,0)),"PRODUK?")))</f>
        <v/>
      </c>
      <c r="R46" s="29" t="str">
        <f aca="false">IF(A46="","",IF(COUNTIF(Anggota!$A$2:$A$2001,A46)=0,"TIDAK ADA","OK"))</f>
        <v/>
      </c>
      <c r="S46" s="29" t="str">
        <f aca="false">IF(H46="","",IF(OR(J46="",L46=""),"-",IF(ABS(H46-J46*L46)&gt;Info_Koperasi!$C$10,"SELISIH","OK")))</f>
        <v/>
      </c>
    </row>
    <row r="47" customFormat="false" ht="15" hidden="false" customHeight="false" outlineLevel="0" collapsed="false">
      <c r="A47" s="21"/>
      <c r="B47" s="22"/>
      <c r="C47" s="21"/>
      <c r="D47" s="21"/>
      <c r="E47" s="28"/>
      <c r="F47" s="24"/>
      <c r="G47" s="26"/>
      <c r="H47" s="24"/>
      <c r="I47" s="24"/>
      <c r="J47" s="24"/>
      <c r="K47" s="24"/>
      <c r="L47" s="26"/>
      <c r="M47" s="26"/>
      <c r="N47" s="22"/>
      <c r="O47" s="21"/>
      <c r="P47" s="22"/>
      <c r="Q47" s="29" t="str">
        <f aca="false">IF(C47="","",IF(O47&lt;&gt;"",O47,IFERROR(INDEX(Produk!$J$2:$J$100,MATCH(C47,Produk!$A$2:$A$100,0)),"PRODUK?")))</f>
        <v/>
      </c>
      <c r="R47" s="29" t="str">
        <f aca="false">IF(A47="","",IF(COUNTIF(Anggota!$A$2:$A$2001,A47)=0,"TIDAK ADA","OK"))</f>
        <v/>
      </c>
      <c r="S47" s="29" t="str">
        <f aca="false">IF(H47="","",IF(OR(J47="",L47=""),"-",IF(ABS(H47-J47*L47)&gt;Info_Koperasi!$C$10,"SELISIH","OK")))</f>
        <v/>
      </c>
    </row>
    <row r="48" customFormat="false" ht="15" hidden="false" customHeight="false" outlineLevel="0" collapsed="false">
      <c r="A48" s="21"/>
      <c r="B48" s="22"/>
      <c r="C48" s="21"/>
      <c r="D48" s="21"/>
      <c r="E48" s="28"/>
      <c r="F48" s="24"/>
      <c r="G48" s="26"/>
      <c r="H48" s="24"/>
      <c r="I48" s="24"/>
      <c r="J48" s="24"/>
      <c r="K48" s="24"/>
      <c r="L48" s="26"/>
      <c r="M48" s="26"/>
      <c r="N48" s="22"/>
      <c r="O48" s="21"/>
      <c r="P48" s="22"/>
      <c r="Q48" s="29" t="str">
        <f aca="false">IF(C48="","",IF(O48&lt;&gt;"",O48,IFERROR(INDEX(Produk!$J$2:$J$100,MATCH(C48,Produk!$A$2:$A$100,0)),"PRODUK?")))</f>
        <v/>
      </c>
      <c r="R48" s="29" t="str">
        <f aca="false">IF(A48="","",IF(COUNTIF(Anggota!$A$2:$A$2001,A48)=0,"TIDAK ADA","OK"))</f>
        <v/>
      </c>
      <c r="S48" s="29" t="str">
        <f aca="false">IF(H48="","",IF(OR(J48="",L48=""),"-",IF(ABS(H48-J48*L48)&gt;Info_Koperasi!$C$10,"SELISIH","OK")))</f>
        <v/>
      </c>
    </row>
    <row r="49" customFormat="false" ht="15" hidden="false" customHeight="false" outlineLevel="0" collapsed="false">
      <c r="A49" s="21"/>
      <c r="B49" s="22"/>
      <c r="C49" s="21"/>
      <c r="D49" s="21"/>
      <c r="E49" s="28"/>
      <c r="F49" s="24"/>
      <c r="G49" s="26"/>
      <c r="H49" s="24"/>
      <c r="I49" s="24"/>
      <c r="J49" s="24"/>
      <c r="K49" s="24"/>
      <c r="L49" s="26"/>
      <c r="M49" s="26"/>
      <c r="N49" s="22"/>
      <c r="O49" s="21"/>
      <c r="P49" s="22"/>
      <c r="Q49" s="29" t="str">
        <f aca="false">IF(C49="","",IF(O49&lt;&gt;"",O49,IFERROR(INDEX(Produk!$J$2:$J$100,MATCH(C49,Produk!$A$2:$A$100,0)),"PRODUK?")))</f>
        <v/>
      </c>
      <c r="R49" s="29" t="str">
        <f aca="false">IF(A49="","",IF(COUNTIF(Anggota!$A$2:$A$2001,A49)=0,"TIDAK ADA","OK"))</f>
        <v/>
      </c>
      <c r="S49" s="29" t="str">
        <f aca="false">IF(H49="","",IF(OR(J49="",L49=""),"-",IF(ABS(H49-J49*L49)&gt;Info_Koperasi!$C$10,"SELISIH","OK")))</f>
        <v/>
      </c>
    </row>
    <row r="50" customFormat="false" ht="15" hidden="false" customHeight="false" outlineLevel="0" collapsed="false">
      <c r="A50" s="21"/>
      <c r="B50" s="22"/>
      <c r="C50" s="21"/>
      <c r="D50" s="21"/>
      <c r="E50" s="28"/>
      <c r="F50" s="24"/>
      <c r="G50" s="26"/>
      <c r="H50" s="24"/>
      <c r="I50" s="24"/>
      <c r="J50" s="24"/>
      <c r="K50" s="24"/>
      <c r="L50" s="26"/>
      <c r="M50" s="26"/>
      <c r="N50" s="22"/>
      <c r="O50" s="21"/>
      <c r="P50" s="22"/>
      <c r="Q50" s="29" t="str">
        <f aca="false">IF(C50="","",IF(O50&lt;&gt;"",O50,IFERROR(INDEX(Produk!$J$2:$J$100,MATCH(C50,Produk!$A$2:$A$100,0)),"PRODUK?")))</f>
        <v/>
      </c>
      <c r="R50" s="29" t="str">
        <f aca="false">IF(A50="","",IF(COUNTIF(Anggota!$A$2:$A$2001,A50)=0,"TIDAK ADA","OK"))</f>
        <v/>
      </c>
      <c r="S50" s="29" t="str">
        <f aca="false">IF(H50="","",IF(OR(J50="",L50=""),"-",IF(ABS(H50-J50*L50)&gt;Info_Koperasi!$C$10,"SELISIH","OK")))</f>
        <v/>
      </c>
    </row>
    <row r="51" customFormat="false" ht="15" hidden="false" customHeight="false" outlineLevel="0" collapsed="false">
      <c r="A51" s="21"/>
      <c r="B51" s="22"/>
      <c r="C51" s="21"/>
      <c r="D51" s="21"/>
      <c r="E51" s="28"/>
      <c r="F51" s="24"/>
      <c r="G51" s="26"/>
      <c r="H51" s="24"/>
      <c r="I51" s="24"/>
      <c r="J51" s="24"/>
      <c r="K51" s="24"/>
      <c r="L51" s="26"/>
      <c r="M51" s="26"/>
      <c r="N51" s="22"/>
      <c r="O51" s="21"/>
      <c r="P51" s="22"/>
      <c r="Q51" s="29" t="str">
        <f aca="false">IF(C51="","",IF(O51&lt;&gt;"",O51,IFERROR(INDEX(Produk!$J$2:$J$100,MATCH(C51,Produk!$A$2:$A$100,0)),"PRODUK?")))</f>
        <v/>
      </c>
      <c r="R51" s="29" t="str">
        <f aca="false">IF(A51="","",IF(COUNTIF(Anggota!$A$2:$A$2001,A51)=0,"TIDAK ADA","OK"))</f>
        <v/>
      </c>
      <c r="S51" s="29" t="str">
        <f aca="false">IF(H51="","",IF(OR(J51="",L51=""),"-",IF(ABS(H51-J51*L51)&gt;Info_Koperasi!$C$10,"SELISIH","OK")))</f>
        <v/>
      </c>
    </row>
    <row r="52" customFormat="false" ht="15" hidden="false" customHeight="false" outlineLevel="0" collapsed="false">
      <c r="A52" s="21"/>
      <c r="B52" s="22"/>
      <c r="C52" s="21"/>
      <c r="D52" s="21"/>
      <c r="E52" s="28"/>
      <c r="F52" s="24"/>
      <c r="G52" s="26"/>
      <c r="H52" s="24"/>
      <c r="I52" s="24"/>
      <c r="J52" s="24"/>
      <c r="K52" s="24"/>
      <c r="L52" s="26"/>
      <c r="M52" s="26"/>
      <c r="N52" s="22"/>
      <c r="O52" s="21"/>
      <c r="P52" s="22"/>
      <c r="Q52" s="29" t="str">
        <f aca="false">IF(C52="","",IF(O52&lt;&gt;"",O52,IFERROR(INDEX(Produk!$J$2:$J$100,MATCH(C52,Produk!$A$2:$A$100,0)),"PRODUK?")))</f>
        <v/>
      </c>
      <c r="R52" s="29" t="str">
        <f aca="false">IF(A52="","",IF(COUNTIF(Anggota!$A$2:$A$2001,A52)=0,"TIDAK ADA","OK"))</f>
        <v/>
      </c>
      <c r="S52" s="29" t="str">
        <f aca="false">IF(H52="","",IF(OR(J52="",L52=""),"-",IF(ABS(H52-J52*L52)&gt;Info_Koperasi!$C$10,"SELISIH","OK")))</f>
        <v/>
      </c>
    </row>
    <row r="53" customFormat="false" ht="15" hidden="false" customHeight="false" outlineLevel="0" collapsed="false">
      <c r="A53" s="21"/>
      <c r="B53" s="22"/>
      <c r="C53" s="21"/>
      <c r="D53" s="21"/>
      <c r="E53" s="28"/>
      <c r="F53" s="24"/>
      <c r="G53" s="26"/>
      <c r="H53" s="24"/>
      <c r="I53" s="24"/>
      <c r="J53" s="24"/>
      <c r="K53" s="24"/>
      <c r="L53" s="26"/>
      <c r="M53" s="26"/>
      <c r="N53" s="22"/>
      <c r="O53" s="21"/>
      <c r="P53" s="22"/>
      <c r="Q53" s="29" t="str">
        <f aca="false">IF(C53="","",IF(O53&lt;&gt;"",O53,IFERROR(INDEX(Produk!$J$2:$J$100,MATCH(C53,Produk!$A$2:$A$100,0)),"PRODUK?")))</f>
        <v/>
      </c>
      <c r="R53" s="29" t="str">
        <f aca="false">IF(A53="","",IF(COUNTIF(Anggota!$A$2:$A$2001,A53)=0,"TIDAK ADA","OK"))</f>
        <v/>
      </c>
      <c r="S53" s="29" t="str">
        <f aca="false">IF(H53="","",IF(OR(J53="",L53=""),"-",IF(ABS(H53-J53*L53)&gt;Info_Koperasi!$C$10,"SELISIH","OK")))</f>
        <v/>
      </c>
    </row>
    <row r="54" customFormat="false" ht="15" hidden="false" customHeight="false" outlineLevel="0" collapsed="false">
      <c r="A54" s="21"/>
      <c r="B54" s="22"/>
      <c r="C54" s="21"/>
      <c r="D54" s="21"/>
      <c r="E54" s="28"/>
      <c r="F54" s="24"/>
      <c r="G54" s="26"/>
      <c r="H54" s="24"/>
      <c r="I54" s="24"/>
      <c r="J54" s="24"/>
      <c r="K54" s="24"/>
      <c r="L54" s="26"/>
      <c r="M54" s="26"/>
      <c r="N54" s="22"/>
      <c r="O54" s="21"/>
      <c r="P54" s="22"/>
      <c r="Q54" s="29" t="str">
        <f aca="false">IF(C54="","",IF(O54&lt;&gt;"",O54,IFERROR(INDEX(Produk!$J$2:$J$100,MATCH(C54,Produk!$A$2:$A$100,0)),"PRODUK?")))</f>
        <v/>
      </c>
      <c r="R54" s="29" t="str">
        <f aca="false">IF(A54="","",IF(COUNTIF(Anggota!$A$2:$A$2001,A54)=0,"TIDAK ADA","OK"))</f>
        <v/>
      </c>
      <c r="S54" s="29" t="str">
        <f aca="false">IF(H54="","",IF(OR(J54="",L54=""),"-",IF(ABS(H54-J54*L54)&gt;Info_Koperasi!$C$10,"SELISIH","OK")))</f>
        <v/>
      </c>
    </row>
    <row r="55" customFormat="false" ht="15" hidden="false" customHeight="false" outlineLevel="0" collapsed="false">
      <c r="A55" s="21"/>
      <c r="B55" s="22"/>
      <c r="C55" s="21"/>
      <c r="D55" s="21"/>
      <c r="E55" s="28"/>
      <c r="F55" s="24"/>
      <c r="G55" s="26"/>
      <c r="H55" s="24"/>
      <c r="I55" s="24"/>
      <c r="J55" s="24"/>
      <c r="K55" s="24"/>
      <c r="L55" s="26"/>
      <c r="M55" s="26"/>
      <c r="N55" s="22"/>
      <c r="O55" s="21"/>
      <c r="P55" s="22"/>
      <c r="Q55" s="29" t="str">
        <f aca="false">IF(C55="","",IF(O55&lt;&gt;"",O55,IFERROR(INDEX(Produk!$J$2:$J$100,MATCH(C55,Produk!$A$2:$A$100,0)),"PRODUK?")))</f>
        <v/>
      </c>
      <c r="R55" s="29" t="str">
        <f aca="false">IF(A55="","",IF(COUNTIF(Anggota!$A$2:$A$2001,A55)=0,"TIDAK ADA","OK"))</f>
        <v/>
      </c>
      <c r="S55" s="29" t="str">
        <f aca="false">IF(H55="","",IF(OR(J55="",L55=""),"-",IF(ABS(H55-J55*L55)&gt;Info_Koperasi!$C$10,"SELISIH","OK")))</f>
        <v/>
      </c>
    </row>
    <row r="56" customFormat="false" ht="15" hidden="false" customHeight="false" outlineLevel="0" collapsed="false">
      <c r="A56" s="21"/>
      <c r="B56" s="22"/>
      <c r="C56" s="21"/>
      <c r="D56" s="21"/>
      <c r="E56" s="28"/>
      <c r="F56" s="24"/>
      <c r="G56" s="26"/>
      <c r="H56" s="24"/>
      <c r="I56" s="24"/>
      <c r="J56" s="24"/>
      <c r="K56" s="24"/>
      <c r="L56" s="26"/>
      <c r="M56" s="26"/>
      <c r="N56" s="22"/>
      <c r="O56" s="21"/>
      <c r="P56" s="22"/>
      <c r="Q56" s="29" t="str">
        <f aca="false">IF(C56="","",IF(O56&lt;&gt;"",O56,IFERROR(INDEX(Produk!$J$2:$J$100,MATCH(C56,Produk!$A$2:$A$100,0)),"PRODUK?")))</f>
        <v/>
      </c>
      <c r="R56" s="29" t="str">
        <f aca="false">IF(A56="","",IF(COUNTIF(Anggota!$A$2:$A$2001,A56)=0,"TIDAK ADA","OK"))</f>
        <v/>
      </c>
      <c r="S56" s="29" t="str">
        <f aca="false">IF(H56="","",IF(OR(J56="",L56=""),"-",IF(ABS(H56-J56*L56)&gt;Info_Koperasi!$C$10,"SELISIH","OK")))</f>
        <v/>
      </c>
    </row>
    <row r="57" customFormat="false" ht="15" hidden="false" customHeight="false" outlineLevel="0" collapsed="false">
      <c r="A57" s="21"/>
      <c r="B57" s="22"/>
      <c r="C57" s="21"/>
      <c r="D57" s="21"/>
      <c r="E57" s="28"/>
      <c r="F57" s="24"/>
      <c r="G57" s="26"/>
      <c r="H57" s="24"/>
      <c r="I57" s="24"/>
      <c r="J57" s="24"/>
      <c r="K57" s="24"/>
      <c r="L57" s="26"/>
      <c r="M57" s="26"/>
      <c r="N57" s="22"/>
      <c r="O57" s="21"/>
      <c r="P57" s="22"/>
      <c r="Q57" s="29" t="str">
        <f aca="false">IF(C57="","",IF(O57&lt;&gt;"",O57,IFERROR(INDEX(Produk!$J$2:$J$100,MATCH(C57,Produk!$A$2:$A$100,0)),"PRODUK?")))</f>
        <v/>
      </c>
      <c r="R57" s="29" t="str">
        <f aca="false">IF(A57="","",IF(COUNTIF(Anggota!$A$2:$A$2001,A57)=0,"TIDAK ADA","OK"))</f>
        <v/>
      </c>
      <c r="S57" s="29" t="str">
        <f aca="false">IF(H57="","",IF(OR(J57="",L57=""),"-",IF(ABS(H57-J57*L57)&gt;Info_Koperasi!$C$10,"SELISIH","OK")))</f>
        <v/>
      </c>
    </row>
    <row r="58" customFormat="false" ht="15" hidden="false" customHeight="false" outlineLevel="0" collapsed="false">
      <c r="A58" s="21"/>
      <c r="B58" s="22"/>
      <c r="C58" s="21"/>
      <c r="D58" s="21"/>
      <c r="E58" s="28"/>
      <c r="F58" s="24"/>
      <c r="G58" s="26"/>
      <c r="H58" s="24"/>
      <c r="I58" s="24"/>
      <c r="J58" s="24"/>
      <c r="K58" s="24"/>
      <c r="L58" s="26"/>
      <c r="M58" s="26"/>
      <c r="N58" s="22"/>
      <c r="O58" s="21"/>
      <c r="P58" s="22"/>
      <c r="Q58" s="29" t="str">
        <f aca="false">IF(C58="","",IF(O58&lt;&gt;"",O58,IFERROR(INDEX(Produk!$J$2:$J$100,MATCH(C58,Produk!$A$2:$A$100,0)),"PRODUK?")))</f>
        <v/>
      </c>
      <c r="R58" s="29" t="str">
        <f aca="false">IF(A58="","",IF(COUNTIF(Anggota!$A$2:$A$2001,A58)=0,"TIDAK ADA","OK"))</f>
        <v/>
      </c>
      <c r="S58" s="29" t="str">
        <f aca="false">IF(H58="","",IF(OR(J58="",L58=""),"-",IF(ABS(H58-J58*L58)&gt;Info_Koperasi!$C$10,"SELISIH","OK")))</f>
        <v/>
      </c>
    </row>
    <row r="59" customFormat="false" ht="15" hidden="false" customHeight="false" outlineLevel="0" collapsed="false">
      <c r="A59" s="21"/>
      <c r="B59" s="22"/>
      <c r="C59" s="21"/>
      <c r="D59" s="21"/>
      <c r="E59" s="28"/>
      <c r="F59" s="24"/>
      <c r="G59" s="26"/>
      <c r="H59" s="24"/>
      <c r="I59" s="24"/>
      <c r="J59" s="24"/>
      <c r="K59" s="24"/>
      <c r="L59" s="26"/>
      <c r="M59" s="26"/>
      <c r="N59" s="22"/>
      <c r="O59" s="21"/>
      <c r="P59" s="22"/>
      <c r="Q59" s="29" t="str">
        <f aca="false">IF(C59="","",IF(O59&lt;&gt;"",O59,IFERROR(INDEX(Produk!$J$2:$J$100,MATCH(C59,Produk!$A$2:$A$100,0)),"PRODUK?")))</f>
        <v/>
      </c>
      <c r="R59" s="29" t="str">
        <f aca="false">IF(A59="","",IF(COUNTIF(Anggota!$A$2:$A$2001,A59)=0,"TIDAK ADA","OK"))</f>
        <v/>
      </c>
      <c r="S59" s="29" t="str">
        <f aca="false">IF(H59="","",IF(OR(J59="",L59=""),"-",IF(ABS(H59-J59*L59)&gt;Info_Koperasi!$C$10,"SELISIH","OK")))</f>
        <v/>
      </c>
    </row>
    <row r="60" customFormat="false" ht="15" hidden="false" customHeight="false" outlineLevel="0" collapsed="false">
      <c r="A60" s="21"/>
      <c r="B60" s="22"/>
      <c r="C60" s="21"/>
      <c r="D60" s="21"/>
      <c r="E60" s="28"/>
      <c r="F60" s="24"/>
      <c r="G60" s="26"/>
      <c r="H60" s="24"/>
      <c r="I60" s="24"/>
      <c r="J60" s="24"/>
      <c r="K60" s="24"/>
      <c r="L60" s="26"/>
      <c r="M60" s="26"/>
      <c r="N60" s="22"/>
      <c r="O60" s="21"/>
      <c r="P60" s="22"/>
      <c r="Q60" s="29" t="str">
        <f aca="false">IF(C60="","",IF(O60&lt;&gt;"",O60,IFERROR(INDEX(Produk!$J$2:$J$100,MATCH(C60,Produk!$A$2:$A$100,0)),"PRODUK?")))</f>
        <v/>
      </c>
      <c r="R60" s="29" t="str">
        <f aca="false">IF(A60="","",IF(COUNTIF(Anggota!$A$2:$A$2001,A60)=0,"TIDAK ADA","OK"))</f>
        <v/>
      </c>
      <c r="S60" s="29" t="str">
        <f aca="false">IF(H60="","",IF(OR(J60="",L60=""),"-",IF(ABS(H60-J60*L60)&gt;Info_Koperasi!$C$10,"SELISIH","OK")))</f>
        <v/>
      </c>
    </row>
    <row r="61" customFormat="false" ht="15" hidden="false" customHeight="false" outlineLevel="0" collapsed="false">
      <c r="A61" s="21"/>
      <c r="B61" s="22"/>
      <c r="C61" s="21"/>
      <c r="D61" s="21"/>
      <c r="E61" s="28"/>
      <c r="F61" s="24"/>
      <c r="G61" s="26"/>
      <c r="H61" s="24"/>
      <c r="I61" s="24"/>
      <c r="J61" s="24"/>
      <c r="K61" s="24"/>
      <c r="L61" s="26"/>
      <c r="M61" s="26"/>
      <c r="N61" s="22"/>
      <c r="O61" s="21"/>
      <c r="P61" s="22"/>
      <c r="Q61" s="29" t="str">
        <f aca="false">IF(C61="","",IF(O61&lt;&gt;"",O61,IFERROR(INDEX(Produk!$J$2:$J$100,MATCH(C61,Produk!$A$2:$A$100,0)),"PRODUK?")))</f>
        <v/>
      </c>
      <c r="R61" s="29" t="str">
        <f aca="false">IF(A61="","",IF(COUNTIF(Anggota!$A$2:$A$2001,A61)=0,"TIDAK ADA","OK"))</f>
        <v/>
      </c>
      <c r="S61" s="29" t="str">
        <f aca="false">IF(H61="","",IF(OR(J61="",L61=""),"-",IF(ABS(H61-J61*L61)&gt;Info_Koperasi!$C$10,"SELISIH","OK")))</f>
        <v/>
      </c>
    </row>
    <row r="62" customFormat="false" ht="15" hidden="false" customHeight="false" outlineLevel="0" collapsed="false">
      <c r="A62" s="21"/>
      <c r="B62" s="22"/>
      <c r="C62" s="21"/>
      <c r="D62" s="21"/>
      <c r="E62" s="28"/>
      <c r="F62" s="24"/>
      <c r="G62" s="26"/>
      <c r="H62" s="24"/>
      <c r="I62" s="24"/>
      <c r="J62" s="24"/>
      <c r="K62" s="24"/>
      <c r="L62" s="26"/>
      <c r="M62" s="26"/>
      <c r="N62" s="22"/>
      <c r="O62" s="21"/>
      <c r="P62" s="22"/>
      <c r="Q62" s="29" t="str">
        <f aca="false">IF(C62="","",IF(O62&lt;&gt;"",O62,IFERROR(INDEX(Produk!$J$2:$J$100,MATCH(C62,Produk!$A$2:$A$100,0)),"PRODUK?")))</f>
        <v/>
      </c>
      <c r="R62" s="29" t="str">
        <f aca="false">IF(A62="","",IF(COUNTIF(Anggota!$A$2:$A$2001,A62)=0,"TIDAK ADA","OK"))</f>
        <v/>
      </c>
      <c r="S62" s="29" t="str">
        <f aca="false">IF(H62="","",IF(OR(J62="",L62=""),"-",IF(ABS(H62-J62*L62)&gt;Info_Koperasi!$C$10,"SELISIH","OK")))</f>
        <v/>
      </c>
    </row>
    <row r="63" customFormat="false" ht="15" hidden="false" customHeight="false" outlineLevel="0" collapsed="false">
      <c r="A63" s="21"/>
      <c r="B63" s="22"/>
      <c r="C63" s="21"/>
      <c r="D63" s="21"/>
      <c r="E63" s="28"/>
      <c r="F63" s="24"/>
      <c r="G63" s="26"/>
      <c r="H63" s="24"/>
      <c r="I63" s="24"/>
      <c r="J63" s="24"/>
      <c r="K63" s="24"/>
      <c r="L63" s="26"/>
      <c r="M63" s="26"/>
      <c r="N63" s="22"/>
      <c r="O63" s="21"/>
      <c r="P63" s="22"/>
      <c r="Q63" s="29" t="str">
        <f aca="false">IF(C63="","",IF(O63&lt;&gt;"",O63,IFERROR(INDEX(Produk!$J$2:$J$100,MATCH(C63,Produk!$A$2:$A$100,0)),"PRODUK?")))</f>
        <v/>
      </c>
      <c r="R63" s="29" t="str">
        <f aca="false">IF(A63="","",IF(COUNTIF(Anggota!$A$2:$A$2001,A63)=0,"TIDAK ADA","OK"))</f>
        <v/>
      </c>
      <c r="S63" s="29" t="str">
        <f aca="false">IF(H63="","",IF(OR(J63="",L63=""),"-",IF(ABS(H63-J63*L63)&gt;Info_Koperasi!$C$10,"SELISIH","OK")))</f>
        <v/>
      </c>
    </row>
    <row r="64" customFormat="false" ht="15" hidden="false" customHeight="false" outlineLevel="0" collapsed="false">
      <c r="A64" s="21"/>
      <c r="B64" s="22"/>
      <c r="C64" s="21"/>
      <c r="D64" s="21"/>
      <c r="E64" s="28"/>
      <c r="F64" s="24"/>
      <c r="G64" s="26"/>
      <c r="H64" s="24"/>
      <c r="I64" s="24"/>
      <c r="J64" s="24"/>
      <c r="K64" s="24"/>
      <c r="L64" s="26"/>
      <c r="M64" s="26"/>
      <c r="N64" s="22"/>
      <c r="O64" s="21"/>
      <c r="P64" s="22"/>
      <c r="Q64" s="29" t="str">
        <f aca="false">IF(C64="","",IF(O64&lt;&gt;"",O64,IFERROR(INDEX(Produk!$J$2:$J$100,MATCH(C64,Produk!$A$2:$A$100,0)),"PRODUK?")))</f>
        <v/>
      </c>
      <c r="R64" s="29" t="str">
        <f aca="false">IF(A64="","",IF(COUNTIF(Anggota!$A$2:$A$2001,A64)=0,"TIDAK ADA","OK"))</f>
        <v/>
      </c>
      <c r="S64" s="29" t="str">
        <f aca="false">IF(H64="","",IF(OR(J64="",L64=""),"-",IF(ABS(H64-J64*L64)&gt;Info_Koperasi!$C$10,"SELISIH","OK")))</f>
        <v/>
      </c>
    </row>
    <row r="65" customFormat="false" ht="15" hidden="false" customHeight="false" outlineLevel="0" collapsed="false">
      <c r="A65" s="21"/>
      <c r="B65" s="22"/>
      <c r="C65" s="21"/>
      <c r="D65" s="21"/>
      <c r="E65" s="28"/>
      <c r="F65" s="24"/>
      <c r="G65" s="26"/>
      <c r="H65" s="24"/>
      <c r="I65" s="24"/>
      <c r="J65" s="24"/>
      <c r="K65" s="24"/>
      <c r="L65" s="26"/>
      <c r="M65" s="26"/>
      <c r="N65" s="22"/>
      <c r="O65" s="21"/>
      <c r="P65" s="22"/>
      <c r="Q65" s="29" t="str">
        <f aca="false">IF(C65="","",IF(O65&lt;&gt;"",O65,IFERROR(INDEX(Produk!$J$2:$J$100,MATCH(C65,Produk!$A$2:$A$100,0)),"PRODUK?")))</f>
        <v/>
      </c>
      <c r="R65" s="29" t="str">
        <f aca="false">IF(A65="","",IF(COUNTIF(Anggota!$A$2:$A$2001,A65)=0,"TIDAK ADA","OK"))</f>
        <v/>
      </c>
      <c r="S65" s="29" t="str">
        <f aca="false">IF(H65="","",IF(OR(J65="",L65=""),"-",IF(ABS(H65-J65*L65)&gt;Info_Koperasi!$C$10,"SELISIH","OK")))</f>
        <v/>
      </c>
    </row>
    <row r="66" customFormat="false" ht="15" hidden="false" customHeight="false" outlineLevel="0" collapsed="false">
      <c r="A66" s="21"/>
      <c r="B66" s="22"/>
      <c r="C66" s="21"/>
      <c r="D66" s="21"/>
      <c r="E66" s="28"/>
      <c r="F66" s="24"/>
      <c r="G66" s="26"/>
      <c r="H66" s="24"/>
      <c r="I66" s="24"/>
      <c r="J66" s="24"/>
      <c r="K66" s="24"/>
      <c r="L66" s="26"/>
      <c r="M66" s="26"/>
      <c r="N66" s="22"/>
      <c r="O66" s="21"/>
      <c r="P66" s="22"/>
      <c r="Q66" s="29" t="str">
        <f aca="false">IF(C66="","",IF(O66&lt;&gt;"",O66,IFERROR(INDEX(Produk!$J$2:$J$100,MATCH(C66,Produk!$A$2:$A$100,0)),"PRODUK?")))</f>
        <v/>
      </c>
      <c r="R66" s="29" t="str">
        <f aca="false">IF(A66="","",IF(COUNTIF(Anggota!$A$2:$A$2001,A66)=0,"TIDAK ADA","OK"))</f>
        <v/>
      </c>
      <c r="S66" s="29" t="str">
        <f aca="false">IF(H66="","",IF(OR(J66="",L66=""),"-",IF(ABS(H66-J66*L66)&gt;Info_Koperasi!$C$10,"SELISIH","OK")))</f>
        <v/>
      </c>
    </row>
    <row r="67" customFormat="false" ht="15" hidden="false" customHeight="false" outlineLevel="0" collapsed="false">
      <c r="A67" s="21"/>
      <c r="B67" s="22"/>
      <c r="C67" s="21"/>
      <c r="D67" s="21"/>
      <c r="E67" s="28"/>
      <c r="F67" s="24"/>
      <c r="G67" s="26"/>
      <c r="H67" s="24"/>
      <c r="I67" s="24"/>
      <c r="J67" s="24"/>
      <c r="K67" s="24"/>
      <c r="L67" s="26"/>
      <c r="M67" s="26"/>
      <c r="N67" s="22"/>
      <c r="O67" s="21"/>
      <c r="P67" s="22"/>
      <c r="Q67" s="29" t="str">
        <f aca="false">IF(C67="","",IF(O67&lt;&gt;"",O67,IFERROR(INDEX(Produk!$J$2:$J$100,MATCH(C67,Produk!$A$2:$A$100,0)),"PRODUK?")))</f>
        <v/>
      </c>
      <c r="R67" s="29" t="str">
        <f aca="false">IF(A67="","",IF(COUNTIF(Anggota!$A$2:$A$2001,A67)=0,"TIDAK ADA","OK"))</f>
        <v/>
      </c>
      <c r="S67" s="29" t="str">
        <f aca="false">IF(H67="","",IF(OR(J67="",L67=""),"-",IF(ABS(H67-J67*L67)&gt;Info_Koperasi!$C$10,"SELISIH","OK")))</f>
        <v/>
      </c>
    </row>
    <row r="68" customFormat="false" ht="15" hidden="false" customHeight="false" outlineLevel="0" collapsed="false">
      <c r="A68" s="21"/>
      <c r="B68" s="22"/>
      <c r="C68" s="21"/>
      <c r="D68" s="21"/>
      <c r="E68" s="28"/>
      <c r="F68" s="24"/>
      <c r="G68" s="26"/>
      <c r="H68" s="24"/>
      <c r="I68" s="24"/>
      <c r="J68" s="24"/>
      <c r="K68" s="24"/>
      <c r="L68" s="26"/>
      <c r="M68" s="26"/>
      <c r="N68" s="22"/>
      <c r="O68" s="21"/>
      <c r="P68" s="22"/>
      <c r="Q68" s="29" t="str">
        <f aca="false">IF(C68="","",IF(O68&lt;&gt;"",O68,IFERROR(INDEX(Produk!$J$2:$J$100,MATCH(C68,Produk!$A$2:$A$100,0)),"PRODUK?")))</f>
        <v/>
      </c>
      <c r="R68" s="29" t="str">
        <f aca="false">IF(A68="","",IF(COUNTIF(Anggota!$A$2:$A$2001,A68)=0,"TIDAK ADA","OK"))</f>
        <v/>
      </c>
      <c r="S68" s="29" t="str">
        <f aca="false">IF(H68="","",IF(OR(J68="",L68=""),"-",IF(ABS(H68-J68*L68)&gt;Info_Koperasi!$C$10,"SELISIH","OK")))</f>
        <v/>
      </c>
    </row>
    <row r="69" customFormat="false" ht="15" hidden="false" customHeight="false" outlineLevel="0" collapsed="false">
      <c r="A69" s="21"/>
      <c r="B69" s="22"/>
      <c r="C69" s="21"/>
      <c r="D69" s="21"/>
      <c r="E69" s="28"/>
      <c r="F69" s="24"/>
      <c r="G69" s="26"/>
      <c r="H69" s="24"/>
      <c r="I69" s="24"/>
      <c r="J69" s="24"/>
      <c r="K69" s="24"/>
      <c r="L69" s="26"/>
      <c r="M69" s="26"/>
      <c r="N69" s="22"/>
      <c r="O69" s="21"/>
      <c r="P69" s="22"/>
      <c r="Q69" s="29" t="str">
        <f aca="false">IF(C69="","",IF(O69&lt;&gt;"",O69,IFERROR(INDEX(Produk!$J$2:$J$100,MATCH(C69,Produk!$A$2:$A$100,0)),"PRODUK?")))</f>
        <v/>
      </c>
      <c r="R69" s="29" t="str">
        <f aca="false">IF(A69="","",IF(COUNTIF(Anggota!$A$2:$A$2001,A69)=0,"TIDAK ADA","OK"))</f>
        <v/>
      </c>
      <c r="S69" s="29" t="str">
        <f aca="false">IF(H69="","",IF(OR(J69="",L69=""),"-",IF(ABS(H69-J69*L69)&gt;Info_Koperasi!$C$10,"SELISIH","OK")))</f>
        <v/>
      </c>
    </row>
    <row r="70" customFormat="false" ht="15" hidden="false" customHeight="false" outlineLevel="0" collapsed="false">
      <c r="A70" s="21"/>
      <c r="B70" s="22"/>
      <c r="C70" s="21"/>
      <c r="D70" s="21"/>
      <c r="E70" s="28"/>
      <c r="F70" s="24"/>
      <c r="G70" s="26"/>
      <c r="H70" s="24"/>
      <c r="I70" s="24"/>
      <c r="J70" s="24"/>
      <c r="K70" s="24"/>
      <c r="L70" s="26"/>
      <c r="M70" s="26"/>
      <c r="N70" s="22"/>
      <c r="O70" s="21"/>
      <c r="P70" s="22"/>
      <c r="Q70" s="29" t="str">
        <f aca="false">IF(C70="","",IF(O70&lt;&gt;"",O70,IFERROR(INDEX(Produk!$J$2:$J$100,MATCH(C70,Produk!$A$2:$A$100,0)),"PRODUK?")))</f>
        <v/>
      </c>
      <c r="R70" s="29" t="str">
        <f aca="false">IF(A70="","",IF(COUNTIF(Anggota!$A$2:$A$2001,A70)=0,"TIDAK ADA","OK"))</f>
        <v/>
      </c>
      <c r="S70" s="29" t="str">
        <f aca="false">IF(H70="","",IF(OR(J70="",L70=""),"-",IF(ABS(H70-J70*L70)&gt;Info_Koperasi!$C$10,"SELISIH","OK")))</f>
        <v/>
      </c>
    </row>
    <row r="71" customFormat="false" ht="15" hidden="false" customHeight="false" outlineLevel="0" collapsed="false">
      <c r="A71" s="21"/>
      <c r="B71" s="22"/>
      <c r="C71" s="21"/>
      <c r="D71" s="21"/>
      <c r="E71" s="28"/>
      <c r="F71" s="24"/>
      <c r="G71" s="26"/>
      <c r="H71" s="24"/>
      <c r="I71" s="24"/>
      <c r="J71" s="24"/>
      <c r="K71" s="24"/>
      <c r="L71" s="26"/>
      <c r="M71" s="26"/>
      <c r="N71" s="22"/>
      <c r="O71" s="21"/>
      <c r="P71" s="22"/>
      <c r="Q71" s="29" t="str">
        <f aca="false">IF(C71="","",IF(O71&lt;&gt;"",O71,IFERROR(INDEX(Produk!$J$2:$J$100,MATCH(C71,Produk!$A$2:$A$100,0)),"PRODUK?")))</f>
        <v/>
      </c>
      <c r="R71" s="29" t="str">
        <f aca="false">IF(A71="","",IF(COUNTIF(Anggota!$A$2:$A$2001,A71)=0,"TIDAK ADA","OK"))</f>
        <v/>
      </c>
      <c r="S71" s="29" t="str">
        <f aca="false">IF(H71="","",IF(OR(J71="",L71=""),"-",IF(ABS(H71-J71*L71)&gt;Info_Koperasi!$C$10,"SELISIH","OK")))</f>
        <v/>
      </c>
    </row>
    <row r="72" customFormat="false" ht="15" hidden="false" customHeight="false" outlineLevel="0" collapsed="false">
      <c r="A72" s="21"/>
      <c r="B72" s="22"/>
      <c r="C72" s="21"/>
      <c r="D72" s="21"/>
      <c r="E72" s="28"/>
      <c r="F72" s="24"/>
      <c r="G72" s="26"/>
      <c r="H72" s="24"/>
      <c r="I72" s="24"/>
      <c r="J72" s="24"/>
      <c r="K72" s="24"/>
      <c r="L72" s="26"/>
      <c r="M72" s="26"/>
      <c r="N72" s="22"/>
      <c r="O72" s="21"/>
      <c r="P72" s="22"/>
      <c r="Q72" s="29" t="str">
        <f aca="false">IF(C72="","",IF(O72&lt;&gt;"",O72,IFERROR(INDEX(Produk!$J$2:$J$100,MATCH(C72,Produk!$A$2:$A$100,0)),"PRODUK?")))</f>
        <v/>
      </c>
      <c r="R72" s="29" t="str">
        <f aca="false">IF(A72="","",IF(COUNTIF(Anggota!$A$2:$A$2001,A72)=0,"TIDAK ADA","OK"))</f>
        <v/>
      </c>
      <c r="S72" s="29" t="str">
        <f aca="false">IF(H72="","",IF(OR(J72="",L72=""),"-",IF(ABS(H72-J72*L72)&gt;Info_Koperasi!$C$10,"SELISIH","OK")))</f>
        <v/>
      </c>
    </row>
    <row r="73" customFormat="false" ht="15" hidden="false" customHeight="false" outlineLevel="0" collapsed="false">
      <c r="A73" s="21"/>
      <c r="B73" s="22"/>
      <c r="C73" s="21"/>
      <c r="D73" s="21"/>
      <c r="E73" s="28"/>
      <c r="F73" s="24"/>
      <c r="G73" s="26"/>
      <c r="H73" s="24"/>
      <c r="I73" s="24"/>
      <c r="J73" s="24"/>
      <c r="K73" s="24"/>
      <c r="L73" s="26"/>
      <c r="M73" s="26"/>
      <c r="N73" s="22"/>
      <c r="O73" s="21"/>
      <c r="P73" s="22"/>
      <c r="Q73" s="29" t="str">
        <f aca="false">IF(C73="","",IF(O73&lt;&gt;"",O73,IFERROR(INDEX(Produk!$J$2:$J$100,MATCH(C73,Produk!$A$2:$A$100,0)),"PRODUK?")))</f>
        <v/>
      </c>
      <c r="R73" s="29" t="str">
        <f aca="false">IF(A73="","",IF(COUNTIF(Anggota!$A$2:$A$2001,A73)=0,"TIDAK ADA","OK"))</f>
        <v/>
      </c>
      <c r="S73" s="29" t="str">
        <f aca="false">IF(H73="","",IF(OR(J73="",L73=""),"-",IF(ABS(H73-J73*L73)&gt;Info_Koperasi!$C$10,"SELISIH","OK")))</f>
        <v/>
      </c>
    </row>
    <row r="74" customFormat="false" ht="15" hidden="false" customHeight="false" outlineLevel="0" collapsed="false">
      <c r="A74" s="21"/>
      <c r="B74" s="22"/>
      <c r="C74" s="21"/>
      <c r="D74" s="21"/>
      <c r="E74" s="28"/>
      <c r="F74" s="24"/>
      <c r="G74" s="26"/>
      <c r="H74" s="24"/>
      <c r="I74" s="24"/>
      <c r="J74" s="24"/>
      <c r="K74" s="24"/>
      <c r="L74" s="26"/>
      <c r="M74" s="26"/>
      <c r="N74" s="22"/>
      <c r="O74" s="21"/>
      <c r="P74" s="22"/>
      <c r="Q74" s="29" t="str">
        <f aca="false">IF(C74="","",IF(O74&lt;&gt;"",O74,IFERROR(INDEX(Produk!$J$2:$J$100,MATCH(C74,Produk!$A$2:$A$100,0)),"PRODUK?")))</f>
        <v/>
      </c>
      <c r="R74" s="29" t="str">
        <f aca="false">IF(A74="","",IF(COUNTIF(Anggota!$A$2:$A$2001,A74)=0,"TIDAK ADA","OK"))</f>
        <v/>
      </c>
      <c r="S74" s="29" t="str">
        <f aca="false">IF(H74="","",IF(OR(J74="",L74=""),"-",IF(ABS(H74-J74*L74)&gt;Info_Koperasi!$C$10,"SELISIH","OK")))</f>
        <v/>
      </c>
    </row>
    <row r="75" customFormat="false" ht="15" hidden="false" customHeight="false" outlineLevel="0" collapsed="false">
      <c r="A75" s="21"/>
      <c r="B75" s="22"/>
      <c r="C75" s="21"/>
      <c r="D75" s="21"/>
      <c r="E75" s="28"/>
      <c r="F75" s="24"/>
      <c r="G75" s="26"/>
      <c r="H75" s="24"/>
      <c r="I75" s="24"/>
      <c r="J75" s="24"/>
      <c r="K75" s="24"/>
      <c r="L75" s="26"/>
      <c r="M75" s="26"/>
      <c r="N75" s="22"/>
      <c r="O75" s="21"/>
      <c r="P75" s="22"/>
      <c r="Q75" s="29" t="str">
        <f aca="false">IF(C75="","",IF(O75&lt;&gt;"",O75,IFERROR(INDEX(Produk!$J$2:$J$100,MATCH(C75,Produk!$A$2:$A$100,0)),"PRODUK?")))</f>
        <v/>
      </c>
      <c r="R75" s="29" t="str">
        <f aca="false">IF(A75="","",IF(COUNTIF(Anggota!$A$2:$A$2001,A75)=0,"TIDAK ADA","OK"))</f>
        <v/>
      </c>
      <c r="S75" s="29" t="str">
        <f aca="false">IF(H75="","",IF(OR(J75="",L75=""),"-",IF(ABS(H75-J75*L75)&gt;Info_Koperasi!$C$10,"SELISIH","OK")))</f>
        <v/>
      </c>
    </row>
    <row r="76" customFormat="false" ht="15" hidden="false" customHeight="false" outlineLevel="0" collapsed="false">
      <c r="A76" s="21"/>
      <c r="B76" s="22"/>
      <c r="C76" s="21"/>
      <c r="D76" s="21"/>
      <c r="E76" s="28"/>
      <c r="F76" s="24"/>
      <c r="G76" s="26"/>
      <c r="H76" s="24"/>
      <c r="I76" s="24"/>
      <c r="J76" s="24"/>
      <c r="K76" s="24"/>
      <c r="L76" s="26"/>
      <c r="M76" s="26"/>
      <c r="N76" s="22"/>
      <c r="O76" s="21"/>
      <c r="P76" s="22"/>
      <c r="Q76" s="29" t="str">
        <f aca="false">IF(C76="","",IF(O76&lt;&gt;"",O76,IFERROR(INDEX(Produk!$J$2:$J$100,MATCH(C76,Produk!$A$2:$A$100,0)),"PRODUK?")))</f>
        <v/>
      </c>
      <c r="R76" s="29" t="str">
        <f aca="false">IF(A76="","",IF(COUNTIF(Anggota!$A$2:$A$2001,A76)=0,"TIDAK ADA","OK"))</f>
        <v/>
      </c>
      <c r="S76" s="29" t="str">
        <f aca="false">IF(H76="","",IF(OR(J76="",L76=""),"-",IF(ABS(H76-J76*L76)&gt;Info_Koperasi!$C$10,"SELISIH","OK")))</f>
        <v/>
      </c>
    </row>
    <row r="77" customFormat="false" ht="15" hidden="false" customHeight="false" outlineLevel="0" collapsed="false">
      <c r="A77" s="21"/>
      <c r="B77" s="22"/>
      <c r="C77" s="21"/>
      <c r="D77" s="21"/>
      <c r="E77" s="28"/>
      <c r="F77" s="24"/>
      <c r="G77" s="26"/>
      <c r="H77" s="24"/>
      <c r="I77" s="24"/>
      <c r="J77" s="24"/>
      <c r="K77" s="24"/>
      <c r="L77" s="26"/>
      <c r="M77" s="26"/>
      <c r="N77" s="22"/>
      <c r="O77" s="21"/>
      <c r="P77" s="22"/>
      <c r="Q77" s="29" t="str">
        <f aca="false">IF(C77="","",IF(O77&lt;&gt;"",O77,IFERROR(INDEX(Produk!$J$2:$J$100,MATCH(C77,Produk!$A$2:$A$100,0)),"PRODUK?")))</f>
        <v/>
      </c>
      <c r="R77" s="29" t="str">
        <f aca="false">IF(A77="","",IF(COUNTIF(Anggota!$A$2:$A$2001,A77)=0,"TIDAK ADA","OK"))</f>
        <v/>
      </c>
      <c r="S77" s="29" t="str">
        <f aca="false">IF(H77="","",IF(OR(J77="",L77=""),"-",IF(ABS(H77-J77*L77)&gt;Info_Koperasi!$C$10,"SELISIH","OK")))</f>
        <v/>
      </c>
    </row>
    <row r="78" customFormat="false" ht="15" hidden="false" customHeight="false" outlineLevel="0" collapsed="false">
      <c r="A78" s="21"/>
      <c r="B78" s="22"/>
      <c r="C78" s="21"/>
      <c r="D78" s="21"/>
      <c r="E78" s="28"/>
      <c r="F78" s="24"/>
      <c r="G78" s="26"/>
      <c r="H78" s="24"/>
      <c r="I78" s="24"/>
      <c r="J78" s="24"/>
      <c r="K78" s="24"/>
      <c r="L78" s="26"/>
      <c r="M78" s="26"/>
      <c r="N78" s="22"/>
      <c r="O78" s="21"/>
      <c r="P78" s="22"/>
      <c r="Q78" s="29" t="str">
        <f aca="false">IF(C78="","",IF(O78&lt;&gt;"",O78,IFERROR(INDEX(Produk!$J$2:$J$100,MATCH(C78,Produk!$A$2:$A$100,0)),"PRODUK?")))</f>
        <v/>
      </c>
      <c r="R78" s="29" t="str">
        <f aca="false">IF(A78="","",IF(COUNTIF(Anggota!$A$2:$A$2001,A78)=0,"TIDAK ADA","OK"))</f>
        <v/>
      </c>
      <c r="S78" s="29" t="str">
        <f aca="false">IF(H78="","",IF(OR(J78="",L78=""),"-",IF(ABS(H78-J78*L78)&gt;Info_Koperasi!$C$10,"SELISIH","OK")))</f>
        <v/>
      </c>
    </row>
    <row r="79" customFormat="false" ht="15" hidden="false" customHeight="false" outlineLevel="0" collapsed="false">
      <c r="A79" s="21"/>
      <c r="B79" s="22"/>
      <c r="C79" s="21"/>
      <c r="D79" s="21"/>
      <c r="E79" s="28"/>
      <c r="F79" s="24"/>
      <c r="G79" s="26"/>
      <c r="H79" s="24"/>
      <c r="I79" s="24"/>
      <c r="J79" s="24"/>
      <c r="K79" s="24"/>
      <c r="L79" s="26"/>
      <c r="M79" s="26"/>
      <c r="N79" s="22"/>
      <c r="O79" s="21"/>
      <c r="P79" s="22"/>
      <c r="Q79" s="29" t="str">
        <f aca="false">IF(C79="","",IF(O79&lt;&gt;"",O79,IFERROR(INDEX(Produk!$J$2:$J$100,MATCH(C79,Produk!$A$2:$A$100,0)),"PRODUK?")))</f>
        <v/>
      </c>
      <c r="R79" s="29" t="str">
        <f aca="false">IF(A79="","",IF(COUNTIF(Anggota!$A$2:$A$2001,A79)=0,"TIDAK ADA","OK"))</f>
        <v/>
      </c>
      <c r="S79" s="29" t="str">
        <f aca="false">IF(H79="","",IF(OR(J79="",L79=""),"-",IF(ABS(H79-J79*L79)&gt;Info_Koperasi!$C$10,"SELISIH","OK")))</f>
        <v/>
      </c>
    </row>
    <row r="80" customFormat="false" ht="15" hidden="false" customHeight="false" outlineLevel="0" collapsed="false">
      <c r="A80" s="21"/>
      <c r="B80" s="22"/>
      <c r="C80" s="21"/>
      <c r="D80" s="21"/>
      <c r="E80" s="28"/>
      <c r="F80" s="24"/>
      <c r="G80" s="26"/>
      <c r="H80" s="24"/>
      <c r="I80" s="24"/>
      <c r="J80" s="24"/>
      <c r="K80" s="24"/>
      <c r="L80" s="26"/>
      <c r="M80" s="26"/>
      <c r="N80" s="22"/>
      <c r="O80" s="21"/>
      <c r="P80" s="22"/>
      <c r="Q80" s="29" t="str">
        <f aca="false">IF(C80="","",IF(O80&lt;&gt;"",O80,IFERROR(INDEX(Produk!$J$2:$J$100,MATCH(C80,Produk!$A$2:$A$100,0)),"PRODUK?")))</f>
        <v/>
      </c>
      <c r="R80" s="29" t="str">
        <f aca="false">IF(A80="","",IF(COUNTIF(Anggota!$A$2:$A$2001,A80)=0,"TIDAK ADA","OK"))</f>
        <v/>
      </c>
      <c r="S80" s="29" t="str">
        <f aca="false">IF(H80="","",IF(OR(J80="",L80=""),"-",IF(ABS(H80-J80*L80)&gt;Info_Koperasi!$C$10,"SELISIH","OK")))</f>
        <v/>
      </c>
    </row>
    <row r="81" customFormat="false" ht="15" hidden="false" customHeight="false" outlineLevel="0" collapsed="false">
      <c r="A81" s="21"/>
      <c r="B81" s="22"/>
      <c r="C81" s="21"/>
      <c r="D81" s="21"/>
      <c r="E81" s="28"/>
      <c r="F81" s="24"/>
      <c r="G81" s="26"/>
      <c r="H81" s="24"/>
      <c r="I81" s="24"/>
      <c r="J81" s="24"/>
      <c r="K81" s="24"/>
      <c r="L81" s="26"/>
      <c r="M81" s="26"/>
      <c r="N81" s="22"/>
      <c r="O81" s="21"/>
      <c r="P81" s="22"/>
      <c r="Q81" s="29" t="str">
        <f aca="false">IF(C81="","",IF(O81&lt;&gt;"",O81,IFERROR(INDEX(Produk!$J$2:$J$100,MATCH(C81,Produk!$A$2:$A$100,0)),"PRODUK?")))</f>
        <v/>
      </c>
      <c r="R81" s="29" t="str">
        <f aca="false">IF(A81="","",IF(COUNTIF(Anggota!$A$2:$A$2001,A81)=0,"TIDAK ADA","OK"))</f>
        <v/>
      </c>
      <c r="S81" s="29" t="str">
        <f aca="false">IF(H81="","",IF(OR(J81="",L81=""),"-",IF(ABS(H81-J81*L81)&gt;Info_Koperasi!$C$10,"SELISIH","OK")))</f>
        <v/>
      </c>
    </row>
    <row r="82" customFormat="false" ht="15" hidden="false" customHeight="false" outlineLevel="0" collapsed="false">
      <c r="A82" s="21"/>
      <c r="B82" s="22"/>
      <c r="C82" s="21"/>
      <c r="D82" s="21"/>
      <c r="E82" s="28"/>
      <c r="F82" s="24"/>
      <c r="G82" s="26"/>
      <c r="H82" s="24"/>
      <c r="I82" s="24"/>
      <c r="J82" s="24"/>
      <c r="K82" s="24"/>
      <c r="L82" s="26"/>
      <c r="M82" s="26"/>
      <c r="N82" s="22"/>
      <c r="O82" s="21"/>
      <c r="P82" s="22"/>
      <c r="Q82" s="29" t="str">
        <f aca="false">IF(C82="","",IF(O82&lt;&gt;"",O82,IFERROR(INDEX(Produk!$J$2:$J$100,MATCH(C82,Produk!$A$2:$A$100,0)),"PRODUK?")))</f>
        <v/>
      </c>
      <c r="R82" s="29" t="str">
        <f aca="false">IF(A82="","",IF(COUNTIF(Anggota!$A$2:$A$2001,A82)=0,"TIDAK ADA","OK"))</f>
        <v/>
      </c>
      <c r="S82" s="29" t="str">
        <f aca="false">IF(H82="","",IF(OR(J82="",L82=""),"-",IF(ABS(H82-J82*L82)&gt;Info_Koperasi!$C$10,"SELISIH","OK")))</f>
        <v/>
      </c>
    </row>
    <row r="83" customFormat="false" ht="15" hidden="false" customHeight="false" outlineLevel="0" collapsed="false">
      <c r="A83" s="21"/>
      <c r="B83" s="22"/>
      <c r="C83" s="21"/>
      <c r="D83" s="21"/>
      <c r="E83" s="28"/>
      <c r="F83" s="24"/>
      <c r="G83" s="26"/>
      <c r="H83" s="24"/>
      <c r="I83" s="24"/>
      <c r="J83" s="24"/>
      <c r="K83" s="24"/>
      <c r="L83" s="26"/>
      <c r="M83" s="26"/>
      <c r="N83" s="22"/>
      <c r="O83" s="21"/>
      <c r="P83" s="22"/>
      <c r="Q83" s="29" t="str">
        <f aca="false">IF(C83="","",IF(O83&lt;&gt;"",O83,IFERROR(INDEX(Produk!$J$2:$J$100,MATCH(C83,Produk!$A$2:$A$100,0)),"PRODUK?")))</f>
        <v/>
      </c>
      <c r="R83" s="29" t="str">
        <f aca="false">IF(A83="","",IF(COUNTIF(Anggota!$A$2:$A$2001,A83)=0,"TIDAK ADA","OK"))</f>
        <v/>
      </c>
      <c r="S83" s="29" t="str">
        <f aca="false">IF(H83="","",IF(OR(J83="",L83=""),"-",IF(ABS(H83-J83*L83)&gt;Info_Koperasi!$C$10,"SELISIH","OK")))</f>
        <v/>
      </c>
    </row>
    <row r="84" customFormat="false" ht="15" hidden="false" customHeight="false" outlineLevel="0" collapsed="false">
      <c r="A84" s="21"/>
      <c r="B84" s="22"/>
      <c r="C84" s="21"/>
      <c r="D84" s="21"/>
      <c r="E84" s="28"/>
      <c r="F84" s="24"/>
      <c r="G84" s="26"/>
      <c r="H84" s="24"/>
      <c r="I84" s="24"/>
      <c r="J84" s="24"/>
      <c r="K84" s="24"/>
      <c r="L84" s="26"/>
      <c r="M84" s="26"/>
      <c r="N84" s="22"/>
      <c r="O84" s="21"/>
      <c r="P84" s="22"/>
      <c r="Q84" s="29" t="str">
        <f aca="false">IF(C84="","",IF(O84&lt;&gt;"",O84,IFERROR(INDEX(Produk!$J$2:$J$100,MATCH(C84,Produk!$A$2:$A$100,0)),"PRODUK?")))</f>
        <v/>
      </c>
      <c r="R84" s="29" t="str">
        <f aca="false">IF(A84="","",IF(COUNTIF(Anggota!$A$2:$A$2001,A84)=0,"TIDAK ADA","OK"))</f>
        <v/>
      </c>
      <c r="S84" s="29" t="str">
        <f aca="false">IF(H84="","",IF(OR(J84="",L84=""),"-",IF(ABS(H84-J84*L84)&gt;Info_Koperasi!$C$10,"SELISIH","OK")))</f>
        <v/>
      </c>
    </row>
    <row r="85" customFormat="false" ht="15" hidden="false" customHeight="false" outlineLevel="0" collapsed="false">
      <c r="A85" s="21"/>
      <c r="B85" s="22"/>
      <c r="C85" s="21"/>
      <c r="D85" s="21"/>
      <c r="E85" s="28"/>
      <c r="F85" s="24"/>
      <c r="G85" s="26"/>
      <c r="H85" s="24"/>
      <c r="I85" s="24"/>
      <c r="J85" s="24"/>
      <c r="K85" s="24"/>
      <c r="L85" s="26"/>
      <c r="M85" s="26"/>
      <c r="N85" s="22"/>
      <c r="O85" s="21"/>
      <c r="P85" s="22"/>
      <c r="Q85" s="29" t="str">
        <f aca="false">IF(C85="","",IF(O85&lt;&gt;"",O85,IFERROR(INDEX(Produk!$J$2:$J$100,MATCH(C85,Produk!$A$2:$A$100,0)),"PRODUK?")))</f>
        <v/>
      </c>
      <c r="R85" s="29" t="str">
        <f aca="false">IF(A85="","",IF(COUNTIF(Anggota!$A$2:$A$2001,A85)=0,"TIDAK ADA","OK"))</f>
        <v/>
      </c>
      <c r="S85" s="29" t="str">
        <f aca="false">IF(H85="","",IF(OR(J85="",L85=""),"-",IF(ABS(H85-J85*L85)&gt;Info_Koperasi!$C$10,"SELISIH","OK")))</f>
        <v/>
      </c>
    </row>
    <row r="86" customFormat="false" ht="15" hidden="false" customHeight="false" outlineLevel="0" collapsed="false">
      <c r="A86" s="21"/>
      <c r="B86" s="22"/>
      <c r="C86" s="21"/>
      <c r="D86" s="21"/>
      <c r="E86" s="28"/>
      <c r="F86" s="24"/>
      <c r="G86" s="26"/>
      <c r="H86" s="24"/>
      <c r="I86" s="24"/>
      <c r="J86" s="24"/>
      <c r="K86" s="24"/>
      <c r="L86" s="26"/>
      <c r="M86" s="26"/>
      <c r="N86" s="22"/>
      <c r="O86" s="21"/>
      <c r="P86" s="22"/>
      <c r="Q86" s="29" t="str">
        <f aca="false">IF(C86="","",IF(O86&lt;&gt;"",O86,IFERROR(INDEX(Produk!$J$2:$J$100,MATCH(C86,Produk!$A$2:$A$100,0)),"PRODUK?")))</f>
        <v/>
      </c>
      <c r="R86" s="29" t="str">
        <f aca="false">IF(A86="","",IF(COUNTIF(Anggota!$A$2:$A$2001,A86)=0,"TIDAK ADA","OK"))</f>
        <v/>
      </c>
      <c r="S86" s="29" t="str">
        <f aca="false">IF(H86="","",IF(OR(J86="",L86=""),"-",IF(ABS(H86-J86*L86)&gt;Info_Koperasi!$C$10,"SELISIH","OK")))</f>
        <v/>
      </c>
    </row>
    <row r="87" customFormat="false" ht="15" hidden="false" customHeight="false" outlineLevel="0" collapsed="false">
      <c r="A87" s="21"/>
      <c r="B87" s="22"/>
      <c r="C87" s="21"/>
      <c r="D87" s="21"/>
      <c r="E87" s="28"/>
      <c r="F87" s="24"/>
      <c r="G87" s="26"/>
      <c r="H87" s="24"/>
      <c r="I87" s="24"/>
      <c r="J87" s="24"/>
      <c r="K87" s="24"/>
      <c r="L87" s="26"/>
      <c r="M87" s="26"/>
      <c r="N87" s="22"/>
      <c r="O87" s="21"/>
      <c r="P87" s="22"/>
      <c r="Q87" s="29" t="str">
        <f aca="false">IF(C87="","",IF(O87&lt;&gt;"",O87,IFERROR(INDEX(Produk!$J$2:$J$100,MATCH(C87,Produk!$A$2:$A$100,0)),"PRODUK?")))</f>
        <v/>
      </c>
      <c r="R87" s="29" t="str">
        <f aca="false">IF(A87="","",IF(COUNTIF(Anggota!$A$2:$A$2001,A87)=0,"TIDAK ADA","OK"))</f>
        <v/>
      </c>
      <c r="S87" s="29" t="str">
        <f aca="false">IF(H87="","",IF(OR(J87="",L87=""),"-",IF(ABS(H87-J87*L87)&gt;Info_Koperasi!$C$10,"SELISIH","OK")))</f>
        <v/>
      </c>
    </row>
    <row r="88" customFormat="false" ht="15" hidden="false" customHeight="false" outlineLevel="0" collapsed="false">
      <c r="A88" s="21"/>
      <c r="B88" s="22"/>
      <c r="C88" s="21"/>
      <c r="D88" s="21"/>
      <c r="E88" s="28"/>
      <c r="F88" s="24"/>
      <c r="G88" s="26"/>
      <c r="H88" s="24"/>
      <c r="I88" s="24"/>
      <c r="J88" s="24"/>
      <c r="K88" s="24"/>
      <c r="L88" s="26"/>
      <c r="M88" s="26"/>
      <c r="N88" s="22"/>
      <c r="O88" s="21"/>
      <c r="P88" s="22"/>
      <c r="Q88" s="29" t="str">
        <f aca="false">IF(C88="","",IF(O88&lt;&gt;"",O88,IFERROR(INDEX(Produk!$J$2:$J$100,MATCH(C88,Produk!$A$2:$A$100,0)),"PRODUK?")))</f>
        <v/>
      </c>
      <c r="R88" s="29" t="str">
        <f aca="false">IF(A88="","",IF(COUNTIF(Anggota!$A$2:$A$2001,A88)=0,"TIDAK ADA","OK"))</f>
        <v/>
      </c>
      <c r="S88" s="29" t="str">
        <f aca="false">IF(H88="","",IF(OR(J88="",L88=""),"-",IF(ABS(H88-J88*L88)&gt;Info_Koperasi!$C$10,"SELISIH","OK")))</f>
        <v/>
      </c>
    </row>
    <row r="89" customFormat="false" ht="15" hidden="false" customHeight="false" outlineLevel="0" collapsed="false">
      <c r="A89" s="21"/>
      <c r="B89" s="22"/>
      <c r="C89" s="21"/>
      <c r="D89" s="21"/>
      <c r="E89" s="28"/>
      <c r="F89" s="24"/>
      <c r="G89" s="26"/>
      <c r="H89" s="24"/>
      <c r="I89" s="24"/>
      <c r="J89" s="24"/>
      <c r="K89" s="24"/>
      <c r="L89" s="26"/>
      <c r="M89" s="26"/>
      <c r="N89" s="22"/>
      <c r="O89" s="21"/>
      <c r="P89" s="22"/>
      <c r="Q89" s="29" t="str">
        <f aca="false">IF(C89="","",IF(O89&lt;&gt;"",O89,IFERROR(INDEX(Produk!$J$2:$J$100,MATCH(C89,Produk!$A$2:$A$100,0)),"PRODUK?")))</f>
        <v/>
      </c>
      <c r="R89" s="29" t="str">
        <f aca="false">IF(A89="","",IF(COUNTIF(Anggota!$A$2:$A$2001,A89)=0,"TIDAK ADA","OK"))</f>
        <v/>
      </c>
      <c r="S89" s="29" t="str">
        <f aca="false">IF(H89="","",IF(OR(J89="",L89=""),"-",IF(ABS(H89-J89*L89)&gt;Info_Koperasi!$C$10,"SELISIH","OK")))</f>
        <v/>
      </c>
    </row>
    <row r="90" customFormat="false" ht="15" hidden="false" customHeight="false" outlineLevel="0" collapsed="false">
      <c r="A90" s="21"/>
      <c r="B90" s="22"/>
      <c r="C90" s="21"/>
      <c r="D90" s="21"/>
      <c r="E90" s="28"/>
      <c r="F90" s="24"/>
      <c r="G90" s="26"/>
      <c r="H90" s="24"/>
      <c r="I90" s="24"/>
      <c r="J90" s="24"/>
      <c r="K90" s="24"/>
      <c r="L90" s="26"/>
      <c r="M90" s="26"/>
      <c r="N90" s="22"/>
      <c r="O90" s="21"/>
      <c r="P90" s="22"/>
      <c r="Q90" s="29" t="str">
        <f aca="false">IF(C90="","",IF(O90&lt;&gt;"",O90,IFERROR(INDEX(Produk!$J$2:$J$100,MATCH(C90,Produk!$A$2:$A$100,0)),"PRODUK?")))</f>
        <v/>
      </c>
      <c r="R90" s="29" t="str">
        <f aca="false">IF(A90="","",IF(COUNTIF(Anggota!$A$2:$A$2001,A90)=0,"TIDAK ADA","OK"))</f>
        <v/>
      </c>
      <c r="S90" s="29" t="str">
        <f aca="false">IF(H90="","",IF(OR(J90="",L90=""),"-",IF(ABS(H90-J90*L90)&gt;Info_Koperasi!$C$10,"SELISIH","OK")))</f>
        <v/>
      </c>
    </row>
    <row r="91" customFormat="false" ht="15" hidden="false" customHeight="false" outlineLevel="0" collapsed="false">
      <c r="A91" s="21"/>
      <c r="B91" s="22"/>
      <c r="C91" s="21"/>
      <c r="D91" s="21"/>
      <c r="E91" s="28"/>
      <c r="F91" s="24"/>
      <c r="G91" s="26"/>
      <c r="H91" s="24"/>
      <c r="I91" s="24"/>
      <c r="J91" s="24"/>
      <c r="K91" s="24"/>
      <c r="L91" s="26"/>
      <c r="M91" s="26"/>
      <c r="N91" s="22"/>
      <c r="O91" s="21"/>
      <c r="P91" s="22"/>
      <c r="Q91" s="29" t="str">
        <f aca="false">IF(C91="","",IF(O91&lt;&gt;"",O91,IFERROR(INDEX(Produk!$J$2:$J$100,MATCH(C91,Produk!$A$2:$A$100,0)),"PRODUK?")))</f>
        <v/>
      </c>
      <c r="R91" s="29" t="str">
        <f aca="false">IF(A91="","",IF(COUNTIF(Anggota!$A$2:$A$2001,A91)=0,"TIDAK ADA","OK"))</f>
        <v/>
      </c>
      <c r="S91" s="29" t="str">
        <f aca="false">IF(H91="","",IF(OR(J91="",L91=""),"-",IF(ABS(H91-J91*L91)&gt;Info_Koperasi!$C$10,"SELISIH","OK")))</f>
        <v/>
      </c>
    </row>
    <row r="92" customFormat="false" ht="15" hidden="false" customHeight="false" outlineLevel="0" collapsed="false">
      <c r="A92" s="21"/>
      <c r="B92" s="22"/>
      <c r="C92" s="21"/>
      <c r="D92" s="21"/>
      <c r="E92" s="28"/>
      <c r="F92" s="24"/>
      <c r="G92" s="26"/>
      <c r="H92" s="24"/>
      <c r="I92" s="24"/>
      <c r="J92" s="24"/>
      <c r="K92" s="24"/>
      <c r="L92" s="26"/>
      <c r="M92" s="26"/>
      <c r="N92" s="22"/>
      <c r="O92" s="21"/>
      <c r="P92" s="22"/>
      <c r="Q92" s="29" t="str">
        <f aca="false">IF(C92="","",IF(O92&lt;&gt;"",O92,IFERROR(INDEX(Produk!$J$2:$J$100,MATCH(C92,Produk!$A$2:$A$100,0)),"PRODUK?")))</f>
        <v/>
      </c>
      <c r="R92" s="29" t="str">
        <f aca="false">IF(A92="","",IF(COUNTIF(Anggota!$A$2:$A$2001,A92)=0,"TIDAK ADA","OK"))</f>
        <v/>
      </c>
      <c r="S92" s="29" t="str">
        <f aca="false">IF(H92="","",IF(OR(J92="",L92=""),"-",IF(ABS(H92-J92*L92)&gt;Info_Koperasi!$C$10,"SELISIH","OK")))</f>
        <v/>
      </c>
    </row>
    <row r="93" customFormat="false" ht="15" hidden="false" customHeight="false" outlineLevel="0" collapsed="false">
      <c r="A93" s="21"/>
      <c r="B93" s="22"/>
      <c r="C93" s="21"/>
      <c r="D93" s="21"/>
      <c r="E93" s="28"/>
      <c r="F93" s="24"/>
      <c r="G93" s="26"/>
      <c r="H93" s="24"/>
      <c r="I93" s="24"/>
      <c r="J93" s="24"/>
      <c r="K93" s="24"/>
      <c r="L93" s="26"/>
      <c r="M93" s="26"/>
      <c r="N93" s="22"/>
      <c r="O93" s="21"/>
      <c r="P93" s="22"/>
      <c r="Q93" s="29" t="str">
        <f aca="false">IF(C93="","",IF(O93&lt;&gt;"",O93,IFERROR(INDEX(Produk!$J$2:$J$100,MATCH(C93,Produk!$A$2:$A$100,0)),"PRODUK?")))</f>
        <v/>
      </c>
      <c r="R93" s="29" t="str">
        <f aca="false">IF(A93="","",IF(COUNTIF(Anggota!$A$2:$A$2001,A93)=0,"TIDAK ADA","OK"))</f>
        <v/>
      </c>
      <c r="S93" s="29" t="str">
        <f aca="false">IF(H93="","",IF(OR(J93="",L93=""),"-",IF(ABS(H93-J93*L93)&gt;Info_Koperasi!$C$10,"SELISIH","OK")))</f>
        <v/>
      </c>
    </row>
    <row r="94" customFormat="false" ht="15" hidden="false" customHeight="false" outlineLevel="0" collapsed="false">
      <c r="A94" s="21"/>
      <c r="B94" s="22"/>
      <c r="C94" s="21"/>
      <c r="D94" s="21"/>
      <c r="E94" s="28"/>
      <c r="F94" s="24"/>
      <c r="G94" s="26"/>
      <c r="H94" s="24"/>
      <c r="I94" s="24"/>
      <c r="J94" s="24"/>
      <c r="K94" s="24"/>
      <c r="L94" s="26"/>
      <c r="M94" s="26"/>
      <c r="N94" s="22"/>
      <c r="O94" s="21"/>
      <c r="P94" s="22"/>
      <c r="Q94" s="29" t="str">
        <f aca="false">IF(C94="","",IF(O94&lt;&gt;"",O94,IFERROR(INDEX(Produk!$J$2:$J$100,MATCH(C94,Produk!$A$2:$A$100,0)),"PRODUK?")))</f>
        <v/>
      </c>
      <c r="R94" s="29" t="str">
        <f aca="false">IF(A94="","",IF(COUNTIF(Anggota!$A$2:$A$2001,A94)=0,"TIDAK ADA","OK"))</f>
        <v/>
      </c>
      <c r="S94" s="29" t="str">
        <f aca="false">IF(H94="","",IF(OR(J94="",L94=""),"-",IF(ABS(H94-J94*L94)&gt;Info_Koperasi!$C$10,"SELISIH","OK")))</f>
        <v/>
      </c>
    </row>
    <row r="95" customFormat="false" ht="15" hidden="false" customHeight="false" outlineLevel="0" collapsed="false">
      <c r="A95" s="21"/>
      <c r="B95" s="22"/>
      <c r="C95" s="21"/>
      <c r="D95" s="21"/>
      <c r="E95" s="28"/>
      <c r="F95" s="24"/>
      <c r="G95" s="26"/>
      <c r="H95" s="24"/>
      <c r="I95" s="24"/>
      <c r="J95" s="24"/>
      <c r="K95" s="24"/>
      <c r="L95" s="26"/>
      <c r="M95" s="26"/>
      <c r="N95" s="22"/>
      <c r="O95" s="21"/>
      <c r="P95" s="22"/>
      <c r="Q95" s="29" t="str">
        <f aca="false">IF(C95="","",IF(O95&lt;&gt;"",O95,IFERROR(INDEX(Produk!$J$2:$J$100,MATCH(C95,Produk!$A$2:$A$100,0)),"PRODUK?")))</f>
        <v/>
      </c>
      <c r="R95" s="29" t="str">
        <f aca="false">IF(A95="","",IF(COUNTIF(Anggota!$A$2:$A$2001,A95)=0,"TIDAK ADA","OK"))</f>
        <v/>
      </c>
      <c r="S95" s="29" t="str">
        <f aca="false">IF(H95="","",IF(OR(J95="",L95=""),"-",IF(ABS(H95-J95*L95)&gt;Info_Koperasi!$C$10,"SELISIH","OK")))</f>
        <v/>
      </c>
    </row>
    <row r="96" customFormat="false" ht="15" hidden="false" customHeight="false" outlineLevel="0" collapsed="false">
      <c r="A96" s="21"/>
      <c r="B96" s="22"/>
      <c r="C96" s="21"/>
      <c r="D96" s="21"/>
      <c r="E96" s="28"/>
      <c r="F96" s="24"/>
      <c r="G96" s="26"/>
      <c r="H96" s="24"/>
      <c r="I96" s="24"/>
      <c r="J96" s="24"/>
      <c r="K96" s="24"/>
      <c r="L96" s="26"/>
      <c r="M96" s="26"/>
      <c r="N96" s="22"/>
      <c r="O96" s="21"/>
      <c r="P96" s="22"/>
      <c r="Q96" s="29" t="str">
        <f aca="false">IF(C96="","",IF(O96&lt;&gt;"",O96,IFERROR(INDEX(Produk!$J$2:$J$100,MATCH(C96,Produk!$A$2:$A$100,0)),"PRODUK?")))</f>
        <v/>
      </c>
      <c r="R96" s="29" t="str">
        <f aca="false">IF(A96="","",IF(COUNTIF(Anggota!$A$2:$A$2001,A96)=0,"TIDAK ADA","OK"))</f>
        <v/>
      </c>
      <c r="S96" s="29" t="str">
        <f aca="false">IF(H96="","",IF(OR(J96="",L96=""),"-",IF(ABS(H96-J96*L96)&gt;Info_Koperasi!$C$10,"SELISIH","OK")))</f>
        <v/>
      </c>
    </row>
    <row r="97" customFormat="false" ht="15" hidden="false" customHeight="false" outlineLevel="0" collapsed="false">
      <c r="A97" s="21"/>
      <c r="B97" s="22"/>
      <c r="C97" s="21"/>
      <c r="D97" s="21"/>
      <c r="E97" s="28"/>
      <c r="F97" s="24"/>
      <c r="G97" s="26"/>
      <c r="H97" s="24"/>
      <c r="I97" s="24"/>
      <c r="J97" s="24"/>
      <c r="K97" s="24"/>
      <c r="L97" s="26"/>
      <c r="M97" s="26"/>
      <c r="N97" s="22"/>
      <c r="O97" s="21"/>
      <c r="P97" s="22"/>
      <c r="Q97" s="29" t="str">
        <f aca="false">IF(C97="","",IF(O97&lt;&gt;"",O97,IFERROR(INDEX(Produk!$J$2:$J$100,MATCH(C97,Produk!$A$2:$A$100,0)),"PRODUK?")))</f>
        <v/>
      </c>
      <c r="R97" s="29" t="str">
        <f aca="false">IF(A97="","",IF(COUNTIF(Anggota!$A$2:$A$2001,A97)=0,"TIDAK ADA","OK"))</f>
        <v/>
      </c>
      <c r="S97" s="29" t="str">
        <f aca="false">IF(H97="","",IF(OR(J97="",L97=""),"-",IF(ABS(H97-J97*L97)&gt;Info_Koperasi!$C$10,"SELISIH","OK")))</f>
        <v/>
      </c>
    </row>
    <row r="98" customFormat="false" ht="15" hidden="false" customHeight="false" outlineLevel="0" collapsed="false">
      <c r="A98" s="21"/>
      <c r="B98" s="22"/>
      <c r="C98" s="21"/>
      <c r="D98" s="21"/>
      <c r="E98" s="28"/>
      <c r="F98" s="24"/>
      <c r="G98" s="26"/>
      <c r="H98" s="24"/>
      <c r="I98" s="24"/>
      <c r="J98" s="24"/>
      <c r="K98" s="24"/>
      <c r="L98" s="26"/>
      <c r="M98" s="26"/>
      <c r="N98" s="22"/>
      <c r="O98" s="21"/>
      <c r="P98" s="22"/>
      <c r="Q98" s="29" t="str">
        <f aca="false">IF(C98="","",IF(O98&lt;&gt;"",O98,IFERROR(INDEX(Produk!$J$2:$J$100,MATCH(C98,Produk!$A$2:$A$100,0)),"PRODUK?")))</f>
        <v/>
      </c>
      <c r="R98" s="29" t="str">
        <f aca="false">IF(A98="","",IF(COUNTIF(Anggota!$A$2:$A$2001,A98)=0,"TIDAK ADA","OK"))</f>
        <v/>
      </c>
      <c r="S98" s="29" t="str">
        <f aca="false">IF(H98="","",IF(OR(J98="",L98=""),"-",IF(ABS(H98-J98*L98)&gt;Info_Koperasi!$C$10,"SELISIH","OK")))</f>
        <v/>
      </c>
    </row>
    <row r="99" customFormat="false" ht="15" hidden="false" customHeight="false" outlineLevel="0" collapsed="false">
      <c r="A99" s="21"/>
      <c r="B99" s="22"/>
      <c r="C99" s="21"/>
      <c r="D99" s="21"/>
      <c r="E99" s="28"/>
      <c r="F99" s="24"/>
      <c r="G99" s="26"/>
      <c r="H99" s="24"/>
      <c r="I99" s="24"/>
      <c r="J99" s="24"/>
      <c r="K99" s="24"/>
      <c r="L99" s="26"/>
      <c r="M99" s="26"/>
      <c r="N99" s="22"/>
      <c r="O99" s="21"/>
      <c r="P99" s="22"/>
      <c r="Q99" s="29" t="str">
        <f aca="false">IF(C99="","",IF(O99&lt;&gt;"",O99,IFERROR(INDEX(Produk!$J$2:$J$100,MATCH(C99,Produk!$A$2:$A$100,0)),"PRODUK?")))</f>
        <v/>
      </c>
      <c r="R99" s="29" t="str">
        <f aca="false">IF(A99="","",IF(COUNTIF(Anggota!$A$2:$A$2001,A99)=0,"TIDAK ADA","OK"))</f>
        <v/>
      </c>
      <c r="S99" s="29" t="str">
        <f aca="false">IF(H99="","",IF(OR(J99="",L99=""),"-",IF(ABS(H99-J99*L99)&gt;Info_Koperasi!$C$10,"SELISIH","OK")))</f>
        <v/>
      </c>
    </row>
    <row r="100" customFormat="false" ht="15" hidden="false" customHeight="false" outlineLevel="0" collapsed="false">
      <c r="A100" s="21"/>
      <c r="B100" s="22"/>
      <c r="C100" s="21"/>
      <c r="D100" s="21"/>
      <c r="E100" s="28"/>
      <c r="F100" s="24"/>
      <c r="G100" s="26"/>
      <c r="H100" s="24"/>
      <c r="I100" s="24"/>
      <c r="J100" s="24"/>
      <c r="K100" s="24"/>
      <c r="L100" s="26"/>
      <c r="M100" s="26"/>
      <c r="N100" s="22"/>
      <c r="O100" s="21"/>
      <c r="P100" s="22"/>
      <c r="Q100" s="29" t="str">
        <f aca="false">IF(C100="","",IF(O100&lt;&gt;"",O100,IFERROR(INDEX(Produk!$J$2:$J$100,MATCH(C100,Produk!$A$2:$A$100,0)),"PRODUK?")))</f>
        <v/>
      </c>
      <c r="R100" s="29" t="str">
        <f aca="false">IF(A100="","",IF(COUNTIF(Anggota!$A$2:$A$2001,A100)=0,"TIDAK ADA","OK"))</f>
        <v/>
      </c>
      <c r="S100" s="29" t="str">
        <f aca="false">IF(H100="","",IF(OR(J100="",L100=""),"-",IF(ABS(H100-J100*L100)&gt;Info_Koperasi!$C$10,"SELISIH","OK")))</f>
        <v/>
      </c>
    </row>
    <row r="101" customFormat="false" ht="15" hidden="false" customHeight="false" outlineLevel="0" collapsed="false">
      <c r="A101" s="21"/>
      <c r="B101" s="22"/>
      <c r="C101" s="21"/>
      <c r="D101" s="21"/>
      <c r="E101" s="28"/>
      <c r="F101" s="24"/>
      <c r="G101" s="26"/>
      <c r="H101" s="24"/>
      <c r="I101" s="24"/>
      <c r="J101" s="24"/>
      <c r="K101" s="24"/>
      <c r="L101" s="26"/>
      <c r="M101" s="26"/>
      <c r="N101" s="22"/>
      <c r="O101" s="21"/>
      <c r="P101" s="22"/>
      <c r="Q101" s="29" t="str">
        <f aca="false">IF(C101="","",IF(O101&lt;&gt;"",O101,IFERROR(INDEX(Produk!$J$2:$J$100,MATCH(C101,Produk!$A$2:$A$100,0)),"PRODUK?")))</f>
        <v/>
      </c>
      <c r="R101" s="29" t="str">
        <f aca="false">IF(A101="","",IF(COUNTIF(Anggota!$A$2:$A$2001,A101)=0,"TIDAK ADA","OK"))</f>
        <v/>
      </c>
      <c r="S101" s="29" t="str">
        <f aca="false">IF(H101="","",IF(OR(J101="",L101=""),"-",IF(ABS(H101-J101*L101)&gt;Info_Koperasi!$C$10,"SELISIH","OK")))</f>
        <v/>
      </c>
    </row>
    <row r="102" customFormat="false" ht="15" hidden="false" customHeight="false" outlineLevel="0" collapsed="false">
      <c r="A102" s="21"/>
      <c r="B102" s="22"/>
      <c r="C102" s="21"/>
      <c r="D102" s="21"/>
      <c r="E102" s="28"/>
      <c r="F102" s="24"/>
      <c r="G102" s="26"/>
      <c r="H102" s="24"/>
      <c r="I102" s="24"/>
      <c r="J102" s="24"/>
      <c r="K102" s="24"/>
      <c r="L102" s="26"/>
      <c r="M102" s="26"/>
      <c r="N102" s="22"/>
      <c r="O102" s="21"/>
      <c r="P102" s="22"/>
      <c r="Q102" s="29" t="str">
        <f aca="false">IF(C102="","",IF(O102&lt;&gt;"",O102,IFERROR(INDEX(Produk!$J$2:$J$100,MATCH(C102,Produk!$A$2:$A$100,0)),"PRODUK?")))</f>
        <v/>
      </c>
      <c r="R102" s="29" t="str">
        <f aca="false">IF(A102="","",IF(COUNTIF(Anggota!$A$2:$A$2001,A102)=0,"TIDAK ADA","OK"))</f>
        <v/>
      </c>
      <c r="S102" s="29" t="str">
        <f aca="false">IF(H102="","",IF(OR(J102="",L102=""),"-",IF(ABS(H102-J102*L102)&gt;Info_Koperasi!$C$10,"SELISIH","OK")))</f>
        <v/>
      </c>
    </row>
    <row r="103" customFormat="false" ht="15" hidden="false" customHeight="false" outlineLevel="0" collapsed="false">
      <c r="A103" s="21"/>
      <c r="B103" s="22"/>
      <c r="C103" s="21"/>
      <c r="D103" s="21"/>
      <c r="E103" s="28"/>
      <c r="F103" s="24"/>
      <c r="G103" s="26"/>
      <c r="H103" s="24"/>
      <c r="I103" s="24"/>
      <c r="J103" s="24"/>
      <c r="K103" s="24"/>
      <c r="L103" s="26"/>
      <c r="M103" s="26"/>
      <c r="N103" s="22"/>
      <c r="O103" s="21"/>
      <c r="P103" s="22"/>
      <c r="Q103" s="29" t="str">
        <f aca="false">IF(C103="","",IF(O103&lt;&gt;"",O103,IFERROR(INDEX(Produk!$J$2:$J$100,MATCH(C103,Produk!$A$2:$A$100,0)),"PRODUK?")))</f>
        <v/>
      </c>
      <c r="R103" s="29" t="str">
        <f aca="false">IF(A103="","",IF(COUNTIF(Anggota!$A$2:$A$2001,A103)=0,"TIDAK ADA","OK"))</f>
        <v/>
      </c>
      <c r="S103" s="29" t="str">
        <f aca="false">IF(H103="","",IF(OR(J103="",L103=""),"-",IF(ABS(H103-J103*L103)&gt;Info_Koperasi!$C$10,"SELISIH","OK")))</f>
        <v/>
      </c>
    </row>
    <row r="104" customFormat="false" ht="15" hidden="false" customHeight="false" outlineLevel="0" collapsed="false">
      <c r="A104" s="21"/>
      <c r="B104" s="22"/>
      <c r="C104" s="21"/>
      <c r="D104" s="21"/>
      <c r="E104" s="28"/>
      <c r="F104" s="24"/>
      <c r="G104" s="26"/>
      <c r="H104" s="24"/>
      <c r="I104" s="24"/>
      <c r="J104" s="24"/>
      <c r="K104" s="24"/>
      <c r="L104" s="26"/>
      <c r="M104" s="26"/>
      <c r="N104" s="22"/>
      <c r="O104" s="21"/>
      <c r="P104" s="22"/>
      <c r="Q104" s="29" t="str">
        <f aca="false">IF(C104="","",IF(O104&lt;&gt;"",O104,IFERROR(INDEX(Produk!$J$2:$J$100,MATCH(C104,Produk!$A$2:$A$100,0)),"PRODUK?")))</f>
        <v/>
      </c>
      <c r="R104" s="29" t="str">
        <f aca="false">IF(A104="","",IF(COUNTIF(Anggota!$A$2:$A$2001,A104)=0,"TIDAK ADA","OK"))</f>
        <v/>
      </c>
      <c r="S104" s="29" t="str">
        <f aca="false">IF(H104="","",IF(OR(J104="",L104=""),"-",IF(ABS(H104-J104*L104)&gt;Info_Koperasi!$C$10,"SELISIH","OK")))</f>
        <v/>
      </c>
    </row>
    <row r="105" customFormat="false" ht="15" hidden="false" customHeight="false" outlineLevel="0" collapsed="false">
      <c r="A105" s="21"/>
      <c r="B105" s="22"/>
      <c r="C105" s="21"/>
      <c r="D105" s="21"/>
      <c r="E105" s="28"/>
      <c r="F105" s="24"/>
      <c r="G105" s="26"/>
      <c r="H105" s="24"/>
      <c r="I105" s="24"/>
      <c r="J105" s="24"/>
      <c r="K105" s="24"/>
      <c r="L105" s="26"/>
      <c r="M105" s="26"/>
      <c r="N105" s="22"/>
      <c r="O105" s="21"/>
      <c r="P105" s="22"/>
      <c r="Q105" s="29" t="str">
        <f aca="false">IF(C105="","",IF(O105&lt;&gt;"",O105,IFERROR(INDEX(Produk!$J$2:$J$100,MATCH(C105,Produk!$A$2:$A$100,0)),"PRODUK?")))</f>
        <v/>
      </c>
      <c r="R105" s="29" t="str">
        <f aca="false">IF(A105="","",IF(COUNTIF(Anggota!$A$2:$A$2001,A105)=0,"TIDAK ADA","OK"))</f>
        <v/>
      </c>
      <c r="S105" s="29" t="str">
        <f aca="false">IF(H105="","",IF(OR(J105="",L105=""),"-",IF(ABS(H105-J105*L105)&gt;Info_Koperasi!$C$10,"SELISIH","OK")))</f>
        <v/>
      </c>
    </row>
    <row r="106" customFormat="false" ht="15" hidden="false" customHeight="false" outlineLevel="0" collapsed="false">
      <c r="A106" s="21"/>
      <c r="B106" s="22"/>
      <c r="C106" s="21"/>
      <c r="D106" s="21"/>
      <c r="E106" s="28"/>
      <c r="F106" s="24"/>
      <c r="G106" s="26"/>
      <c r="H106" s="24"/>
      <c r="I106" s="24"/>
      <c r="J106" s="24"/>
      <c r="K106" s="24"/>
      <c r="L106" s="26"/>
      <c r="M106" s="26"/>
      <c r="N106" s="22"/>
      <c r="O106" s="21"/>
      <c r="P106" s="22"/>
      <c r="Q106" s="29" t="str">
        <f aca="false">IF(C106="","",IF(O106&lt;&gt;"",O106,IFERROR(INDEX(Produk!$J$2:$J$100,MATCH(C106,Produk!$A$2:$A$100,0)),"PRODUK?")))</f>
        <v/>
      </c>
      <c r="R106" s="29" t="str">
        <f aca="false">IF(A106="","",IF(COUNTIF(Anggota!$A$2:$A$2001,A106)=0,"TIDAK ADA","OK"))</f>
        <v/>
      </c>
      <c r="S106" s="29" t="str">
        <f aca="false">IF(H106="","",IF(OR(J106="",L106=""),"-",IF(ABS(H106-J106*L106)&gt;Info_Koperasi!$C$10,"SELISIH","OK")))</f>
        <v/>
      </c>
    </row>
    <row r="107" customFormat="false" ht="15" hidden="false" customHeight="false" outlineLevel="0" collapsed="false">
      <c r="A107" s="21"/>
      <c r="B107" s="22"/>
      <c r="C107" s="21"/>
      <c r="D107" s="21"/>
      <c r="E107" s="28"/>
      <c r="F107" s="24"/>
      <c r="G107" s="26"/>
      <c r="H107" s="24"/>
      <c r="I107" s="24"/>
      <c r="J107" s="24"/>
      <c r="K107" s="24"/>
      <c r="L107" s="26"/>
      <c r="M107" s="26"/>
      <c r="N107" s="22"/>
      <c r="O107" s="21"/>
      <c r="P107" s="22"/>
      <c r="Q107" s="29" t="str">
        <f aca="false">IF(C107="","",IF(O107&lt;&gt;"",O107,IFERROR(INDEX(Produk!$J$2:$J$100,MATCH(C107,Produk!$A$2:$A$100,0)),"PRODUK?")))</f>
        <v/>
      </c>
      <c r="R107" s="29" t="str">
        <f aca="false">IF(A107="","",IF(COUNTIF(Anggota!$A$2:$A$2001,A107)=0,"TIDAK ADA","OK"))</f>
        <v/>
      </c>
      <c r="S107" s="29" t="str">
        <f aca="false">IF(H107="","",IF(OR(J107="",L107=""),"-",IF(ABS(H107-J107*L107)&gt;Info_Koperasi!$C$10,"SELISIH","OK")))</f>
        <v/>
      </c>
    </row>
    <row r="108" customFormat="false" ht="15" hidden="false" customHeight="false" outlineLevel="0" collapsed="false">
      <c r="A108" s="21"/>
      <c r="B108" s="22"/>
      <c r="C108" s="21"/>
      <c r="D108" s="21"/>
      <c r="E108" s="28"/>
      <c r="F108" s="24"/>
      <c r="G108" s="26"/>
      <c r="H108" s="24"/>
      <c r="I108" s="24"/>
      <c r="J108" s="24"/>
      <c r="K108" s="24"/>
      <c r="L108" s="26"/>
      <c r="M108" s="26"/>
      <c r="N108" s="22"/>
      <c r="O108" s="21"/>
      <c r="P108" s="22"/>
      <c r="Q108" s="29" t="str">
        <f aca="false">IF(C108="","",IF(O108&lt;&gt;"",O108,IFERROR(INDEX(Produk!$J$2:$J$100,MATCH(C108,Produk!$A$2:$A$100,0)),"PRODUK?")))</f>
        <v/>
      </c>
      <c r="R108" s="29" t="str">
        <f aca="false">IF(A108="","",IF(COUNTIF(Anggota!$A$2:$A$2001,A108)=0,"TIDAK ADA","OK"))</f>
        <v/>
      </c>
      <c r="S108" s="29" t="str">
        <f aca="false">IF(H108="","",IF(OR(J108="",L108=""),"-",IF(ABS(H108-J108*L108)&gt;Info_Koperasi!$C$10,"SELISIH","OK")))</f>
        <v/>
      </c>
    </row>
    <row r="109" customFormat="false" ht="15" hidden="false" customHeight="false" outlineLevel="0" collapsed="false">
      <c r="A109" s="21"/>
      <c r="B109" s="22"/>
      <c r="C109" s="21"/>
      <c r="D109" s="21"/>
      <c r="E109" s="28"/>
      <c r="F109" s="24"/>
      <c r="G109" s="26"/>
      <c r="H109" s="24"/>
      <c r="I109" s="24"/>
      <c r="J109" s="24"/>
      <c r="K109" s="24"/>
      <c r="L109" s="26"/>
      <c r="M109" s="26"/>
      <c r="N109" s="22"/>
      <c r="O109" s="21"/>
      <c r="P109" s="22"/>
      <c r="Q109" s="29" t="str">
        <f aca="false">IF(C109="","",IF(O109&lt;&gt;"",O109,IFERROR(INDEX(Produk!$J$2:$J$100,MATCH(C109,Produk!$A$2:$A$100,0)),"PRODUK?")))</f>
        <v/>
      </c>
      <c r="R109" s="29" t="str">
        <f aca="false">IF(A109="","",IF(COUNTIF(Anggota!$A$2:$A$2001,A109)=0,"TIDAK ADA","OK"))</f>
        <v/>
      </c>
      <c r="S109" s="29" t="str">
        <f aca="false">IF(H109="","",IF(OR(J109="",L109=""),"-",IF(ABS(H109-J109*L109)&gt;Info_Koperasi!$C$10,"SELISIH","OK")))</f>
        <v/>
      </c>
    </row>
    <row r="110" customFormat="false" ht="15" hidden="false" customHeight="false" outlineLevel="0" collapsed="false">
      <c r="A110" s="21"/>
      <c r="B110" s="22"/>
      <c r="C110" s="21"/>
      <c r="D110" s="21"/>
      <c r="E110" s="28"/>
      <c r="F110" s="24"/>
      <c r="G110" s="26"/>
      <c r="H110" s="24"/>
      <c r="I110" s="24"/>
      <c r="J110" s="24"/>
      <c r="K110" s="24"/>
      <c r="L110" s="26"/>
      <c r="M110" s="26"/>
      <c r="N110" s="22"/>
      <c r="O110" s="21"/>
      <c r="P110" s="22"/>
      <c r="Q110" s="29" t="str">
        <f aca="false">IF(C110="","",IF(O110&lt;&gt;"",O110,IFERROR(INDEX(Produk!$J$2:$J$100,MATCH(C110,Produk!$A$2:$A$100,0)),"PRODUK?")))</f>
        <v/>
      </c>
      <c r="R110" s="29" t="str">
        <f aca="false">IF(A110="","",IF(COUNTIF(Anggota!$A$2:$A$2001,A110)=0,"TIDAK ADA","OK"))</f>
        <v/>
      </c>
      <c r="S110" s="29" t="str">
        <f aca="false">IF(H110="","",IF(OR(J110="",L110=""),"-",IF(ABS(H110-J110*L110)&gt;Info_Koperasi!$C$10,"SELISIH","OK")))</f>
        <v/>
      </c>
    </row>
    <row r="111" customFormat="false" ht="15" hidden="false" customHeight="false" outlineLevel="0" collapsed="false">
      <c r="A111" s="21"/>
      <c r="B111" s="22"/>
      <c r="C111" s="21"/>
      <c r="D111" s="21"/>
      <c r="E111" s="28"/>
      <c r="F111" s="24"/>
      <c r="G111" s="26"/>
      <c r="H111" s="24"/>
      <c r="I111" s="24"/>
      <c r="J111" s="24"/>
      <c r="K111" s="24"/>
      <c r="L111" s="26"/>
      <c r="M111" s="26"/>
      <c r="N111" s="22"/>
      <c r="O111" s="21"/>
      <c r="P111" s="22"/>
      <c r="Q111" s="29" t="str">
        <f aca="false">IF(C111="","",IF(O111&lt;&gt;"",O111,IFERROR(INDEX(Produk!$J$2:$J$100,MATCH(C111,Produk!$A$2:$A$100,0)),"PRODUK?")))</f>
        <v/>
      </c>
      <c r="R111" s="29" t="str">
        <f aca="false">IF(A111="","",IF(COUNTIF(Anggota!$A$2:$A$2001,A111)=0,"TIDAK ADA","OK"))</f>
        <v/>
      </c>
      <c r="S111" s="29" t="str">
        <f aca="false">IF(H111="","",IF(OR(J111="",L111=""),"-",IF(ABS(H111-J111*L111)&gt;Info_Koperasi!$C$10,"SELISIH","OK")))</f>
        <v/>
      </c>
    </row>
    <row r="112" customFormat="false" ht="15" hidden="false" customHeight="false" outlineLevel="0" collapsed="false">
      <c r="A112" s="21"/>
      <c r="B112" s="22"/>
      <c r="C112" s="21"/>
      <c r="D112" s="21"/>
      <c r="E112" s="28"/>
      <c r="F112" s="24"/>
      <c r="G112" s="26"/>
      <c r="H112" s="24"/>
      <c r="I112" s="24"/>
      <c r="J112" s="24"/>
      <c r="K112" s="24"/>
      <c r="L112" s="26"/>
      <c r="M112" s="26"/>
      <c r="N112" s="22"/>
      <c r="O112" s="21"/>
      <c r="P112" s="22"/>
      <c r="Q112" s="29" t="str">
        <f aca="false">IF(C112="","",IF(O112&lt;&gt;"",O112,IFERROR(INDEX(Produk!$J$2:$J$100,MATCH(C112,Produk!$A$2:$A$100,0)),"PRODUK?")))</f>
        <v/>
      </c>
      <c r="R112" s="29" t="str">
        <f aca="false">IF(A112="","",IF(COUNTIF(Anggota!$A$2:$A$2001,A112)=0,"TIDAK ADA","OK"))</f>
        <v/>
      </c>
      <c r="S112" s="29" t="str">
        <f aca="false">IF(H112="","",IF(OR(J112="",L112=""),"-",IF(ABS(H112-J112*L112)&gt;Info_Koperasi!$C$10,"SELISIH","OK")))</f>
        <v/>
      </c>
    </row>
    <row r="113" customFormat="false" ht="15" hidden="false" customHeight="false" outlineLevel="0" collapsed="false">
      <c r="A113" s="21"/>
      <c r="B113" s="22"/>
      <c r="C113" s="21"/>
      <c r="D113" s="21"/>
      <c r="E113" s="28"/>
      <c r="F113" s="24"/>
      <c r="G113" s="26"/>
      <c r="H113" s="24"/>
      <c r="I113" s="24"/>
      <c r="J113" s="24"/>
      <c r="K113" s="24"/>
      <c r="L113" s="26"/>
      <c r="M113" s="26"/>
      <c r="N113" s="22"/>
      <c r="O113" s="21"/>
      <c r="P113" s="22"/>
      <c r="Q113" s="29" t="str">
        <f aca="false">IF(C113="","",IF(O113&lt;&gt;"",O113,IFERROR(INDEX(Produk!$J$2:$J$100,MATCH(C113,Produk!$A$2:$A$100,0)),"PRODUK?")))</f>
        <v/>
      </c>
      <c r="R113" s="29" t="str">
        <f aca="false">IF(A113="","",IF(COUNTIF(Anggota!$A$2:$A$2001,A113)=0,"TIDAK ADA","OK"))</f>
        <v/>
      </c>
      <c r="S113" s="29" t="str">
        <f aca="false">IF(H113="","",IF(OR(J113="",L113=""),"-",IF(ABS(H113-J113*L113)&gt;Info_Koperasi!$C$10,"SELISIH","OK")))</f>
        <v/>
      </c>
    </row>
    <row r="114" customFormat="false" ht="15" hidden="false" customHeight="false" outlineLevel="0" collapsed="false">
      <c r="A114" s="21"/>
      <c r="B114" s="22"/>
      <c r="C114" s="21"/>
      <c r="D114" s="21"/>
      <c r="E114" s="28"/>
      <c r="F114" s="24"/>
      <c r="G114" s="26"/>
      <c r="H114" s="24"/>
      <c r="I114" s="24"/>
      <c r="J114" s="24"/>
      <c r="K114" s="24"/>
      <c r="L114" s="26"/>
      <c r="M114" s="26"/>
      <c r="N114" s="22"/>
      <c r="O114" s="21"/>
      <c r="P114" s="22"/>
      <c r="Q114" s="29" t="str">
        <f aca="false">IF(C114="","",IF(O114&lt;&gt;"",O114,IFERROR(INDEX(Produk!$J$2:$J$100,MATCH(C114,Produk!$A$2:$A$100,0)),"PRODUK?")))</f>
        <v/>
      </c>
      <c r="R114" s="29" t="str">
        <f aca="false">IF(A114="","",IF(COUNTIF(Anggota!$A$2:$A$2001,A114)=0,"TIDAK ADA","OK"))</f>
        <v/>
      </c>
      <c r="S114" s="29" t="str">
        <f aca="false">IF(H114="","",IF(OR(J114="",L114=""),"-",IF(ABS(H114-J114*L114)&gt;Info_Koperasi!$C$10,"SELISIH","OK")))</f>
        <v/>
      </c>
    </row>
    <row r="115" customFormat="false" ht="15" hidden="false" customHeight="false" outlineLevel="0" collapsed="false">
      <c r="A115" s="21"/>
      <c r="B115" s="22"/>
      <c r="C115" s="21"/>
      <c r="D115" s="21"/>
      <c r="E115" s="28"/>
      <c r="F115" s="24"/>
      <c r="G115" s="26"/>
      <c r="H115" s="24"/>
      <c r="I115" s="24"/>
      <c r="J115" s="24"/>
      <c r="K115" s="24"/>
      <c r="L115" s="26"/>
      <c r="M115" s="26"/>
      <c r="N115" s="22"/>
      <c r="O115" s="21"/>
      <c r="P115" s="22"/>
      <c r="Q115" s="29" t="str">
        <f aca="false">IF(C115="","",IF(O115&lt;&gt;"",O115,IFERROR(INDEX(Produk!$J$2:$J$100,MATCH(C115,Produk!$A$2:$A$100,0)),"PRODUK?")))</f>
        <v/>
      </c>
      <c r="R115" s="29" t="str">
        <f aca="false">IF(A115="","",IF(COUNTIF(Anggota!$A$2:$A$2001,A115)=0,"TIDAK ADA","OK"))</f>
        <v/>
      </c>
      <c r="S115" s="29" t="str">
        <f aca="false">IF(H115="","",IF(OR(J115="",L115=""),"-",IF(ABS(H115-J115*L115)&gt;Info_Koperasi!$C$10,"SELISIH","OK")))</f>
        <v/>
      </c>
    </row>
    <row r="116" customFormat="false" ht="15" hidden="false" customHeight="false" outlineLevel="0" collapsed="false">
      <c r="A116" s="21"/>
      <c r="B116" s="22"/>
      <c r="C116" s="21"/>
      <c r="D116" s="21"/>
      <c r="E116" s="28"/>
      <c r="F116" s="24"/>
      <c r="G116" s="26"/>
      <c r="H116" s="24"/>
      <c r="I116" s="24"/>
      <c r="J116" s="24"/>
      <c r="K116" s="24"/>
      <c r="L116" s="26"/>
      <c r="M116" s="26"/>
      <c r="N116" s="22"/>
      <c r="O116" s="21"/>
      <c r="P116" s="22"/>
      <c r="Q116" s="29" t="str">
        <f aca="false">IF(C116="","",IF(O116&lt;&gt;"",O116,IFERROR(INDEX(Produk!$J$2:$J$100,MATCH(C116,Produk!$A$2:$A$100,0)),"PRODUK?")))</f>
        <v/>
      </c>
      <c r="R116" s="29" t="str">
        <f aca="false">IF(A116="","",IF(COUNTIF(Anggota!$A$2:$A$2001,A116)=0,"TIDAK ADA","OK"))</f>
        <v/>
      </c>
      <c r="S116" s="29" t="str">
        <f aca="false">IF(H116="","",IF(OR(J116="",L116=""),"-",IF(ABS(H116-J116*L116)&gt;Info_Koperasi!$C$10,"SELISIH","OK")))</f>
        <v/>
      </c>
    </row>
    <row r="117" customFormat="false" ht="15" hidden="false" customHeight="false" outlineLevel="0" collapsed="false">
      <c r="A117" s="21"/>
      <c r="B117" s="22"/>
      <c r="C117" s="21"/>
      <c r="D117" s="21"/>
      <c r="E117" s="28"/>
      <c r="F117" s="24"/>
      <c r="G117" s="26"/>
      <c r="H117" s="24"/>
      <c r="I117" s="24"/>
      <c r="J117" s="24"/>
      <c r="K117" s="24"/>
      <c r="L117" s="26"/>
      <c r="M117" s="26"/>
      <c r="N117" s="22"/>
      <c r="O117" s="21"/>
      <c r="P117" s="22"/>
      <c r="Q117" s="29" t="str">
        <f aca="false">IF(C117="","",IF(O117&lt;&gt;"",O117,IFERROR(INDEX(Produk!$J$2:$J$100,MATCH(C117,Produk!$A$2:$A$100,0)),"PRODUK?")))</f>
        <v/>
      </c>
      <c r="R117" s="29" t="str">
        <f aca="false">IF(A117="","",IF(COUNTIF(Anggota!$A$2:$A$2001,A117)=0,"TIDAK ADA","OK"))</f>
        <v/>
      </c>
      <c r="S117" s="29" t="str">
        <f aca="false">IF(H117="","",IF(OR(J117="",L117=""),"-",IF(ABS(H117-J117*L117)&gt;Info_Koperasi!$C$10,"SELISIH","OK")))</f>
        <v/>
      </c>
    </row>
    <row r="118" customFormat="false" ht="15" hidden="false" customHeight="false" outlineLevel="0" collapsed="false">
      <c r="A118" s="21"/>
      <c r="B118" s="22"/>
      <c r="C118" s="21"/>
      <c r="D118" s="21"/>
      <c r="E118" s="28"/>
      <c r="F118" s="24"/>
      <c r="G118" s="26"/>
      <c r="H118" s="24"/>
      <c r="I118" s="24"/>
      <c r="J118" s="24"/>
      <c r="K118" s="24"/>
      <c r="L118" s="26"/>
      <c r="M118" s="26"/>
      <c r="N118" s="22"/>
      <c r="O118" s="21"/>
      <c r="P118" s="22"/>
      <c r="Q118" s="29" t="str">
        <f aca="false">IF(C118="","",IF(O118&lt;&gt;"",O118,IFERROR(INDEX(Produk!$J$2:$J$100,MATCH(C118,Produk!$A$2:$A$100,0)),"PRODUK?")))</f>
        <v/>
      </c>
      <c r="R118" s="29" t="str">
        <f aca="false">IF(A118="","",IF(COUNTIF(Anggota!$A$2:$A$2001,A118)=0,"TIDAK ADA","OK"))</f>
        <v/>
      </c>
      <c r="S118" s="29" t="str">
        <f aca="false">IF(H118="","",IF(OR(J118="",L118=""),"-",IF(ABS(H118-J118*L118)&gt;Info_Koperasi!$C$10,"SELISIH","OK")))</f>
        <v/>
      </c>
    </row>
    <row r="119" customFormat="false" ht="15" hidden="false" customHeight="false" outlineLevel="0" collapsed="false">
      <c r="A119" s="21"/>
      <c r="B119" s="22"/>
      <c r="C119" s="21"/>
      <c r="D119" s="21"/>
      <c r="E119" s="28"/>
      <c r="F119" s="24"/>
      <c r="G119" s="26"/>
      <c r="H119" s="24"/>
      <c r="I119" s="24"/>
      <c r="J119" s="24"/>
      <c r="K119" s="24"/>
      <c r="L119" s="26"/>
      <c r="M119" s="26"/>
      <c r="N119" s="22"/>
      <c r="O119" s="21"/>
      <c r="P119" s="22"/>
      <c r="Q119" s="29" t="str">
        <f aca="false">IF(C119="","",IF(O119&lt;&gt;"",O119,IFERROR(INDEX(Produk!$J$2:$J$100,MATCH(C119,Produk!$A$2:$A$100,0)),"PRODUK?")))</f>
        <v/>
      </c>
      <c r="R119" s="29" t="str">
        <f aca="false">IF(A119="","",IF(COUNTIF(Anggota!$A$2:$A$2001,A119)=0,"TIDAK ADA","OK"))</f>
        <v/>
      </c>
      <c r="S119" s="29" t="str">
        <f aca="false">IF(H119="","",IF(OR(J119="",L119=""),"-",IF(ABS(H119-J119*L119)&gt;Info_Koperasi!$C$10,"SELISIH","OK")))</f>
        <v/>
      </c>
    </row>
    <row r="120" customFormat="false" ht="15" hidden="false" customHeight="false" outlineLevel="0" collapsed="false">
      <c r="A120" s="21"/>
      <c r="B120" s="22"/>
      <c r="C120" s="21"/>
      <c r="D120" s="21"/>
      <c r="E120" s="28"/>
      <c r="F120" s="24"/>
      <c r="G120" s="26"/>
      <c r="H120" s="24"/>
      <c r="I120" s="24"/>
      <c r="J120" s="24"/>
      <c r="K120" s="24"/>
      <c r="L120" s="26"/>
      <c r="M120" s="26"/>
      <c r="N120" s="22"/>
      <c r="O120" s="21"/>
      <c r="P120" s="22"/>
      <c r="Q120" s="29" t="str">
        <f aca="false">IF(C120="","",IF(O120&lt;&gt;"",O120,IFERROR(INDEX(Produk!$J$2:$J$100,MATCH(C120,Produk!$A$2:$A$100,0)),"PRODUK?")))</f>
        <v/>
      </c>
      <c r="R120" s="29" t="str">
        <f aca="false">IF(A120="","",IF(COUNTIF(Anggota!$A$2:$A$2001,A120)=0,"TIDAK ADA","OK"))</f>
        <v/>
      </c>
      <c r="S120" s="29" t="str">
        <f aca="false">IF(H120="","",IF(OR(J120="",L120=""),"-",IF(ABS(H120-J120*L120)&gt;Info_Koperasi!$C$10,"SELISIH","OK")))</f>
        <v/>
      </c>
    </row>
    <row r="121" customFormat="false" ht="15" hidden="false" customHeight="false" outlineLevel="0" collapsed="false">
      <c r="A121" s="21"/>
      <c r="B121" s="22"/>
      <c r="C121" s="21"/>
      <c r="D121" s="21"/>
      <c r="E121" s="28"/>
      <c r="F121" s="24"/>
      <c r="G121" s="26"/>
      <c r="H121" s="24"/>
      <c r="I121" s="24"/>
      <c r="J121" s="24"/>
      <c r="K121" s="24"/>
      <c r="L121" s="26"/>
      <c r="M121" s="26"/>
      <c r="N121" s="22"/>
      <c r="O121" s="21"/>
      <c r="P121" s="22"/>
      <c r="Q121" s="29" t="str">
        <f aca="false">IF(C121="","",IF(O121&lt;&gt;"",O121,IFERROR(INDEX(Produk!$J$2:$J$100,MATCH(C121,Produk!$A$2:$A$100,0)),"PRODUK?")))</f>
        <v/>
      </c>
      <c r="R121" s="29" t="str">
        <f aca="false">IF(A121="","",IF(COUNTIF(Anggota!$A$2:$A$2001,A121)=0,"TIDAK ADA","OK"))</f>
        <v/>
      </c>
      <c r="S121" s="29" t="str">
        <f aca="false">IF(H121="","",IF(OR(J121="",L121=""),"-",IF(ABS(H121-J121*L121)&gt;Info_Koperasi!$C$10,"SELISIH","OK")))</f>
        <v/>
      </c>
    </row>
    <row r="122" customFormat="false" ht="15" hidden="false" customHeight="false" outlineLevel="0" collapsed="false">
      <c r="A122" s="21"/>
      <c r="B122" s="22"/>
      <c r="C122" s="21"/>
      <c r="D122" s="21"/>
      <c r="E122" s="28"/>
      <c r="F122" s="24"/>
      <c r="G122" s="26"/>
      <c r="H122" s="24"/>
      <c r="I122" s="24"/>
      <c r="J122" s="24"/>
      <c r="K122" s="24"/>
      <c r="L122" s="26"/>
      <c r="M122" s="26"/>
      <c r="N122" s="22"/>
      <c r="O122" s="21"/>
      <c r="P122" s="22"/>
      <c r="Q122" s="29" t="str">
        <f aca="false">IF(C122="","",IF(O122&lt;&gt;"",O122,IFERROR(INDEX(Produk!$J$2:$J$100,MATCH(C122,Produk!$A$2:$A$100,0)),"PRODUK?")))</f>
        <v/>
      </c>
      <c r="R122" s="29" t="str">
        <f aca="false">IF(A122="","",IF(COUNTIF(Anggota!$A$2:$A$2001,A122)=0,"TIDAK ADA","OK"))</f>
        <v/>
      </c>
      <c r="S122" s="29" t="str">
        <f aca="false">IF(H122="","",IF(OR(J122="",L122=""),"-",IF(ABS(H122-J122*L122)&gt;Info_Koperasi!$C$10,"SELISIH","OK")))</f>
        <v/>
      </c>
    </row>
    <row r="123" customFormat="false" ht="15" hidden="false" customHeight="false" outlineLevel="0" collapsed="false">
      <c r="A123" s="21"/>
      <c r="B123" s="22"/>
      <c r="C123" s="21"/>
      <c r="D123" s="21"/>
      <c r="E123" s="28"/>
      <c r="F123" s="24"/>
      <c r="G123" s="26"/>
      <c r="H123" s="24"/>
      <c r="I123" s="24"/>
      <c r="J123" s="24"/>
      <c r="K123" s="24"/>
      <c r="L123" s="26"/>
      <c r="M123" s="26"/>
      <c r="N123" s="22"/>
      <c r="O123" s="21"/>
      <c r="P123" s="22"/>
      <c r="Q123" s="29" t="str">
        <f aca="false">IF(C123="","",IF(O123&lt;&gt;"",O123,IFERROR(INDEX(Produk!$J$2:$J$100,MATCH(C123,Produk!$A$2:$A$100,0)),"PRODUK?")))</f>
        <v/>
      </c>
      <c r="R123" s="29" t="str">
        <f aca="false">IF(A123="","",IF(COUNTIF(Anggota!$A$2:$A$2001,A123)=0,"TIDAK ADA","OK"))</f>
        <v/>
      </c>
      <c r="S123" s="29" t="str">
        <f aca="false">IF(H123="","",IF(OR(J123="",L123=""),"-",IF(ABS(H123-J123*L123)&gt;Info_Koperasi!$C$10,"SELISIH","OK")))</f>
        <v/>
      </c>
    </row>
    <row r="124" customFormat="false" ht="15" hidden="false" customHeight="false" outlineLevel="0" collapsed="false">
      <c r="A124" s="21"/>
      <c r="B124" s="22"/>
      <c r="C124" s="21"/>
      <c r="D124" s="21"/>
      <c r="E124" s="28"/>
      <c r="F124" s="24"/>
      <c r="G124" s="26"/>
      <c r="H124" s="24"/>
      <c r="I124" s="24"/>
      <c r="J124" s="24"/>
      <c r="K124" s="24"/>
      <c r="L124" s="26"/>
      <c r="M124" s="26"/>
      <c r="N124" s="22"/>
      <c r="O124" s="21"/>
      <c r="P124" s="22"/>
      <c r="Q124" s="29" t="str">
        <f aca="false">IF(C124="","",IF(O124&lt;&gt;"",O124,IFERROR(INDEX(Produk!$J$2:$J$100,MATCH(C124,Produk!$A$2:$A$100,0)),"PRODUK?")))</f>
        <v/>
      </c>
      <c r="R124" s="29" t="str">
        <f aca="false">IF(A124="","",IF(COUNTIF(Anggota!$A$2:$A$2001,A124)=0,"TIDAK ADA","OK"))</f>
        <v/>
      </c>
      <c r="S124" s="29" t="str">
        <f aca="false">IF(H124="","",IF(OR(J124="",L124=""),"-",IF(ABS(H124-J124*L124)&gt;Info_Koperasi!$C$10,"SELISIH","OK")))</f>
        <v/>
      </c>
    </row>
    <row r="125" customFormat="false" ht="15" hidden="false" customHeight="false" outlineLevel="0" collapsed="false">
      <c r="A125" s="21"/>
      <c r="B125" s="22"/>
      <c r="C125" s="21"/>
      <c r="D125" s="21"/>
      <c r="E125" s="28"/>
      <c r="F125" s="24"/>
      <c r="G125" s="26"/>
      <c r="H125" s="24"/>
      <c r="I125" s="24"/>
      <c r="J125" s="24"/>
      <c r="K125" s="24"/>
      <c r="L125" s="26"/>
      <c r="M125" s="26"/>
      <c r="N125" s="22"/>
      <c r="O125" s="21"/>
      <c r="P125" s="22"/>
      <c r="Q125" s="29" t="str">
        <f aca="false">IF(C125="","",IF(O125&lt;&gt;"",O125,IFERROR(INDEX(Produk!$J$2:$J$100,MATCH(C125,Produk!$A$2:$A$100,0)),"PRODUK?")))</f>
        <v/>
      </c>
      <c r="R125" s="29" t="str">
        <f aca="false">IF(A125="","",IF(COUNTIF(Anggota!$A$2:$A$2001,A125)=0,"TIDAK ADA","OK"))</f>
        <v/>
      </c>
      <c r="S125" s="29" t="str">
        <f aca="false">IF(H125="","",IF(OR(J125="",L125=""),"-",IF(ABS(H125-J125*L125)&gt;Info_Koperasi!$C$10,"SELISIH","OK")))</f>
        <v/>
      </c>
    </row>
    <row r="126" customFormat="false" ht="15" hidden="false" customHeight="false" outlineLevel="0" collapsed="false">
      <c r="A126" s="21"/>
      <c r="B126" s="22"/>
      <c r="C126" s="21"/>
      <c r="D126" s="21"/>
      <c r="E126" s="28"/>
      <c r="F126" s="24"/>
      <c r="G126" s="26"/>
      <c r="H126" s="24"/>
      <c r="I126" s="24"/>
      <c r="J126" s="24"/>
      <c r="K126" s="24"/>
      <c r="L126" s="26"/>
      <c r="M126" s="26"/>
      <c r="N126" s="22"/>
      <c r="O126" s="21"/>
      <c r="P126" s="22"/>
      <c r="Q126" s="29" t="str">
        <f aca="false">IF(C126="","",IF(O126&lt;&gt;"",O126,IFERROR(INDEX(Produk!$J$2:$J$100,MATCH(C126,Produk!$A$2:$A$100,0)),"PRODUK?")))</f>
        <v/>
      </c>
      <c r="R126" s="29" t="str">
        <f aca="false">IF(A126="","",IF(COUNTIF(Anggota!$A$2:$A$2001,A126)=0,"TIDAK ADA","OK"))</f>
        <v/>
      </c>
      <c r="S126" s="29" t="str">
        <f aca="false">IF(H126="","",IF(OR(J126="",L126=""),"-",IF(ABS(H126-J126*L126)&gt;Info_Koperasi!$C$10,"SELISIH","OK")))</f>
        <v/>
      </c>
    </row>
    <row r="127" customFormat="false" ht="15" hidden="false" customHeight="false" outlineLevel="0" collapsed="false">
      <c r="A127" s="21"/>
      <c r="B127" s="22"/>
      <c r="C127" s="21"/>
      <c r="D127" s="21"/>
      <c r="E127" s="28"/>
      <c r="F127" s="24"/>
      <c r="G127" s="26"/>
      <c r="H127" s="24"/>
      <c r="I127" s="24"/>
      <c r="J127" s="24"/>
      <c r="K127" s="24"/>
      <c r="L127" s="26"/>
      <c r="M127" s="26"/>
      <c r="N127" s="22"/>
      <c r="O127" s="21"/>
      <c r="P127" s="22"/>
      <c r="Q127" s="29" t="str">
        <f aca="false">IF(C127="","",IF(O127&lt;&gt;"",O127,IFERROR(INDEX(Produk!$J$2:$J$100,MATCH(C127,Produk!$A$2:$A$100,0)),"PRODUK?")))</f>
        <v/>
      </c>
      <c r="R127" s="29" t="str">
        <f aca="false">IF(A127="","",IF(COUNTIF(Anggota!$A$2:$A$2001,A127)=0,"TIDAK ADA","OK"))</f>
        <v/>
      </c>
      <c r="S127" s="29" t="str">
        <f aca="false">IF(H127="","",IF(OR(J127="",L127=""),"-",IF(ABS(H127-J127*L127)&gt;Info_Koperasi!$C$10,"SELISIH","OK")))</f>
        <v/>
      </c>
    </row>
    <row r="128" customFormat="false" ht="15" hidden="false" customHeight="false" outlineLevel="0" collapsed="false">
      <c r="A128" s="21"/>
      <c r="B128" s="22"/>
      <c r="C128" s="21"/>
      <c r="D128" s="21"/>
      <c r="E128" s="28"/>
      <c r="F128" s="24"/>
      <c r="G128" s="26"/>
      <c r="H128" s="24"/>
      <c r="I128" s="24"/>
      <c r="J128" s="24"/>
      <c r="K128" s="24"/>
      <c r="L128" s="26"/>
      <c r="M128" s="26"/>
      <c r="N128" s="22"/>
      <c r="O128" s="21"/>
      <c r="P128" s="22"/>
      <c r="Q128" s="29" t="str">
        <f aca="false">IF(C128="","",IF(O128&lt;&gt;"",O128,IFERROR(INDEX(Produk!$J$2:$J$100,MATCH(C128,Produk!$A$2:$A$100,0)),"PRODUK?")))</f>
        <v/>
      </c>
      <c r="R128" s="29" t="str">
        <f aca="false">IF(A128="","",IF(COUNTIF(Anggota!$A$2:$A$2001,A128)=0,"TIDAK ADA","OK"))</f>
        <v/>
      </c>
      <c r="S128" s="29" t="str">
        <f aca="false">IF(H128="","",IF(OR(J128="",L128=""),"-",IF(ABS(H128-J128*L128)&gt;Info_Koperasi!$C$10,"SELISIH","OK")))</f>
        <v/>
      </c>
    </row>
    <row r="129" customFormat="false" ht="15" hidden="false" customHeight="false" outlineLevel="0" collapsed="false">
      <c r="A129" s="21"/>
      <c r="B129" s="22"/>
      <c r="C129" s="21"/>
      <c r="D129" s="21"/>
      <c r="E129" s="28"/>
      <c r="F129" s="24"/>
      <c r="G129" s="26"/>
      <c r="H129" s="24"/>
      <c r="I129" s="24"/>
      <c r="J129" s="24"/>
      <c r="K129" s="24"/>
      <c r="L129" s="26"/>
      <c r="M129" s="26"/>
      <c r="N129" s="22"/>
      <c r="O129" s="21"/>
      <c r="P129" s="22"/>
      <c r="Q129" s="29" t="str">
        <f aca="false">IF(C129="","",IF(O129&lt;&gt;"",O129,IFERROR(INDEX(Produk!$J$2:$J$100,MATCH(C129,Produk!$A$2:$A$100,0)),"PRODUK?")))</f>
        <v/>
      </c>
      <c r="R129" s="29" t="str">
        <f aca="false">IF(A129="","",IF(COUNTIF(Anggota!$A$2:$A$2001,A129)=0,"TIDAK ADA","OK"))</f>
        <v/>
      </c>
      <c r="S129" s="29" t="str">
        <f aca="false">IF(H129="","",IF(OR(J129="",L129=""),"-",IF(ABS(H129-J129*L129)&gt;Info_Koperasi!$C$10,"SELISIH","OK")))</f>
        <v/>
      </c>
    </row>
    <row r="130" customFormat="false" ht="15" hidden="false" customHeight="false" outlineLevel="0" collapsed="false">
      <c r="A130" s="21"/>
      <c r="B130" s="22"/>
      <c r="C130" s="21"/>
      <c r="D130" s="21"/>
      <c r="E130" s="28"/>
      <c r="F130" s="24"/>
      <c r="G130" s="26"/>
      <c r="H130" s="24"/>
      <c r="I130" s="24"/>
      <c r="J130" s="24"/>
      <c r="K130" s="24"/>
      <c r="L130" s="26"/>
      <c r="M130" s="26"/>
      <c r="N130" s="22"/>
      <c r="O130" s="21"/>
      <c r="P130" s="22"/>
      <c r="Q130" s="29" t="str">
        <f aca="false">IF(C130="","",IF(O130&lt;&gt;"",O130,IFERROR(INDEX(Produk!$J$2:$J$100,MATCH(C130,Produk!$A$2:$A$100,0)),"PRODUK?")))</f>
        <v/>
      </c>
      <c r="R130" s="29" t="str">
        <f aca="false">IF(A130="","",IF(COUNTIF(Anggota!$A$2:$A$2001,A130)=0,"TIDAK ADA","OK"))</f>
        <v/>
      </c>
      <c r="S130" s="29" t="str">
        <f aca="false">IF(H130="","",IF(OR(J130="",L130=""),"-",IF(ABS(H130-J130*L130)&gt;Info_Koperasi!$C$10,"SELISIH","OK")))</f>
        <v/>
      </c>
    </row>
    <row r="131" customFormat="false" ht="15" hidden="false" customHeight="false" outlineLevel="0" collapsed="false">
      <c r="A131" s="21"/>
      <c r="B131" s="22"/>
      <c r="C131" s="21"/>
      <c r="D131" s="21"/>
      <c r="E131" s="28"/>
      <c r="F131" s="24"/>
      <c r="G131" s="26"/>
      <c r="H131" s="24"/>
      <c r="I131" s="24"/>
      <c r="J131" s="24"/>
      <c r="K131" s="24"/>
      <c r="L131" s="26"/>
      <c r="M131" s="26"/>
      <c r="N131" s="22"/>
      <c r="O131" s="21"/>
      <c r="P131" s="22"/>
      <c r="Q131" s="29" t="str">
        <f aca="false">IF(C131="","",IF(O131&lt;&gt;"",O131,IFERROR(INDEX(Produk!$J$2:$J$100,MATCH(C131,Produk!$A$2:$A$100,0)),"PRODUK?")))</f>
        <v/>
      </c>
      <c r="R131" s="29" t="str">
        <f aca="false">IF(A131="","",IF(COUNTIF(Anggota!$A$2:$A$2001,A131)=0,"TIDAK ADA","OK"))</f>
        <v/>
      </c>
      <c r="S131" s="29" t="str">
        <f aca="false">IF(H131="","",IF(OR(J131="",L131=""),"-",IF(ABS(H131-J131*L131)&gt;Info_Koperasi!$C$10,"SELISIH","OK")))</f>
        <v/>
      </c>
    </row>
    <row r="132" customFormat="false" ht="15" hidden="false" customHeight="false" outlineLevel="0" collapsed="false">
      <c r="A132" s="21"/>
      <c r="B132" s="22"/>
      <c r="C132" s="21"/>
      <c r="D132" s="21"/>
      <c r="E132" s="28"/>
      <c r="F132" s="24"/>
      <c r="G132" s="26"/>
      <c r="H132" s="24"/>
      <c r="I132" s="24"/>
      <c r="J132" s="24"/>
      <c r="K132" s="24"/>
      <c r="L132" s="26"/>
      <c r="M132" s="26"/>
      <c r="N132" s="22"/>
      <c r="O132" s="21"/>
      <c r="P132" s="22"/>
      <c r="Q132" s="29" t="str">
        <f aca="false">IF(C132="","",IF(O132&lt;&gt;"",O132,IFERROR(INDEX(Produk!$J$2:$J$100,MATCH(C132,Produk!$A$2:$A$100,0)),"PRODUK?")))</f>
        <v/>
      </c>
      <c r="R132" s="29" t="str">
        <f aca="false">IF(A132="","",IF(COUNTIF(Anggota!$A$2:$A$2001,A132)=0,"TIDAK ADA","OK"))</f>
        <v/>
      </c>
      <c r="S132" s="29" t="str">
        <f aca="false">IF(H132="","",IF(OR(J132="",L132=""),"-",IF(ABS(H132-J132*L132)&gt;Info_Koperasi!$C$10,"SELISIH","OK")))</f>
        <v/>
      </c>
    </row>
    <row r="133" customFormat="false" ht="15" hidden="false" customHeight="false" outlineLevel="0" collapsed="false">
      <c r="A133" s="21"/>
      <c r="B133" s="22"/>
      <c r="C133" s="21"/>
      <c r="D133" s="21"/>
      <c r="E133" s="28"/>
      <c r="F133" s="24"/>
      <c r="G133" s="26"/>
      <c r="H133" s="24"/>
      <c r="I133" s="24"/>
      <c r="J133" s="24"/>
      <c r="K133" s="24"/>
      <c r="L133" s="26"/>
      <c r="M133" s="26"/>
      <c r="N133" s="22"/>
      <c r="O133" s="21"/>
      <c r="P133" s="22"/>
      <c r="Q133" s="29" t="str">
        <f aca="false">IF(C133="","",IF(O133&lt;&gt;"",O133,IFERROR(INDEX(Produk!$J$2:$J$100,MATCH(C133,Produk!$A$2:$A$100,0)),"PRODUK?")))</f>
        <v/>
      </c>
      <c r="R133" s="29" t="str">
        <f aca="false">IF(A133="","",IF(COUNTIF(Anggota!$A$2:$A$2001,A133)=0,"TIDAK ADA","OK"))</f>
        <v/>
      </c>
      <c r="S133" s="29" t="str">
        <f aca="false">IF(H133="","",IF(OR(J133="",L133=""),"-",IF(ABS(H133-J133*L133)&gt;Info_Koperasi!$C$10,"SELISIH","OK")))</f>
        <v/>
      </c>
    </row>
    <row r="134" customFormat="false" ht="15" hidden="false" customHeight="false" outlineLevel="0" collapsed="false">
      <c r="A134" s="21"/>
      <c r="B134" s="22"/>
      <c r="C134" s="21"/>
      <c r="D134" s="21"/>
      <c r="E134" s="28"/>
      <c r="F134" s="24"/>
      <c r="G134" s="26"/>
      <c r="H134" s="24"/>
      <c r="I134" s="24"/>
      <c r="J134" s="24"/>
      <c r="K134" s="24"/>
      <c r="L134" s="26"/>
      <c r="M134" s="26"/>
      <c r="N134" s="22"/>
      <c r="O134" s="21"/>
      <c r="P134" s="22"/>
      <c r="Q134" s="29" t="str">
        <f aca="false">IF(C134="","",IF(O134&lt;&gt;"",O134,IFERROR(INDEX(Produk!$J$2:$J$100,MATCH(C134,Produk!$A$2:$A$100,0)),"PRODUK?")))</f>
        <v/>
      </c>
      <c r="R134" s="29" t="str">
        <f aca="false">IF(A134="","",IF(COUNTIF(Anggota!$A$2:$A$2001,A134)=0,"TIDAK ADA","OK"))</f>
        <v/>
      </c>
      <c r="S134" s="29" t="str">
        <f aca="false">IF(H134="","",IF(OR(J134="",L134=""),"-",IF(ABS(H134-J134*L134)&gt;Info_Koperasi!$C$10,"SELISIH","OK")))</f>
        <v/>
      </c>
    </row>
    <row r="135" customFormat="false" ht="15" hidden="false" customHeight="false" outlineLevel="0" collapsed="false">
      <c r="A135" s="21"/>
      <c r="B135" s="22"/>
      <c r="C135" s="21"/>
      <c r="D135" s="21"/>
      <c r="E135" s="28"/>
      <c r="F135" s="24"/>
      <c r="G135" s="26"/>
      <c r="H135" s="24"/>
      <c r="I135" s="24"/>
      <c r="J135" s="24"/>
      <c r="K135" s="24"/>
      <c r="L135" s="26"/>
      <c r="M135" s="26"/>
      <c r="N135" s="22"/>
      <c r="O135" s="21"/>
      <c r="P135" s="22"/>
      <c r="Q135" s="29" t="str">
        <f aca="false">IF(C135="","",IF(O135&lt;&gt;"",O135,IFERROR(INDEX(Produk!$J$2:$J$100,MATCH(C135,Produk!$A$2:$A$100,0)),"PRODUK?")))</f>
        <v/>
      </c>
      <c r="R135" s="29" t="str">
        <f aca="false">IF(A135="","",IF(COUNTIF(Anggota!$A$2:$A$2001,A135)=0,"TIDAK ADA","OK"))</f>
        <v/>
      </c>
      <c r="S135" s="29" t="str">
        <f aca="false">IF(H135="","",IF(OR(J135="",L135=""),"-",IF(ABS(H135-J135*L135)&gt;Info_Koperasi!$C$10,"SELISIH","OK")))</f>
        <v/>
      </c>
    </row>
    <row r="136" customFormat="false" ht="15" hidden="false" customHeight="false" outlineLevel="0" collapsed="false">
      <c r="A136" s="21"/>
      <c r="B136" s="22"/>
      <c r="C136" s="21"/>
      <c r="D136" s="21"/>
      <c r="E136" s="28"/>
      <c r="F136" s="24"/>
      <c r="G136" s="26"/>
      <c r="H136" s="24"/>
      <c r="I136" s="24"/>
      <c r="J136" s="24"/>
      <c r="K136" s="24"/>
      <c r="L136" s="26"/>
      <c r="M136" s="26"/>
      <c r="N136" s="22"/>
      <c r="O136" s="21"/>
      <c r="P136" s="22"/>
      <c r="Q136" s="29" t="str">
        <f aca="false">IF(C136="","",IF(O136&lt;&gt;"",O136,IFERROR(INDEX(Produk!$J$2:$J$100,MATCH(C136,Produk!$A$2:$A$100,0)),"PRODUK?")))</f>
        <v/>
      </c>
      <c r="R136" s="29" t="str">
        <f aca="false">IF(A136="","",IF(COUNTIF(Anggota!$A$2:$A$2001,A136)=0,"TIDAK ADA","OK"))</f>
        <v/>
      </c>
      <c r="S136" s="29" t="str">
        <f aca="false">IF(H136="","",IF(OR(J136="",L136=""),"-",IF(ABS(H136-J136*L136)&gt;Info_Koperasi!$C$10,"SELISIH","OK")))</f>
        <v/>
      </c>
    </row>
    <row r="137" customFormat="false" ht="15" hidden="false" customHeight="false" outlineLevel="0" collapsed="false">
      <c r="A137" s="21"/>
      <c r="B137" s="22"/>
      <c r="C137" s="21"/>
      <c r="D137" s="21"/>
      <c r="E137" s="28"/>
      <c r="F137" s="24"/>
      <c r="G137" s="26"/>
      <c r="H137" s="24"/>
      <c r="I137" s="24"/>
      <c r="J137" s="24"/>
      <c r="K137" s="24"/>
      <c r="L137" s="26"/>
      <c r="M137" s="26"/>
      <c r="N137" s="22"/>
      <c r="O137" s="21"/>
      <c r="P137" s="22"/>
      <c r="Q137" s="29" t="str">
        <f aca="false">IF(C137="","",IF(O137&lt;&gt;"",O137,IFERROR(INDEX(Produk!$J$2:$J$100,MATCH(C137,Produk!$A$2:$A$100,0)),"PRODUK?")))</f>
        <v/>
      </c>
      <c r="R137" s="29" t="str">
        <f aca="false">IF(A137="","",IF(COUNTIF(Anggota!$A$2:$A$2001,A137)=0,"TIDAK ADA","OK"))</f>
        <v/>
      </c>
      <c r="S137" s="29" t="str">
        <f aca="false">IF(H137="","",IF(OR(J137="",L137=""),"-",IF(ABS(H137-J137*L137)&gt;Info_Koperasi!$C$10,"SELISIH","OK")))</f>
        <v/>
      </c>
    </row>
    <row r="138" customFormat="false" ht="15" hidden="false" customHeight="false" outlineLevel="0" collapsed="false">
      <c r="A138" s="21"/>
      <c r="B138" s="22"/>
      <c r="C138" s="21"/>
      <c r="D138" s="21"/>
      <c r="E138" s="28"/>
      <c r="F138" s="24"/>
      <c r="G138" s="26"/>
      <c r="H138" s="24"/>
      <c r="I138" s="24"/>
      <c r="J138" s="24"/>
      <c r="K138" s="24"/>
      <c r="L138" s="26"/>
      <c r="M138" s="26"/>
      <c r="N138" s="22"/>
      <c r="O138" s="21"/>
      <c r="P138" s="22"/>
      <c r="Q138" s="29" t="str">
        <f aca="false">IF(C138="","",IF(O138&lt;&gt;"",O138,IFERROR(INDEX(Produk!$J$2:$J$100,MATCH(C138,Produk!$A$2:$A$100,0)),"PRODUK?")))</f>
        <v/>
      </c>
      <c r="R138" s="29" t="str">
        <f aca="false">IF(A138="","",IF(COUNTIF(Anggota!$A$2:$A$2001,A138)=0,"TIDAK ADA","OK"))</f>
        <v/>
      </c>
      <c r="S138" s="29" t="str">
        <f aca="false">IF(H138="","",IF(OR(J138="",L138=""),"-",IF(ABS(H138-J138*L138)&gt;Info_Koperasi!$C$10,"SELISIH","OK")))</f>
        <v/>
      </c>
    </row>
    <row r="139" customFormat="false" ht="15" hidden="false" customHeight="false" outlineLevel="0" collapsed="false">
      <c r="A139" s="21"/>
      <c r="B139" s="22"/>
      <c r="C139" s="21"/>
      <c r="D139" s="21"/>
      <c r="E139" s="28"/>
      <c r="F139" s="24"/>
      <c r="G139" s="26"/>
      <c r="H139" s="24"/>
      <c r="I139" s="24"/>
      <c r="J139" s="24"/>
      <c r="K139" s="24"/>
      <c r="L139" s="26"/>
      <c r="M139" s="26"/>
      <c r="N139" s="22"/>
      <c r="O139" s="21"/>
      <c r="P139" s="22"/>
      <c r="Q139" s="29" t="str">
        <f aca="false">IF(C139="","",IF(O139&lt;&gt;"",O139,IFERROR(INDEX(Produk!$J$2:$J$100,MATCH(C139,Produk!$A$2:$A$100,0)),"PRODUK?")))</f>
        <v/>
      </c>
      <c r="R139" s="29" t="str">
        <f aca="false">IF(A139="","",IF(COUNTIF(Anggota!$A$2:$A$2001,A139)=0,"TIDAK ADA","OK"))</f>
        <v/>
      </c>
      <c r="S139" s="29" t="str">
        <f aca="false">IF(H139="","",IF(OR(J139="",L139=""),"-",IF(ABS(H139-J139*L139)&gt;Info_Koperasi!$C$10,"SELISIH","OK")))</f>
        <v/>
      </c>
    </row>
    <row r="140" customFormat="false" ht="15" hidden="false" customHeight="false" outlineLevel="0" collapsed="false">
      <c r="A140" s="21"/>
      <c r="B140" s="22"/>
      <c r="C140" s="21"/>
      <c r="D140" s="21"/>
      <c r="E140" s="28"/>
      <c r="F140" s="24"/>
      <c r="G140" s="26"/>
      <c r="H140" s="24"/>
      <c r="I140" s="24"/>
      <c r="J140" s="24"/>
      <c r="K140" s="24"/>
      <c r="L140" s="26"/>
      <c r="M140" s="26"/>
      <c r="N140" s="22"/>
      <c r="O140" s="21"/>
      <c r="P140" s="22"/>
      <c r="Q140" s="29" t="str">
        <f aca="false">IF(C140="","",IF(O140&lt;&gt;"",O140,IFERROR(INDEX(Produk!$J$2:$J$100,MATCH(C140,Produk!$A$2:$A$100,0)),"PRODUK?")))</f>
        <v/>
      </c>
      <c r="R140" s="29" t="str">
        <f aca="false">IF(A140="","",IF(COUNTIF(Anggota!$A$2:$A$2001,A140)=0,"TIDAK ADA","OK"))</f>
        <v/>
      </c>
      <c r="S140" s="29" t="str">
        <f aca="false">IF(H140="","",IF(OR(J140="",L140=""),"-",IF(ABS(H140-J140*L140)&gt;Info_Koperasi!$C$10,"SELISIH","OK")))</f>
        <v/>
      </c>
    </row>
    <row r="141" customFormat="false" ht="15" hidden="false" customHeight="false" outlineLevel="0" collapsed="false">
      <c r="A141" s="21"/>
      <c r="B141" s="22"/>
      <c r="C141" s="21"/>
      <c r="D141" s="21"/>
      <c r="E141" s="28"/>
      <c r="F141" s="24"/>
      <c r="G141" s="26"/>
      <c r="H141" s="24"/>
      <c r="I141" s="24"/>
      <c r="J141" s="24"/>
      <c r="K141" s="24"/>
      <c r="L141" s="26"/>
      <c r="M141" s="26"/>
      <c r="N141" s="22"/>
      <c r="O141" s="21"/>
      <c r="P141" s="22"/>
      <c r="Q141" s="29" t="str">
        <f aca="false">IF(C141="","",IF(O141&lt;&gt;"",O141,IFERROR(INDEX(Produk!$J$2:$J$100,MATCH(C141,Produk!$A$2:$A$100,0)),"PRODUK?")))</f>
        <v/>
      </c>
      <c r="R141" s="29" t="str">
        <f aca="false">IF(A141="","",IF(COUNTIF(Anggota!$A$2:$A$2001,A141)=0,"TIDAK ADA","OK"))</f>
        <v/>
      </c>
      <c r="S141" s="29" t="str">
        <f aca="false">IF(H141="","",IF(OR(J141="",L141=""),"-",IF(ABS(H141-J141*L141)&gt;Info_Koperasi!$C$10,"SELISIH","OK")))</f>
        <v/>
      </c>
    </row>
    <row r="142" customFormat="false" ht="15" hidden="false" customHeight="false" outlineLevel="0" collapsed="false">
      <c r="A142" s="21"/>
      <c r="B142" s="22"/>
      <c r="C142" s="21"/>
      <c r="D142" s="21"/>
      <c r="E142" s="28"/>
      <c r="F142" s="24"/>
      <c r="G142" s="26"/>
      <c r="H142" s="24"/>
      <c r="I142" s="24"/>
      <c r="J142" s="24"/>
      <c r="K142" s="24"/>
      <c r="L142" s="26"/>
      <c r="M142" s="26"/>
      <c r="N142" s="22"/>
      <c r="O142" s="21"/>
      <c r="P142" s="22"/>
      <c r="Q142" s="29" t="str">
        <f aca="false">IF(C142="","",IF(O142&lt;&gt;"",O142,IFERROR(INDEX(Produk!$J$2:$J$100,MATCH(C142,Produk!$A$2:$A$100,0)),"PRODUK?")))</f>
        <v/>
      </c>
      <c r="R142" s="29" t="str">
        <f aca="false">IF(A142="","",IF(COUNTIF(Anggota!$A$2:$A$2001,A142)=0,"TIDAK ADA","OK"))</f>
        <v/>
      </c>
      <c r="S142" s="29" t="str">
        <f aca="false">IF(H142="","",IF(OR(J142="",L142=""),"-",IF(ABS(H142-J142*L142)&gt;Info_Koperasi!$C$10,"SELISIH","OK")))</f>
        <v/>
      </c>
    </row>
    <row r="143" customFormat="false" ht="15" hidden="false" customHeight="false" outlineLevel="0" collapsed="false">
      <c r="A143" s="21"/>
      <c r="B143" s="22"/>
      <c r="C143" s="21"/>
      <c r="D143" s="21"/>
      <c r="E143" s="28"/>
      <c r="F143" s="24"/>
      <c r="G143" s="26"/>
      <c r="H143" s="24"/>
      <c r="I143" s="24"/>
      <c r="J143" s="24"/>
      <c r="K143" s="24"/>
      <c r="L143" s="26"/>
      <c r="M143" s="26"/>
      <c r="N143" s="22"/>
      <c r="O143" s="21"/>
      <c r="P143" s="22"/>
      <c r="Q143" s="29" t="str">
        <f aca="false">IF(C143="","",IF(O143&lt;&gt;"",O143,IFERROR(INDEX(Produk!$J$2:$J$100,MATCH(C143,Produk!$A$2:$A$100,0)),"PRODUK?")))</f>
        <v/>
      </c>
      <c r="R143" s="29" t="str">
        <f aca="false">IF(A143="","",IF(COUNTIF(Anggota!$A$2:$A$2001,A143)=0,"TIDAK ADA","OK"))</f>
        <v/>
      </c>
      <c r="S143" s="29" t="str">
        <f aca="false">IF(H143="","",IF(OR(J143="",L143=""),"-",IF(ABS(H143-J143*L143)&gt;Info_Koperasi!$C$10,"SELISIH","OK")))</f>
        <v/>
      </c>
    </row>
    <row r="144" customFormat="false" ht="15" hidden="false" customHeight="false" outlineLevel="0" collapsed="false">
      <c r="A144" s="21"/>
      <c r="B144" s="22"/>
      <c r="C144" s="21"/>
      <c r="D144" s="21"/>
      <c r="E144" s="28"/>
      <c r="F144" s="24"/>
      <c r="G144" s="26"/>
      <c r="H144" s="24"/>
      <c r="I144" s="24"/>
      <c r="J144" s="24"/>
      <c r="K144" s="24"/>
      <c r="L144" s="26"/>
      <c r="M144" s="26"/>
      <c r="N144" s="22"/>
      <c r="O144" s="21"/>
      <c r="P144" s="22"/>
      <c r="Q144" s="29" t="str">
        <f aca="false">IF(C144="","",IF(O144&lt;&gt;"",O144,IFERROR(INDEX(Produk!$J$2:$J$100,MATCH(C144,Produk!$A$2:$A$100,0)),"PRODUK?")))</f>
        <v/>
      </c>
      <c r="R144" s="29" t="str">
        <f aca="false">IF(A144="","",IF(COUNTIF(Anggota!$A$2:$A$2001,A144)=0,"TIDAK ADA","OK"))</f>
        <v/>
      </c>
      <c r="S144" s="29" t="str">
        <f aca="false">IF(H144="","",IF(OR(J144="",L144=""),"-",IF(ABS(H144-J144*L144)&gt;Info_Koperasi!$C$10,"SELISIH","OK")))</f>
        <v/>
      </c>
    </row>
    <row r="145" customFormat="false" ht="15" hidden="false" customHeight="false" outlineLevel="0" collapsed="false">
      <c r="A145" s="21"/>
      <c r="B145" s="22"/>
      <c r="C145" s="21"/>
      <c r="D145" s="21"/>
      <c r="E145" s="28"/>
      <c r="F145" s="24"/>
      <c r="G145" s="26"/>
      <c r="H145" s="24"/>
      <c r="I145" s="24"/>
      <c r="J145" s="24"/>
      <c r="K145" s="24"/>
      <c r="L145" s="26"/>
      <c r="M145" s="26"/>
      <c r="N145" s="22"/>
      <c r="O145" s="21"/>
      <c r="P145" s="22"/>
      <c r="Q145" s="29" t="str">
        <f aca="false">IF(C145="","",IF(O145&lt;&gt;"",O145,IFERROR(INDEX(Produk!$J$2:$J$100,MATCH(C145,Produk!$A$2:$A$100,0)),"PRODUK?")))</f>
        <v/>
      </c>
      <c r="R145" s="29" t="str">
        <f aca="false">IF(A145="","",IF(COUNTIF(Anggota!$A$2:$A$2001,A145)=0,"TIDAK ADA","OK"))</f>
        <v/>
      </c>
      <c r="S145" s="29" t="str">
        <f aca="false">IF(H145="","",IF(OR(J145="",L145=""),"-",IF(ABS(H145-J145*L145)&gt;Info_Koperasi!$C$10,"SELISIH","OK")))</f>
        <v/>
      </c>
    </row>
    <row r="146" customFormat="false" ht="15" hidden="false" customHeight="false" outlineLevel="0" collapsed="false">
      <c r="A146" s="21"/>
      <c r="B146" s="22"/>
      <c r="C146" s="21"/>
      <c r="D146" s="21"/>
      <c r="E146" s="28"/>
      <c r="F146" s="24"/>
      <c r="G146" s="26"/>
      <c r="H146" s="24"/>
      <c r="I146" s="24"/>
      <c r="J146" s="24"/>
      <c r="K146" s="24"/>
      <c r="L146" s="26"/>
      <c r="M146" s="26"/>
      <c r="N146" s="22"/>
      <c r="O146" s="21"/>
      <c r="P146" s="22"/>
      <c r="Q146" s="29" t="str">
        <f aca="false">IF(C146="","",IF(O146&lt;&gt;"",O146,IFERROR(INDEX(Produk!$J$2:$J$100,MATCH(C146,Produk!$A$2:$A$100,0)),"PRODUK?")))</f>
        <v/>
      </c>
      <c r="R146" s="29" t="str">
        <f aca="false">IF(A146="","",IF(COUNTIF(Anggota!$A$2:$A$2001,A146)=0,"TIDAK ADA","OK"))</f>
        <v/>
      </c>
      <c r="S146" s="29" t="str">
        <f aca="false">IF(H146="","",IF(OR(J146="",L146=""),"-",IF(ABS(H146-J146*L146)&gt;Info_Koperasi!$C$10,"SELISIH","OK")))</f>
        <v/>
      </c>
    </row>
    <row r="147" customFormat="false" ht="15" hidden="false" customHeight="false" outlineLevel="0" collapsed="false">
      <c r="A147" s="21"/>
      <c r="B147" s="22"/>
      <c r="C147" s="21"/>
      <c r="D147" s="21"/>
      <c r="E147" s="28"/>
      <c r="F147" s="24"/>
      <c r="G147" s="26"/>
      <c r="H147" s="24"/>
      <c r="I147" s="24"/>
      <c r="J147" s="24"/>
      <c r="K147" s="24"/>
      <c r="L147" s="26"/>
      <c r="M147" s="26"/>
      <c r="N147" s="22"/>
      <c r="O147" s="21"/>
      <c r="P147" s="22"/>
      <c r="Q147" s="29" t="str">
        <f aca="false">IF(C147="","",IF(O147&lt;&gt;"",O147,IFERROR(INDEX(Produk!$J$2:$J$100,MATCH(C147,Produk!$A$2:$A$100,0)),"PRODUK?")))</f>
        <v/>
      </c>
      <c r="R147" s="29" t="str">
        <f aca="false">IF(A147="","",IF(COUNTIF(Anggota!$A$2:$A$2001,A147)=0,"TIDAK ADA","OK"))</f>
        <v/>
      </c>
      <c r="S147" s="29" t="str">
        <f aca="false">IF(H147="","",IF(OR(J147="",L147=""),"-",IF(ABS(H147-J147*L147)&gt;Info_Koperasi!$C$10,"SELISIH","OK")))</f>
        <v/>
      </c>
    </row>
    <row r="148" customFormat="false" ht="15" hidden="false" customHeight="false" outlineLevel="0" collapsed="false">
      <c r="A148" s="21"/>
      <c r="B148" s="22"/>
      <c r="C148" s="21"/>
      <c r="D148" s="21"/>
      <c r="E148" s="28"/>
      <c r="F148" s="24"/>
      <c r="G148" s="26"/>
      <c r="H148" s="24"/>
      <c r="I148" s="24"/>
      <c r="J148" s="24"/>
      <c r="K148" s="24"/>
      <c r="L148" s="26"/>
      <c r="M148" s="26"/>
      <c r="N148" s="22"/>
      <c r="O148" s="21"/>
      <c r="P148" s="22"/>
      <c r="Q148" s="29" t="str">
        <f aca="false">IF(C148="","",IF(O148&lt;&gt;"",O148,IFERROR(INDEX(Produk!$J$2:$J$100,MATCH(C148,Produk!$A$2:$A$100,0)),"PRODUK?")))</f>
        <v/>
      </c>
      <c r="R148" s="29" t="str">
        <f aca="false">IF(A148="","",IF(COUNTIF(Anggota!$A$2:$A$2001,A148)=0,"TIDAK ADA","OK"))</f>
        <v/>
      </c>
      <c r="S148" s="29" t="str">
        <f aca="false">IF(H148="","",IF(OR(J148="",L148=""),"-",IF(ABS(H148-J148*L148)&gt;Info_Koperasi!$C$10,"SELISIH","OK")))</f>
        <v/>
      </c>
    </row>
    <row r="149" customFormat="false" ht="15" hidden="false" customHeight="false" outlineLevel="0" collapsed="false">
      <c r="A149" s="21"/>
      <c r="B149" s="22"/>
      <c r="C149" s="21"/>
      <c r="D149" s="21"/>
      <c r="E149" s="28"/>
      <c r="F149" s="24"/>
      <c r="G149" s="26"/>
      <c r="H149" s="24"/>
      <c r="I149" s="24"/>
      <c r="J149" s="24"/>
      <c r="K149" s="24"/>
      <c r="L149" s="26"/>
      <c r="M149" s="26"/>
      <c r="N149" s="22"/>
      <c r="O149" s="21"/>
      <c r="P149" s="22"/>
      <c r="Q149" s="29" t="str">
        <f aca="false">IF(C149="","",IF(O149&lt;&gt;"",O149,IFERROR(INDEX(Produk!$J$2:$J$100,MATCH(C149,Produk!$A$2:$A$100,0)),"PRODUK?")))</f>
        <v/>
      </c>
      <c r="R149" s="29" t="str">
        <f aca="false">IF(A149="","",IF(COUNTIF(Anggota!$A$2:$A$2001,A149)=0,"TIDAK ADA","OK"))</f>
        <v/>
      </c>
      <c r="S149" s="29" t="str">
        <f aca="false">IF(H149="","",IF(OR(J149="",L149=""),"-",IF(ABS(H149-J149*L149)&gt;Info_Koperasi!$C$10,"SELISIH","OK")))</f>
        <v/>
      </c>
    </row>
    <row r="150" customFormat="false" ht="15" hidden="false" customHeight="false" outlineLevel="0" collapsed="false">
      <c r="A150" s="21"/>
      <c r="B150" s="22"/>
      <c r="C150" s="21"/>
      <c r="D150" s="21"/>
      <c r="E150" s="28"/>
      <c r="F150" s="24"/>
      <c r="G150" s="26"/>
      <c r="H150" s="24"/>
      <c r="I150" s="24"/>
      <c r="J150" s="24"/>
      <c r="K150" s="24"/>
      <c r="L150" s="26"/>
      <c r="M150" s="26"/>
      <c r="N150" s="22"/>
      <c r="O150" s="21"/>
      <c r="P150" s="22"/>
      <c r="Q150" s="29" t="str">
        <f aca="false">IF(C150="","",IF(O150&lt;&gt;"",O150,IFERROR(INDEX(Produk!$J$2:$J$100,MATCH(C150,Produk!$A$2:$A$100,0)),"PRODUK?")))</f>
        <v/>
      </c>
      <c r="R150" s="29" t="str">
        <f aca="false">IF(A150="","",IF(COUNTIF(Anggota!$A$2:$A$2001,A150)=0,"TIDAK ADA","OK"))</f>
        <v/>
      </c>
      <c r="S150" s="29" t="str">
        <f aca="false">IF(H150="","",IF(OR(J150="",L150=""),"-",IF(ABS(H150-J150*L150)&gt;Info_Koperasi!$C$10,"SELISIH","OK")))</f>
        <v/>
      </c>
    </row>
    <row r="151" customFormat="false" ht="15" hidden="false" customHeight="false" outlineLevel="0" collapsed="false">
      <c r="A151" s="21"/>
      <c r="B151" s="22"/>
      <c r="C151" s="21"/>
      <c r="D151" s="21"/>
      <c r="E151" s="28"/>
      <c r="F151" s="24"/>
      <c r="G151" s="26"/>
      <c r="H151" s="24"/>
      <c r="I151" s="24"/>
      <c r="J151" s="24"/>
      <c r="K151" s="24"/>
      <c r="L151" s="26"/>
      <c r="M151" s="26"/>
      <c r="N151" s="22"/>
      <c r="O151" s="21"/>
      <c r="P151" s="22"/>
      <c r="Q151" s="29" t="str">
        <f aca="false">IF(C151="","",IF(O151&lt;&gt;"",O151,IFERROR(INDEX(Produk!$J$2:$J$100,MATCH(C151,Produk!$A$2:$A$100,0)),"PRODUK?")))</f>
        <v/>
      </c>
      <c r="R151" s="29" t="str">
        <f aca="false">IF(A151="","",IF(COUNTIF(Anggota!$A$2:$A$2001,A151)=0,"TIDAK ADA","OK"))</f>
        <v/>
      </c>
      <c r="S151" s="29" t="str">
        <f aca="false">IF(H151="","",IF(OR(J151="",L151=""),"-",IF(ABS(H151-J151*L151)&gt;Info_Koperasi!$C$10,"SELISIH","OK")))</f>
        <v/>
      </c>
    </row>
    <row r="152" customFormat="false" ht="15" hidden="false" customHeight="false" outlineLevel="0" collapsed="false">
      <c r="A152" s="21"/>
      <c r="B152" s="22"/>
      <c r="C152" s="21"/>
      <c r="D152" s="21"/>
      <c r="E152" s="28"/>
      <c r="F152" s="24"/>
      <c r="G152" s="26"/>
      <c r="H152" s="24"/>
      <c r="I152" s="24"/>
      <c r="J152" s="24"/>
      <c r="K152" s="24"/>
      <c r="L152" s="26"/>
      <c r="M152" s="26"/>
      <c r="N152" s="22"/>
      <c r="O152" s="21"/>
      <c r="P152" s="22"/>
      <c r="Q152" s="29" t="str">
        <f aca="false">IF(C152="","",IF(O152&lt;&gt;"",O152,IFERROR(INDEX(Produk!$J$2:$J$100,MATCH(C152,Produk!$A$2:$A$100,0)),"PRODUK?")))</f>
        <v/>
      </c>
      <c r="R152" s="29" t="str">
        <f aca="false">IF(A152="","",IF(COUNTIF(Anggota!$A$2:$A$2001,A152)=0,"TIDAK ADA","OK"))</f>
        <v/>
      </c>
      <c r="S152" s="29" t="str">
        <f aca="false">IF(H152="","",IF(OR(J152="",L152=""),"-",IF(ABS(H152-J152*L152)&gt;Info_Koperasi!$C$10,"SELISIH","OK")))</f>
        <v/>
      </c>
    </row>
    <row r="153" customFormat="false" ht="15" hidden="false" customHeight="false" outlineLevel="0" collapsed="false">
      <c r="A153" s="21"/>
      <c r="B153" s="22"/>
      <c r="C153" s="21"/>
      <c r="D153" s="21"/>
      <c r="E153" s="28"/>
      <c r="F153" s="24"/>
      <c r="G153" s="26"/>
      <c r="H153" s="24"/>
      <c r="I153" s="24"/>
      <c r="J153" s="24"/>
      <c r="K153" s="24"/>
      <c r="L153" s="26"/>
      <c r="M153" s="26"/>
      <c r="N153" s="22"/>
      <c r="O153" s="21"/>
      <c r="P153" s="22"/>
      <c r="Q153" s="29" t="str">
        <f aca="false">IF(C153="","",IF(O153&lt;&gt;"",O153,IFERROR(INDEX(Produk!$J$2:$J$100,MATCH(C153,Produk!$A$2:$A$100,0)),"PRODUK?")))</f>
        <v/>
      </c>
      <c r="R153" s="29" t="str">
        <f aca="false">IF(A153="","",IF(COUNTIF(Anggota!$A$2:$A$2001,A153)=0,"TIDAK ADA","OK"))</f>
        <v/>
      </c>
      <c r="S153" s="29" t="str">
        <f aca="false">IF(H153="","",IF(OR(J153="",L153=""),"-",IF(ABS(H153-J153*L153)&gt;Info_Koperasi!$C$10,"SELISIH","OK")))</f>
        <v/>
      </c>
    </row>
    <row r="154" customFormat="false" ht="15" hidden="false" customHeight="false" outlineLevel="0" collapsed="false">
      <c r="A154" s="21"/>
      <c r="B154" s="22"/>
      <c r="C154" s="21"/>
      <c r="D154" s="21"/>
      <c r="E154" s="28"/>
      <c r="F154" s="24"/>
      <c r="G154" s="26"/>
      <c r="H154" s="24"/>
      <c r="I154" s="24"/>
      <c r="J154" s="24"/>
      <c r="K154" s="24"/>
      <c r="L154" s="26"/>
      <c r="M154" s="26"/>
      <c r="N154" s="22"/>
      <c r="O154" s="21"/>
      <c r="P154" s="22"/>
      <c r="Q154" s="29" t="str">
        <f aca="false">IF(C154="","",IF(O154&lt;&gt;"",O154,IFERROR(INDEX(Produk!$J$2:$J$100,MATCH(C154,Produk!$A$2:$A$100,0)),"PRODUK?")))</f>
        <v/>
      </c>
      <c r="R154" s="29" t="str">
        <f aca="false">IF(A154="","",IF(COUNTIF(Anggota!$A$2:$A$2001,A154)=0,"TIDAK ADA","OK"))</f>
        <v/>
      </c>
      <c r="S154" s="29" t="str">
        <f aca="false">IF(H154="","",IF(OR(J154="",L154=""),"-",IF(ABS(H154-J154*L154)&gt;Info_Koperasi!$C$10,"SELISIH","OK")))</f>
        <v/>
      </c>
    </row>
    <row r="155" customFormat="false" ht="15" hidden="false" customHeight="false" outlineLevel="0" collapsed="false">
      <c r="A155" s="21"/>
      <c r="B155" s="22"/>
      <c r="C155" s="21"/>
      <c r="D155" s="21"/>
      <c r="E155" s="28"/>
      <c r="F155" s="24"/>
      <c r="G155" s="26"/>
      <c r="H155" s="24"/>
      <c r="I155" s="24"/>
      <c r="J155" s="24"/>
      <c r="K155" s="24"/>
      <c r="L155" s="26"/>
      <c r="M155" s="26"/>
      <c r="N155" s="22"/>
      <c r="O155" s="21"/>
      <c r="P155" s="22"/>
      <c r="Q155" s="29" t="str">
        <f aca="false">IF(C155="","",IF(O155&lt;&gt;"",O155,IFERROR(INDEX(Produk!$J$2:$J$100,MATCH(C155,Produk!$A$2:$A$100,0)),"PRODUK?")))</f>
        <v/>
      </c>
      <c r="R155" s="29" t="str">
        <f aca="false">IF(A155="","",IF(COUNTIF(Anggota!$A$2:$A$2001,A155)=0,"TIDAK ADA","OK"))</f>
        <v/>
      </c>
      <c r="S155" s="29" t="str">
        <f aca="false">IF(H155="","",IF(OR(J155="",L155=""),"-",IF(ABS(H155-J155*L155)&gt;Info_Koperasi!$C$10,"SELISIH","OK")))</f>
        <v/>
      </c>
    </row>
    <row r="156" customFormat="false" ht="15" hidden="false" customHeight="false" outlineLevel="0" collapsed="false">
      <c r="A156" s="21"/>
      <c r="B156" s="22"/>
      <c r="C156" s="21"/>
      <c r="D156" s="21"/>
      <c r="E156" s="28"/>
      <c r="F156" s="24"/>
      <c r="G156" s="26"/>
      <c r="H156" s="24"/>
      <c r="I156" s="24"/>
      <c r="J156" s="24"/>
      <c r="K156" s="24"/>
      <c r="L156" s="26"/>
      <c r="M156" s="26"/>
      <c r="N156" s="22"/>
      <c r="O156" s="21"/>
      <c r="P156" s="22"/>
      <c r="Q156" s="29" t="str">
        <f aca="false">IF(C156="","",IF(O156&lt;&gt;"",O156,IFERROR(INDEX(Produk!$J$2:$J$100,MATCH(C156,Produk!$A$2:$A$100,0)),"PRODUK?")))</f>
        <v/>
      </c>
      <c r="R156" s="29" t="str">
        <f aca="false">IF(A156="","",IF(COUNTIF(Anggota!$A$2:$A$2001,A156)=0,"TIDAK ADA","OK"))</f>
        <v/>
      </c>
      <c r="S156" s="29" t="str">
        <f aca="false">IF(H156="","",IF(OR(J156="",L156=""),"-",IF(ABS(H156-J156*L156)&gt;Info_Koperasi!$C$10,"SELISIH","OK")))</f>
        <v/>
      </c>
    </row>
    <row r="157" customFormat="false" ht="15" hidden="false" customHeight="false" outlineLevel="0" collapsed="false">
      <c r="A157" s="21"/>
      <c r="B157" s="22"/>
      <c r="C157" s="21"/>
      <c r="D157" s="21"/>
      <c r="E157" s="28"/>
      <c r="F157" s="24"/>
      <c r="G157" s="26"/>
      <c r="H157" s="24"/>
      <c r="I157" s="24"/>
      <c r="J157" s="24"/>
      <c r="K157" s="24"/>
      <c r="L157" s="26"/>
      <c r="M157" s="26"/>
      <c r="N157" s="22"/>
      <c r="O157" s="21"/>
      <c r="P157" s="22"/>
      <c r="Q157" s="29" t="str">
        <f aca="false">IF(C157="","",IF(O157&lt;&gt;"",O157,IFERROR(INDEX(Produk!$J$2:$J$100,MATCH(C157,Produk!$A$2:$A$100,0)),"PRODUK?")))</f>
        <v/>
      </c>
      <c r="R157" s="29" t="str">
        <f aca="false">IF(A157="","",IF(COUNTIF(Anggota!$A$2:$A$2001,A157)=0,"TIDAK ADA","OK"))</f>
        <v/>
      </c>
      <c r="S157" s="29" t="str">
        <f aca="false">IF(H157="","",IF(OR(J157="",L157=""),"-",IF(ABS(H157-J157*L157)&gt;Info_Koperasi!$C$10,"SELISIH","OK")))</f>
        <v/>
      </c>
    </row>
    <row r="158" customFormat="false" ht="15" hidden="false" customHeight="false" outlineLevel="0" collapsed="false">
      <c r="A158" s="21"/>
      <c r="B158" s="22"/>
      <c r="C158" s="21"/>
      <c r="D158" s="21"/>
      <c r="E158" s="28"/>
      <c r="F158" s="24"/>
      <c r="G158" s="26"/>
      <c r="H158" s="24"/>
      <c r="I158" s="24"/>
      <c r="J158" s="24"/>
      <c r="K158" s="24"/>
      <c r="L158" s="26"/>
      <c r="M158" s="26"/>
      <c r="N158" s="22"/>
      <c r="O158" s="21"/>
      <c r="P158" s="22"/>
      <c r="Q158" s="29" t="str">
        <f aca="false">IF(C158="","",IF(O158&lt;&gt;"",O158,IFERROR(INDEX(Produk!$J$2:$J$100,MATCH(C158,Produk!$A$2:$A$100,0)),"PRODUK?")))</f>
        <v/>
      </c>
      <c r="R158" s="29" t="str">
        <f aca="false">IF(A158="","",IF(COUNTIF(Anggota!$A$2:$A$2001,A158)=0,"TIDAK ADA","OK"))</f>
        <v/>
      </c>
      <c r="S158" s="29" t="str">
        <f aca="false">IF(H158="","",IF(OR(J158="",L158=""),"-",IF(ABS(H158-J158*L158)&gt;Info_Koperasi!$C$10,"SELISIH","OK")))</f>
        <v/>
      </c>
    </row>
    <row r="159" customFormat="false" ht="15" hidden="false" customHeight="false" outlineLevel="0" collapsed="false">
      <c r="A159" s="21"/>
      <c r="B159" s="22"/>
      <c r="C159" s="21"/>
      <c r="D159" s="21"/>
      <c r="E159" s="28"/>
      <c r="F159" s="24"/>
      <c r="G159" s="26"/>
      <c r="H159" s="24"/>
      <c r="I159" s="24"/>
      <c r="J159" s="24"/>
      <c r="K159" s="24"/>
      <c r="L159" s="26"/>
      <c r="M159" s="26"/>
      <c r="N159" s="22"/>
      <c r="O159" s="21"/>
      <c r="P159" s="22"/>
      <c r="Q159" s="29" t="str">
        <f aca="false">IF(C159="","",IF(O159&lt;&gt;"",O159,IFERROR(INDEX(Produk!$J$2:$J$100,MATCH(C159,Produk!$A$2:$A$100,0)),"PRODUK?")))</f>
        <v/>
      </c>
      <c r="R159" s="29" t="str">
        <f aca="false">IF(A159="","",IF(COUNTIF(Anggota!$A$2:$A$2001,A159)=0,"TIDAK ADA","OK"))</f>
        <v/>
      </c>
      <c r="S159" s="29" t="str">
        <f aca="false">IF(H159="","",IF(OR(J159="",L159=""),"-",IF(ABS(H159-J159*L159)&gt;Info_Koperasi!$C$10,"SELISIH","OK")))</f>
        <v/>
      </c>
    </row>
    <row r="160" customFormat="false" ht="15" hidden="false" customHeight="false" outlineLevel="0" collapsed="false">
      <c r="A160" s="21"/>
      <c r="B160" s="22"/>
      <c r="C160" s="21"/>
      <c r="D160" s="21"/>
      <c r="E160" s="28"/>
      <c r="F160" s="24"/>
      <c r="G160" s="26"/>
      <c r="H160" s="24"/>
      <c r="I160" s="24"/>
      <c r="J160" s="24"/>
      <c r="K160" s="24"/>
      <c r="L160" s="26"/>
      <c r="M160" s="26"/>
      <c r="N160" s="22"/>
      <c r="O160" s="21"/>
      <c r="P160" s="22"/>
      <c r="Q160" s="29" t="str">
        <f aca="false">IF(C160="","",IF(O160&lt;&gt;"",O160,IFERROR(INDEX(Produk!$J$2:$J$100,MATCH(C160,Produk!$A$2:$A$100,0)),"PRODUK?")))</f>
        <v/>
      </c>
      <c r="R160" s="29" t="str">
        <f aca="false">IF(A160="","",IF(COUNTIF(Anggota!$A$2:$A$2001,A160)=0,"TIDAK ADA","OK"))</f>
        <v/>
      </c>
      <c r="S160" s="29" t="str">
        <f aca="false">IF(H160="","",IF(OR(J160="",L160=""),"-",IF(ABS(H160-J160*L160)&gt;Info_Koperasi!$C$10,"SELISIH","OK")))</f>
        <v/>
      </c>
    </row>
    <row r="161" customFormat="false" ht="15" hidden="false" customHeight="false" outlineLevel="0" collapsed="false">
      <c r="A161" s="21"/>
      <c r="B161" s="22"/>
      <c r="C161" s="21"/>
      <c r="D161" s="21"/>
      <c r="E161" s="28"/>
      <c r="F161" s="24"/>
      <c r="G161" s="26"/>
      <c r="H161" s="24"/>
      <c r="I161" s="24"/>
      <c r="J161" s="24"/>
      <c r="K161" s="24"/>
      <c r="L161" s="26"/>
      <c r="M161" s="26"/>
      <c r="N161" s="22"/>
      <c r="O161" s="21"/>
      <c r="P161" s="22"/>
      <c r="Q161" s="29" t="str">
        <f aca="false">IF(C161="","",IF(O161&lt;&gt;"",O161,IFERROR(INDEX(Produk!$J$2:$J$100,MATCH(C161,Produk!$A$2:$A$100,0)),"PRODUK?")))</f>
        <v/>
      </c>
      <c r="R161" s="29" t="str">
        <f aca="false">IF(A161="","",IF(COUNTIF(Anggota!$A$2:$A$2001,A161)=0,"TIDAK ADA","OK"))</f>
        <v/>
      </c>
      <c r="S161" s="29" t="str">
        <f aca="false">IF(H161="","",IF(OR(J161="",L161=""),"-",IF(ABS(H161-J161*L161)&gt;Info_Koperasi!$C$10,"SELISIH","OK")))</f>
        <v/>
      </c>
    </row>
    <row r="162" customFormat="false" ht="15" hidden="false" customHeight="false" outlineLevel="0" collapsed="false">
      <c r="A162" s="21"/>
      <c r="B162" s="22"/>
      <c r="C162" s="21"/>
      <c r="D162" s="21"/>
      <c r="E162" s="28"/>
      <c r="F162" s="24"/>
      <c r="G162" s="26"/>
      <c r="H162" s="24"/>
      <c r="I162" s="24"/>
      <c r="J162" s="24"/>
      <c r="K162" s="24"/>
      <c r="L162" s="26"/>
      <c r="M162" s="26"/>
      <c r="N162" s="22"/>
      <c r="O162" s="21"/>
      <c r="P162" s="22"/>
      <c r="Q162" s="29" t="str">
        <f aca="false">IF(C162="","",IF(O162&lt;&gt;"",O162,IFERROR(INDEX(Produk!$J$2:$J$100,MATCH(C162,Produk!$A$2:$A$100,0)),"PRODUK?")))</f>
        <v/>
      </c>
      <c r="R162" s="29" t="str">
        <f aca="false">IF(A162="","",IF(COUNTIF(Anggota!$A$2:$A$2001,A162)=0,"TIDAK ADA","OK"))</f>
        <v/>
      </c>
      <c r="S162" s="29" t="str">
        <f aca="false">IF(H162="","",IF(OR(J162="",L162=""),"-",IF(ABS(H162-J162*L162)&gt;Info_Koperasi!$C$10,"SELISIH","OK")))</f>
        <v/>
      </c>
    </row>
    <row r="163" customFormat="false" ht="15" hidden="false" customHeight="false" outlineLevel="0" collapsed="false">
      <c r="A163" s="21"/>
      <c r="B163" s="22"/>
      <c r="C163" s="21"/>
      <c r="D163" s="21"/>
      <c r="E163" s="28"/>
      <c r="F163" s="24"/>
      <c r="G163" s="26"/>
      <c r="H163" s="24"/>
      <c r="I163" s="24"/>
      <c r="J163" s="24"/>
      <c r="K163" s="24"/>
      <c r="L163" s="26"/>
      <c r="M163" s="26"/>
      <c r="N163" s="22"/>
      <c r="O163" s="21"/>
      <c r="P163" s="22"/>
      <c r="Q163" s="29" t="str">
        <f aca="false">IF(C163="","",IF(O163&lt;&gt;"",O163,IFERROR(INDEX(Produk!$J$2:$J$100,MATCH(C163,Produk!$A$2:$A$100,0)),"PRODUK?")))</f>
        <v/>
      </c>
      <c r="R163" s="29" t="str">
        <f aca="false">IF(A163="","",IF(COUNTIF(Anggota!$A$2:$A$2001,A163)=0,"TIDAK ADA","OK"))</f>
        <v/>
      </c>
      <c r="S163" s="29" t="str">
        <f aca="false">IF(H163="","",IF(OR(J163="",L163=""),"-",IF(ABS(H163-J163*L163)&gt;Info_Koperasi!$C$10,"SELISIH","OK")))</f>
        <v/>
      </c>
    </row>
    <row r="164" customFormat="false" ht="15" hidden="false" customHeight="false" outlineLevel="0" collapsed="false">
      <c r="A164" s="21"/>
      <c r="B164" s="22"/>
      <c r="C164" s="21"/>
      <c r="D164" s="21"/>
      <c r="E164" s="28"/>
      <c r="F164" s="24"/>
      <c r="G164" s="26"/>
      <c r="H164" s="24"/>
      <c r="I164" s="24"/>
      <c r="J164" s="24"/>
      <c r="K164" s="24"/>
      <c r="L164" s="26"/>
      <c r="M164" s="26"/>
      <c r="N164" s="22"/>
      <c r="O164" s="21"/>
      <c r="P164" s="22"/>
      <c r="Q164" s="29" t="str">
        <f aca="false">IF(C164="","",IF(O164&lt;&gt;"",O164,IFERROR(INDEX(Produk!$J$2:$J$100,MATCH(C164,Produk!$A$2:$A$100,0)),"PRODUK?")))</f>
        <v/>
      </c>
      <c r="R164" s="29" t="str">
        <f aca="false">IF(A164="","",IF(COUNTIF(Anggota!$A$2:$A$2001,A164)=0,"TIDAK ADA","OK"))</f>
        <v/>
      </c>
      <c r="S164" s="29" t="str">
        <f aca="false">IF(H164="","",IF(OR(J164="",L164=""),"-",IF(ABS(H164-J164*L164)&gt;Info_Koperasi!$C$10,"SELISIH","OK")))</f>
        <v/>
      </c>
    </row>
    <row r="165" customFormat="false" ht="15" hidden="false" customHeight="false" outlineLevel="0" collapsed="false">
      <c r="A165" s="21"/>
      <c r="B165" s="22"/>
      <c r="C165" s="21"/>
      <c r="D165" s="21"/>
      <c r="E165" s="28"/>
      <c r="F165" s="24"/>
      <c r="G165" s="26"/>
      <c r="H165" s="24"/>
      <c r="I165" s="24"/>
      <c r="J165" s="24"/>
      <c r="K165" s="24"/>
      <c r="L165" s="26"/>
      <c r="M165" s="26"/>
      <c r="N165" s="22"/>
      <c r="O165" s="21"/>
      <c r="P165" s="22"/>
      <c r="Q165" s="29" t="str">
        <f aca="false">IF(C165="","",IF(O165&lt;&gt;"",O165,IFERROR(INDEX(Produk!$J$2:$J$100,MATCH(C165,Produk!$A$2:$A$100,0)),"PRODUK?")))</f>
        <v/>
      </c>
      <c r="R165" s="29" t="str">
        <f aca="false">IF(A165="","",IF(COUNTIF(Anggota!$A$2:$A$2001,A165)=0,"TIDAK ADA","OK"))</f>
        <v/>
      </c>
      <c r="S165" s="29" t="str">
        <f aca="false">IF(H165="","",IF(OR(J165="",L165=""),"-",IF(ABS(H165-J165*L165)&gt;Info_Koperasi!$C$10,"SELISIH","OK")))</f>
        <v/>
      </c>
    </row>
    <row r="166" customFormat="false" ht="15" hidden="false" customHeight="false" outlineLevel="0" collapsed="false">
      <c r="A166" s="21"/>
      <c r="B166" s="22"/>
      <c r="C166" s="21"/>
      <c r="D166" s="21"/>
      <c r="E166" s="28"/>
      <c r="F166" s="24"/>
      <c r="G166" s="26"/>
      <c r="H166" s="24"/>
      <c r="I166" s="24"/>
      <c r="J166" s="24"/>
      <c r="K166" s="24"/>
      <c r="L166" s="26"/>
      <c r="M166" s="26"/>
      <c r="N166" s="22"/>
      <c r="O166" s="21"/>
      <c r="P166" s="22"/>
      <c r="Q166" s="29" t="str">
        <f aca="false">IF(C166="","",IF(O166&lt;&gt;"",O166,IFERROR(INDEX(Produk!$J$2:$J$100,MATCH(C166,Produk!$A$2:$A$100,0)),"PRODUK?")))</f>
        <v/>
      </c>
      <c r="R166" s="29" t="str">
        <f aca="false">IF(A166="","",IF(COUNTIF(Anggota!$A$2:$A$2001,A166)=0,"TIDAK ADA","OK"))</f>
        <v/>
      </c>
      <c r="S166" s="29" t="str">
        <f aca="false">IF(H166="","",IF(OR(J166="",L166=""),"-",IF(ABS(H166-J166*L166)&gt;Info_Koperasi!$C$10,"SELISIH","OK")))</f>
        <v/>
      </c>
    </row>
    <row r="167" customFormat="false" ht="15" hidden="false" customHeight="false" outlineLevel="0" collapsed="false">
      <c r="A167" s="21"/>
      <c r="B167" s="22"/>
      <c r="C167" s="21"/>
      <c r="D167" s="21"/>
      <c r="E167" s="28"/>
      <c r="F167" s="24"/>
      <c r="G167" s="26"/>
      <c r="H167" s="24"/>
      <c r="I167" s="24"/>
      <c r="J167" s="24"/>
      <c r="K167" s="24"/>
      <c r="L167" s="26"/>
      <c r="M167" s="26"/>
      <c r="N167" s="22"/>
      <c r="O167" s="21"/>
      <c r="P167" s="22"/>
      <c r="Q167" s="29" t="str">
        <f aca="false">IF(C167="","",IF(O167&lt;&gt;"",O167,IFERROR(INDEX(Produk!$J$2:$J$100,MATCH(C167,Produk!$A$2:$A$100,0)),"PRODUK?")))</f>
        <v/>
      </c>
      <c r="R167" s="29" t="str">
        <f aca="false">IF(A167="","",IF(COUNTIF(Anggota!$A$2:$A$2001,A167)=0,"TIDAK ADA","OK"))</f>
        <v/>
      </c>
      <c r="S167" s="29" t="str">
        <f aca="false">IF(H167="","",IF(OR(J167="",L167=""),"-",IF(ABS(H167-J167*L167)&gt;Info_Koperasi!$C$10,"SELISIH","OK")))</f>
        <v/>
      </c>
    </row>
    <row r="168" customFormat="false" ht="15" hidden="false" customHeight="false" outlineLevel="0" collapsed="false">
      <c r="A168" s="21"/>
      <c r="B168" s="22"/>
      <c r="C168" s="21"/>
      <c r="D168" s="21"/>
      <c r="E168" s="28"/>
      <c r="F168" s="24"/>
      <c r="G168" s="26"/>
      <c r="H168" s="24"/>
      <c r="I168" s="24"/>
      <c r="J168" s="24"/>
      <c r="K168" s="24"/>
      <c r="L168" s="26"/>
      <c r="M168" s="26"/>
      <c r="N168" s="22"/>
      <c r="O168" s="21"/>
      <c r="P168" s="22"/>
      <c r="Q168" s="29" t="str">
        <f aca="false">IF(C168="","",IF(O168&lt;&gt;"",O168,IFERROR(INDEX(Produk!$J$2:$J$100,MATCH(C168,Produk!$A$2:$A$100,0)),"PRODUK?")))</f>
        <v/>
      </c>
      <c r="R168" s="29" t="str">
        <f aca="false">IF(A168="","",IF(COUNTIF(Anggota!$A$2:$A$2001,A168)=0,"TIDAK ADA","OK"))</f>
        <v/>
      </c>
      <c r="S168" s="29" t="str">
        <f aca="false">IF(H168="","",IF(OR(J168="",L168=""),"-",IF(ABS(H168-J168*L168)&gt;Info_Koperasi!$C$10,"SELISIH","OK")))</f>
        <v/>
      </c>
    </row>
    <row r="169" customFormat="false" ht="15" hidden="false" customHeight="false" outlineLevel="0" collapsed="false">
      <c r="A169" s="21"/>
      <c r="B169" s="22"/>
      <c r="C169" s="21"/>
      <c r="D169" s="21"/>
      <c r="E169" s="28"/>
      <c r="F169" s="24"/>
      <c r="G169" s="26"/>
      <c r="H169" s="24"/>
      <c r="I169" s="24"/>
      <c r="J169" s="24"/>
      <c r="K169" s="24"/>
      <c r="L169" s="26"/>
      <c r="M169" s="26"/>
      <c r="N169" s="22"/>
      <c r="O169" s="21"/>
      <c r="P169" s="22"/>
      <c r="Q169" s="29" t="str">
        <f aca="false">IF(C169="","",IF(O169&lt;&gt;"",O169,IFERROR(INDEX(Produk!$J$2:$J$100,MATCH(C169,Produk!$A$2:$A$100,0)),"PRODUK?")))</f>
        <v/>
      </c>
      <c r="R169" s="29" t="str">
        <f aca="false">IF(A169="","",IF(COUNTIF(Anggota!$A$2:$A$2001,A169)=0,"TIDAK ADA","OK"))</f>
        <v/>
      </c>
      <c r="S169" s="29" t="str">
        <f aca="false">IF(H169="","",IF(OR(J169="",L169=""),"-",IF(ABS(H169-J169*L169)&gt;Info_Koperasi!$C$10,"SELISIH","OK")))</f>
        <v/>
      </c>
    </row>
    <row r="170" customFormat="false" ht="15" hidden="false" customHeight="false" outlineLevel="0" collapsed="false">
      <c r="A170" s="21"/>
      <c r="B170" s="22"/>
      <c r="C170" s="21"/>
      <c r="D170" s="21"/>
      <c r="E170" s="28"/>
      <c r="F170" s="24"/>
      <c r="G170" s="26"/>
      <c r="H170" s="24"/>
      <c r="I170" s="24"/>
      <c r="J170" s="24"/>
      <c r="K170" s="24"/>
      <c r="L170" s="26"/>
      <c r="M170" s="26"/>
      <c r="N170" s="22"/>
      <c r="O170" s="21"/>
      <c r="P170" s="22"/>
      <c r="Q170" s="29" t="str">
        <f aca="false">IF(C170="","",IF(O170&lt;&gt;"",O170,IFERROR(INDEX(Produk!$J$2:$J$100,MATCH(C170,Produk!$A$2:$A$100,0)),"PRODUK?")))</f>
        <v/>
      </c>
      <c r="R170" s="29" t="str">
        <f aca="false">IF(A170="","",IF(COUNTIF(Anggota!$A$2:$A$2001,A170)=0,"TIDAK ADA","OK"))</f>
        <v/>
      </c>
      <c r="S170" s="29" t="str">
        <f aca="false">IF(H170="","",IF(OR(J170="",L170=""),"-",IF(ABS(H170-J170*L170)&gt;Info_Koperasi!$C$10,"SELISIH","OK")))</f>
        <v/>
      </c>
    </row>
    <row r="171" customFormat="false" ht="15" hidden="false" customHeight="false" outlineLevel="0" collapsed="false">
      <c r="A171" s="21"/>
      <c r="B171" s="22"/>
      <c r="C171" s="21"/>
      <c r="D171" s="21"/>
      <c r="E171" s="28"/>
      <c r="F171" s="24"/>
      <c r="G171" s="26"/>
      <c r="H171" s="24"/>
      <c r="I171" s="24"/>
      <c r="J171" s="24"/>
      <c r="K171" s="24"/>
      <c r="L171" s="26"/>
      <c r="M171" s="26"/>
      <c r="N171" s="22"/>
      <c r="O171" s="21"/>
      <c r="P171" s="22"/>
      <c r="Q171" s="29" t="str">
        <f aca="false">IF(C171="","",IF(O171&lt;&gt;"",O171,IFERROR(INDEX(Produk!$J$2:$J$100,MATCH(C171,Produk!$A$2:$A$100,0)),"PRODUK?")))</f>
        <v/>
      </c>
      <c r="R171" s="29" t="str">
        <f aca="false">IF(A171="","",IF(COUNTIF(Anggota!$A$2:$A$2001,A171)=0,"TIDAK ADA","OK"))</f>
        <v/>
      </c>
      <c r="S171" s="29" t="str">
        <f aca="false">IF(H171="","",IF(OR(J171="",L171=""),"-",IF(ABS(H171-J171*L171)&gt;Info_Koperasi!$C$10,"SELISIH","OK")))</f>
        <v/>
      </c>
    </row>
    <row r="172" customFormat="false" ht="15" hidden="false" customHeight="false" outlineLevel="0" collapsed="false">
      <c r="A172" s="21"/>
      <c r="B172" s="22"/>
      <c r="C172" s="21"/>
      <c r="D172" s="21"/>
      <c r="E172" s="28"/>
      <c r="F172" s="24"/>
      <c r="G172" s="26"/>
      <c r="H172" s="24"/>
      <c r="I172" s="24"/>
      <c r="J172" s="24"/>
      <c r="K172" s="24"/>
      <c r="L172" s="26"/>
      <c r="M172" s="26"/>
      <c r="N172" s="22"/>
      <c r="O172" s="21"/>
      <c r="P172" s="22"/>
      <c r="Q172" s="29" t="str">
        <f aca="false">IF(C172="","",IF(O172&lt;&gt;"",O172,IFERROR(INDEX(Produk!$J$2:$J$100,MATCH(C172,Produk!$A$2:$A$100,0)),"PRODUK?")))</f>
        <v/>
      </c>
      <c r="R172" s="29" t="str">
        <f aca="false">IF(A172="","",IF(COUNTIF(Anggota!$A$2:$A$2001,A172)=0,"TIDAK ADA","OK"))</f>
        <v/>
      </c>
      <c r="S172" s="29" t="str">
        <f aca="false">IF(H172="","",IF(OR(J172="",L172=""),"-",IF(ABS(H172-J172*L172)&gt;Info_Koperasi!$C$10,"SELISIH","OK")))</f>
        <v/>
      </c>
    </row>
    <row r="173" customFormat="false" ht="15" hidden="false" customHeight="false" outlineLevel="0" collapsed="false">
      <c r="A173" s="21"/>
      <c r="B173" s="22"/>
      <c r="C173" s="21"/>
      <c r="D173" s="21"/>
      <c r="E173" s="28"/>
      <c r="F173" s="24"/>
      <c r="G173" s="26"/>
      <c r="H173" s="24"/>
      <c r="I173" s="24"/>
      <c r="J173" s="24"/>
      <c r="K173" s="24"/>
      <c r="L173" s="26"/>
      <c r="M173" s="26"/>
      <c r="N173" s="22"/>
      <c r="O173" s="21"/>
      <c r="P173" s="22"/>
      <c r="Q173" s="29" t="str">
        <f aca="false">IF(C173="","",IF(O173&lt;&gt;"",O173,IFERROR(INDEX(Produk!$J$2:$J$100,MATCH(C173,Produk!$A$2:$A$100,0)),"PRODUK?")))</f>
        <v/>
      </c>
      <c r="R173" s="29" t="str">
        <f aca="false">IF(A173="","",IF(COUNTIF(Anggota!$A$2:$A$2001,A173)=0,"TIDAK ADA","OK"))</f>
        <v/>
      </c>
      <c r="S173" s="29" t="str">
        <f aca="false">IF(H173="","",IF(OR(J173="",L173=""),"-",IF(ABS(H173-J173*L173)&gt;Info_Koperasi!$C$10,"SELISIH","OK")))</f>
        <v/>
      </c>
    </row>
    <row r="174" customFormat="false" ht="15" hidden="false" customHeight="false" outlineLevel="0" collapsed="false">
      <c r="A174" s="21"/>
      <c r="B174" s="22"/>
      <c r="C174" s="21"/>
      <c r="D174" s="21"/>
      <c r="E174" s="28"/>
      <c r="F174" s="24"/>
      <c r="G174" s="26"/>
      <c r="H174" s="24"/>
      <c r="I174" s="24"/>
      <c r="J174" s="24"/>
      <c r="K174" s="24"/>
      <c r="L174" s="26"/>
      <c r="M174" s="26"/>
      <c r="N174" s="22"/>
      <c r="O174" s="21"/>
      <c r="P174" s="22"/>
      <c r="Q174" s="29" t="str">
        <f aca="false">IF(C174="","",IF(O174&lt;&gt;"",O174,IFERROR(INDEX(Produk!$J$2:$J$100,MATCH(C174,Produk!$A$2:$A$100,0)),"PRODUK?")))</f>
        <v/>
      </c>
      <c r="R174" s="29" t="str">
        <f aca="false">IF(A174="","",IF(COUNTIF(Anggota!$A$2:$A$2001,A174)=0,"TIDAK ADA","OK"))</f>
        <v/>
      </c>
      <c r="S174" s="29" t="str">
        <f aca="false">IF(H174="","",IF(OR(J174="",L174=""),"-",IF(ABS(H174-J174*L174)&gt;Info_Koperasi!$C$10,"SELISIH","OK")))</f>
        <v/>
      </c>
    </row>
    <row r="175" customFormat="false" ht="15" hidden="false" customHeight="false" outlineLevel="0" collapsed="false">
      <c r="A175" s="21"/>
      <c r="B175" s="22"/>
      <c r="C175" s="21"/>
      <c r="D175" s="21"/>
      <c r="E175" s="28"/>
      <c r="F175" s="24"/>
      <c r="G175" s="26"/>
      <c r="H175" s="24"/>
      <c r="I175" s="24"/>
      <c r="J175" s="24"/>
      <c r="K175" s="24"/>
      <c r="L175" s="26"/>
      <c r="M175" s="26"/>
      <c r="N175" s="22"/>
      <c r="O175" s="21"/>
      <c r="P175" s="22"/>
      <c r="Q175" s="29" t="str">
        <f aca="false">IF(C175="","",IF(O175&lt;&gt;"",O175,IFERROR(INDEX(Produk!$J$2:$J$100,MATCH(C175,Produk!$A$2:$A$100,0)),"PRODUK?")))</f>
        <v/>
      </c>
      <c r="R175" s="29" t="str">
        <f aca="false">IF(A175="","",IF(COUNTIF(Anggota!$A$2:$A$2001,A175)=0,"TIDAK ADA","OK"))</f>
        <v/>
      </c>
      <c r="S175" s="29" t="str">
        <f aca="false">IF(H175="","",IF(OR(J175="",L175=""),"-",IF(ABS(H175-J175*L175)&gt;Info_Koperasi!$C$10,"SELISIH","OK")))</f>
        <v/>
      </c>
    </row>
    <row r="176" customFormat="false" ht="15" hidden="false" customHeight="false" outlineLevel="0" collapsed="false">
      <c r="A176" s="21"/>
      <c r="B176" s="22"/>
      <c r="C176" s="21"/>
      <c r="D176" s="21"/>
      <c r="E176" s="28"/>
      <c r="F176" s="24"/>
      <c r="G176" s="26"/>
      <c r="H176" s="24"/>
      <c r="I176" s="24"/>
      <c r="J176" s="24"/>
      <c r="K176" s="24"/>
      <c r="L176" s="26"/>
      <c r="M176" s="26"/>
      <c r="N176" s="22"/>
      <c r="O176" s="21"/>
      <c r="P176" s="22"/>
      <c r="Q176" s="29" t="str">
        <f aca="false">IF(C176="","",IF(O176&lt;&gt;"",O176,IFERROR(INDEX(Produk!$J$2:$J$100,MATCH(C176,Produk!$A$2:$A$100,0)),"PRODUK?")))</f>
        <v/>
      </c>
      <c r="R176" s="29" t="str">
        <f aca="false">IF(A176="","",IF(COUNTIF(Anggota!$A$2:$A$2001,A176)=0,"TIDAK ADA","OK"))</f>
        <v/>
      </c>
      <c r="S176" s="29" t="str">
        <f aca="false">IF(H176="","",IF(OR(J176="",L176=""),"-",IF(ABS(H176-J176*L176)&gt;Info_Koperasi!$C$10,"SELISIH","OK")))</f>
        <v/>
      </c>
    </row>
    <row r="177" customFormat="false" ht="15" hidden="false" customHeight="false" outlineLevel="0" collapsed="false">
      <c r="A177" s="21"/>
      <c r="B177" s="22"/>
      <c r="C177" s="21"/>
      <c r="D177" s="21"/>
      <c r="E177" s="28"/>
      <c r="F177" s="24"/>
      <c r="G177" s="26"/>
      <c r="H177" s="24"/>
      <c r="I177" s="24"/>
      <c r="J177" s="24"/>
      <c r="K177" s="24"/>
      <c r="L177" s="26"/>
      <c r="M177" s="26"/>
      <c r="N177" s="22"/>
      <c r="O177" s="21"/>
      <c r="P177" s="22"/>
      <c r="Q177" s="29" t="str">
        <f aca="false">IF(C177="","",IF(O177&lt;&gt;"",O177,IFERROR(INDEX(Produk!$J$2:$J$100,MATCH(C177,Produk!$A$2:$A$100,0)),"PRODUK?")))</f>
        <v/>
      </c>
      <c r="R177" s="29" t="str">
        <f aca="false">IF(A177="","",IF(COUNTIF(Anggota!$A$2:$A$2001,A177)=0,"TIDAK ADA","OK"))</f>
        <v/>
      </c>
      <c r="S177" s="29" t="str">
        <f aca="false">IF(H177="","",IF(OR(J177="",L177=""),"-",IF(ABS(H177-J177*L177)&gt;Info_Koperasi!$C$10,"SELISIH","OK")))</f>
        <v/>
      </c>
    </row>
    <row r="178" customFormat="false" ht="15" hidden="false" customHeight="false" outlineLevel="0" collapsed="false">
      <c r="A178" s="21"/>
      <c r="B178" s="22"/>
      <c r="C178" s="21"/>
      <c r="D178" s="21"/>
      <c r="E178" s="28"/>
      <c r="F178" s="24"/>
      <c r="G178" s="26"/>
      <c r="H178" s="24"/>
      <c r="I178" s="24"/>
      <c r="J178" s="24"/>
      <c r="K178" s="24"/>
      <c r="L178" s="26"/>
      <c r="M178" s="26"/>
      <c r="N178" s="22"/>
      <c r="O178" s="21"/>
      <c r="P178" s="22"/>
      <c r="Q178" s="29" t="str">
        <f aca="false">IF(C178="","",IF(O178&lt;&gt;"",O178,IFERROR(INDEX(Produk!$J$2:$J$100,MATCH(C178,Produk!$A$2:$A$100,0)),"PRODUK?")))</f>
        <v/>
      </c>
      <c r="R178" s="29" t="str">
        <f aca="false">IF(A178="","",IF(COUNTIF(Anggota!$A$2:$A$2001,A178)=0,"TIDAK ADA","OK"))</f>
        <v/>
      </c>
      <c r="S178" s="29" t="str">
        <f aca="false">IF(H178="","",IF(OR(J178="",L178=""),"-",IF(ABS(H178-J178*L178)&gt;Info_Koperasi!$C$10,"SELISIH","OK")))</f>
        <v/>
      </c>
    </row>
    <row r="179" customFormat="false" ht="15" hidden="false" customHeight="false" outlineLevel="0" collapsed="false">
      <c r="A179" s="21"/>
      <c r="B179" s="22"/>
      <c r="C179" s="21"/>
      <c r="D179" s="21"/>
      <c r="E179" s="28"/>
      <c r="F179" s="24"/>
      <c r="G179" s="26"/>
      <c r="H179" s="24"/>
      <c r="I179" s="24"/>
      <c r="J179" s="24"/>
      <c r="K179" s="24"/>
      <c r="L179" s="26"/>
      <c r="M179" s="26"/>
      <c r="N179" s="22"/>
      <c r="O179" s="21"/>
      <c r="P179" s="22"/>
      <c r="Q179" s="29" t="str">
        <f aca="false">IF(C179="","",IF(O179&lt;&gt;"",O179,IFERROR(INDEX(Produk!$J$2:$J$100,MATCH(C179,Produk!$A$2:$A$100,0)),"PRODUK?")))</f>
        <v/>
      </c>
      <c r="R179" s="29" t="str">
        <f aca="false">IF(A179="","",IF(COUNTIF(Anggota!$A$2:$A$2001,A179)=0,"TIDAK ADA","OK"))</f>
        <v/>
      </c>
      <c r="S179" s="29" t="str">
        <f aca="false">IF(H179="","",IF(OR(J179="",L179=""),"-",IF(ABS(H179-J179*L179)&gt;Info_Koperasi!$C$10,"SELISIH","OK")))</f>
        <v/>
      </c>
    </row>
    <row r="180" customFormat="false" ht="15" hidden="false" customHeight="false" outlineLevel="0" collapsed="false">
      <c r="A180" s="21"/>
      <c r="B180" s="22"/>
      <c r="C180" s="21"/>
      <c r="D180" s="21"/>
      <c r="E180" s="28"/>
      <c r="F180" s="24"/>
      <c r="G180" s="26"/>
      <c r="H180" s="24"/>
      <c r="I180" s="24"/>
      <c r="J180" s="24"/>
      <c r="K180" s="24"/>
      <c r="L180" s="26"/>
      <c r="M180" s="26"/>
      <c r="N180" s="22"/>
      <c r="O180" s="21"/>
      <c r="P180" s="22"/>
      <c r="Q180" s="29" t="str">
        <f aca="false">IF(C180="","",IF(O180&lt;&gt;"",O180,IFERROR(INDEX(Produk!$J$2:$J$100,MATCH(C180,Produk!$A$2:$A$100,0)),"PRODUK?")))</f>
        <v/>
      </c>
      <c r="R180" s="29" t="str">
        <f aca="false">IF(A180="","",IF(COUNTIF(Anggota!$A$2:$A$2001,A180)=0,"TIDAK ADA","OK"))</f>
        <v/>
      </c>
      <c r="S180" s="29" t="str">
        <f aca="false">IF(H180="","",IF(OR(J180="",L180=""),"-",IF(ABS(H180-J180*L180)&gt;Info_Koperasi!$C$10,"SELISIH","OK")))</f>
        <v/>
      </c>
    </row>
    <row r="181" customFormat="false" ht="15" hidden="false" customHeight="false" outlineLevel="0" collapsed="false">
      <c r="A181" s="21"/>
      <c r="B181" s="22"/>
      <c r="C181" s="21"/>
      <c r="D181" s="21"/>
      <c r="E181" s="28"/>
      <c r="F181" s="24"/>
      <c r="G181" s="26"/>
      <c r="H181" s="24"/>
      <c r="I181" s="24"/>
      <c r="J181" s="24"/>
      <c r="K181" s="24"/>
      <c r="L181" s="26"/>
      <c r="M181" s="26"/>
      <c r="N181" s="22"/>
      <c r="O181" s="21"/>
      <c r="P181" s="22"/>
      <c r="Q181" s="29" t="str">
        <f aca="false">IF(C181="","",IF(O181&lt;&gt;"",O181,IFERROR(INDEX(Produk!$J$2:$J$100,MATCH(C181,Produk!$A$2:$A$100,0)),"PRODUK?")))</f>
        <v/>
      </c>
      <c r="R181" s="29" t="str">
        <f aca="false">IF(A181="","",IF(COUNTIF(Anggota!$A$2:$A$2001,A181)=0,"TIDAK ADA","OK"))</f>
        <v/>
      </c>
      <c r="S181" s="29" t="str">
        <f aca="false">IF(H181="","",IF(OR(J181="",L181=""),"-",IF(ABS(H181-J181*L181)&gt;Info_Koperasi!$C$10,"SELISIH","OK")))</f>
        <v/>
      </c>
    </row>
    <row r="182" customFormat="false" ht="15" hidden="false" customHeight="false" outlineLevel="0" collapsed="false">
      <c r="A182" s="21"/>
      <c r="B182" s="22"/>
      <c r="C182" s="21"/>
      <c r="D182" s="21"/>
      <c r="E182" s="28"/>
      <c r="F182" s="24"/>
      <c r="G182" s="26"/>
      <c r="H182" s="24"/>
      <c r="I182" s="24"/>
      <c r="J182" s="24"/>
      <c r="K182" s="24"/>
      <c r="L182" s="26"/>
      <c r="M182" s="26"/>
      <c r="N182" s="22"/>
      <c r="O182" s="21"/>
      <c r="P182" s="22"/>
      <c r="Q182" s="29" t="str">
        <f aca="false">IF(C182="","",IF(O182&lt;&gt;"",O182,IFERROR(INDEX(Produk!$J$2:$J$100,MATCH(C182,Produk!$A$2:$A$100,0)),"PRODUK?")))</f>
        <v/>
      </c>
      <c r="R182" s="29" t="str">
        <f aca="false">IF(A182="","",IF(COUNTIF(Anggota!$A$2:$A$2001,A182)=0,"TIDAK ADA","OK"))</f>
        <v/>
      </c>
      <c r="S182" s="29" t="str">
        <f aca="false">IF(H182="","",IF(OR(J182="",L182=""),"-",IF(ABS(H182-J182*L182)&gt;Info_Koperasi!$C$10,"SELISIH","OK")))</f>
        <v/>
      </c>
    </row>
    <row r="183" customFormat="false" ht="15" hidden="false" customHeight="false" outlineLevel="0" collapsed="false">
      <c r="A183" s="21"/>
      <c r="B183" s="22"/>
      <c r="C183" s="21"/>
      <c r="D183" s="21"/>
      <c r="E183" s="28"/>
      <c r="F183" s="24"/>
      <c r="G183" s="26"/>
      <c r="H183" s="24"/>
      <c r="I183" s="24"/>
      <c r="J183" s="24"/>
      <c r="K183" s="24"/>
      <c r="L183" s="26"/>
      <c r="M183" s="26"/>
      <c r="N183" s="22"/>
      <c r="O183" s="21"/>
      <c r="P183" s="22"/>
      <c r="Q183" s="29" t="str">
        <f aca="false">IF(C183="","",IF(O183&lt;&gt;"",O183,IFERROR(INDEX(Produk!$J$2:$J$100,MATCH(C183,Produk!$A$2:$A$100,0)),"PRODUK?")))</f>
        <v/>
      </c>
      <c r="R183" s="29" t="str">
        <f aca="false">IF(A183="","",IF(COUNTIF(Anggota!$A$2:$A$2001,A183)=0,"TIDAK ADA","OK"))</f>
        <v/>
      </c>
      <c r="S183" s="29" t="str">
        <f aca="false">IF(H183="","",IF(OR(J183="",L183=""),"-",IF(ABS(H183-J183*L183)&gt;Info_Koperasi!$C$10,"SELISIH","OK")))</f>
        <v/>
      </c>
    </row>
    <row r="184" customFormat="false" ht="15" hidden="false" customHeight="false" outlineLevel="0" collapsed="false">
      <c r="A184" s="21"/>
      <c r="B184" s="22"/>
      <c r="C184" s="21"/>
      <c r="D184" s="21"/>
      <c r="E184" s="28"/>
      <c r="F184" s="24"/>
      <c r="G184" s="26"/>
      <c r="H184" s="24"/>
      <c r="I184" s="24"/>
      <c r="J184" s="24"/>
      <c r="K184" s="24"/>
      <c r="L184" s="26"/>
      <c r="M184" s="26"/>
      <c r="N184" s="22"/>
      <c r="O184" s="21"/>
      <c r="P184" s="22"/>
      <c r="Q184" s="29" t="str">
        <f aca="false">IF(C184="","",IF(O184&lt;&gt;"",O184,IFERROR(INDEX(Produk!$J$2:$J$100,MATCH(C184,Produk!$A$2:$A$100,0)),"PRODUK?")))</f>
        <v/>
      </c>
      <c r="R184" s="29" t="str">
        <f aca="false">IF(A184="","",IF(COUNTIF(Anggota!$A$2:$A$2001,A184)=0,"TIDAK ADA","OK"))</f>
        <v/>
      </c>
      <c r="S184" s="29" t="str">
        <f aca="false">IF(H184="","",IF(OR(J184="",L184=""),"-",IF(ABS(H184-J184*L184)&gt;Info_Koperasi!$C$10,"SELISIH","OK")))</f>
        <v/>
      </c>
    </row>
    <row r="185" customFormat="false" ht="15" hidden="false" customHeight="false" outlineLevel="0" collapsed="false">
      <c r="A185" s="21"/>
      <c r="B185" s="22"/>
      <c r="C185" s="21"/>
      <c r="D185" s="21"/>
      <c r="E185" s="28"/>
      <c r="F185" s="24"/>
      <c r="G185" s="26"/>
      <c r="H185" s="24"/>
      <c r="I185" s="24"/>
      <c r="J185" s="24"/>
      <c r="K185" s="24"/>
      <c r="L185" s="26"/>
      <c r="M185" s="26"/>
      <c r="N185" s="22"/>
      <c r="O185" s="21"/>
      <c r="P185" s="22"/>
      <c r="Q185" s="29" t="str">
        <f aca="false">IF(C185="","",IF(O185&lt;&gt;"",O185,IFERROR(INDEX(Produk!$J$2:$J$100,MATCH(C185,Produk!$A$2:$A$100,0)),"PRODUK?")))</f>
        <v/>
      </c>
      <c r="R185" s="29" t="str">
        <f aca="false">IF(A185="","",IF(COUNTIF(Anggota!$A$2:$A$2001,A185)=0,"TIDAK ADA","OK"))</f>
        <v/>
      </c>
      <c r="S185" s="29" t="str">
        <f aca="false">IF(H185="","",IF(OR(J185="",L185=""),"-",IF(ABS(H185-J185*L185)&gt;Info_Koperasi!$C$10,"SELISIH","OK")))</f>
        <v/>
      </c>
    </row>
    <row r="186" customFormat="false" ht="15" hidden="false" customHeight="false" outlineLevel="0" collapsed="false">
      <c r="A186" s="21"/>
      <c r="B186" s="22"/>
      <c r="C186" s="21"/>
      <c r="D186" s="21"/>
      <c r="E186" s="28"/>
      <c r="F186" s="24"/>
      <c r="G186" s="26"/>
      <c r="H186" s="24"/>
      <c r="I186" s="24"/>
      <c r="J186" s="24"/>
      <c r="K186" s="24"/>
      <c r="L186" s="26"/>
      <c r="M186" s="26"/>
      <c r="N186" s="22"/>
      <c r="O186" s="21"/>
      <c r="P186" s="22"/>
      <c r="Q186" s="29" t="str">
        <f aca="false">IF(C186="","",IF(O186&lt;&gt;"",O186,IFERROR(INDEX(Produk!$J$2:$J$100,MATCH(C186,Produk!$A$2:$A$100,0)),"PRODUK?")))</f>
        <v/>
      </c>
      <c r="R186" s="29" t="str">
        <f aca="false">IF(A186="","",IF(COUNTIF(Anggota!$A$2:$A$2001,A186)=0,"TIDAK ADA","OK"))</f>
        <v/>
      </c>
      <c r="S186" s="29" t="str">
        <f aca="false">IF(H186="","",IF(OR(J186="",L186=""),"-",IF(ABS(H186-J186*L186)&gt;Info_Koperasi!$C$10,"SELISIH","OK")))</f>
        <v/>
      </c>
    </row>
    <row r="187" customFormat="false" ht="15" hidden="false" customHeight="false" outlineLevel="0" collapsed="false">
      <c r="A187" s="21"/>
      <c r="B187" s="22"/>
      <c r="C187" s="21"/>
      <c r="D187" s="21"/>
      <c r="E187" s="28"/>
      <c r="F187" s="24"/>
      <c r="G187" s="26"/>
      <c r="H187" s="24"/>
      <c r="I187" s="24"/>
      <c r="J187" s="24"/>
      <c r="K187" s="24"/>
      <c r="L187" s="26"/>
      <c r="M187" s="26"/>
      <c r="N187" s="22"/>
      <c r="O187" s="21"/>
      <c r="P187" s="22"/>
      <c r="Q187" s="29" t="str">
        <f aca="false">IF(C187="","",IF(O187&lt;&gt;"",O187,IFERROR(INDEX(Produk!$J$2:$J$100,MATCH(C187,Produk!$A$2:$A$100,0)),"PRODUK?")))</f>
        <v/>
      </c>
      <c r="R187" s="29" t="str">
        <f aca="false">IF(A187="","",IF(COUNTIF(Anggota!$A$2:$A$2001,A187)=0,"TIDAK ADA","OK"))</f>
        <v/>
      </c>
      <c r="S187" s="29" t="str">
        <f aca="false">IF(H187="","",IF(OR(J187="",L187=""),"-",IF(ABS(H187-J187*L187)&gt;Info_Koperasi!$C$10,"SELISIH","OK")))</f>
        <v/>
      </c>
    </row>
    <row r="188" customFormat="false" ht="15" hidden="false" customHeight="false" outlineLevel="0" collapsed="false">
      <c r="A188" s="21"/>
      <c r="B188" s="22"/>
      <c r="C188" s="21"/>
      <c r="D188" s="21"/>
      <c r="E188" s="28"/>
      <c r="F188" s="24"/>
      <c r="G188" s="26"/>
      <c r="H188" s="24"/>
      <c r="I188" s="24"/>
      <c r="J188" s="24"/>
      <c r="K188" s="24"/>
      <c r="L188" s="26"/>
      <c r="M188" s="26"/>
      <c r="N188" s="22"/>
      <c r="O188" s="21"/>
      <c r="P188" s="22"/>
      <c r="Q188" s="29" t="str">
        <f aca="false">IF(C188="","",IF(O188&lt;&gt;"",O188,IFERROR(INDEX(Produk!$J$2:$J$100,MATCH(C188,Produk!$A$2:$A$100,0)),"PRODUK?")))</f>
        <v/>
      </c>
      <c r="R188" s="29" t="str">
        <f aca="false">IF(A188="","",IF(COUNTIF(Anggota!$A$2:$A$2001,A188)=0,"TIDAK ADA","OK"))</f>
        <v/>
      </c>
      <c r="S188" s="29" t="str">
        <f aca="false">IF(H188="","",IF(OR(J188="",L188=""),"-",IF(ABS(H188-J188*L188)&gt;Info_Koperasi!$C$10,"SELISIH","OK")))</f>
        <v/>
      </c>
    </row>
    <row r="189" customFormat="false" ht="15" hidden="false" customHeight="false" outlineLevel="0" collapsed="false">
      <c r="A189" s="21"/>
      <c r="B189" s="22"/>
      <c r="C189" s="21"/>
      <c r="D189" s="21"/>
      <c r="E189" s="28"/>
      <c r="F189" s="24"/>
      <c r="G189" s="26"/>
      <c r="H189" s="24"/>
      <c r="I189" s="24"/>
      <c r="J189" s="24"/>
      <c r="K189" s="24"/>
      <c r="L189" s="26"/>
      <c r="M189" s="26"/>
      <c r="N189" s="22"/>
      <c r="O189" s="21"/>
      <c r="P189" s="22"/>
      <c r="Q189" s="29" t="str">
        <f aca="false">IF(C189="","",IF(O189&lt;&gt;"",O189,IFERROR(INDEX(Produk!$J$2:$J$100,MATCH(C189,Produk!$A$2:$A$100,0)),"PRODUK?")))</f>
        <v/>
      </c>
      <c r="R189" s="29" t="str">
        <f aca="false">IF(A189="","",IF(COUNTIF(Anggota!$A$2:$A$2001,A189)=0,"TIDAK ADA","OK"))</f>
        <v/>
      </c>
      <c r="S189" s="29" t="str">
        <f aca="false">IF(H189="","",IF(OR(J189="",L189=""),"-",IF(ABS(H189-J189*L189)&gt;Info_Koperasi!$C$10,"SELISIH","OK")))</f>
        <v/>
      </c>
    </row>
    <row r="190" customFormat="false" ht="15" hidden="false" customHeight="false" outlineLevel="0" collapsed="false">
      <c r="A190" s="21"/>
      <c r="B190" s="22"/>
      <c r="C190" s="21"/>
      <c r="D190" s="21"/>
      <c r="E190" s="28"/>
      <c r="F190" s="24"/>
      <c r="G190" s="26"/>
      <c r="H190" s="24"/>
      <c r="I190" s="24"/>
      <c r="J190" s="24"/>
      <c r="K190" s="24"/>
      <c r="L190" s="26"/>
      <c r="M190" s="26"/>
      <c r="N190" s="22"/>
      <c r="O190" s="21"/>
      <c r="P190" s="22"/>
      <c r="Q190" s="29" t="str">
        <f aca="false">IF(C190="","",IF(O190&lt;&gt;"",O190,IFERROR(INDEX(Produk!$J$2:$J$100,MATCH(C190,Produk!$A$2:$A$100,0)),"PRODUK?")))</f>
        <v/>
      </c>
      <c r="R190" s="29" t="str">
        <f aca="false">IF(A190="","",IF(COUNTIF(Anggota!$A$2:$A$2001,A190)=0,"TIDAK ADA","OK"))</f>
        <v/>
      </c>
      <c r="S190" s="29" t="str">
        <f aca="false">IF(H190="","",IF(OR(J190="",L190=""),"-",IF(ABS(H190-J190*L190)&gt;Info_Koperasi!$C$10,"SELISIH","OK")))</f>
        <v/>
      </c>
    </row>
    <row r="191" customFormat="false" ht="15" hidden="false" customHeight="false" outlineLevel="0" collapsed="false">
      <c r="A191" s="21"/>
      <c r="B191" s="22"/>
      <c r="C191" s="21"/>
      <c r="D191" s="21"/>
      <c r="E191" s="28"/>
      <c r="F191" s="24"/>
      <c r="G191" s="26"/>
      <c r="H191" s="24"/>
      <c r="I191" s="24"/>
      <c r="J191" s="24"/>
      <c r="K191" s="24"/>
      <c r="L191" s="26"/>
      <c r="M191" s="26"/>
      <c r="N191" s="22"/>
      <c r="O191" s="21"/>
      <c r="P191" s="22"/>
      <c r="Q191" s="29" t="str">
        <f aca="false">IF(C191="","",IF(O191&lt;&gt;"",O191,IFERROR(INDEX(Produk!$J$2:$J$100,MATCH(C191,Produk!$A$2:$A$100,0)),"PRODUK?")))</f>
        <v/>
      </c>
      <c r="R191" s="29" t="str">
        <f aca="false">IF(A191="","",IF(COUNTIF(Anggota!$A$2:$A$2001,A191)=0,"TIDAK ADA","OK"))</f>
        <v/>
      </c>
      <c r="S191" s="29" t="str">
        <f aca="false">IF(H191="","",IF(OR(J191="",L191=""),"-",IF(ABS(H191-J191*L191)&gt;Info_Koperasi!$C$10,"SELISIH","OK")))</f>
        <v/>
      </c>
    </row>
    <row r="192" customFormat="false" ht="15" hidden="false" customHeight="false" outlineLevel="0" collapsed="false">
      <c r="A192" s="21"/>
      <c r="B192" s="22"/>
      <c r="C192" s="21"/>
      <c r="D192" s="21"/>
      <c r="E192" s="28"/>
      <c r="F192" s="24"/>
      <c r="G192" s="26"/>
      <c r="H192" s="24"/>
      <c r="I192" s="24"/>
      <c r="J192" s="24"/>
      <c r="K192" s="24"/>
      <c r="L192" s="26"/>
      <c r="M192" s="26"/>
      <c r="N192" s="22"/>
      <c r="O192" s="21"/>
      <c r="P192" s="22"/>
      <c r="Q192" s="29" t="str">
        <f aca="false">IF(C192="","",IF(O192&lt;&gt;"",O192,IFERROR(INDEX(Produk!$J$2:$J$100,MATCH(C192,Produk!$A$2:$A$100,0)),"PRODUK?")))</f>
        <v/>
      </c>
      <c r="R192" s="29" t="str">
        <f aca="false">IF(A192="","",IF(COUNTIF(Anggota!$A$2:$A$2001,A192)=0,"TIDAK ADA","OK"))</f>
        <v/>
      </c>
      <c r="S192" s="29" t="str">
        <f aca="false">IF(H192="","",IF(OR(J192="",L192=""),"-",IF(ABS(H192-J192*L192)&gt;Info_Koperasi!$C$10,"SELISIH","OK")))</f>
        <v/>
      </c>
    </row>
    <row r="193" customFormat="false" ht="15" hidden="false" customHeight="false" outlineLevel="0" collapsed="false">
      <c r="A193" s="21"/>
      <c r="B193" s="22"/>
      <c r="C193" s="21"/>
      <c r="D193" s="21"/>
      <c r="E193" s="28"/>
      <c r="F193" s="24"/>
      <c r="G193" s="26"/>
      <c r="H193" s="24"/>
      <c r="I193" s="24"/>
      <c r="J193" s="24"/>
      <c r="K193" s="24"/>
      <c r="L193" s="26"/>
      <c r="M193" s="26"/>
      <c r="N193" s="22"/>
      <c r="O193" s="21"/>
      <c r="P193" s="22"/>
      <c r="Q193" s="29" t="str">
        <f aca="false">IF(C193="","",IF(O193&lt;&gt;"",O193,IFERROR(INDEX(Produk!$J$2:$J$100,MATCH(C193,Produk!$A$2:$A$100,0)),"PRODUK?")))</f>
        <v/>
      </c>
      <c r="R193" s="29" t="str">
        <f aca="false">IF(A193="","",IF(COUNTIF(Anggota!$A$2:$A$2001,A193)=0,"TIDAK ADA","OK"))</f>
        <v/>
      </c>
      <c r="S193" s="29" t="str">
        <f aca="false">IF(H193="","",IF(OR(J193="",L193=""),"-",IF(ABS(H193-J193*L193)&gt;Info_Koperasi!$C$10,"SELISIH","OK")))</f>
        <v/>
      </c>
    </row>
    <row r="194" customFormat="false" ht="15" hidden="false" customHeight="false" outlineLevel="0" collapsed="false">
      <c r="A194" s="21"/>
      <c r="B194" s="22"/>
      <c r="C194" s="21"/>
      <c r="D194" s="21"/>
      <c r="E194" s="28"/>
      <c r="F194" s="24"/>
      <c r="G194" s="26"/>
      <c r="H194" s="24"/>
      <c r="I194" s="24"/>
      <c r="J194" s="24"/>
      <c r="K194" s="24"/>
      <c r="L194" s="26"/>
      <c r="M194" s="26"/>
      <c r="N194" s="22"/>
      <c r="O194" s="21"/>
      <c r="P194" s="22"/>
      <c r="Q194" s="29" t="str">
        <f aca="false">IF(C194="","",IF(O194&lt;&gt;"",O194,IFERROR(INDEX(Produk!$J$2:$J$100,MATCH(C194,Produk!$A$2:$A$100,0)),"PRODUK?")))</f>
        <v/>
      </c>
      <c r="R194" s="29" t="str">
        <f aca="false">IF(A194="","",IF(COUNTIF(Anggota!$A$2:$A$2001,A194)=0,"TIDAK ADA","OK"))</f>
        <v/>
      </c>
      <c r="S194" s="29" t="str">
        <f aca="false">IF(H194="","",IF(OR(J194="",L194=""),"-",IF(ABS(H194-J194*L194)&gt;Info_Koperasi!$C$10,"SELISIH","OK")))</f>
        <v/>
      </c>
    </row>
    <row r="195" customFormat="false" ht="15" hidden="false" customHeight="false" outlineLevel="0" collapsed="false">
      <c r="A195" s="21"/>
      <c r="B195" s="22"/>
      <c r="C195" s="21"/>
      <c r="D195" s="21"/>
      <c r="E195" s="28"/>
      <c r="F195" s="24"/>
      <c r="G195" s="26"/>
      <c r="H195" s="24"/>
      <c r="I195" s="24"/>
      <c r="J195" s="24"/>
      <c r="K195" s="24"/>
      <c r="L195" s="26"/>
      <c r="M195" s="26"/>
      <c r="N195" s="22"/>
      <c r="O195" s="21"/>
      <c r="P195" s="22"/>
      <c r="Q195" s="29" t="str">
        <f aca="false">IF(C195="","",IF(O195&lt;&gt;"",O195,IFERROR(INDEX(Produk!$J$2:$J$100,MATCH(C195,Produk!$A$2:$A$100,0)),"PRODUK?")))</f>
        <v/>
      </c>
      <c r="R195" s="29" t="str">
        <f aca="false">IF(A195="","",IF(COUNTIF(Anggota!$A$2:$A$2001,A195)=0,"TIDAK ADA","OK"))</f>
        <v/>
      </c>
      <c r="S195" s="29" t="str">
        <f aca="false">IF(H195="","",IF(OR(J195="",L195=""),"-",IF(ABS(H195-J195*L195)&gt;Info_Koperasi!$C$10,"SELISIH","OK")))</f>
        <v/>
      </c>
    </row>
    <row r="196" customFormat="false" ht="15" hidden="false" customHeight="false" outlineLevel="0" collapsed="false">
      <c r="A196" s="21"/>
      <c r="B196" s="22"/>
      <c r="C196" s="21"/>
      <c r="D196" s="21"/>
      <c r="E196" s="28"/>
      <c r="F196" s="24"/>
      <c r="G196" s="26"/>
      <c r="H196" s="24"/>
      <c r="I196" s="24"/>
      <c r="J196" s="24"/>
      <c r="K196" s="24"/>
      <c r="L196" s="26"/>
      <c r="M196" s="26"/>
      <c r="N196" s="22"/>
      <c r="O196" s="21"/>
      <c r="P196" s="22"/>
      <c r="Q196" s="29" t="str">
        <f aca="false">IF(C196="","",IF(O196&lt;&gt;"",O196,IFERROR(INDEX(Produk!$J$2:$J$100,MATCH(C196,Produk!$A$2:$A$100,0)),"PRODUK?")))</f>
        <v/>
      </c>
      <c r="R196" s="29" t="str">
        <f aca="false">IF(A196="","",IF(COUNTIF(Anggota!$A$2:$A$2001,A196)=0,"TIDAK ADA","OK"))</f>
        <v/>
      </c>
      <c r="S196" s="29" t="str">
        <f aca="false">IF(H196="","",IF(OR(J196="",L196=""),"-",IF(ABS(H196-J196*L196)&gt;Info_Koperasi!$C$10,"SELISIH","OK")))</f>
        <v/>
      </c>
    </row>
    <row r="197" customFormat="false" ht="15" hidden="false" customHeight="false" outlineLevel="0" collapsed="false">
      <c r="A197" s="21"/>
      <c r="B197" s="22"/>
      <c r="C197" s="21"/>
      <c r="D197" s="21"/>
      <c r="E197" s="28"/>
      <c r="F197" s="24"/>
      <c r="G197" s="26"/>
      <c r="H197" s="24"/>
      <c r="I197" s="24"/>
      <c r="J197" s="24"/>
      <c r="K197" s="24"/>
      <c r="L197" s="26"/>
      <c r="M197" s="26"/>
      <c r="N197" s="22"/>
      <c r="O197" s="21"/>
      <c r="P197" s="22"/>
      <c r="Q197" s="29" t="str">
        <f aca="false">IF(C197="","",IF(O197&lt;&gt;"",O197,IFERROR(INDEX(Produk!$J$2:$J$100,MATCH(C197,Produk!$A$2:$A$100,0)),"PRODUK?")))</f>
        <v/>
      </c>
      <c r="R197" s="29" t="str">
        <f aca="false">IF(A197="","",IF(COUNTIF(Anggota!$A$2:$A$2001,A197)=0,"TIDAK ADA","OK"))</f>
        <v/>
      </c>
      <c r="S197" s="29" t="str">
        <f aca="false">IF(H197="","",IF(OR(J197="",L197=""),"-",IF(ABS(H197-J197*L197)&gt;Info_Koperasi!$C$10,"SELISIH","OK")))</f>
        <v/>
      </c>
    </row>
    <row r="198" customFormat="false" ht="15" hidden="false" customHeight="false" outlineLevel="0" collapsed="false">
      <c r="A198" s="21"/>
      <c r="B198" s="22"/>
      <c r="C198" s="21"/>
      <c r="D198" s="21"/>
      <c r="E198" s="28"/>
      <c r="F198" s="24"/>
      <c r="G198" s="26"/>
      <c r="H198" s="24"/>
      <c r="I198" s="24"/>
      <c r="J198" s="24"/>
      <c r="K198" s="24"/>
      <c r="L198" s="26"/>
      <c r="M198" s="26"/>
      <c r="N198" s="22"/>
      <c r="O198" s="21"/>
      <c r="P198" s="22"/>
      <c r="Q198" s="29" t="str">
        <f aca="false">IF(C198="","",IF(O198&lt;&gt;"",O198,IFERROR(INDEX(Produk!$J$2:$J$100,MATCH(C198,Produk!$A$2:$A$100,0)),"PRODUK?")))</f>
        <v/>
      </c>
      <c r="R198" s="29" t="str">
        <f aca="false">IF(A198="","",IF(COUNTIF(Anggota!$A$2:$A$2001,A198)=0,"TIDAK ADA","OK"))</f>
        <v/>
      </c>
      <c r="S198" s="29" t="str">
        <f aca="false">IF(H198="","",IF(OR(J198="",L198=""),"-",IF(ABS(H198-J198*L198)&gt;Info_Koperasi!$C$10,"SELISIH","OK")))</f>
        <v/>
      </c>
    </row>
    <row r="199" customFormat="false" ht="15" hidden="false" customHeight="false" outlineLevel="0" collapsed="false">
      <c r="A199" s="21"/>
      <c r="B199" s="22"/>
      <c r="C199" s="21"/>
      <c r="D199" s="21"/>
      <c r="E199" s="28"/>
      <c r="F199" s="24"/>
      <c r="G199" s="26"/>
      <c r="H199" s="24"/>
      <c r="I199" s="24"/>
      <c r="J199" s="24"/>
      <c r="K199" s="24"/>
      <c r="L199" s="26"/>
      <c r="M199" s="26"/>
      <c r="N199" s="22"/>
      <c r="O199" s="21"/>
      <c r="P199" s="22"/>
      <c r="Q199" s="29" t="str">
        <f aca="false">IF(C199="","",IF(O199&lt;&gt;"",O199,IFERROR(INDEX(Produk!$J$2:$J$100,MATCH(C199,Produk!$A$2:$A$100,0)),"PRODUK?")))</f>
        <v/>
      </c>
      <c r="R199" s="29" t="str">
        <f aca="false">IF(A199="","",IF(COUNTIF(Anggota!$A$2:$A$2001,A199)=0,"TIDAK ADA","OK"))</f>
        <v/>
      </c>
      <c r="S199" s="29" t="str">
        <f aca="false">IF(H199="","",IF(OR(J199="",L199=""),"-",IF(ABS(H199-J199*L199)&gt;Info_Koperasi!$C$10,"SELISIH","OK")))</f>
        <v/>
      </c>
    </row>
    <row r="200" customFormat="false" ht="15" hidden="false" customHeight="false" outlineLevel="0" collapsed="false">
      <c r="A200" s="21"/>
      <c r="B200" s="22"/>
      <c r="C200" s="21"/>
      <c r="D200" s="21"/>
      <c r="E200" s="28"/>
      <c r="F200" s="24"/>
      <c r="G200" s="26"/>
      <c r="H200" s="24"/>
      <c r="I200" s="24"/>
      <c r="J200" s="24"/>
      <c r="K200" s="24"/>
      <c r="L200" s="26"/>
      <c r="M200" s="26"/>
      <c r="N200" s="22"/>
      <c r="O200" s="21"/>
      <c r="P200" s="22"/>
      <c r="Q200" s="29" t="str">
        <f aca="false">IF(C200="","",IF(O200&lt;&gt;"",O200,IFERROR(INDEX(Produk!$J$2:$J$100,MATCH(C200,Produk!$A$2:$A$100,0)),"PRODUK?")))</f>
        <v/>
      </c>
      <c r="R200" s="29" t="str">
        <f aca="false">IF(A200="","",IF(COUNTIF(Anggota!$A$2:$A$2001,A200)=0,"TIDAK ADA","OK"))</f>
        <v/>
      </c>
      <c r="S200" s="29" t="str">
        <f aca="false">IF(H200="","",IF(OR(J200="",L200=""),"-",IF(ABS(H200-J200*L200)&gt;Info_Koperasi!$C$10,"SELISIH","OK")))</f>
        <v/>
      </c>
    </row>
    <row r="201" customFormat="false" ht="15" hidden="false" customHeight="false" outlineLevel="0" collapsed="false">
      <c r="A201" s="21"/>
      <c r="B201" s="22"/>
      <c r="C201" s="21"/>
      <c r="D201" s="21"/>
      <c r="E201" s="28"/>
      <c r="F201" s="24"/>
      <c r="G201" s="26"/>
      <c r="H201" s="24"/>
      <c r="I201" s="24"/>
      <c r="J201" s="24"/>
      <c r="K201" s="24"/>
      <c r="L201" s="26"/>
      <c r="M201" s="26"/>
      <c r="N201" s="22"/>
      <c r="O201" s="21"/>
      <c r="P201" s="22"/>
      <c r="Q201" s="29" t="str">
        <f aca="false">IF(C201="","",IF(O201&lt;&gt;"",O201,IFERROR(INDEX(Produk!$J$2:$J$100,MATCH(C201,Produk!$A$2:$A$100,0)),"PRODUK?")))</f>
        <v/>
      </c>
      <c r="R201" s="29" t="str">
        <f aca="false">IF(A201="","",IF(COUNTIF(Anggota!$A$2:$A$2001,A201)=0,"TIDAK ADA","OK"))</f>
        <v/>
      </c>
      <c r="S201" s="29" t="str">
        <f aca="false">IF(H201="","",IF(OR(J201="",L201=""),"-",IF(ABS(H201-J201*L201)&gt;Info_Koperasi!$C$10,"SELISIH","OK")))</f>
        <v/>
      </c>
    </row>
    <row r="202" customFormat="false" ht="15" hidden="false" customHeight="false" outlineLevel="0" collapsed="false">
      <c r="A202" s="21"/>
      <c r="B202" s="22"/>
      <c r="C202" s="21"/>
      <c r="D202" s="21"/>
      <c r="E202" s="28"/>
      <c r="F202" s="24"/>
      <c r="G202" s="26"/>
      <c r="H202" s="24"/>
      <c r="I202" s="24"/>
      <c r="J202" s="24"/>
      <c r="K202" s="24"/>
      <c r="L202" s="26"/>
      <c r="M202" s="26"/>
      <c r="N202" s="22"/>
      <c r="O202" s="21"/>
      <c r="P202" s="22"/>
      <c r="Q202" s="29" t="str">
        <f aca="false">IF(C202="","",IF(O202&lt;&gt;"",O202,IFERROR(INDEX(Produk!$J$2:$J$100,MATCH(C202,Produk!$A$2:$A$100,0)),"PRODUK?")))</f>
        <v/>
      </c>
      <c r="R202" s="29" t="str">
        <f aca="false">IF(A202="","",IF(COUNTIF(Anggota!$A$2:$A$2001,A202)=0,"TIDAK ADA","OK"))</f>
        <v/>
      </c>
      <c r="S202" s="29" t="str">
        <f aca="false">IF(H202="","",IF(OR(J202="",L202=""),"-",IF(ABS(H202-J202*L202)&gt;Info_Koperasi!$C$10,"SELISIH","OK")))</f>
        <v/>
      </c>
    </row>
    <row r="203" customFormat="false" ht="15" hidden="false" customHeight="false" outlineLevel="0" collapsed="false">
      <c r="A203" s="21"/>
      <c r="B203" s="22"/>
      <c r="C203" s="21"/>
      <c r="D203" s="21"/>
      <c r="E203" s="28"/>
      <c r="F203" s="24"/>
      <c r="G203" s="26"/>
      <c r="H203" s="24"/>
      <c r="I203" s="24"/>
      <c r="J203" s="24"/>
      <c r="K203" s="24"/>
      <c r="L203" s="26"/>
      <c r="M203" s="26"/>
      <c r="N203" s="22"/>
      <c r="O203" s="21"/>
      <c r="P203" s="22"/>
      <c r="Q203" s="29" t="str">
        <f aca="false">IF(C203="","",IF(O203&lt;&gt;"",O203,IFERROR(INDEX(Produk!$J$2:$J$100,MATCH(C203,Produk!$A$2:$A$100,0)),"PRODUK?")))</f>
        <v/>
      </c>
      <c r="R203" s="29" t="str">
        <f aca="false">IF(A203="","",IF(COUNTIF(Anggota!$A$2:$A$2001,A203)=0,"TIDAK ADA","OK"))</f>
        <v/>
      </c>
      <c r="S203" s="29" t="str">
        <f aca="false">IF(H203="","",IF(OR(J203="",L203=""),"-",IF(ABS(H203-J203*L203)&gt;Info_Koperasi!$C$10,"SELISIH","OK")))</f>
        <v/>
      </c>
    </row>
    <row r="204" customFormat="false" ht="15" hidden="false" customHeight="false" outlineLevel="0" collapsed="false">
      <c r="A204" s="21"/>
      <c r="B204" s="22"/>
      <c r="C204" s="21"/>
      <c r="D204" s="21"/>
      <c r="E204" s="28"/>
      <c r="F204" s="24"/>
      <c r="G204" s="26"/>
      <c r="H204" s="24"/>
      <c r="I204" s="24"/>
      <c r="J204" s="24"/>
      <c r="K204" s="24"/>
      <c r="L204" s="26"/>
      <c r="M204" s="26"/>
      <c r="N204" s="22"/>
      <c r="O204" s="21"/>
      <c r="P204" s="22"/>
      <c r="Q204" s="29" t="str">
        <f aca="false">IF(C204="","",IF(O204&lt;&gt;"",O204,IFERROR(INDEX(Produk!$J$2:$J$100,MATCH(C204,Produk!$A$2:$A$100,0)),"PRODUK?")))</f>
        <v/>
      </c>
      <c r="R204" s="29" t="str">
        <f aca="false">IF(A204="","",IF(COUNTIF(Anggota!$A$2:$A$2001,A204)=0,"TIDAK ADA","OK"))</f>
        <v/>
      </c>
      <c r="S204" s="29" t="str">
        <f aca="false">IF(H204="","",IF(OR(J204="",L204=""),"-",IF(ABS(H204-J204*L204)&gt;Info_Koperasi!$C$10,"SELISIH","OK")))</f>
        <v/>
      </c>
    </row>
    <row r="205" customFormat="false" ht="15" hidden="false" customHeight="false" outlineLevel="0" collapsed="false">
      <c r="A205" s="21"/>
      <c r="B205" s="22"/>
      <c r="C205" s="21"/>
      <c r="D205" s="21"/>
      <c r="E205" s="28"/>
      <c r="F205" s="24"/>
      <c r="G205" s="26"/>
      <c r="H205" s="24"/>
      <c r="I205" s="24"/>
      <c r="J205" s="24"/>
      <c r="K205" s="24"/>
      <c r="L205" s="26"/>
      <c r="M205" s="26"/>
      <c r="N205" s="22"/>
      <c r="O205" s="21"/>
      <c r="P205" s="22"/>
      <c r="Q205" s="29" t="str">
        <f aca="false">IF(C205="","",IF(O205&lt;&gt;"",O205,IFERROR(INDEX(Produk!$J$2:$J$100,MATCH(C205,Produk!$A$2:$A$100,0)),"PRODUK?")))</f>
        <v/>
      </c>
      <c r="R205" s="29" t="str">
        <f aca="false">IF(A205="","",IF(COUNTIF(Anggota!$A$2:$A$2001,A205)=0,"TIDAK ADA","OK"))</f>
        <v/>
      </c>
      <c r="S205" s="29" t="str">
        <f aca="false">IF(H205="","",IF(OR(J205="",L205=""),"-",IF(ABS(H205-J205*L205)&gt;Info_Koperasi!$C$10,"SELISIH","OK")))</f>
        <v/>
      </c>
    </row>
    <row r="206" customFormat="false" ht="15" hidden="false" customHeight="false" outlineLevel="0" collapsed="false">
      <c r="A206" s="21"/>
      <c r="B206" s="22"/>
      <c r="C206" s="21"/>
      <c r="D206" s="21"/>
      <c r="E206" s="28"/>
      <c r="F206" s="24"/>
      <c r="G206" s="26"/>
      <c r="H206" s="24"/>
      <c r="I206" s="24"/>
      <c r="J206" s="24"/>
      <c r="K206" s="24"/>
      <c r="L206" s="26"/>
      <c r="M206" s="26"/>
      <c r="N206" s="22"/>
      <c r="O206" s="21"/>
      <c r="P206" s="22"/>
      <c r="Q206" s="29" t="str">
        <f aca="false">IF(C206="","",IF(O206&lt;&gt;"",O206,IFERROR(INDEX(Produk!$J$2:$J$100,MATCH(C206,Produk!$A$2:$A$100,0)),"PRODUK?")))</f>
        <v/>
      </c>
      <c r="R206" s="29" t="str">
        <f aca="false">IF(A206="","",IF(COUNTIF(Anggota!$A$2:$A$2001,A206)=0,"TIDAK ADA","OK"))</f>
        <v/>
      </c>
      <c r="S206" s="29" t="str">
        <f aca="false">IF(H206="","",IF(OR(J206="",L206=""),"-",IF(ABS(H206-J206*L206)&gt;Info_Koperasi!$C$10,"SELISIH","OK")))</f>
        <v/>
      </c>
    </row>
    <row r="207" customFormat="false" ht="15" hidden="false" customHeight="false" outlineLevel="0" collapsed="false">
      <c r="A207" s="21"/>
      <c r="B207" s="22"/>
      <c r="C207" s="21"/>
      <c r="D207" s="21"/>
      <c r="E207" s="28"/>
      <c r="F207" s="24"/>
      <c r="G207" s="26"/>
      <c r="H207" s="24"/>
      <c r="I207" s="24"/>
      <c r="J207" s="24"/>
      <c r="K207" s="24"/>
      <c r="L207" s="26"/>
      <c r="M207" s="26"/>
      <c r="N207" s="22"/>
      <c r="O207" s="21"/>
      <c r="P207" s="22"/>
      <c r="Q207" s="29" t="str">
        <f aca="false">IF(C207="","",IF(O207&lt;&gt;"",O207,IFERROR(INDEX(Produk!$J$2:$J$100,MATCH(C207,Produk!$A$2:$A$100,0)),"PRODUK?")))</f>
        <v/>
      </c>
      <c r="R207" s="29" t="str">
        <f aca="false">IF(A207="","",IF(COUNTIF(Anggota!$A$2:$A$2001,A207)=0,"TIDAK ADA","OK"))</f>
        <v/>
      </c>
      <c r="S207" s="29" t="str">
        <f aca="false">IF(H207="","",IF(OR(J207="",L207=""),"-",IF(ABS(H207-J207*L207)&gt;Info_Koperasi!$C$10,"SELISIH","OK")))</f>
        <v/>
      </c>
    </row>
    <row r="208" customFormat="false" ht="15" hidden="false" customHeight="false" outlineLevel="0" collapsed="false">
      <c r="A208" s="21"/>
      <c r="B208" s="22"/>
      <c r="C208" s="21"/>
      <c r="D208" s="21"/>
      <c r="E208" s="28"/>
      <c r="F208" s="24"/>
      <c r="G208" s="26"/>
      <c r="H208" s="24"/>
      <c r="I208" s="24"/>
      <c r="J208" s="24"/>
      <c r="K208" s="24"/>
      <c r="L208" s="26"/>
      <c r="M208" s="26"/>
      <c r="N208" s="22"/>
      <c r="O208" s="21"/>
      <c r="P208" s="22"/>
      <c r="Q208" s="29" t="str">
        <f aca="false">IF(C208="","",IF(O208&lt;&gt;"",O208,IFERROR(INDEX(Produk!$J$2:$J$100,MATCH(C208,Produk!$A$2:$A$100,0)),"PRODUK?")))</f>
        <v/>
      </c>
      <c r="R208" s="29" t="str">
        <f aca="false">IF(A208="","",IF(COUNTIF(Anggota!$A$2:$A$2001,A208)=0,"TIDAK ADA","OK"))</f>
        <v/>
      </c>
      <c r="S208" s="29" t="str">
        <f aca="false">IF(H208="","",IF(OR(J208="",L208=""),"-",IF(ABS(H208-J208*L208)&gt;Info_Koperasi!$C$10,"SELISIH","OK")))</f>
        <v/>
      </c>
    </row>
    <row r="209" customFormat="false" ht="15" hidden="false" customHeight="false" outlineLevel="0" collapsed="false">
      <c r="A209" s="21"/>
      <c r="B209" s="22"/>
      <c r="C209" s="21"/>
      <c r="D209" s="21"/>
      <c r="E209" s="28"/>
      <c r="F209" s="24"/>
      <c r="G209" s="26"/>
      <c r="H209" s="24"/>
      <c r="I209" s="24"/>
      <c r="J209" s="24"/>
      <c r="K209" s="24"/>
      <c r="L209" s="26"/>
      <c r="M209" s="26"/>
      <c r="N209" s="22"/>
      <c r="O209" s="21"/>
      <c r="P209" s="22"/>
      <c r="Q209" s="29" t="str">
        <f aca="false">IF(C209="","",IF(O209&lt;&gt;"",O209,IFERROR(INDEX(Produk!$J$2:$J$100,MATCH(C209,Produk!$A$2:$A$100,0)),"PRODUK?")))</f>
        <v/>
      </c>
      <c r="R209" s="29" t="str">
        <f aca="false">IF(A209="","",IF(COUNTIF(Anggota!$A$2:$A$2001,A209)=0,"TIDAK ADA","OK"))</f>
        <v/>
      </c>
      <c r="S209" s="29" t="str">
        <f aca="false">IF(H209="","",IF(OR(J209="",L209=""),"-",IF(ABS(H209-J209*L209)&gt;Info_Koperasi!$C$10,"SELISIH","OK")))</f>
        <v/>
      </c>
    </row>
    <row r="210" customFormat="false" ht="15" hidden="false" customHeight="false" outlineLevel="0" collapsed="false">
      <c r="A210" s="21"/>
      <c r="B210" s="22"/>
      <c r="C210" s="21"/>
      <c r="D210" s="21"/>
      <c r="E210" s="28"/>
      <c r="F210" s="24"/>
      <c r="G210" s="26"/>
      <c r="H210" s="24"/>
      <c r="I210" s="24"/>
      <c r="J210" s="24"/>
      <c r="K210" s="24"/>
      <c r="L210" s="26"/>
      <c r="M210" s="26"/>
      <c r="N210" s="22"/>
      <c r="O210" s="21"/>
      <c r="P210" s="22"/>
      <c r="Q210" s="29" t="str">
        <f aca="false">IF(C210="","",IF(O210&lt;&gt;"",O210,IFERROR(INDEX(Produk!$J$2:$J$100,MATCH(C210,Produk!$A$2:$A$100,0)),"PRODUK?")))</f>
        <v/>
      </c>
      <c r="R210" s="29" t="str">
        <f aca="false">IF(A210="","",IF(COUNTIF(Anggota!$A$2:$A$2001,A210)=0,"TIDAK ADA","OK"))</f>
        <v/>
      </c>
      <c r="S210" s="29" t="str">
        <f aca="false">IF(H210="","",IF(OR(J210="",L210=""),"-",IF(ABS(H210-J210*L210)&gt;Info_Koperasi!$C$10,"SELISIH","OK")))</f>
        <v/>
      </c>
    </row>
    <row r="211" customFormat="false" ht="15" hidden="false" customHeight="false" outlineLevel="0" collapsed="false">
      <c r="A211" s="21"/>
      <c r="B211" s="22"/>
      <c r="C211" s="21"/>
      <c r="D211" s="21"/>
      <c r="E211" s="28"/>
      <c r="F211" s="24"/>
      <c r="G211" s="26"/>
      <c r="H211" s="24"/>
      <c r="I211" s="24"/>
      <c r="J211" s="24"/>
      <c r="K211" s="24"/>
      <c r="L211" s="26"/>
      <c r="M211" s="26"/>
      <c r="N211" s="22"/>
      <c r="O211" s="21"/>
      <c r="P211" s="22"/>
      <c r="Q211" s="29" t="str">
        <f aca="false">IF(C211="","",IF(O211&lt;&gt;"",O211,IFERROR(INDEX(Produk!$J$2:$J$100,MATCH(C211,Produk!$A$2:$A$100,0)),"PRODUK?")))</f>
        <v/>
      </c>
      <c r="R211" s="29" t="str">
        <f aca="false">IF(A211="","",IF(COUNTIF(Anggota!$A$2:$A$2001,A211)=0,"TIDAK ADA","OK"))</f>
        <v/>
      </c>
      <c r="S211" s="29" t="str">
        <f aca="false">IF(H211="","",IF(OR(J211="",L211=""),"-",IF(ABS(H211-J211*L211)&gt;Info_Koperasi!$C$10,"SELISIH","OK")))</f>
        <v/>
      </c>
    </row>
    <row r="212" customFormat="false" ht="15" hidden="false" customHeight="false" outlineLevel="0" collapsed="false">
      <c r="A212" s="21"/>
      <c r="B212" s="22"/>
      <c r="C212" s="21"/>
      <c r="D212" s="21"/>
      <c r="E212" s="28"/>
      <c r="F212" s="24"/>
      <c r="G212" s="26"/>
      <c r="H212" s="24"/>
      <c r="I212" s="24"/>
      <c r="J212" s="24"/>
      <c r="K212" s="24"/>
      <c r="L212" s="26"/>
      <c r="M212" s="26"/>
      <c r="N212" s="22"/>
      <c r="O212" s="21"/>
      <c r="P212" s="22"/>
      <c r="Q212" s="29" t="str">
        <f aca="false">IF(C212="","",IF(O212&lt;&gt;"",O212,IFERROR(INDEX(Produk!$J$2:$J$100,MATCH(C212,Produk!$A$2:$A$100,0)),"PRODUK?")))</f>
        <v/>
      </c>
      <c r="R212" s="29" t="str">
        <f aca="false">IF(A212="","",IF(COUNTIF(Anggota!$A$2:$A$2001,A212)=0,"TIDAK ADA","OK"))</f>
        <v/>
      </c>
      <c r="S212" s="29" t="str">
        <f aca="false">IF(H212="","",IF(OR(J212="",L212=""),"-",IF(ABS(H212-J212*L212)&gt;Info_Koperasi!$C$10,"SELISIH","OK")))</f>
        <v/>
      </c>
    </row>
    <row r="213" customFormat="false" ht="15" hidden="false" customHeight="false" outlineLevel="0" collapsed="false">
      <c r="A213" s="21"/>
      <c r="B213" s="22"/>
      <c r="C213" s="21"/>
      <c r="D213" s="21"/>
      <c r="E213" s="28"/>
      <c r="F213" s="24"/>
      <c r="G213" s="26"/>
      <c r="H213" s="24"/>
      <c r="I213" s="24"/>
      <c r="J213" s="24"/>
      <c r="K213" s="24"/>
      <c r="L213" s="26"/>
      <c r="M213" s="26"/>
      <c r="N213" s="22"/>
      <c r="O213" s="21"/>
      <c r="P213" s="22"/>
      <c r="Q213" s="29" t="str">
        <f aca="false">IF(C213="","",IF(O213&lt;&gt;"",O213,IFERROR(INDEX(Produk!$J$2:$J$100,MATCH(C213,Produk!$A$2:$A$100,0)),"PRODUK?")))</f>
        <v/>
      </c>
      <c r="R213" s="29" t="str">
        <f aca="false">IF(A213="","",IF(COUNTIF(Anggota!$A$2:$A$2001,A213)=0,"TIDAK ADA","OK"))</f>
        <v/>
      </c>
      <c r="S213" s="29" t="str">
        <f aca="false">IF(H213="","",IF(OR(J213="",L213=""),"-",IF(ABS(H213-J213*L213)&gt;Info_Koperasi!$C$10,"SELISIH","OK")))</f>
        <v/>
      </c>
    </row>
    <row r="214" customFormat="false" ht="15" hidden="false" customHeight="false" outlineLevel="0" collapsed="false">
      <c r="A214" s="21"/>
      <c r="B214" s="22"/>
      <c r="C214" s="21"/>
      <c r="D214" s="21"/>
      <c r="E214" s="28"/>
      <c r="F214" s="24"/>
      <c r="G214" s="26"/>
      <c r="H214" s="24"/>
      <c r="I214" s="24"/>
      <c r="J214" s="24"/>
      <c r="K214" s="24"/>
      <c r="L214" s="26"/>
      <c r="M214" s="26"/>
      <c r="N214" s="22"/>
      <c r="O214" s="21"/>
      <c r="P214" s="22"/>
      <c r="Q214" s="29" t="str">
        <f aca="false">IF(C214="","",IF(O214&lt;&gt;"",O214,IFERROR(INDEX(Produk!$J$2:$J$100,MATCH(C214,Produk!$A$2:$A$100,0)),"PRODUK?")))</f>
        <v/>
      </c>
      <c r="R214" s="29" t="str">
        <f aca="false">IF(A214="","",IF(COUNTIF(Anggota!$A$2:$A$2001,A214)=0,"TIDAK ADA","OK"))</f>
        <v/>
      </c>
      <c r="S214" s="29" t="str">
        <f aca="false">IF(H214="","",IF(OR(J214="",L214=""),"-",IF(ABS(H214-J214*L214)&gt;Info_Koperasi!$C$10,"SELISIH","OK")))</f>
        <v/>
      </c>
    </row>
    <row r="215" customFormat="false" ht="15" hidden="false" customHeight="false" outlineLevel="0" collapsed="false">
      <c r="A215" s="21"/>
      <c r="B215" s="22"/>
      <c r="C215" s="21"/>
      <c r="D215" s="21"/>
      <c r="E215" s="28"/>
      <c r="F215" s="24"/>
      <c r="G215" s="26"/>
      <c r="H215" s="24"/>
      <c r="I215" s="24"/>
      <c r="J215" s="24"/>
      <c r="K215" s="24"/>
      <c r="L215" s="26"/>
      <c r="M215" s="26"/>
      <c r="N215" s="22"/>
      <c r="O215" s="21"/>
      <c r="P215" s="22"/>
      <c r="Q215" s="29" t="str">
        <f aca="false">IF(C215="","",IF(O215&lt;&gt;"",O215,IFERROR(INDEX(Produk!$J$2:$J$100,MATCH(C215,Produk!$A$2:$A$100,0)),"PRODUK?")))</f>
        <v/>
      </c>
      <c r="R215" s="29" t="str">
        <f aca="false">IF(A215="","",IF(COUNTIF(Anggota!$A$2:$A$2001,A215)=0,"TIDAK ADA","OK"))</f>
        <v/>
      </c>
      <c r="S215" s="29" t="str">
        <f aca="false">IF(H215="","",IF(OR(J215="",L215=""),"-",IF(ABS(H215-J215*L215)&gt;Info_Koperasi!$C$10,"SELISIH","OK")))</f>
        <v/>
      </c>
    </row>
    <row r="216" customFormat="false" ht="15" hidden="false" customHeight="false" outlineLevel="0" collapsed="false">
      <c r="A216" s="21"/>
      <c r="B216" s="22"/>
      <c r="C216" s="21"/>
      <c r="D216" s="21"/>
      <c r="E216" s="28"/>
      <c r="F216" s="24"/>
      <c r="G216" s="26"/>
      <c r="H216" s="24"/>
      <c r="I216" s="24"/>
      <c r="J216" s="24"/>
      <c r="K216" s="24"/>
      <c r="L216" s="26"/>
      <c r="M216" s="26"/>
      <c r="N216" s="22"/>
      <c r="O216" s="21"/>
      <c r="P216" s="22"/>
      <c r="Q216" s="29" t="str">
        <f aca="false">IF(C216="","",IF(O216&lt;&gt;"",O216,IFERROR(INDEX(Produk!$J$2:$J$100,MATCH(C216,Produk!$A$2:$A$100,0)),"PRODUK?")))</f>
        <v/>
      </c>
      <c r="R216" s="29" t="str">
        <f aca="false">IF(A216="","",IF(COUNTIF(Anggota!$A$2:$A$2001,A216)=0,"TIDAK ADA","OK"))</f>
        <v/>
      </c>
      <c r="S216" s="29" t="str">
        <f aca="false">IF(H216="","",IF(OR(J216="",L216=""),"-",IF(ABS(H216-J216*L216)&gt;Info_Koperasi!$C$10,"SELISIH","OK")))</f>
        <v/>
      </c>
    </row>
    <row r="217" customFormat="false" ht="15" hidden="false" customHeight="false" outlineLevel="0" collapsed="false">
      <c r="A217" s="21"/>
      <c r="B217" s="22"/>
      <c r="C217" s="21"/>
      <c r="D217" s="21"/>
      <c r="E217" s="28"/>
      <c r="F217" s="24"/>
      <c r="G217" s="26"/>
      <c r="H217" s="24"/>
      <c r="I217" s="24"/>
      <c r="J217" s="24"/>
      <c r="K217" s="24"/>
      <c r="L217" s="26"/>
      <c r="M217" s="26"/>
      <c r="N217" s="22"/>
      <c r="O217" s="21"/>
      <c r="P217" s="22"/>
      <c r="Q217" s="29" t="str">
        <f aca="false">IF(C217="","",IF(O217&lt;&gt;"",O217,IFERROR(INDEX(Produk!$J$2:$J$100,MATCH(C217,Produk!$A$2:$A$100,0)),"PRODUK?")))</f>
        <v/>
      </c>
      <c r="R217" s="29" t="str">
        <f aca="false">IF(A217="","",IF(COUNTIF(Anggota!$A$2:$A$2001,A217)=0,"TIDAK ADA","OK"))</f>
        <v/>
      </c>
      <c r="S217" s="29" t="str">
        <f aca="false">IF(H217="","",IF(OR(J217="",L217=""),"-",IF(ABS(H217-J217*L217)&gt;Info_Koperasi!$C$10,"SELISIH","OK")))</f>
        <v/>
      </c>
    </row>
    <row r="218" customFormat="false" ht="15" hidden="false" customHeight="false" outlineLevel="0" collapsed="false">
      <c r="A218" s="21"/>
      <c r="B218" s="22"/>
      <c r="C218" s="21"/>
      <c r="D218" s="21"/>
      <c r="E218" s="28"/>
      <c r="F218" s="24"/>
      <c r="G218" s="26"/>
      <c r="H218" s="24"/>
      <c r="I218" s="24"/>
      <c r="J218" s="24"/>
      <c r="K218" s="24"/>
      <c r="L218" s="26"/>
      <c r="M218" s="26"/>
      <c r="N218" s="22"/>
      <c r="O218" s="21"/>
      <c r="P218" s="22"/>
      <c r="Q218" s="29" t="str">
        <f aca="false">IF(C218="","",IF(O218&lt;&gt;"",O218,IFERROR(INDEX(Produk!$J$2:$J$100,MATCH(C218,Produk!$A$2:$A$100,0)),"PRODUK?")))</f>
        <v/>
      </c>
      <c r="R218" s="29" t="str">
        <f aca="false">IF(A218="","",IF(COUNTIF(Anggota!$A$2:$A$2001,A218)=0,"TIDAK ADA","OK"))</f>
        <v/>
      </c>
      <c r="S218" s="29" t="str">
        <f aca="false">IF(H218="","",IF(OR(J218="",L218=""),"-",IF(ABS(H218-J218*L218)&gt;Info_Koperasi!$C$10,"SELISIH","OK")))</f>
        <v/>
      </c>
    </row>
    <row r="219" customFormat="false" ht="15" hidden="false" customHeight="false" outlineLevel="0" collapsed="false">
      <c r="A219" s="21"/>
      <c r="B219" s="22"/>
      <c r="C219" s="21"/>
      <c r="D219" s="21"/>
      <c r="E219" s="28"/>
      <c r="F219" s="24"/>
      <c r="G219" s="26"/>
      <c r="H219" s="24"/>
      <c r="I219" s="24"/>
      <c r="J219" s="24"/>
      <c r="K219" s="24"/>
      <c r="L219" s="26"/>
      <c r="M219" s="26"/>
      <c r="N219" s="22"/>
      <c r="O219" s="21"/>
      <c r="P219" s="22"/>
      <c r="Q219" s="29" t="str">
        <f aca="false">IF(C219="","",IF(O219&lt;&gt;"",O219,IFERROR(INDEX(Produk!$J$2:$J$100,MATCH(C219,Produk!$A$2:$A$100,0)),"PRODUK?")))</f>
        <v/>
      </c>
      <c r="R219" s="29" t="str">
        <f aca="false">IF(A219="","",IF(COUNTIF(Anggota!$A$2:$A$2001,A219)=0,"TIDAK ADA","OK"))</f>
        <v/>
      </c>
      <c r="S219" s="29" t="str">
        <f aca="false">IF(H219="","",IF(OR(J219="",L219=""),"-",IF(ABS(H219-J219*L219)&gt;Info_Koperasi!$C$10,"SELISIH","OK")))</f>
        <v/>
      </c>
    </row>
    <row r="220" customFormat="false" ht="15" hidden="false" customHeight="false" outlineLevel="0" collapsed="false">
      <c r="A220" s="21"/>
      <c r="B220" s="22"/>
      <c r="C220" s="21"/>
      <c r="D220" s="21"/>
      <c r="E220" s="28"/>
      <c r="F220" s="24"/>
      <c r="G220" s="26"/>
      <c r="H220" s="24"/>
      <c r="I220" s="24"/>
      <c r="J220" s="24"/>
      <c r="K220" s="24"/>
      <c r="L220" s="26"/>
      <c r="M220" s="26"/>
      <c r="N220" s="22"/>
      <c r="O220" s="21"/>
      <c r="P220" s="22"/>
      <c r="Q220" s="29" t="str">
        <f aca="false">IF(C220="","",IF(O220&lt;&gt;"",O220,IFERROR(INDEX(Produk!$J$2:$J$100,MATCH(C220,Produk!$A$2:$A$100,0)),"PRODUK?")))</f>
        <v/>
      </c>
      <c r="R220" s="29" t="str">
        <f aca="false">IF(A220="","",IF(COUNTIF(Anggota!$A$2:$A$2001,A220)=0,"TIDAK ADA","OK"))</f>
        <v/>
      </c>
      <c r="S220" s="29" t="str">
        <f aca="false">IF(H220="","",IF(OR(J220="",L220=""),"-",IF(ABS(H220-J220*L220)&gt;Info_Koperasi!$C$10,"SELISIH","OK")))</f>
        <v/>
      </c>
    </row>
    <row r="221" customFormat="false" ht="15" hidden="false" customHeight="false" outlineLevel="0" collapsed="false">
      <c r="A221" s="21"/>
      <c r="B221" s="22"/>
      <c r="C221" s="21"/>
      <c r="D221" s="21"/>
      <c r="E221" s="28"/>
      <c r="F221" s="24"/>
      <c r="G221" s="26"/>
      <c r="H221" s="24"/>
      <c r="I221" s="24"/>
      <c r="J221" s="24"/>
      <c r="K221" s="24"/>
      <c r="L221" s="26"/>
      <c r="M221" s="26"/>
      <c r="N221" s="22"/>
      <c r="O221" s="21"/>
      <c r="P221" s="22"/>
      <c r="Q221" s="29" t="str">
        <f aca="false">IF(C221="","",IF(O221&lt;&gt;"",O221,IFERROR(INDEX(Produk!$J$2:$J$100,MATCH(C221,Produk!$A$2:$A$100,0)),"PRODUK?")))</f>
        <v/>
      </c>
      <c r="R221" s="29" t="str">
        <f aca="false">IF(A221="","",IF(COUNTIF(Anggota!$A$2:$A$2001,A221)=0,"TIDAK ADA","OK"))</f>
        <v/>
      </c>
      <c r="S221" s="29" t="str">
        <f aca="false">IF(H221="","",IF(OR(J221="",L221=""),"-",IF(ABS(H221-J221*L221)&gt;Info_Koperasi!$C$10,"SELISIH","OK")))</f>
        <v/>
      </c>
    </row>
    <row r="222" customFormat="false" ht="15" hidden="false" customHeight="false" outlineLevel="0" collapsed="false">
      <c r="A222" s="21"/>
      <c r="B222" s="22"/>
      <c r="C222" s="21"/>
      <c r="D222" s="21"/>
      <c r="E222" s="28"/>
      <c r="F222" s="24"/>
      <c r="G222" s="26"/>
      <c r="H222" s="24"/>
      <c r="I222" s="24"/>
      <c r="J222" s="24"/>
      <c r="K222" s="24"/>
      <c r="L222" s="26"/>
      <c r="M222" s="26"/>
      <c r="N222" s="22"/>
      <c r="O222" s="21"/>
      <c r="P222" s="22"/>
      <c r="Q222" s="29" t="str">
        <f aca="false">IF(C222="","",IF(O222&lt;&gt;"",O222,IFERROR(INDEX(Produk!$J$2:$J$100,MATCH(C222,Produk!$A$2:$A$100,0)),"PRODUK?")))</f>
        <v/>
      </c>
      <c r="R222" s="29" t="str">
        <f aca="false">IF(A222="","",IF(COUNTIF(Anggota!$A$2:$A$2001,A222)=0,"TIDAK ADA","OK"))</f>
        <v/>
      </c>
      <c r="S222" s="29" t="str">
        <f aca="false">IF(H222="","",IF(OR(J222="",L222=""),"-",IF(ABS(H222-J222*L222)&gt;Info_Koperasi!$C$10,"SELISIH","OK")))</f>
        <v/>
      </c>
    </row>
    <row r="223" customFormat="false" ht="15" hidden="false" customHeight="false" outlineLevel="0" collapsed="false">
      <c r="A223" s="21"/>
      <c r="B223" s="22"/>
      <c r="C223" s="21"/>
      <c r="D223" s="21"/>
      <c r="E223" s="28"/>
      <c r="F223" s="24"/>
      <c r="G223" s="26"/>
      <c r="H223" s="24"/>
      <c r="I223" s="24"/>
      <c r="J223" s="24"/>
      <c r="K223" s="24"/>
      <c r="L223" s="26"/>
      <c r="M223" s="26"/>
      <c r="N223" s="22"/>
      <c r="O223" s="21"/>
      <c r="P223" s="22"/>
      <c r="Q223" s="29" t="str">
        <f aca="false">IF(C223="","",IF(O223&lt;&gt;"",O223,IFERROR(INDEX(Produk!$J$2:$J$100,MATCH(C223,Produk!$A$2:$A$100,0)),"PRODUK?")))</f>
        <v/>
      </c>
      <c r="R223" s="29" t="str">
        <f aca="false">IF(A223="","",IF(COUNTIF(Anggota!$A$2:$A$2001,A223)=0,"TIDAK ADA","OK"))</f>
        <v/>
      </c>
      <c r="S223" s="29" t="str">
        <f aca="false">IF(H223="","",IF(OR(J223="",L223=""),"-",IF(ABS(H223-J223*L223)&gt;Info_Koperasi!$C$10,"SELISIH","OK")))</f>
        <v/>
      </c>
    </row>
    <row r="224" customFormat="false" ht="15" hidden="false" customHeight="false" outlineLevel="0" collapsed="false">
      <c r="A224" s="21"/>
      <c r="B224" s="22"/>
      <c r="C224" s="21"/>
      <c r="D224" s="21"/>
      <c r="E224" s="28"/>
      <c r="F224" s="24"/>
      <c r="G224" s="26"/>
      <c r="H224" s="24"/>
      <c r="I224" s="24"/>
      <c r="J224" s="24"/>
      <c r="K224" s="24"/>
      <c r="L224" s="26"/>
      <c r="M224" s="26"/>
      <c r="N224" s="22"/>
      <c r="O224" s="21"/>
      <c r="P224" s="22"/>
      <c r="Q224" s="29" t="str">
        <f aca="false">IF(C224="","",IF(O224&lt;&gt;"",O224,IFERROR(INDEX(Produk!$J$2:$J$100,MATCH(C224,Produk!$A$2:$A$100,0)),"PRODUK?")))</f>
        <v/>
      </c>
      <c r="R224" s="29" t="str">
        <f aca="false">IF(A224="","",IF(COUNTIF(Anggota!$A$2:$A$2001,A224)=0,"TIDAK ADA","OK"))</f>
        <v/>
      </c>
      <c r="S224" s="29" t="str">
        <f aca="false">IF(H224="","",IF(OR(J224="",L224=""),"-",IF(ABS(H224-J224*L224)&gt;Info_Koperasi!$C$10,"SELISIH","OK")))</f>
        <v/>
      </c>
    </row>
    <row r="225" customFormat="false" ht="15" hidden="false" customHeight="false" outlineLevel="0" collapsed="false">
      <c r="A225" s="21"/>
      <c r="B225" s="22"/>
      <c r="C225" s="21"/>
      <c r="D225" s="21"/>
      <c r="E225" s="28"/>
      <c r="F225" s="24"/>
      <c r="G225" s="26"/>
      <c r="H225" s="24"/>
      <c r="I225" s="24"/>
      <c r="J225" s="24"/>
      <c r="K225" s="24"/>
      <c r="L225" s="26"/>
      <c r="M225" s="26"/>
      <c r="N225" s="22"/>
      <c r="O225" s="21"/>
      <c r="P225" s="22"/>
      <c r="Q225" s="29" t="str">
        <f aca="false">IF(C225="","",IF(O225&lt;&gt;"",O225,IFERROR(INDEX(Produk!$J$2:$J$100,MATCH(C225,Produk!$A$2:$A$100,0)),"PRODUK?")))</f>
        <v/>
      </c>
      <c r="R225" s="29" t="str">
        <f aca="false">IF(A225="","",IF(COUNTIF(Anggota!$A$2:$A$2001,A225)=0,"TIDAK ADA","OK"))</f>
        <v/>
      </c>
      <c r="S225" s="29" t="str">
        <f aca="false">IF(H225="","",IF(OR(J225="",L225=""),"-",IF(ABS(H225-J225*L225)&gt;Info_Koperasi!$C$10,"SELISIH","OK")))</f>
        <v/>
      </c>
    </row>
    <row r="226" customFormat="false" ht="15" hidden="false" customHeight="false" outlineLevel="0" collapsed="false">
      <c r="A226" s="21"/>
      <c r="B226" s="22"/>
      <c r="C226" s="21"/>
      <c r="D226" s="21"/>
      <c r="E226" s="28"/>
      <c r="F226" s="24"/>
      <c r="G226" s="26"/>
      <c r="H226" s="24"/>
      <c r="I226" s="24"/>
      <c r="J226" s="24"/>
      <c r="K226" s="24"/>
      <c r="L226" s="26"/>
      <c r="M226" s="26"/>
      <c r="N226" s="22"/>
      <c r="O226" s="21"/>
      <c r="P226" s="22"/>
      <c r="Q226" s="29" t="str">
        <f aca="false">IF(C226="","",IF(O226&lt;&gt;"",O226,IFERROR(INDEX(Produk!$J$2:$J$100,MATCH(C226,Produk!$A$2:$A$100,0)),"PRODUK?")))</f>
        <v/>
      </c>
      <c r="R226" s="29" t="str">
        <f aca="false">IF(A226="","",IF(COUNTIF(Anggota!$A$2:$A$2001,A226)=0,"TIDAK ADA","OK"))</f>
        <v/>
      </c>
      <c r="S226" s="29" t="str">
        <f aca="false">IF(H226="","",IF(OR(J226="",L226=""),"-",IF(ABS(H226-J226*L226)&gt;Info_Koperasi!$C$10,"SELISIH","OK")))</f>
        <v/>
      </c>
    </row>
    <row r="227" customFormat="false" ht="15" hidden="false" customHeight="false" outlineLevel="0" collapsed="false">
      <c r="A227" s="21"/>
      <c r="B227" s="22"/>
      <c r="C227" s="21"/>
      <c r="D227" s="21"/>
      <c r="E227" s="28"/>
      <c r="F227" s="24"/>
      <c r="G227" s="26"/>
      <c r="H227" s="24"/>
      <c r="I227" s="24"/>
      <c r="J227" s="24"/>
      <c r="K227" s="24"/>
      <c r="L227" s="26"/>
      <c r="M227" s="26"/>
      <c r="N227" s="22"/>
      <c r="O227" s="21"/>
      <c r="P227" s="22"/>
      <c r="Q227" s="29" t="str">
        <f aca="false">IF(C227="","",IF(O227&lt;&gt;"",O227,IFERROR(INDEX(Produk!$J$2:$J$100,MATCH(C227,Produk!$A$2:$A$100,0)),"PRODUK?")))</f>
        <v/>
      </c>
      <c r="R227" s="29" t="str">
        <f aca="false">IF(A227="","",IF(COUNTIF(Anggota!$A$2:$A$2001,A227)=0,"TIDAK ADA","OK"))</f>
        <v/>
      </c>
      <c r="S227" s="29" t="str">
        <f aca="false">IF(H227="","",IF(OR(J227="",L227=""),"-",IF(ABS(H227-J227*L227)&gt;Info_Koperasi!$C$10,"SELISIH","OK")))</f>
        <v/>
      </c>
    </row>
    <row r="228" customFormat="false" ht="15" hidden="false" customHeight="false" outlineLevel="0" collapsed="false">
      <c r="A228" s="21"/>
      <c r="B228" s="22"/>
      <c r="C228" s="21"/>
      <c r="D228" s="21"/>
      <c r="E228" s="28"/>
      <c r="F228" s="24"/>
      <c r="G228" s="26"/>
      <c r="H228" s="24"/>
      <c r="I228" s="24"/>
      <c r="J228" s="24"/>
      <c r="K228" s="24"/>
      <c r="L228" s="26"/>
      <c r="M228" s="26"/>
      <c r="N228" s="22"/>
      <c r="O228" s="21"/>
      <c r="P228" s="22"/>
      <c r="Q228" s="29" t="str">
        <f aca="false">IF(C228="","",IF(O228&lt;&gt;"",O228,IFERROR(INDEX(Produk!$J$2:$J$100,MATCH(C228,Produk!$A$2:$A$100,0)),"PRODUK?")))</f>
        <v/>
      </c>
      <c r="R228" s="29" t="str">
        <f aca="false">IF(A228="","",IF(COUNTIF(Anggota!$A$2:$A$2001,A228)=0,"TIDAK ADA","OK"))</f>
        <v/>
      </c>
      <c r="S228" s="29" t="str">
        <f aca="false">IF(H228="","",IF(OR(J228="",L228=""),"-",IF(ABS(H228-J228*L228)&gt;Info_Koperasi!$C$10,"SELISIH","OK")))</f>
        <v/>
      </c>
    </row>
    <row r="229" customFormat="false" ht="15" hidden="false" customHeight="false" outlineLevel="0" collapsed="false">
      <c r="A229" s="21"/>
      <c r="B229" s="22"/>
      <c r="C229" s="21"/>
      <c r="D229" s="21"/>
      <c r="E229" s="28"/>
      <c r="F229" s="24"/>
      <c r="G229" s="26"/>
      <c r="H229" s="24"/>
      <c r="I229" s="24"/>
      <c r="J229" s="24"/>
      <c r="K229" s="24"/>
      <c r="L229" s="26"/>
      <c r="M229" s="26"/>
      <c r="N229" s="22"/>
      <c r="O229" s="21"/>
      <c r="P229" s="22"/>
      <c r="Q229" s="29" t="str">
        <f aca="false">IF(C229="","",IF(O229&lt;&gt;"",O229,IFERROR(INDEX(Produk!$J$2:$J$100,MATCH(C229,Produk!$A$2:$A$100,0)),"PRODUK?")))</f>
        <v/>
      </c>
      <c r="R229" s="29" t="str">
        <f aca="false">IF(A229="","",IF(COUNTIF(Anggota!$A$2:$A$2001,A229)=0,"TIDAK ADA","OK"))</f>
        <v/>
      </c>
      <c r="S229" s="29" t="str">
        <f aca="false">IF(H229="","",IF(OR(J229="",L229=""),"-",IF(ABS(H229-J229*L229)&gt;Info_Koperasi!$C$10,"SELISIH","OK")))</f>
        <v/>
      </c>
    </row>
    <row r="230" customFormat="false" ht="15" hidden="false" customHeight="false" outlineLevel="0" collapsed="false">
      <c r="A230" s="21"/>
      <c r="B230" s="22"/>
      <c r="C230" s="21"/>
      <c r="D230" s="21"/>
      <c r="E230" s="28"/>
      <c r="F230" s="24"/>
      <c r="G230" s="26"/>
      <c r="H230" s="24"/>
      <c r="I230" s="24"/>
      <c r="J230" s="24"/>
      <c r="K230" s="24"/>
      <c r="L230" s="26"/>
      <c r="M230" s="26"/>
      <c r="N230" s="22"/>
      <c r="O230" s="21"/>
      <c r="P230" s="22"/>
      <c r="Q230" s="29" t="str">
        <f aca="false">IF(C230="","",IF(O230&lt;&gt;"",O230,IFERROR(INDEX(Produk!$J$2:$J$100,MATCH(C230,Produk!$A$2:$A$100,0)),"PRODUK?")))</f>
        <v/>
      </c>
      <c r="R230" s="29" t="str">
        <f aca="false">IF(A230="","",IF(COUNTIF(Anggota!$A$2:$A$2001,A230)=0,"TIDAK ADA","OK"))</f>
        <v/>
      </c>
      <c r="S230" s="29" t="str">
        <f aca="false">IF(H230="","",IF(OR(J230="",L230=""),"-",IF(ABS(H230-J230*L230)&gt;Info_Koperasi!$C$10,"SELISIH","OK")))</f>
        <v/>
      </c>
    </row>
    <row r="231" customFormat="false" ht="15" hidden="false" customHeight="false" outlineLevel="0" collapsed="false">
      <c r="A231" s="21"/>
      <c r="B231" s="22"/>
      <c r="C231" s="21"/>
      <c r="D231" s="21"/>
      <c r="E231" s="28"/>
      <c r="F231" s="24"/>
      <c r="G231" s="26"/>
      <c r="H231" s="24"/>
      <c r="I231" s="24"/>
      <c r="J231" s="24"/>
      <c r="K231" s="24"/>
      <c r="L231" s="26"/>
      <c r="M231" s="26"/>
      <c r="N231" s="22"/>
      <c r="O231" s="21"/>
      <c r="P231" s="22"/>
      <c r="Q231" s="29" t="str">
        <f aca="false">IF(C231="","",IF(O231&lt;&gt;"",O231,IFERROR(INDEX(Produk!$J$2:$J$100,MATCH(C231,Produk!$A$2:$A$100,0)),"PRODUK?")))</f>
        <v/>
      </c>
      <c r="R231" s="29" t="str">
        <f aca="false">IF(A231="","",IF(COUNTIF(Anggota!$A$2:$A$2001,A231)=0,"TIDAK ADA","OK"))</f>
        <v/>
      </c>
      <c r="S231" s="29" t="str">
        <f aca="false">IF(H231="","",IF(OR(J231="",L231=""),"-",IF(ABS(H231-J231*L231)&gt;Info_Koperasi!$C$10,"SELISIH","OK")))</f>
        <v/>
      </c>
    </row>
    <row r="232" customFormat="false" ht="15" hidden="false" customHeight="false" outlineLevel="0" collapsed="false">
      <c r="A232" s="21"/>
      <c r="B232" s="22"/>
      <c r="C232" s="21"/>
      <c r="D232" s="21"/>
      <c r="E232" s="28"/>
      <c r="F232" s="24"/>
      <c r="G232" s="26"/>
      <c r="H232" s="24"/>
      <c r="I232" s="24"/>
      <c r="J232" s="24"/>
      <c r="K232" s="24"/>
      <c r="L232" s="26"/>
      <c r="M232" s="26"/>
      <c r="N232" s="22"/>
      <c r="O232" s="21"/>
      <c r="P232" s="22"/>
      <c r="Q232" s="29" t="str">
        <f aca="false">IF(C232="","",IF(O232&lt;&gt;"",O232,IFERROR(INDEX(Produk!$J$2:$J$100,MATCH(C232,Produk!$A$2:$A$100,0)),"PRODUK?")))</f>
        <v/>
      </c>
      <c r="R232" s="29" t="str">
        <f aca="false">IF(A232="","",IF(COUNTIF(Anggota!$A$2:$A$2001,A232)=0,"TIDAK ADA","OK"))</f>
        <v/>
      </c>
      <c r="S232" s="29" t="str">
        <f aca="false">IF(H232="","",IF(OR(J232="",L232=""),"-",IF(ABS(H232-J232*L232)&gt;Info_Koperasi!$C$10,"SELISIH","OK")))</f>
        <v/>
      </c>
    </row>
    <row r="233" customFormat="false" ht="15" hidden="false" customHeight="false" outlineLevel="0" collapsed="false">
      <c r="A233" s="21"/>
      <c r="B233" s="22"/>
      <c r="C233" s="21"/>
      <c r="D233" s="21"/>
      <c r="E233" s="28"/>
      <c r="F233" s="24"/>
      <c r="G233" s="26"/>
      <c r="H233" s="24"/>
      <c r="I233" s="24"/>
      <c r="J233" s="24"/>
      <c r="K233" s="24"/>
      <c r="L233" s="26"/>
      <c r="M233" s="26"/>
      <c r="N233" s="22"/>
      <c r="O233" s="21"/>
      <c r="P233" s="22"/>
      <c r="Q233" s="29" t="str">
        <f aca="false">IF(C233="","",IF(O233&lt;&gt;"",O233,IFERROR(INDEX(Produk!$J$2:$J$100,MATCH(C233,Produk!$A$2:$A$100,0)),"PRODUK?")))</f>
        <v/>
      </c>
      <c r="R233" s="29" t="str">
        <f aca="false">IF(A233="","",IF(COUNTIF(Anggota!$A$2:$A$2001,A233)=0,"TIDAK ADA","OK"))</f>
        <v/>
      </c>
      <c r="S233" s="29" t="str">
        <f aca="false">IF(H233="","",IF(OR(J233="",L233=""),"-",IF(ABS(H233-J233*L233)&gt;Info_Koperasi!$C$10,"SELISIH","OK")))</f>
        <v/>
      </c>
    </row>
    <row r="234" customFormat="false" ht="15" hidden="false" customHeight="false" outlineLevel="0" collapsed="false">
      <c r="A234" s="21"/>
      <c r="B234" s="22"/>
      <c r="C234" s="21"/>
      <c r="D234" s="21"/>
      <c r="E234" s="28"/>
      <c r="F234" s="24"/>
      <c r="G234" s="26"/>
      <c r="H234" s="24"/>
      <c r="I234" s="24"/>
      <c r="J234" s="24"/>
      <c r="K234" s="24"/>
      <c r="L234" s="26"/>
      <c r="M234" s="26"/>
      <c r="N234" s="22"/>
      <c r="O234" s="21"/>
      <c r="P234" s="22"/>
      <c r="Q234" s="29" t="str">
        <f aca="false">IF(C234="","",IF(O234&lt;&gt;"",O234,IFERROR(INDEX(Produk!$J$2:$J$100,MATCH(C234,Produk!$A$2:$A$100,0)),"PRODUK?")))</f>
        <v/>
      </c>
      <c r="R234" s="29" t="str">
        <f aca="false">IF(A234="","",IF(COUNTIF(Anggota!$A$2:$A$2001,A234)=0,"TIDAK ADA","OK"))</f>
        <v/>
      </c>
      <c r="S234" s="29" t="str">
        <f aca="false">IF(H234="","",IF(OR(J234="",L234=""),"-",IF(ABS(H234-J234*L234)&gt;Info_Koperasi!$C$10,"SELISIH","OK")))</f>
        <v/>
      </c>
    </row>
    <row r="235" customFormat="false" ht="15" hidden="false" customHeight="false" outlineLevel="0" collapsed="false">
      <c r="A235" s="21"/>
      <c r="B235" s="22"/>
      <c r="C235" s="21"/>
      <c r="D235" s="21"/>
      <c r="E235" s="28"/>
      <c r="F235" s="24"/>
      <c r="G235" s="26"/>
      <c r="H235" s="24"/>
      <c r="I235" s="24"/>
      <c r="J235" s="24"/>
      <c r="K235" s="24"/>
      <c r="L235" s="26"/>
      <c r="M235" s="26"/>
      <c r="N235" s="22"/>
      <c r="O235" s="21"/>
      <c r="P235" s="22"/>
      <c r="Q235" s="29" t="str">
        <f aca="false">IF(C235="","",IF(O235&lt;&gt;"",O235,IFERROR(INDEX(Produk!$J$2:$J$100,MATCH(C235,Produk!$A$2:$A$100,0)),"PRODUK?")))</f>
        <v/>
      </c>
      <c r="R235" s="29" t="str">
        <f aca="false">IF(A235="","",IF(COUNTIF(Anggota!$A$2:$A$2001,A235)=0,"TIDAK ADA","OK"))</f>
        <v/>
      </c>
      <c r="S235" s="29" t="str">
        <f aca="false">IF(H235="","",IF(OR(J235="",L235=""),"-",IF(ABS(H235-J235*L235)&gt;Info_Koperasi!$C$10,"SELISIH","OK")))</f>
        <v/>
      </c>
    </row>
    <row r="236" customFormat="false" ht="15" hidden="false" customHeight="false" outlineLevel="0" collapsed="false">
      <c r="A236" s="21"/>
      <c r="B236" s="22"/>
      <c r="C236" s="21"/>
      <c r="D236" s="21"/>
      <c r="E236" s="28"/>
      <c r="F236" s="24"/>
      <c r="G236" s="26"/>
      <c r="H236" s="24"/>
      <c r="I236" s="24"/>
      <c r="J236" s="24"/>
      <c r="K236" s="24"/>
      <c r="L236" s="26"/>
      <c r="M236" s="26"/>
      <c r="N236" s="22"/>
      <c r="O236" s="21"/>
      <c r="P236" s="22"/>
      <c r="Q236" s="29" t="str">
        <f aca="false">IF(C236="","",IF(O236&lt;&gt;"",O236,IFERROR(INDEX(Produk!$J$2:$J$100,MATCH(C236,Produk!$A$2:$A$100,0)),"PRODUK?")))</f>
        <v/>
      </c>
      <c r="R236" s="29" t="str">
        <f aca="false">IF(A236="","",IF(COUNTIF(Anggota!$A$2:$A$2001,A236)=0,"TIDAK ADA","OK"))</f>
        <v/>
      </c>
      <c r="S236" s="29" t="str">
        <f aca="false">IF(H236="","",IF(OR(J236="",L236=""),"-",IF(ABS(H236-J236*L236)&gt;Info_Koperasi!$C$10,"SELISIH","OK")))</f>
        <v/>
      </c>
    </row>
    <row r="237" customFormat="false" ht="15" hidden="false" customHeight="false" outlineLevel="0" collapsed="false">
      <c r="A237" s="21"/>
      <c r="B237" s="22"/>
      <c r="C237" s="21"/>
      <c r="D237" s="21"/>
      <c r="E237" s="28"/>
      <c r="F237" s="24"/>
      <c r="G237" s="26"/>
      <c r="H237" s="24"/>
      <c r="I237" s="24"/>
      <c r="J237" s="24"/>
      <c r="K237" s="24"/>
      <c r="L237" s="26"/>
      <c r="M237" s="26"/>
      <c r="N237" s="22"/>
      <c r="O237" s="21"/>
      <c r="P237" s="22"/>
      <c r="Q237" s="29" t="str">
        <f aca="false">IF(C237="","",IF(O237&lt;&gt;"",O237,IFERROR(INDEX(Produk!$J$2:$J$100,MATCH(C237,Produk!$A$2:$A$100,0)),"PRODUK?")))</f>
        <v/>
      </c>
      <c r="R237" s="29" t="str">
        <f aca="false">IF(A237="","",IF(COUNTIF(Anggota!$A$2:$A$2001,A237)=0,"TIDAK ADA","OK"))</f>
        <v/>
      </c>
      <c r="S237" s="29" t="str">
        <f aca="false">IF(H237="","",IF(OR(J237="",L237=""),"-",IF(ABS(H237-J237*L237)&gt;Info_Koperasi!$C$10,"SELISIH","OK")))</f>
        <v/>
      </c>
    </row>
    <row r="238" customFormat="false" ht="15" hidden="false" customHeight="false" outlineLevel="0" collapsed="false">
      <c r="A238" s="21"/>
      <c r="B238" s="22"/>
      <c r="C238" s="21"/>
      <c r="D238" s="21"/>
      <c r="E238" s="28"/>
      <c r="F238" s="24"/>
      <c r="G238" s="26"/>
      <c r="H238" s="24"/>
      <c r="I238" s="24"/>
      <c r="J238" s="24"/>
      <c r="K238" s="24"/>
      <c r="L238" s="26"/>
      <c r="M238" s="26"/>
      <c r="N238" s="22"/>
      <c r="O238" s="21"/>
      <c r="P238" s="22"/>
      <c r="Q238" s="29" t="str">
        <f aca="false">IF(C238="","",IF(O238&lt;&gt;"",O238,IFERROR(INDEX(Produk!$J$2:$J$100,MATCH(C238,Produk!$A$2:$A$100,0)),"PRODUK?")))</f>
        <v/>
      </c>
      <c r="R238" s="29" t="str">
        <f aca="false">IF(A238="","",IF(COUNTIF(Anggota!$A$2:$A$2001,A238)=0,"TIDAK ADA","OK"))</f>
        <v/>
      </c>
      <c r="S238" s="29" t="str">
        <f aca="false">IF(H238="","",IF(OR(J238="",L238=""),"-",IF(ABS(H238-J238*L238)&gt;Info_Koperasi!$C$10,"SELISIH","OK")))</f>
        <v/>
      </c>
    </row>
    <row r="239" customFormat="false" ht="15" hidden="false" customHeight="false" outlineLevel="0" collapsed="false">
      <c r="A239" s="21"/>
      <c r="B239" s="22"/>
      <c r="C239" s="21"/>
      <c r="D239" s="21"/>
      <c r="E239" s="28"/>
      <c r="F239" s="24"/>
      <c r="G239" s="26"/>
      <c r="H239" s="24"/>
      <c r="I239" s="24"/>
      <c r="J239" s="24"/>
      <c r="K239" s="24"/>
      <c r="L239" s="26"/>
      <c r="M239" s="26"/>
      <c r="N239" s="22"/>
      <c r="O239" s="21"/>
      <c r="P239" s="22"/>
      <c r="Q239" s="29" t="str">
        <f aca="false">IF(C239="","",IF(O239&lt;&gt;"",O239,IFERROR(INDEX(Produk!$J$2:$J$100,MATCH(C239,Produk!$A$2:$A$100,0)),"PRODUK?")))</f>
        <v/>
      </c>
      <c r="R239" s="29" t="str">
        <f aca="false">IF(A239="","",IF(COUNTIF(Anggota!$A$2:$A$2001,A239)=0,"TIDAK ADA","OK"))</f>
        <v/>
      </c>
      <c r="S239" s="29" t="str">
        <f aca="false">IF(H239="","",IF(OR(J239="",L239=""),"-",IF(ABS(H239-J239*L239)&gt;Info_Koperasi!$C$10,"SELISIH","OK")))</f>
        <v/>
      </c>
    </row>
    <row r="240" customFormat="false" ht="15" hidden="false" customHeight="false" outlineLevel="0" collapsed="false">
      <c r="A240" s="21"/>
      <c r="B240" s="22"/>
      <c r="C240" s="21"/>
      <c r="D240" s="21"/>
      <c r="E240" s="28"/>
      <c r="F240" s="24"/>
      <c r="G240" s="26"/>
      <c r="H240" s="24"/>
      <c r="I240" s="24"/>
      <c r="J240" s="24"/>
      <c r="K240" s="24"/>
      <c r="L240" s="26"/>
      <c r="M240" s="26"/>
      <c r="N240" s="22"/>
      <c r="O240" s="21"/>
      <c r="P240" s="22"/>
      <c r="Q240" s="29" t="str">
        <f aca="false">IF(C240="","",IF(O240&lt;&gt;"",O240,IFERROR(INDEX(Produk!$J$2:$J$100,MATCH(C240,Produk!$A$2:$A$100,0)),"PRODUK?")))</f>
        <v/>
      </c>
      <c r="R240" s="29" t="str">
        <f aca="false">IF(A240="","",IF(COUNTIF(Anggota!$A$2:$A$2001,A240)=0,"TIDAK ADA","OK"))</f>
        <v/>
      </c>
      <c r="S240" s="29" t="str">
        <f aca="false">IF(H240="","",IF(OR(J240="",L240=""),"-",IF(ABS(H240-J240*L240)&gt;Info_Koperasi!$C$10,"SELISIH","OK")))</f>
        <v/>
      </c>
    </row>
    <row r="241" customFormat="false" ht="15" hidden="false" customHeight="false" outlineLevel="0" collapsed="false">
      <c r="A241" s="21"/>
      <c r="B241" s="22"/>
      <c r="C241" s="21"/>
      <c r="D241" s="21"/>
      <c r="E241" s="28"/>
      <c r="F241" s="24"/>
      <c r="G241" s="26"/>
      <c r="H241" s="24"/>
      <c r="I241" s="24"/>
      <c r="J241" s="24"/>
      <c r="K241" s="24"/>
      <c r="L241" s="26"/>
      <c r="M241" s="26"/>
      <c r="N241" s="22"/>
      <c r="O241" s="21"/>
      <c r="P241" s="22"/>
      <c r="Q241" s="29" t="str">
        <f aca="false">IF(C241="","",IF(O241&lt;&gt;"",O241,IFERROR(INDEX(Produk!$J$2:$J$100,MATCH(C241,Produk!$A$2:$A$100,0)),"PRODUK?")))</f>
        <v/>
      </c>
      <c r="R241" s="29" t="str">
        <f aca="false">IF(A241="","",IF(COUNTIF(Anggota!$A$2:$A$2001,A241)=0,"TIDAK ADA","OK"))</f>
        <v/>
      </c>
      <c r="S241" s="29" t="str">
        <f aca="false">IF(H241="","",IF(OR(J241="",L241=""),"-",IF(ABS(H241-J241*L241)&gt;Info_Koperasi!$C$10,"SELISIH","OK")))</f>
        <v/>
      </c>
    </row>
    <row r="242" customFormat="false" ht="15" hidden="false" customHeight="false" outlineLevel="0" collapsed="false">
      <c r="A242" s="21"/>
      <c r="B242" s="22"/>
      <c r="C242" s="21"/>
      <c r="D242" s="21"/>
      <c r="E242" s="28"/>
      <c r="F242" s="24"/>
      <c r="G242" s="26"/>
      <c r="H242" s="24"/>
      <c r="I242" s="24"/>
      <c r="J242" s="24"/>
      <c r="K242" s="24"/>
      <c r="L242" s="26"/>
      <c r="M242" s="26"/>
      <c r="N242" s="22"/>
      <c r="O242" s="21"/>
      <c r="P242" s="22"/>
      <c r="Q242" s="29" t="str">
        <f aca="false">IF(C242="","",IF(O242&lt;&gt;"",O242,IFERROR(INDEX(Produk!$J$2:$J$100,MATCH(C242,Produk!$A$2:$A$100,0)),"PRODUK?")))</f>
        <v/>
      </c>
      <c r="R242" s="29" t="str">
        <f aca="false">IF(A242="","",IF(COUNTIF(Anggota!$A$2:$A$2001,A242)=0,"TIDAK ADA","OK"))</f>
        <v/>
      </c>
      <c r="S242" s="29" t="str">
        <f aca="false">IF(H242="","",IF(OR(J242="",L242=""),"-",IF(ABS(H242-J242*L242)&gt;Info_Koperasi!$C$10,"SELISIH","OK")))</f>
        <v/>
      </c>
    </row>
    <row r="243" customFormat="false" ht="15" hidden="false" customHeight="false" outlineLevel="0" collapsed="false">
      <c r="A243" s="21"/>
      <c r="B243" s="22"/>
      <c r="C243" s="21"/>
      <c r="D243" s="21"/>
      <c r="E243" s="28"/>
      <c r="F243" s="24"/>
      <c r="G243" s="26"/>
      <c r="H243" s="24"/>
      <c r="I243" s="24"/>
      <c r="J243" s="24"/>
      <c r="K243" s="24"/>
      <c r="L243" s="26"/>
      <c r="M243" s="26"/>
      <c r="N243" s="22"/>
      <c r="O243" s="21"/>
      <c r="P243" s="22"/>
      <c r="Q243" s="29" t="str">
        <f aca="false">IF(C243="","",IF(O243&lt;&gt;"",O243,IFERROR(INDEX(Produk!$J$2:$J$100,MATCH(C243,Produk!$A$2:$A$100,0)),"PRODUK?")))</f>
        <v/>
      </c>
      <c r="R243" s="29" t="str">
        <f aca="false">IF(A243="","",IF(COUNTIF(Anggota!$A$2:$A$2001,A243)=0,"TIDAK ADA","OK"))</f>
        <v/>
      </c>
      <c r="S243" s="29" t="str">
        <f aca="false">IF(H243="","",IF(OR(J243="",L243=""),"-",IF(ABS(H243-J243*L243)&gt;Info_Koperasi!$C$10,"SELISIH","OK")))</f>
        <v/>
      </c>
    </row>
    <row r="244" customFormat="false" ht="15" hidden="false" customHeight="false" outlineLevel="0" collapsed="false">
      <c r="A244" s="21"/>
      <c r="B244" s="22"/>
      <c r="C244" s="21"/>
      <c r="D244" s="21"/>
      <c r="E244" s="28"/>
      <c r="F244" s="24"/>
      <c r="G244" s="26"/>
      <c r="H244" s="24"/>
      <c r="I244" s="24"/>
      <c r="J244" s="24"/>
      <c r="K244" s="24"/>
      <c r="L244" s="26"/>
      <c r="M244" s="26"/>
      <c r="N244" s="22"/>
      <c r="O244" s="21"/>
      <c r="P244" s="22"/>
      <c r="Q244" s="29" t="str">
        <f aca="false">IF(C244="","",IF(O244&lt;&gt;"",O244,IFERROR(INDEX(Produk!$J$2:$J$100,MATCH(C244,Produk!$A$2:$A$100,0)),"PRODUK?")))</f>
        <v/>
      </c>
      <c r="R244" s="29" t="str">
        <f aca="false">IF(A244="","",IF(COUNTIF(Anggota!$A$2:$A$2001,A244)=0,"TIDAK ADA","OK"))</f>
        <v/>
      </c>
      <c r="S244" s="29" t="str">
        <f aca="false">IF(H244="","",IF(OR(J244="",L244=""),"-",IF(ABS(H244-J244*L244)&gt;Info_Koperasi!$C$10,"SELISIH","OK")))</f>
        <v/>
      </c>
    </row>
    <row r="245" customFormat="false" ht="15" hidden="false" customHeight="false" outlineLevel="0" collapsed="false">
      <c r="A245" s="21"/>
      <c r="B245" s="22"/>
      <c r="C245" s="21"/>
      <c r="D245" s="21"/>
      <c r="E245" s="28"/>
      <c r="F245" s="24"/>
      <c r="G245" s="26"/>
      <c r="H245" s="24"/>
      <c r="I245" s="24"/>
      <c r="J245" s="24"/>
      <c r="K245" s="24"/>
      <c r="L245" s="26"/>
      <c r="M245" s="26"/>
      <c r="N245" s="22"/>
      <c r="O245" s="21"/>
      <c r="P245" s="22"/>
      <c r="Q245" s="29" t="str">
        <f aca="false">IF(C245="","",IF(O245&lt;&gt;"",O245,IFERROR(INDEX(Produk!$J$2:$J$100,MATCH(C245,Produk!$A$2:$A$100,0)),"PRODUK?")))</f>
        <v/>
      </c>
      <c r="R245" s="29" t="str">
        <f aca="false">IF(A245="","",IF(COUNTIF(Anggota!$A$2:$A$2001,A245)=0,"TIDAK ADA","OK"))</f>
        <v/>
      </c>
      <c r="S245" s="29" t="str">
        <f aca="false">IF(H245="","",IF(OR(J245="",L245=""),"-",IF(ABS(H245-J245*L245)&gt;Info_Koperasi!$C$10,"SELISIH","OK")))</f>
        <v/>
      </c>
    </row>
    <row r="246" customFormat="false" ht="15" hidden="false" customHeight="false" outlineLevel="0" collapsed="false">
      <c r="A246" s="21"/>
      <c r="B246" s="22"/>
      <c r="C246" s="21"/>
      <c r="D246" s="21"/>
      <c r="E246" s="28"/>
      <c r="F246" s="24"/>
      <c r="G246" s="26"/>
      <c r="H246" s="24"/>
      <c r="I246" s="24"/>
      <c r="J246" s="24"/>
      <c r="K246" s="24"/>
      <c r="L246" s="26"/>
      <c r="M246" s="26"/>
      <c r="N246" s="22"/>
      <c r="O246" s="21"/>
      <c r="P246" s="22"/>
      <c r="Q246" s="29" t="str">
        <f aca="false">IF(C246="","",IF(O246&lt;&gt;"",O246,IFERROR(INDEX(Produk!$J$2:$J$100,MATCH(C246,Produk!$A$2:$A$100,0)),"PRODUK?")))</f>
        <v/>
      </c>
      <c r="R246" s="29" t="str">
        <f aca="false">IF(A246="","",IF(COUNTIF(Anggota!$A$2:$A$2001,A246)=0,"TIDAK ADA","OK"))</f>
        <v/>
      </c>
      <c r="S246" s="29" t="str">
        <f aca="false">IF(H246="","",IF(OR(J246="",L246=""),"-",IF(ABS(H246-J246*L246)&gt;Info_Koperasi!$C$10,"SELISIH","OK")))</f>
        <v/>
      </c>
    </row>
    <row r="247" customFormat="false" ht="15" hidden="false" customHeight="false" outlineLevel="0" collapsed="false">
      <c r="A247" s="21"/>
      <c r="B247" s="22"/>
      <c r="C247" s="21"/>
      <c r="D247" s="21"/>
      <c r="E247" s="28"/>
      <c r="F247" s="24"/>
      <c r="G247" s="26"/>
      <c r="H247" s="24"/>
      <c r="I247" s="24"/>
      <c r="J247" s="24"/>
      <c r="K247" s="24"/>
      <c r="L247" s="26"/>
      <c r="M247" s="26"/>
      <c r="N247" s="22"/>
      <c r="O247" s="21"/>
      <c r="P247" s="22"/>
      <c r="Q247" s="29" t="str">
        <f aca="false">IF(C247="","",IF(O247&lt;&gt;"",O247,IFERROR(INDEX(Produk!$J$2:$J$100,MATCH(C247,Produk!$A$2:$A$100,0)),"PRODUK?")))</f>
        <v/>
      </c>
      <c r="R247" s="29" t="str">
        <f aca="false">IF(A247="","",IF(COUNTIF(Anggota!$A$2:$A$2001,A247)=0,"TIDAK ADA","OK"))</f>
        <v/>
      </c>
      <c r="S247" s="29" t="str">
        <f aca="false">IF(H247="","",IF(OR(J247="",L247=""),"-",IF(ABS(H247-J247*L247)&gt;Info_Koperasi!$C$10,"SELISIH","OK")))</f>
        <v/>
      </c>
    </row>
    <row r="248" customFormat="false" ht="15" hidden="false" customHeight="false" outlineLevel="0" collapsed="false">
      <c r="A248" s="21"/>
      <c r="B248" s="22"/>
      <c r="C248" s="21"/>
      <c r="D248" s="21"/>
      <c r="E248" s="28"/>
      <c r="F248" s="24"/>
      <c r="G248" s="26"/>
      <c r="H248" s="24"/>
      <c r="I248" s="24"/>
      <c r="J248" s="24"/>
      <c r="K248" s="24"/>
      <c r="L248" s="26"/>
      <c r="M248" s="26"/>
      <c r="N248" s="22"/>
      <c r="O248" s="21"/>
      <c r="P248" s="22"/>
      <c r="Q248" s="29" t="str">
        <f aca="false">IF(C248="","",IF(O248&lt;&gt;"",O248,IFERROR(INDEX(Produk!$J$2:$J$100,MATCH(C248,Produk!$A$2:$A$100,0)),"PRODUK?")))</f>
        <v/>
      </c>
      <c r="R248" s="29" t="str">
        <f aca="false">IF(A248="","",IF(COUNTIF(Anggota!$A$2:$A$2001,A248)=0,"TIDAK ADA","OK"))</f>
        <v/>
      </c>
      <c r="S248" s="29" t="str">
        <f aca="false">IF(H248="","",IF(OR(J248="",L248=""),"-",IF(ABS(H248-J248*L248)&gt;Info_Koperasi!$C$10,"SELISIH","OK")))</f>
        <v/>
      </c>
    </row>
    <row r="249" customFormat="false" ht="15" hidden="false" customHeight="false" outlineLevel="0" collapsed="false">
      <c r="A249" s="21"/>
      <c r="B249" s="22"/>
      <c r="C249" s="21"/>
      <c r="D249" s="21"/>
      <c r="E249" s="28"/>
      <c r="F249" s="24"/>
      <c r="G249" s="26"/>
      <c r="H249" s="24"/>
      <c r="I249" s="24"/>
      <c r="J249" s="24"/>
      <c r="K249" s="24"/>
      <c r="L249" s="26"/>
      <c r="M249" s="26"/>
      <c r="N249" s="22"/>
      <c r="O249" s="21"/>
      <c r="P249" s="22"/>
      <c r="Q249" s="29" t="str">
        <f aca="false">IF(C249="","",IF(O249&lt;&gt;"",O249,IFERROR(INDEX(Produk!$J$2:$J$100,MATCH(C249,Produk!$A$2:$A$100,0)),"PRODUK?")))</f>
        <v/>
      </c>
      <c r="R249" s="29" t="str">
        <f aca="false">IF(A249="","",IF(COUNTIF(Anggota!$A$2:$A$2001,A249)=0,"TIDAK ADA","OK"))</f>
        <v/>
      </c>
      <c r="S249" s="29" t="str">
        <f aca="false">IF(H249="","",IF(OR(J249="",L249=""),"-",IF(ABS(H249-J249*L249)&gt;Info_Koperasi!$C$10,"SELISIH","OK")))</f>
        <v/>
      </c>
    </row>
    <row r="250" customFormat="false" ht="15" hidden="false" customHeight="false" outlineLevel="0" collapsed="false">
      <c r="A250" s="21"/>
      <c r="B250" s="22"/>
      <c r="C250" s="21"/>
      <c r="D250" s="21"/>
      <c r="E250" s="28"/>
      <c r="F250" s="24"/>
      <c r="G250" s="26"/>
      <c r="H250" s="24"/>
      <c r="I250" s="24"/>
      <c r="J250" s="24"/>
      <c r="K250" s="24"/>
      <c r="L250" s="26"/>
      <c r="M250" s="26"/>
      <c r="N250" s="22"/>
      <c r="O250" s="21"/>
      <c r="P250" s="22"/>
      <c r="Q250" s="29" t="str">
        <f aca="false">IF(C250="","",IF(O250&lt;&gt;"",O250,IFERROR(INDEX(Produk!$J$2:$J$100,MATCH(C250,Produk!$A$2:$A$100,0)),"PRODUK?")))</f>
        <v/>
      </c>
      <c r="R250" s="29" t="str">
        <f aca="false">IF(A250="","",IF(COUNTIF(Anggota!$A$2:$A$2001,A250)=0,"TIDAK ADA","OK"))</f>
        <v/>
      </c>
      <c r="S250" s="29" t="str">
        <f aca="false">IF(H250="","",IF(OR(J250="",L250=""),"-",IF(ABS(H250-J250*L250)&gt;Info_Koperasi!$C$10,"SELISIH","OK")))</f>
        <v/>
      </c>
    </row>
    <row r="251" customFormat="false" ht="15" hidden="false" customHeight="false" outlineLevel="0" collapsed="false">
      <c r="A251" s="21"/>
      <c r="B251" s="22"/>
      <c r="C251" s="21"/>
      <c r="D251" s="21"/>
      <c r="E251" s="28"/>
      <c r="F251" s="24"/>
      <c r="G251" s="26"/>
      <c r="H251" s="24"/>
      <c r="I251" s="24"/>
      <c r="J251" s="24"/>
      <c r="K251" s="24"/>
      <c r="L251" s="26"/>
      <c r="M251" s="26"/>
      <c r="N251" s="22"/>
      <c r="O251" s="21"/>
      <c r="P251" s="22"/>
      <c r="Q251" s="29" t="str">
        <f aca="false">IF(C251="","",IF(O251&lt;&gt;"",O251,IFERROR(INDEX(Produk!$J$2:$J$100,MATCH(C251,Produk!$A$2:$A$100,0)),"PRODUK?")))</f>
        <v/>
      </c>
      <c r="R251" s="29" t="str">
        <f aca="false">IF(A251="","",IF(COUNTIF(Anggota!$A$2:$A$2001,A251)=0,"TIDAK ADA","OK"))</f>
        <v/>
      </c>
      <c r="S251" s="29" t="str">
        <f aca="false">IF(H251="","",IF(OR(J251="",L251=""),"-",IF(ABS(H251-J251*L251)&gt;Info_Koperasi!$C$10,"SELISIH","OK")))</f>
        <v/>
      </c>
    </row>
    <row r="252" customFormat="false" ht="15" hidden="false" customHeight="false" outlineLevel="0" collapsed="false">
      <c r="A252" s="21"/>
      <c r="B252" s="22"/>
      <c r="C252" s="21"/>
      <c r="D252" s="21"/>
      <c r="E252" s="28"/>
      <c r="F252" s="24"/>
      <c r="G252" s="26"/>
      <c r="H252" s="24"/>
      <c r="I252" s="24"/>
      <c r="J252" s="24"/>
      <c r="K252" s="24"/>
      <c r="L252" s="26"/>
      <c r="M252" s="26"/>
      <c r="N252" s="22"/>
      <c r="O252" s="21"/>
      <c r="P252" s="22"/>
      <c r="Q252" s="29" t="str">
        <f aca="false">IF(C252="","",IF(O252&lt;&gt;"",O252,IFERROR(INDEX(Produk!$J$2:$J$100,MATCH(C252,Produk!$A$2:$A$100,0)),"PRODUK?")))</f>
        <v/>
      </c>
      <c r="R252" s="29" t="str">
        <f aca="false">IF(A252="","",IF(COUNTIF(Anggota!$A$2:$A$2001,A252)=0,"TIDAK ADA","OK"))</f>
        <v/>
      </c>
      <c r="S252" s="29" t="str">
        <f aca="false">IF(H252="","",IF(OR(J252="",L252=""),"-",IF(ABS(H252-J252*L252)&gt;Info_Koperasi!$C$10,"SELISIH","OK")))</f>
        <v/>
      </c>
    </row>
    <row r="253" customFormat="false" ht="15" hidden="false" customHeight="false" outlineLevel="0" collapsed="false">
      <c r="A253" s="21"/>
      <c r="B253" s="22"/>
      <c r="C253" s="21"/>
      <c r="D253" s="21"/>
      <c r="E253" s="28"/>
      <c r="F253" s="24"/>
      <c r="G253" s="26"/>
      <c r="H253" s="24"/>
      <c r="I253" s="24"/>
      <c r="J253" s="24"/>
      <c r="K253" s="24"/>
      <c r="L253" s="26"/>
      <c r="M253" s="26"/>
      <c r="N253" s="22"/>
      <c r="O253" s="21"/>
      <c r="P253" s="22"/>
      <c r="Q253" s="29" t="str">
        <f aca="false">IF(C253="","",IF(O253&lt;&gt;"",O253,IFERROR(INDEX(Produk!$J$2:$J$100,MATCH(C253,Produk!$A$2:$A$100,0)),"PRODUK?")))</f>
        <v/>
      </c>
      <c r="R253" s="29" t="str">
        <f aca="false">IF(A253="","",IF(COUNTIF(Anggota!$A$2:$A$2001,A253)=0,"TIDAK ADA","OK"))</f>
        <v/>
      </c>
      <c r="S253" s="29" t="str">
        <f aca="false">IF(H253="","",IF(OR(J253="",L253=""),"-",IF(ABS(H253-J253*L253)&gt;Info_Koperasi!$C$10,"SELISIH","OK")))</f>
        <v/>
      </c>
    </row>
    <row r="254" customFormat="false" ht="15" hidden="false" customHeight="false" outlineLevel="0" collapsed="false">
      <c r="A254" s="21"/>
      <c r="B254" s="22"/>
      <c r="C254" s="21"/>
      <c r="D254" s="21"/>
      <c r="E254" s="28"/>
      <c r="F254" s="24"/>
      <c r="G254" s="26"/>
      <c r="H254" s="24"/>
      <c r="I254" s="24"/>
      <c r="J254" s="24"/>
      <c r="K254" s="24"/>
      <c r="L254" s="26"/>
      <c r="M254" s="26"/>
      <c r="N254" s="22"/>
      <c r="O254" s="21"/>
      <c r="P254" s="22"/>
      <c r="Q254" s="29" t="str">
        <f aca="false">IF(C254="","",IF(O254&lt;&gt;"",O254,IFERROR(INDEX(Produk!$J$2:$J$100,MATCH(C254,Produk!$A$2:$A$100,0)),"PRODUK?")))</f>
        <v/>
      </c>
      <c r="R254" s="29" t="str">
        <f aca="false">IF(A254="","",IF(COUNTIF(Anggota!$A$2:$A$2001,A254)=0,"TIDAK ADA","OK"))</f>
        <v/>
      </c>
      <c r="S254" s="29" t="str">
        <f aca="false">IF(H254="","",IF(OR(J254="",L254=""),"-",IF(ABS(H254-J254*L254)&gt;Info_Koperasi!$C$10,"SELISIH","OK")))</f>
        <v/>
      </c>
    </row>
    <row r="255" customFormat="false" ht="15" hidden="false" customHeight="false" outlineLevel="0" collapsed="false">
      <c r="A255" s="21"/>
      <c r="B255" s="22"/>
      <c r="C255" s="21"/>
      <c r="D255" s="21"/>
      <c r="E255" s="28"/>
      <c r="F255" s="24"/>
      <c r="G255" s="26"/>
      <c r="H255" s="24"/>
      <c r="I255" s="24"/>
      <c r="J255" s="24"/>
      <c r="K255" s="24"/>
      <c r="L255" s="26"/>
      <c r="M255" s="26"/>
      <c r="N255" s="22"/>
      <c r="O255" s="21"/>
      <c r="P255" s="22"/>
      <c r="Q255" s="29" t="str">
        <f aca="false">IF(C255="","",IF(O255&lt;&gt;"",O255,IFERROR(INDEX(Produk!$J$2:$J$100,MATCH(C255,Produk!$A$2:$A$100,0)),"PRODUK?")))</f>
        <v/>
      </c>
      <c r="R255" s="29" t="str">
        <f aca="false">IF(A255="","",IF(COUNTIF(Anggota!$A$2:$A$2001,A255)=0,"TIDAK ADA","OK"))</f>
        <v/>
      </c>
      <c r="S255" s="29" t="str">
        <f aca="false">IF(H255="","",IF(OR(J255="",L255=""),"-",IF(ABS(H255-J255*L255)&gt;Info_Koperasi!$C$10,"SELISIH","OK")))</f>
        <v/>
      </c>
    </row>
    <row r="256" customFormat="false" ht="15" hidden="false" customHeight="false" outlineLevel="0" collapsed="false">
      <c r="A256" s="21"/>
      <c r="B256" s="22"/>
      <c r="C256" s="21"/>
      <c r="D256" s="21"/>
      <c r="E256" s="28"/>
      <c r="F256" s="24"/>
      <c r="G256" s="26"/>
      <c r="H256" s="24"/>
      <c r="I256" s="24"/>
      <c r="J256" s="24"/>
      <c r="K256" s="24"/>
      <c r="L256" s="26"/>
      <c r="M256" s="26"/>
      <c r="N256" s="22"/>
      <c r="O256" s="21"/>
      <c r="P256" s="22"/>
      <c r="Q256" s="29" t="str">
        <f aca="false">IF(C256="","",IF(O256&lt;&gt;"",O256,IFERROR(INDEX(Produk!$J$2:$J$100,MATCH(C256,Produk!$A$2:$A$100,0)),"PRODUK?")))</f>
        <v/>
      </c>
      <c r="R256" s="29" t="str">
        <f aca="false">IF(A256="","",IF(COUNTIF(Anggota!$A$2:$A$2001,A256)=0,"TIDAK ADA","OK"))</f>
        <v/>
      </c>
      <c r="S256" s="29" t="str">
        <f aca="false">IF(H256="","",IF(OR(J256="",L256=""),"-",IF(ABS(H256-J256*L256)&gt;Info_Koperasi!$C$10,"SELISIH","OK")))</f>
        <v/>
      </c>
    </row>
    <row r="257" customFormat="false" ht="15" hidden="false" customHeight="false" outlineLevel="0" collapsed="false">
      <c r="A257" s="21"/>
      <c r="B257" s="22"/>
      <c r="C257" s="21"/>
      <c r="D257" s="21"/>
      <c r="E257" s="28"/>
      <c r="F257" s="24"/>
      <c r="G257" s="26"/>
      <c r="H257" s="24"/>
      <c r="I257" s="24"/>
      <c r="J257" s="24"/>
      <c r="K257" s="24"/>
      <c r="L257" s="26"/>
      <c r="M257" s="26"/>
      <c r="N257" s="22"/>
      <c r="O257" s="21"/>
      <c r="P257" s="22"/>
      <c r="Q257" s="29" t="str">
        <f aca="false">IF(C257="","",IF(O257&lt;&gt;"",O257,IFERROR(INDEX(Produk!$J$2:$J$100,MATCH(C257,Produk!$A$2:$A$100,0)),"PRODUK?")))</f>
        <v/>
      </c>
      <c r="R257" s="29" t="str">
        <f aca="false">IF(A257="","",IF(COUNTIF(Anggota!$A$2:$A$2001,A257)=0,"TIDAK ADA","OK"))</f>
        <v/>
      </c>
      <c r="S257" s="29" t="str">
        <f aca="false">IF(H257="","",IF(OR(J257="",L257=""),"-",IF(ABS(H257-J257*L257)&gt;Info_Koperasi!$C$10,"SELISIH","OK")))</f>
        <v/>
      </c>
    </row>
    <row r="258" customFormat="false" ht="15" hidden="false" customHeight="false" outlineLevel="0" collapsed="false">
      <c r="A258" s="21"/>
      <c r="B258" s="22"/>
      <c r="C258" s="21"/>
      <c r="D258" s="21"/>
      <c r="E258" s="28"/>
      <c r="F258" s="24"/>
      <c r="G258" s="26"/>
      <c r="H258" s="24"/>
      <c r="I258" s="24"/>
      <c r="J258" s="24"/>
      <c r="K258" s="24"/>
      <c r="L258" s="26"/>
      <c r="M258" s="26"/>
      <c r="N258" s="22"/>
      <c r="O258" s="21"/>
      <c r="P258" s="22"/>
      <c r="Q258" s="29" t="str">
        <f aca="false">IF(C258="","",IF(O258&lt;&gt;"",O258,IFERROR(INDEX(Produk!$J$2:$J$100,MATCH(C258,Produk!$A$2:$A$100,0)),"PRODUK?")))</f>
        <v/>
      </c>
      <c r="R258" s="29" t="str">
        <f aca="false">IF(A258="","",IF(COUNTIF(Anggota!$A$2:$A$2001,A258)=0,"TIDAK ADA","OK"))</f>
        <v/>
      </c>
      <c r="S258" s="29" t="str">
        <f aca="false">IF(H258="","",IF(OR(J258="",L258=""),"-",IF(ABS(H258-J258*L258)&gt;Info_Koperasi!$C$10,"SELISIH","OK")))</f>
        <v/>
      </c>
    </row>
    <row r="259" customFormat="false" ht="15" hidden="false" customHeight="false" outlineLevel="0" collapsed="false">
      <c r="A259" s="21"/>
      <c r="B259" s="22"/>
      <c r="C259" s="21"/>
      <c r="D259" s="21"/>
      <c r="E259" s="28"/>
      <c r="F259" s="24"/>
      <c r="G259" s="26"/>
      <c r="H259" s="24"/>
      <c r="I259" s="24"/>
      <c r="J259" s="24"/>
      <c r="K259" s="24"/>
      <c r="L259" s="26"/>
      <c r="M259" s="26"/>
      <c r="N259" s="22"/>
      <c r="O259" s="21"/>
      <c r="P259" s="22"/>
      <c r="Q259" s="29" t="str">
        <f aca="false">IF(C259="","",IF(O259&lt;&gt;"",O259,IFERROR(INDEX(Produk!$J$2:$J$100,MATCH(C259,Produk!$A$2:$A$100,0)),"PRODUK?")))</f>
        <v/>
      </c>
      <c r="R259" s="29" t="str">
        <f aca="false">IF(A259="","",IF(COUNTIF(Anggota!$A$2:$A$2001,A259)=0,"TIDAK ADA","OK"))</f>
        <v/>
      </c>
      <c r="S259" s="29" t="str">
        <f aca="false">IF(H259="","",IF(OR(J259="",L259=""),"-",IF(ABS(H259-J259*L259)&gt;Info_Koperasi!$C$10,"SELISIH","OK")))</f>
        <v/>
      </c>
    </row>
    <row r="260" customFormat="false" ht="15" hidden="false" customHeight="false" outlineLevel="0" collapsed="false">
      <c r="A260" s="21"/>
      <c r="B260" s="22"/>
      <c r="C260" s="21"/>
      <c r="D260" s="21"/>
      <c r="E260" s="28"/>
      <c r="F260" s="24"/>
      <c r="G260" s="26"/>
      <c r="H260" s="24"/>
      <c r="I260" s="24"/>
      <c r="J260" s="24"/>
      <c r="K260" s="24"/>
      <c r="L260" s="26"/>
      <c r="M260" s="26"/>
      <c r="N260" s="22"/>
      <c r="O260" s="21"/>
      <c r="P260" s="22"/>
      <c r="Q260" s="29" t="str">
        <f aca="false">IF(C260="","",IF(O260&lt;&gt;"",O260,IFERROR(INDEX(Produk!$J$2:$J$100,MATCH(C260,Produk!$A$2:$A$100,0)),"PRODUK?")))</f>
        <v/>
      </c>
      <c r="R260" s="29" t="str">
        <f aca="false">IF(A260="","",IF(COUNTIF(Anggota!$A$2:$A$2001,A260)=0,"TIDAK ADA","OK"))</f>
        <v/>
      </c>
      <c r="S260" s="29" t="str">
        <f aca="false">IF(H260="","",IF(OR(J260="",L260=""),"-",IF(ABS(H260-J260*L260)&gt;Info_Koperasi!$C$10,"SELISIH","OK")))</f>
        <v/>
      </c>
    </row>
    <row r="261" customFormat="false" ht="15" hidden="false" customHeight="false" outlineLevel="0" collapsed="false">
      <c r="A261" s="21"/>
      <c r="B261" s="22"/>
      <c r="C261" s="21"/>
      <c r="D261" s="21"/>
      <c r="E261" s="28"/>
      <c r="F261" s="24"/>
      <c r="G261" s="26"/>
      <c r="H261" s="24"/>
      <c r="I261" s="24"/>
      <c r="J261" s="24"/>
      <c r="K261" s="24"/>
      <c r="L261" s="26"/>
      <c r="M261" s="26"/>
      <c r="N261" s="22"/>
      <c r="O261" s="21"/>
      <c r="P261" s="22"/>
      <c r="Q261" s="29" t="str">
        <f aca="false">IF(C261="","",IF(O261&lt;&gt;"",O261,IFERROR(INDEX(Produk!$J$2:$J$100,MATCH(C261,Produk!$A$2:$A$100,0)),"PRODUK?")))</f>
        <v/>
      </c>
      <c r="R261" s="29" t="str">
        <f aca="false">IF(A261="","",IF(COUNTIF(Anggota!$A$2:$A$2001,A261)=0,"TIDAK ADA","OK"))</f>
        <v/>
      </c>
      <c r="S261" s="29" t="str">
        <f aca="false">IF(H261="","",IF(OR(J261="",L261=""),"-",IF(ABS(H261-J261*L261)&gt;Info_Koperasi!$C$10,"SELISIH","OK")))</f>
        <v/>
      </c>
    </row>
    <row r="262" customFormat="false" ht="15" hidden="false" customHeight="false" outlineLevel="0" collapsed="false">
      <c r="A262" s="21"/>
      <c r="B262" s="22"/>
      <c r="C262" s="21"/>
      <c r="D262" s="21"/>
      <c r="E262" s="28"/>
      <c r="F262" s="24"/>
      <c r="G262" s="26"/>
      <c r="H262" s="24"/>
      <c r="I262" s="24"/>
      <c r="J262" s="24"/>
      <c r="K262" s="24"/>
      <c r="L262" s="26"/>
      <c r="M262" s="26"/>
      <c r="N262" s="22"/>
      <c r="O262" s="21"/>
      <c r="P262" s="22"/>
      <c r="Q262" s="29" t="str">
        <f aca="false">IF(C262="","",IF(O262&lt;&gt;"",O262,IFERROR(INDEX(Produk!$J$2:$J$100,MATCH(C262,Produk!$A$2:$A$100,0)),"PRODUK?")))</f>
        <v/>
      </c>
      <c r="R262" s="29" t="str">
        <f aca="false">IF(A262="","",IF(COUNTIF(Anggota!$A$2:$A$2001,A262)=0,"TIDAK ADA","OK"))</f>
        <v/>
      </c>
      <c r="S262" s="29" t="str">
        <f aca="false">IF(H262="","",IF(OR(J262="",L262=""),"-",IF(ABS(H262-J262*L262)&gt;Info_Koperasi!$C$10,"SELISIH","OK")))</f>
        <v/>
      </c>
    </row>
    <row r="263" customFormat="false" ht="15" hidden="false" customHeight="false" outlineLevel="0" collapsed="false">
      <c r="A263" s="21"/>
      <c r="B263" s="22"/>
      <c r="C263" s="21"/>
      <c r="D263" s="21"/>
      <c r="E263" s="28"/>
      <c r="F263" s="24"/>
      <c r="G263" s="26"/>
      <c r="H263" s="24"/>
      <c r="I263" s="24"/>
      <c r="J263" s="24"/>
      <c r="K263" s="24"/>
      <c r="L263" s="26"/>
      <c r="M263" s="26"/>
      <c r="N263" s="22"/>
      <c r="O263" s="21"/>
      <c r="P263" s="22"/>
      <c r="Q263" s="29" t="str">
        <f aca="false">IF(C263="","",IF(O263&lt;&gt;"",O263,IFERROR(INDEX(Produk!$J$2:$J$100,MATCH(C263,Produk!$A$2:$A$100,0)),"PRODUK?")))</f>
        <v/>
      </c>
      <c r="R263" s="29" t="str">
        <f aca="false">IF(A263="","",IF(COUNTIF(Anggota!$A$2:$A$2001,A263)=0,"TIDAK ADA","OK"))</f>
        <v/>
      </c>
      <c r="S263" s="29" t="str">
        <f aca="false">IF(H263="","",IF(OR(J263="",L263=""),"-",IF(ABS(H263-J263*L263)&gt;Info_Koperasi!$C$10,"SELISIH","OK")))</f>
        <v/>
      </c>
    </row>
    <row r="264" customFormat="false" ht="15" hidden="false" customHeight="false" outlineLevel="0" collapsed="false">
      <c r="A264" s="21"/>
      <c r="B264" s="22"/>
      <c r="C264" s="21"/>
      <c r="D264" s="21"/>
      <c r="E264" s="28"/>
      <c r="F264" s="24"/>
      <c r="G264" s="26"/>
      <c r="H264" s="24"/>
      <c r="I264" s="24"/>
      <c r="J264" s="24"/>
      <c r="K264" s="24"/>
      <c r="L264" s="26"/>
      <c r="M264" s="26"/>
      <c r="N264" s="22"/>
      <c r="O264" s="21"/>
      <c r="P264" s="22"/>
      <c r="Q264" s="29" t="str">
        <f aca="false">IF(C264="","",IF(O264&lt;&gt;"",O264,IFERROR(INDEX(Produk!$J$2:$J$100,MATCH(C264,Produk!$A$2:$A$100,0)),"PRODUK?")))</f>
        <v/>
      </c>
      <c r="R264" s="29" t="str">
        <f aca="false">IF(A264="","",IF(COUNTIF(Anggota!$A$2:$A$2001,A264)=0,"TIDAK ADA","OK"))</f>
        <v/>
      </c>
      <c r="S264" s="29" t="str">
        <f aca="false">IF(H264="","",IF(OR(J264="",L264=""),"-",IF(ABS(H264-J264*L264)&gt;Info_Koperasi!$C$10,"SELISIH","OK")))</f>
        <v/>
      </c>
    </row>
    <row r="265" customFormat="false" ht="15" hidden="false" customHeight="false" outlineLevel="0" collapsed="false">
      <c r="A265" s="21"/>
      <c r="B265" s="22"/>
      <c r="C265" s="21"/>
      <c r="D265" s="21"/>
      <c r="E265" s="28"/>
      <c r="F265" s="24"/>
      <c r="G265" s="26"/>
      <c r="H265" s="24"/>
      <c r="I265" s="24"/>
      <c r="J265" s="24"/>
      <c r="K265" s="24"/>
      <c r="L265" s="26"/>
      <c r="M265" s="26"/>
      <c r="N265" s="22"/>
      <c r="O265" s="21"/>
      <c r="P265" s="22"/>
      <c r="Q265" s="29" t="str">
        <f aca="false">IF(C265="","",IF(O265&lt;&gt;"",O265,IFERROR(INDEX(Produk!$J$2:$J$100,MATCH(C265,Produk!$A$2:$A$100,0)),"PRODUK?")))</f>
        <v/>
      </c>
      <c r="R265" s="29" t="str">
        <f aca="false">IF(A265="","",IF(COUNTIF(Anggota!$A$2:$A$2001,A265)=0,"TIDAK ADA","OK"))</f>
        <v/>
      </c>
      <c r="S265" s="29" t="str">
        <f aca="false">IF(H265="","",IF(OR(J265="",L265=""),"-",IF(ABS(H265-J265*L265)&gt;Info_Koperasi!$C$10,"SELISIH","OK")))</f>
        <v/>
      </c>
    </row>
    <row r="266" customFormat="false" ht="15" hidden="false" customHeight="false" outlineLevel="0" collapsed="false">
      <c r="A266" s="21"/>
      <c r="B266" s="22"/>
      <c r="C266" s="21"/>
      <c r="D266" s="21"/>
      <c r="E266" s="28"/>
      <c r="F266" s="24"/>
      <c r="G266" s="26"/>
      <c r="H266" s="24"/>
      <c r="I266" s="24"/>
      <c r="J266" s="24"/>
      <c r="K266" s="24"/>
      <c r="L266" s="26"/>
      <c r="M266" s="26"/>
      <c r="N266" s="22"/>
      <c r="O266" s="21"/>
      <c r="P266" s="22"/>
      <c r="Q266" s="29" t="str">
        <f aca="false">IF(C266="","",IF(O266&lt;&gt;"",O266,IFERROR(INDEX(Produk!$J$2:$J$100,MATCH(C266,Produk!$A$2:$A$100,0)),"PRODUK?")))</f>
        <v/>
      </c>
      <c r="R266" s="29" t="str">
        <f aca="false">IF(A266="","",IF(COUNTIF(Anggota!$A$2:$A$2001,A266)=0,"TIDAK ADA","OK"))</f>
        <v/>
      </c>
      <c r="S266" s="29" t="str">
        <f aca="false">IF(H266="","",IF(OR(J266="",L266=""),"-",IF(ABS(H266-J266*L266)&gt;Info_Koperasi!$C$10,"SELISIH","OK")))</f>
        <v/>
      </c>
    </row>
    <row r="267" customFormat="false" ht="15" hidden="false" customHeight="false" outlineLevel="0" collapsed="false">
      <c r="A267" s="21"/>
      <c r="B267" s="22"/>
      <c r="C267" s="21"/>
      <c r="D267" s="21"/>
      <c r="E267" s="28"/>
      <c r="F267" s="24"/>
      <c r="G267" s="26"/>
      <c r="H267" s="24"/>
      <c r="I267" s="24"/>
      <c r="J267" s="24"/>
      <c r="K267" s="24"/>
      <c r="L267" s="26"/>
      <c r="M267" s="26"/>
      <c r="N267" s="22"/>
      <c r="O267" s="21"/>
      <c r="P267" s="22"/>
      <c r="Q267" s="29" t="str">
        <f aca="false">IF(C267="","",IF(O267&lt;&gt;"",O267,IFERROR(INDEX(Produk!$J$2:$J$100,MATCH(C267,Produk!$A$2:$A$100,0)),"PRODUK?")))</f>
        <v/>
      </c>
      <c r="R267" s="29" t="str">
        <f aca="false">IF(A267="","",IF(COUNTIF(Anggota!$A$2:$A$2001,A267)=0,"TIDAK ADA","OK"))</f>
        <v/>
      </c>
      <c r="S267" s="29" t="str">
        <f aca="false">IF(H267="","",IF(OR(J267="",L267=""),"-",IF(ABS(H267-J267*L267)&gt;Info_Koperasi!$C$10,"SELISIH","OK")))</f>
        <v/>
      </c>
    </row>
    <row r="268" customFormat="false" ht="15" hidden="false" customHeight="false" outlineLevel="0" collapsed="false">
      <c r="A268" s="21"/>
      <c r="B268" s="22"/>
      <c r="C268" s="21"/>
      <c r="D268" s="21"/>
      <c r="E268" s="28"/>
      <c r="F268" s="24"/>
      <c r="G268" s="26"/>
      <c r="H268" s="24"/>
      <c r="I268" s="24"/>
      <c r="J268" s="24"/>
      <c r="K268" s="24"/>
      <c r="L268" s="26"/>
      <c r="M268" s="26"/>
      <c r="N268" s="22"/>
      <c r="O268" s="21"/>
      <c r="P268" s="22"/>
      <c r="Q268" s="29" t="str">
        <f aca="false">IF(C268="","",IF(O268&lt;&gt;"",O268,IFERROR(INDEX(Produk!$J$2:$J$100,MATCH(C268,Produk!$A$2:$A$100,0)),"PRODUK?")))</f>
        <v/>
      </c>
      <c r="R268" s="29" t="str">
        <f aca="false">IF(A268="","",IF(COUNTIF(Anggota!$A$2:$A$2001,A268)=0,"TIDAK ADA","OK"))</f>
        <v/>
      </c>
      <c r="S268" s="29" t="str">
        <f aca="false">IF(H268="","",IF(OR(J268="",L268=""),"-",IF(ABS(H268-J268*L268)&gt;Info_Koperasi!$C$10,"SELISIH","OK")))</f>
        <v/>
      </c>
    </row>
    <row r="269" customFormat="false" ht="15" hidden="false" customHeight="false" outlineLevel="0" collapsed="false">
      <c r="A269" s="21"/>
      <c r="B269" s="22"/>
      <c r="C269" s="21"/>
      <c r="D269" s="21"/>
      <c r="E269" s="28"/>
      <c r="F269" s="24"/>
      <c r="G269" s="26"/>
      <c r="H269" s="24"/>
      <c r="I269" s="24"/>
      <c r="J269" s="24"/>
      <c r="K269" s="24"/>
      <c r="L269" s="26"/>
      <c r="M269" s="26"/>
      <c r="N269" s="22"/>
      <c r="O269" s="21"/>
      <c r="P269" s="22"/>
      <c r="Q269" s="29" t="str">
        <f aca="false">IF(C269="","",IF(O269&lt;&gt;"",O269,IFERROR(INDEX(Produk!$J$2:$J$100,MATCH(C269,Produk!$A$2:$A$100,0)),"PRODUK?")))</f>
        <v/>
      </c>
      <c r="R269" s="29" t="str">
        <f aca="false">IF(A269="","",IF(COUNTIF(Anggota!$A$2:$A$2001,A269)=0,"TIDAK ADA","OK"))</f>
        <v/>
      </c>
      <c r="S269" s="29" t="str">
        <f aca="false">IF(H269="","",IF(OR(J269="",L269=""),"-",IF(ABS(H269-J269*L269)&gt;Info_Koperasi!$C$10,"SELISIH","OK")))</f>
        <v/>
      </c>
    </row>
    <row r="270" customFormat="false" ht="15" hidden="false" customHeight="false" outlineLevel="0" collapsed="false">
      <c r="A270" s="21"/>
      <c r="B270" s="22"/>
      <c r="C270" s="21"/>
      <c r="D270" s="21"/>
      <c r="E270" s="28"/>
      <c r="F270" s="24"/>
      <c r="G270" s="26"/>
      <c r="H270" s="24"/>
      <c r="I270" s="24"/>
      <c r="J270" s="24"/>
      <c r="K270" s="24"/>
      <c r="L270" s="26"/>
      <c r="M270" s="26"/>
      <c r="N270" s="22"/>
      <c r="O270" s="21"/>
      <c r="P270" s="22"/>
      <c r="Q270" s="29" t="str">
        <f aca="false">IF(C270="","",IF(O270&lt;&gt;"",O270,IFERROR(INDEX(Produk!$J$2:$J$100,MATCH(C270,Produk!$A$2:$A$100,0)),"PRODUK?")))</f>
        <v/>
      </c>
      <c r="R270" s="29" t="str">
        <f aca="false">IF(A270="","",IF(COUNTIF(Anggota!$A$2:$A$2001,A270)=0,"TIDAK ADA","OK"))</f>
        <v/>
      </c>
      <c r="S270" s="29" t="str">
        <f aca="false">IF(H270="","",IF(OR(J270="",L270=""),"-",IF(ABS(H270-J270*L270)&gt;Info_Koperasi!$C$10,"SELISIH","OK")))</f>
        <v/>
      </c>
    </row>
    <row r="271" customFormat="false" ht="15" hidden="false" customHeight="false" outlineLevel="0" collapsed="false">
      <c r="A271" s="21"/>
      <c r="B271" s="22"/>
      <c r="C271" s="21"/>
      <c r="D271" s="21"/>
      <c r="E271" s="28"/>
      <c r="F271" s="24"/>
      <c r="G271" s="26"/>
      <c r="H271" s="24"/>
      <c r="I271" s="24"/>
      <c r="J271" s="24"/>
      <c r="K271" s="24"/>
      <c r="L271" s="26"/>
      <c r="M271" s="26"/>
      <c r="N271" s="22"/>
      <c r="O271" s="21"/>
      <c r="P271" s="22"/>
      <c r="Q271" s="29" t="str">
        <f aca="false">IF(C271="","",IF(O271&lt;&gt;"",O271,IFERROR(INDEX(Produk!$J$2:$J$100,MATCH(C271,Produk!$A$2:$A$100,0)),"PRODUK?")))</f>
        <v/>
      </c>
      <c r="R271" s="29" t="str">
        <f aca="false">IF(A271="","",IF(COUNTIF(Anggota!$A$2:$A$2001,A271)=0,"TIDAK ADA","OK"))</f>
        <v/>
      </c>
      <c r="S271" s="29" t="str">
        <f aca="false">IF(H271="","",IF(OR(J271="",L271=""),"-",IF(ABS(H271-J271*L271)&gt;Info_Koperasi!$C$10,"SELISIH","OK")))</f>
        <v/>
      </c>
    </row>
    <row r="272" customFormat="false" ht="15" hidden="false" customHeight="false" outlineLevel="0" collapsed="false">
      <c r="A272" s="21"/>
      <c r="B272" s="22"/>
      <c r="C272" s="21"/>
      <c r="D272" s="21"/>
      <c r="E272" s="28"/>
      <c r="F272" s="24"/>
      <c r="G272" s="26"/>
      <c r="H272" s="24"/>
      <c r="I272" s="24"/>
      <c r="J272" s="24"/>
      <c r="K272" s="24"/>
      <c r="L272" s="26"/>
      <c r="M272" s="26"/>
      <c r="N272" s="22"/>
      <c r="O272" s="21"/>
      <c r="P272" s="22"/>
      <c r="Q272" s="29" t="str">
        <f aca="false">IF(C272="","",IF(O272&lt;&gt;"",O272,IFERROR(INDEX(Produk!$J$2:$J$100,MATCH(C272,Produk!$A$2:$A$100,0)),"PRODUK?")))</f>
        <v/>
      </c>
      <c r="R272" s="29" t="str">
        <f aca="false">IF(A272="","",IF(COUNTIF(Anggota!$A$2:$A$2001,A272)=0,"TIDAK ADA","OK"))</f>
        <v/>
      </c>
      <c r="S272" s="29" t="str">
        <f aca="false">IF(H272="","",IF(OR(J272="",L272=""),"-",IF(ABS(H272-J272*L272)&gt;Info_Koperasi!$C$10,"SELISIH","OK")))</f>
        <v/>
      </c>
    </row>
    <row r="273" customFormat="false" ht="15" hidden="false" customHeight="false" outlineLevel="0" collapsed="false">
      <c r="A273" s="21"/>
      <c r="B273" s="22"/>
      <c r="C273" s="21"/>
      <c r="D273" s="21"/>
      <c r="E273" s="28"/>
      <c r="F273" s="24"/>
      <c r="G273" s="26"/>
      <c r="H273" s="24"/>
      <c r="I273" s="24"/>
      <c r="J273" s="24"/>
      <c r="K273" s="24"/>
      <c r="L273" s="26"/>
      <c r="M273" s="26"/>
      <c r="N273" s="22"/>
      <c r="O273" s="21"/>
      <c r="P273" s="22"/>
      <c r="Q273" s="29" t="str">
        <f aca="false">IF(C273="","",IF(O273&lt;&gt;"",O273,IFERROR(INDEX(Produk!$J$2:$J$100,MATCH(C273,Produk!$A$2:$A$100,0)),"PRODUK?")))</f>
        <v/>
      </c>
      <c r="R273" s="29" t="str">
        <f aca="false">IF(A273="","",IF(COUNTIF(Anggota!$A$2:$A$2001,A273)=0,"TIDAK ADA","OK"))</f>
        <v/>
      </c>
      <c r="S273" s="29" t="str">
        <f aca="false">IF(H273="","",IF(OR(J273="",L273=""),"-",IF(ABS(H273-J273*L273)&gt;Info_Koperasi!$C$10,"SELISIH","OK")))</f>
        <v/>
      </c>
    </row>
    <row r="274" customFormat="false" ht="15" hidden="false" customHeight="false" outlineLevel="0" collapsed="false">
      <c r="A274" s="21"/>
      <c r="B274" s="22"/>
      <c r="C274" s="21"/>
      <c r="D274" s="21"/>
      <c r="E274" s="28"/>
      <c r="F274" s="24"/>
      <c r="G274" s="26"/>
      <c r="H274" s="24"/>
      <c r="I274" s="24"/>
      <c r="J274" s="24"/>
      <c r="K274" s="24"/>
      <c r="L274" s="26"/>
      <c r="M274" s="26"/>
      <c r="N274" s="22"/>
      <c r="O274" s="21"/>
      <c r="P274" s="22"/>
      <c r="Q274" s="29" t="str">
        <f aca="false">IF(C274="","",IF(O274&lt;&gt;"",O274,IFERROR(INDEX(Produk!$J$2:$J$100,MATCH(C274,Produk!$A$2:$A$100,0)),"PRODUK?")))</f>
        <v/>
      </c>
      <c r="R274" s="29" t="str">
        <f aca="false">IF(A274="","",IF(COUNTIF(Anggota!$A$2:$A$2001,A274)=0,"TIDAK ADA","OK"))</f>
        <v/>
      </c>
      <c r="S274" s="29" t="str">
        <f aca="false">IF(H274="","",IF(OR(J274="",L274=""),"-",IF(ABS(H274-J274*L274)&gt;Info_Koperasi!$C$10,"SELISIH","OK")))</f>
        <v/>
      </c>
    </row>
    <row r="275" customFormat="false" ht="15" hidden="false" customHeight="false" outlineLevel="0" collapsed="false">
      <c r="A275" s="21"/>
      <c r="B275" s="22"/>
      <c r="C275" s="21"/>
      <c r="D275" s="21"/>
      <c r="E275" s="28"/>
      <c r="F275" s="24"/>
      <c r="G275" s="26"/>
      <c r="H275" s="24"/>
      <c r="I275" s="24"/>
      <c r="J275" s="24"/>
      <c r="K275" s="24"/>
      <c r="L275" s="26"/>
      <c r="M275" s="26"/>
      <c r="N275" s="22"/>
      <c r="O275" s="21"/>
      <c r="P275" s="22"/>
      <c r="Q275" s="29" t="str">
        <f aca="false">IF(C275="","",IF(O275&lt;&gt;"",O275,IFERROR(INDEX(Produk!$J$2:$J$100,MATCH(C275,Produk!$A$2:$A$100,0)),"PRODUK?")))</f>
        <v/>
      </c>
      <c r="R275" s="29" t="str">
        <f aca="false">IF(A275="","",IF(COUNTIF(Anggota!$A$2:$A$2001,A275)=0,"TIDAK ADA","OK"))</f>
        <v/>
      </c>
      <c r="S275" s="29" t="str">
        <f aca="false">IF(H275="","",IF(OR(J275="",L275=""),"-",IF(ABS(H275-J275*L275)&gt;Info_Koperasi!$C$10,"SELISIH","OK")))</f>
        <v/>
      </c>
    </row>
    <row r="276" customFormat="false" ht="15" hidden="false" customHeight="false" outlineLevel="0" collapsed="false">
      <c r="A276" s="21"/>
      <c r="B276" s="22"/>
      <c r="C276" s="21"/>
      <c r="D276" s="21"/>
      <c r="E276" s="28"/>
      <c r="F276" s="24"/>
      <c r="G276" s="26"/>
      <c r="H276" s="24"/>
      <c r="I276" s="24"/>
      <c r="J276" s="24"/>
      <c r="K276" s="24"/>
      <c r="L276" s="26"/>
      <c r="M276" s="26"/>
      <c r="N276" s="22"/>
      <c r="O276" s="21"/>
      <c r="P276" s="22"/>
      <c r="Q276" s="29" t="str">
        <f aca="false">IF(C276="","",IF(O276&lt;&gt;"",O276,IFERROR(INDEX(Produk!$J$2:$J$100,MATCH(C276,Produk!$A$2:$A$100,0)),"PRODUK?")))</f>
        <v/>
      </c>
      <c r="R276" s="29" t="str">
        <f aca="false">IF(A276="","",IF(COUNTIF(Anggota!$A$2:$A$2001,A276)=0,"TIDAK ADA","OK"))</f>
        <v/>
      </c>
      <c r="S276" s="29" t="str">
        <f aca="false">IF(H276="","",IF(OR(J276="",L276=""),"-",IF(ABS(H276-J276*L276)&gt;Info_Koperasi!$C$10,"SELISIH","OK")))</f>
        <v/>
      </c>
    </row>
    <row r="277" customFormat="false" ht="15" hidden="false" customHeight="false" outlineLevel="0" collapsed="false">
      <c r="A277" s="21"/>
      <c r="B277" s="22"/>
      <c r="C277" s="21"/>
      <c r="D277" s="21"/>
      <c r="E277" s="28"/>
      <c r="F277" s="24"/>
      <c r="G277" s="26"/>
      <c r="H277" s="24"/>
      <c r="I277" s="24"/>
      <c r="J277" s="24"/>
      <c r="K277" s="24"/>
      <c r="L277" s="26"/>
      <c r="M277" s="26"/>
      <c r="N277" s="22"/>
      <c r="O277" s="21"/>
      <c r="P277" s="22"/>
      <c r="Q277" s="29" t="str">
        <f aca="false">IF(C277="","",IF(O277&lt;&gt;"",O277,IFERROR(INDEX(Produk!$J$2:$J$100,MATCH(C277,Produk!$A$2:$A$100,0)),"PRODUK?")))</f>
        <v/>
      </c>
      <c r="R277" s="29" t="str">
        <f aca="false">IF(A277="","",IF(COUNTIF(Anggota!$A$2:$A$2001,A277)=0,"TIDAK ADA","OK"))</f>
        <v/>
      </c>
      <c r="S277" s="29" t="str">
        <f aca="false">IF(H277="","",IF(OR(J277="",L277=""),"-",IF(ABS(H277-J277*L277)&gt;Info_Koperasi!$C$10,"SELISIH","OK")))</f>
        <v/>
      </c>
    </row>
    <row r="278" customFormat="false" ht="15" hidden="false" customHeight="false" outlineLevel="0" collapsed="false">
      <c r="A278" s="21"/>
      <c r="B278" s="22"/>
      <c r="C278" s="21"/>
      <c r="D278" s="21"/>
      <c r="E278" s="28"/>
      <c r="F278" s="24"/>
      <c r="G278" s="26"/>
      <c r="H278" s="24"/>
      <c r="I278" s="24"/>
      <c r="J278" s="24"/>
      <c r="K278" s="24"/>
      <c r="L278" s="26"/>
      <c r="M278" s="26"/>
      <c r="N278" s="22"/>
      <c r="O278" s="21"/>
      <c r="P278" s="22"/>
      <c r="Q278" s="29" t="str">
        <f aca="false">IF(C278="","",IF(O278&lt;&gt;"",O278,IFERROR(INDEX(Produk!$J$2:$J$100,MATCH(C278,Produk!$A$2:$A$100,0)),"PRODUK?")))</f>
        <v/>
      </c>
      <c r="R278" s="29" t="str">
        <f aca="false">IF(A278="","",IF(COUNTIF(Anggota!$A$2:$A$2001,A278)=0,"TIDAK ADA","OK"))</f>
        <v/>
      </c>
      <c r="S278" s="29" t="str">
        <f aca="false">IF(H278="","",IF(OR(J278="",L278=""),"-",IF(ABS(H278-J278*L278)&gt;Info_Koperasi!$C$10,"SELISIH","OK")))</f>
        <v/>
      </c>
    </row>
    <row r="279" customFormat="false" ht="15" hidden="false" customHeight="false" outlineLevel="0" collapsed="false">
      <c r="A279" s="21"/>
      <c r="B279" s="22"/>
      <c r="C279" s="21"/>
      <c r="D279" s="21"/>
      <c r="E279" s="28"/>
      <c r="F279" s="24"/>
      <c r="G279" s="26"/>
      <c r="H279" s="24"/>
      <c r="I279" s="24"/>
      <c r="J279" s="24"/>
      <c r="K279" s="24"/>
      <c r="L279" s="26"/>
      <c r="M279" s="26"/>
      <c r="N279" s="22"/>
      <c r="O279" s="21"/>
      <c r="P279" s="22"/>
      <c r="Q279" s="29" t="str">
        <f aca="false">IF(C279="","",IF(O279&lt;&gt;"",O279,IFERROR(INDEX(Produk!$J$2:$J$100,MATCH(C279,Produk!$A$2:$A$100,0)),"PRODUK?")))</f>
        <v/>
      </c>
      <c r="R279" s="29" t="str">
        <f aca="false">IF(A279="","",IF(COUNTIF(Anggota!$A$2:$A$2001,A279)=0,"TIDAK ADA","OK"))</f>
        <v/>
      </c>
      <c r="S279" s="29" t="str">
        <f aca="false">IF(H279="","",IF(OR(J279="",L279=""),"-",IF(ABS(H279-J279*L279)&gt;Info_Koperasi!$C$10,"SELISIH","OK")))</f>
        <v/>
      </c>
    </row>
    <row r="280" customFormat="false" ht="15" hidden="false" customHeight="false" outlineLevel="0" collapsed="false">
      <c r="A280" s="21"/>
      <c r="B280" s="22"/>
      <c r="C280" s="21"/>
      <c r="D280" s="21"/>
      <c r="E280" s="28"/>
      <c r="F280" s="24"/>
      <c r="G280" s="26"/>
      <c r="H280" s="24"/>
      <c r="I280" s="24"/>
      <c r="J280" s="24"/>
      <c r="K280" s="24"/>
      <c r="L280" s="26"/>
      <c r="M280" s="26"/>
      <c r="N280" s="22"/>
      <c r="O280" s="21"/>
      <c r="P280" s="22"/>
      <c r="Q280" s="29" t="str">
        <f aca="false">IF(C280="","",IF(O280&lt;&gt;"",O280,IFERROR(INDEX(Produk!$J$2:$J$100,MATCH(C280,Produk!$A$2:$A$100,0)),"PRODUK?")))</f>
        <v/>
      </c>
      <c r="R280" s="29" t="str">
        <f aca="false">IF(A280="","",IF(COUNTIF(Anggota!$A$2:$A$2001,A280)=0,"TIDAK ADA","OK"))</f>
        <v/>
      </c>
      <c r="S280" s="29" t="str">
        <f aca="false">IF(H280="","",IF(OR(J280="",L280=""),"-",IF(ABS(H280-J280*L280)&gt;Info_Koperasi!$C$10,"SELISIH","OK")))</f>
        <v/>
      </c>
    </row>
    <row r="281" customFormat="false" ht="15" hidden="false" customHeight="false" outlineLevel="0" collapsed="false">
      <c r="A281" s="21"/>
      <c r="B281" s="22"/>
      <c r="C281" s="21"/>
      <c r="D281" s="21"/>
      <c r="E281" s="28"/>
      <c r="F281" s="24"/>
      <c r="G281" s="26"/>
      <c r="H281" s="24"/>
      <c r="I281" s="24"/>
      <c r="J281" s="24"/>
      <c r="K281" s="24"/>
      <c r="L281" s="26"/>
      <c r="M281" s="26"/>
      <c r="N281" s="22"/>
      <c r="O281" s="21"/>
      <c r="P281" s="22"/>
      <c r="Q281" s="29" t="str">
        <f aca="false">IF(C281="","",IF(O281&lt;&gt;"",O281,IFERROR(INDEX(Produk!$J$2:$J$100,MATCH(C281,Produk!$A$2:$A$100,0)),"PRODUK?")))</f>
        <v/>
      </c>
      <c r="R281" s="29" t="str">
        <f aca="false">IF(A281="","",IF(COUNTIF(Anggota!$A$2:$A$2001,A281)=0,"TIDAK ADA","OK"))</f>
        <v/>
      </c>
      <c r="S281" s="29" t="str">
        <f aca="false">IF(H281="","",IF(OR(J281="",L281=""),"-",IF(ABS(H281-J281*L281)&gt;Info_Koperasi!$C$10,"SELISIH","OK")))</f>
        <v/>
      </c>
    </row>
    <row r="282" customFormat="false" ht="15" hidden="false" customHeight="false" outlineLevel="0" collapsed="false">
      <c r="A282" s="21"/>
      <c r="B282" s="22"/>
      <c r="C282" s="21"/>
      <c r="D282" s="21"/>
      <c r="E282" s="28"/>
      <c r="F282" s="24"/>
      <c r="G282" s="26"/>
      <c r="H282" s="24"/>
      <c r="I282" s="24"/>
      <c r="J282" s="24"/>
      <c r="K282" s="24"/>
      <c r="L282" s="26"/>
      <c r="M282" s="26"/>
      <c r="N282" s="22"/>
      <c r="O282" s="21"/>
      <c r="P282" s="22"/>
      <c r="Q282" s="29" t="str">
        <f aca="false">IF(C282="","",IF(O282&lt;&gt;"",O282,IFERROR(INDEX(Produk!$J$2:$J$100,MATCH(C282,Produk!$A$2:$A$100,0)),"PRODUK?")))</f>
        <v/>
      </c>
      <c r="R282" s="29" t="str">
        <f aca="false">IF(A282="","",IF(COUNTIF(Anggota!$A$2:$A$2001,A282)=0,"TIDAK ADA","OK"))</f>
        <v/>
      </c>
      <c r="S282" s="29" t="str">
        <f aca="false">IF(H282="","",IF(OR(J282="",L282=""),"-",IF(ABS(H282-J282*L282)&gt;Info_Koperasi!$C$10,"SELISIH","OK")))</f>
        <v/>
      </c>
    </row>
    <row r="283" customFormat="false" ht="15" hidden="false" customHeight="false" outlineLevel="0" collapsed="false">
      <c r="A283" s="21"/>
      <c r="B283" s="22"/>
      <c r="C283" s="21"/>
      <c r="D283" s="21"/>
      <c r="E283" s="28"/>
      <c r="F283" s="24"/>
      <c r="G283" s="26"/>
      <c r="H283" s="24"/>
      <c r="I283" s="24"/>
      <c r="J283" s="24"/>
      <c r="K283" s="24"/>
      <c r="L283" s="26"/>
      <c r="M283" s="26"/>
      <c r="N283" s="22"/>
      <c r="O283" s="21"/>
      <c r="P283" s="22"/>
      <c r="Q283" s="29" t="str">
        <f aca="false">IF(C283="","",IF(O283&lt;&gt;"",O283,IFERROR(INDEX(Produk!$J$2:$J$100,MATCH(C283,Produk!$A$2:$A$100,0)),"PRODUK?")))</f>
        <v/>
      </c>
      <c r="R283" s="29" t="str">
        <f aca="false">IF(A283="","",IF(COUNTIF(Anggota!$A$2:$A$2001,A283)=0,"TIDAK ADA","OK"))</f>
        <v/>
      </c>
      <c r="S283" s="29" t="str">
        <f aca="false">IF(H283="","",IF(OR(J283="",L283=""),"-",IF(ABS(H283-J283*L283)&gt;Info_Koperasi!$C$10,"SELISIH","OK")))</f>
        <v/>
      </c>
    </row>
    <row r="284" customFormat="false" ht="15" hidden="false" customHeight="false" outlineLevel="0" collapsed="false">
      <c r="A284" s="21"/>
      <c r="B284" s="22"/>
      <c r="C284" s="21"/>
      <c r="D284" s="21"/>
      <c r="E284" s="28"/>
      <c r="F284" s="24"/>
      <c r="G284" s="26"/>
      <c r="H284" s="24"/>
      <c r="I284" s="24"/>
      <c r="J284" s="24"/>
      <c r="K284" s="24"/>
      <c r="L284" s="26"/>
      <c r="M284" s="26"/>
      <c r="N284" s="22"/>
      <c r="O284" s="21"/>
      <c r="P284" s="22"/>
      <c r="Q284" s="29" t="str">
        <f aca="false">IF(C284="","",IF(O284&lt;&gt;"",O284,IFERROR(INDEX(Produk!$J$2:$J$100,MATCH(C284,Produk!$A$2:$A$100,0)),"PRODUK?")))</f>
        <v/>
      </c>
      <c r="R284" s="29" t="str">
        <f aca="false">IF(A284="","",IF(COUNTIF(Anggota!$A$2:$A$2001,A284)=0,"TIDAK ADA","OK"))</f>
        <v/>
      </c>
      <c r="S284" s="29" t="str">
        <f aca="false">IF(H284="","",IF(OR(J284="",L284=""),"-",IF(ABS(H284-J284*L284)&gt;Info_Koperasi!$C$10,"SELISIH","OK")))</f>
        <v/>
      </c>
    </row>
    <row r="285" customFormat="false" ht="15" hidden="false" customHeight="false" outlineLevel="0" collapsed="false">
      <c r="A285" s="21"/>
      <c r="B285" s="22"/>
      <c r="C285" s="21"/>
      <c r="D285" s="21"/>
      <c r="E285" s="28"/>
      <c r="F285" s="24"/>
      <c r="G285" s="26"/>
      <c r="H285" s="24"/>
      <c r="I285" s="24"/>
      <c r="J285" s="24"/>
      <c r="K285" s="24"/>
      <c r="L285" s="26"/>
      <c r="M285" s="26"/>
      <c r="N285" s="22"/>
      <c r="O285" s="21"/>
      <c r="P285" s="22"/>
      <c r="Q285" s="29" t="str">
        <f aca="false">IF(C285="","",IF(O285&lt;&gt;"",O285,IFERROR(INDEX(Produk!$J$2:$J$100,MATCH(C285,Produk!$A$2:$A$100,0)),"PRODUK?")))</f>
        <v/>
      </c>
      <c r="R285" s="29" t="str">
        <f aca="false">IF(A285="","",IF(COUNTIF(Anggota!$A$2:$A$2001,A285)=0,"TIDAK ADA","OK"))</f>
        <v/>
      </c>
      <c r="S285" s="29" t="str">
        <f aca="false">IF(H285="","",IF(OR(J285="",L285=""),"-",IF(ABS(H285-J285*L285)&gt;Info_Koperasi!$C$10,"SELISIH","OK")))</f>
        <v/>
      </c>
    </row>
    <row r="286" customFormat="false" ht="15" hidden="false" customHeight="false" outlineLevel="0" collapsed="false">
      <c r="A286" s="21"/>
      <c r="B286" s="22"/>
      <c r="C286" s="21"/>
      <c r="D286" s="21"/>
      <c r="E286" s="28"/>
      <c r="F286" s="24"/>
      <c r="G286" s="26"/>
      <c r="H286" s="24"/>
      <c r="I286" s="24"/>
      <c r="J286" s="24"/>
      <c r="K286" s="24"/>
      <c r="L286" s="26"/>
      <c r="M286" s="26"/>
      <c r="N286" s="22"/>
      <c r="O286" s="21"/>
      <c r="P286" s="22"/>
      <c r="Q286" s="29" t="str">
        <f aca="false">IF(C286="","",IF(O286&lt;&gt;"",O286,IFERROR(INDEX(Produk!$J$2:$J$100,MATCH(C286,Produk!$A$2:$A$100,0)),"PRODUK?")))</f>
        <v/>
      </c>
      <c r="R286" s="29" t="str">
        <f aca="false">IF(A286="","",IF(COUNTIF(Anggota!$A$2:$A$2001,A286)=0,"TIDAK ADA","OK"))</f>
        <v/>
      </c>
      <c r="S286" s="29" t="str">
        <f aca="false">IF(H286="","",IF(OR(J286="",L286=""),"-",IF(ABS(H286-J286*L286)&gt;Info_Koperasi!$C$10,"SELISIH","OK")))</f>
        <v/>
      </c>
    </row>
    <row r="287" customFormat="false" ht="15" hidden="false" customHeight="false" outlineLevel="0" collapsed="false">
      <c r="A287" s="21"/>
      <c r="B287" s="22"/>
      <c r="C287" s="21"/>
      <c r="D287" s="21"/>
      <c r="E287" s="28"/>
      <c r="F287" s="24"/>
      <c r="G287" s="26"/>
      <c r="H287" s="24"/>
      <c r="I287" s="24"/>
      <c r="J287" s="24"/>
      <c r="K287" s="24"/>
      <c r="L287" s="26"/>
      <c r="M287" s="26"/>
      <c r="N287" s="22"/>
      <c r="O287" s="21"/>
      <c r="P287" s="22"/>
      <c r="Q287" s="29" t="str">
        <f aca="false">IF(C287="","",IF(O287&lt;&gt;"",O287,IFERROR(INDEX(Produk!$J$2:$J$100,MATCH(C287,Produk!$A$2:$A$100,0)),"PRODUK?")))</f>
        <v/>
      </c>
      <c r="R287" s="29" t="str">
        <f aca="false">IF(A287="","",IF(COUNTIF(Anggota!$A$2:$A$2001,A287)=0,"TIDAK ADA","OK"))</f>
        <v/>
      </c>
      <c r="S287" s="29" t="str">
        <f aca="false">IF(H287="","",IF(OR(J287="",L287=""),"-",IF(ABS(H287-J287*L287)&gt;Info_Koperasi!$C$10,"SELISIH","OK")))</f>
        <v/>
      </c>
    </row>
    <row r="288" customFormat="false" ht="15" hidden="false" customHeight="false" outlineLevel="0" collapsed="false">
      <c r="A288" s="21"/>
      <c r="B288" s="22"/>
      <c r="C288" s="21"/>
      <c r="D288" s="21"/>
      <c r="E288" s="28"/>
      <c r="F288" s="24"/>
      <c r="G288" s="26"/>
      <c r="H288" s="24"/>
      <c r="I288" s="24"/>
      <c r="J288" s="24"/>
      <c r="K288" s="24"/>
      <c r="L288" s="26"/>
      <c r="M288" s="26"/>
      <c r="N288" s="22"/>
      <c r="O288" s="21"/>
      <c r="P288" s="22"/>
      <c r="Q288" s="29" t="str">
        <f aca="false">IF(C288="","",IF(O288&lt;&gt;"",O288,IFERROR(INDEX(Produk!$J$2:$J$100,MATCH(C288,Produk!$A$2:$A$100,0)),"PRODUK?")))</f>
        <v/>
      </c>
      <c r="R288" s="29" t="str">
        <f aca="false">IF(A288="","",IF(COUNTIF(Anggota!$A$2:$A$2001,A288)=0,"TIDAK ADA","OK"))</f>
        <v/>
      </c>
      <c r="S288" s="29" t="str">
        <f aca="false">IF(H288="","",IF(OR(J288="",L288=""),"-",IF(ABS(H288-J288*L288)&gt;Info_Koperasi!$C$10,"SELISIH","OK")))</f>
        <v/>
      </c>
    </row>
    <row r="289" customFormat="false" ht="15" hidden="false" customHeight="false" outlineLevel="0" collapsed="false">
      <c r="A289" s="21"/>
      <c r="B289" s="22"/>
      <c r="C289" s="21"/>
      <c r="D289" s="21"/>
      <c r="E289" s="28"/>
      <c r="F289" s="24"/>
      <c r="G289" s="26"/>
      <c r="H289" s="24"/>
      <c r="I289" s="24"/>
      <c r="J289" s="24"/>
      <c r="K289" s="24"/>
      <c r="L289" s="26"/>
      <c r="M289" s="26"/>
      <c r="N289" s="22"/>
      <c r="O289" s="21"/>
      <c r="P289" s="22"/>
      <c r="Q289" s="29" t="str">
        <f aca="false">IF(C289="","",IF(O289&lt;&gt;"",O289,IFERROR(INDEX(Produk!$J$2:$J$100,MATCH(C289,Produk!$A$2:$A$100,0)),"PRODUK?")))</f>
        <v/>
      </c>
      <c r="R289" s="29" t="str">
        <f aca="false">IF(A289="","",IF(COUNTIF(Anggota!$A$2:$A$2001,A289)=0,"TIDAK ADA","OK"))</f>
        <v/>
      </c>
      <c r="S289" s="29" t="str">
        <f aca="false">IF(H289="","",IF(OR(J289="",L289=""),"-",IF(ABS(H289-J289*L289)&gt;Info_Koperasi!$C$10,"SELISIH","OK")))</f>
        <v/>
      </c>
    </row>
    <row r="290" customFormat="false" ht="15" hidden="false" customHeight="false" outlineLevel="0" collapsed="false">
      <c r="A290" s="21"/>
      <c r="B290" s="22"/>
      <c r="C290" s="21"/>
      <c r="D290" s="21"/>
      <c r="E290" s="28"/>
      <c r="F290" s="24"/>
      <c r="G290" s="26"/>
      <c r="H290" s="24"/>
      <c r="I290" s="24"/>
      <c r="J290" s="24"/>
      <c r="K290" s="24"/>
      <c r="L290" s="26"/>
      <c r="M290" s="26"/>
      <c r="N290" s="22"/>
      <c r="O290" s="21"/>
      <c r="P290" s="22"/>
      <c r="Q290" s="29" t="str">
        <f aca="false">IF(C290="","",IF(O290&lt;&gt;"",O290,IFERROR(INDEX(Produk!$J$2:$J$100,MATCH(C290,Produk!$A$2:$A$100,0)),"PRODUK?")))</f>
        <v/>
      </c>
      <c r="R290" s="29" t="str">
        <f aca="false">IF(A290="","",IF(COUNTIF(Anggota!$A$2:$A$2001,A290)=0,"TIDAK ADA","OK"))</f>
        <v/>
      </c>
      <c r="S290" s="29" t="str">
        <f aca="false">IF(H290="","",IF(OR(J290="",L290=""),"-",IF(ABS(H290-J290*L290)&gt;Info_Koperasi!$C$10,"SELISIH","OK")))</f>
        <v/>
      </c>
    </row>
    <row r="291" customFormat="false" ht="15" hidden="false" customHeight="false" outlineLevel="0" collapsed="false">
      <c r="A291" s="21"/>
      <c r="B291" s="22"/>
      <c r="C291" s="21"/>
      <c r="D291" s="21"/>
      <c r="E291" s="28"/>
      <c r="F291" s="24"/>
      <c r="G291" s="26"/>
      <c r="H291" s="24"/>
      <c r="I291" s="24"/>
      <c r="J291" s="24"/>
      <c r="K291" s="24"/>
      <c r="L291" s="26"/>
      <c r="M291" s="26"/>
      <c r="N291" s="22"/>
      <c r="O291" s="21"/>
      <c r="P291" s="22"/>
      <c r="Q291" s="29" t="str">
        <f aca="false">IF(C291="","",IF(O291&lt;&gt;"",O291,IFERROR(INDEX(Produk!$J$2:$J$100,MATCH(C291,Produk!$A$2:$A$100,0)),"PRODUK?")))</f>
        <v/>
      </c>
      <c r="R291" s="29" t="str">
        <f aca="false">IF(A291="","",IF(COUNTIF(Anggota!$A$2:$A$2001,A291)=0,"TIDAK ADA","OK"))</f>
        <v/>
      </c>
      <c r="S291" s="29" t="str">
        <f aca="false">IF(H291="","",IF(OR(J291="",L291=""),"-",IF(ABS(H291-J291*L291)&gt;Info_Koperasi!$C$10,"SELISIH","OK")))</f>
        <v/>
      </c>
    </row>
    <row r="292" customFormat="false" ht="15" hidden="false" customHeight="false" outlineLevel="0" collapsed="false">
      <c r="A292" s="21"/>
      <c r="B292" s="22"/>
      <c r="C292" s="21"/>
      <c r="D292" s="21"/>
      <c r="E292" s="28"/>
      <c r="F292" s="24"/>
      <c r="G292" s="26"/>
      <c r="H292" s="24"/>
      <c r="I292" s="24"/>
      <c r="J292" s="24"/>
      <c r="K292" s="24"/>
      <c r="L292" s="26"/>
      <c r="M292" s="26"/>
      <c r="N292" s="22"/>
      <c r="O292" s="21"/>
      <c r="P292" s="22"/>
      <c r="Q292" s="29" t="str">
        <f aca="false">IF(C292="","",IF(O292&lt;&gt;"",O292,IFERROR(INDEX(Produk!$J$2:$J$100,MATCH(C292,Produk!$A$2:$A$100,0)),"PRODUK?")))</f>
        <v/>
      </c>
      <c r="R292" s="29" t="str">
        <f aca="false">IF(A292="","",IF(COUNTIF(Anggota!$A$2:$A$2001,A292)=0,"TIDAK ADA","OK"))</f>
        <v/>
      </c>
      <c r="S292" s="29" t="str">
        <f aca="false">IF(H292="","",IF(OR(J292="",L292=""),"-",IF(ABS(H292-J292*L292)&gt;Info_Koperasi!$C$10,"SELISIH","OK")))</f>
        <v/>
      </c>
    </row>
    <row r="293" customFormat="false" ht="15" hidden="false" customHeight="false" outlineLevel="0" collapsed="false">
      <c r="A293" s="21"/>
      <c r="B293" s="22"/>
      <c r="C293" s="21"/>
      <c r="D293" s="21"/>
      <c r="E293" s="28"/>
      <c r="F293" s="24"/>
      <c r="G293" s="26"/>
      <c r="H293" s="24"/>
      <c r="I293" s="24"/>
      <c r="J293" s="24"/>
      <c r="K293" s="24"/>
      <c r="L293" s="26"/>
      <c r="M293" s="26"/>
      <c r="N293" s="22"/>
      <c r="O293" s="21"/>
      <c r="P293" s="22"/>
      <c r="Q293" s="29" t="str">
        <f aca="false">IF(C293="","",IF(O293&lt;&gt;"",O293,IFERROR(INDEX(Produk!$J$2:$J$100,MATCH(C293,Produk!$A$2:$A$100,0)),"PRODUK?")))</f>
        <v/>
      </c>
      <c r="R293" s="29" t="str">
        <f aca="false">IF(A293="","",IF(COUNTIF(Anggota!$A$2:$A$2001,A293)=0,"TIDAK ADA","OK"))</f>
        <v/>
      </c>
      <c r="S293" s="29" t="str">
        <f aca="false">IF(H293="","",IF(OR(J293="",L293=""),"-",IF(ABS(H293-J293*L293)&gt;Info_Koperasi!$C$10,"SELISIH","OK")))</f>
        <v/>
      </c>
    </row>
    <row r="294" customFormat="false" ht="15" hidden="false" customHeight="false" outlineLevel="0" collapsed="false">
      <c r="A294" s="21"/>
      <c r="B294" s="22"/>
      <c r="C294" s="21"/>
      <c r="D294" s="21"/>
      <c r="E294" s="28"/>
      <c r="F294" s="24"/>
      <c r="G294" s="26"/>
      <c r="H294" s="24"/>
      <c r="I294" s="24"/>
      <c r="J294" s="24"/>
      <c r="K294" s="24"/>
      <c r="L294" s="26"/>
      <c r="M294" s="26"/>
      <c r="N294" s="22"/>
      <c r="O294" s="21"/>
      <c r="P294" s="22"/>
      <c r="Q294" s="29" t="str">
        <f aca="false">IF(C294="","",IF(O294&lt;&gt;"",O294,IFERROR(INDEX(Produk!$J$2:$J$100,MATCH(C294,Produk!$A$2:$A$100,0)),"PRODUK?")))</f>
        <v/>
      </c>
      <c r="R294" s="29" t="str">
        <f aca="false">IF(A294="","",IF(COUNTIF(Anggota!$A$2:$A$2001,A294)=0,"TIDAK ADA","OK"))</f>
        <v/>
      </c>
      <c r="S294" s="29" t="str">
        <f aca="false">IF(H294="","",IF(OR(J294="",L294=""),"-",IF(ABS(H294-J294*L294)&gt;Info_Koperasi!$C$10,"SELISIH","OK")))</f>
        <v/>
      </c>
    </row>
    <row r="295" customFormat="false" ht="15" hidden="false" customHeight="false" outlineLevel="0" collapsed="false">
      <c r="A295" s="21"/>
      <c r="B295" s="22"/>
      <c r="C295" s="21"/>
      <c r="D295" s="21"/>
      <c r="E295" s="28"/>
      <c r="F295" s="24"/>
      <c r="G295" s="26"/>
      <c r="H295" s="24"/>
      <c r="I295" s="24"/>
      <c r="J295" s="24"/>
      <c r="K295" s="24"/>
      <c r="L295" s="26"/>
      <c r="M295" s="26"/>
      <c r="N295" s="22"/>
      <c r="O295" s="21"/>
      <c r="P295" s="22"/>
      <c r="Q295" s="29" t="str">
        <f aca="false">IF(C295="","",IF(O295&lt;&gt;"",O295,IFERROR(INDEX(Produk!$J$2:$J$100,MATCH(C295,Produk!$A$2:$A$100,0)),"PRODUK?")))</f>
        <v/>
      </c>
      <c r="R295" s="29" t="str">
        <f aca="false">IF(A295="","",IF(COUNTIF(Anggota!$A$2:$A$2001,A295)=0,"TIDAK ADA","OK"))</f>
        <v/>
      </c>
      <c r="S295" s="29" t="str">
        <f aca="false">IF(H295="","",IF(OR(J295="",L295=""),"-",IF(ABS(H295-J295*L295)&gt;Info_Koperasi!$C$10,"SELISIH","OK")))</f>
        <v/>
      </c>
    </row>
    <row r="296" customFormat="false" ht="15" hidden="false" customHeight="false" outlineLevel="0" collapsed="false">
      <c r="A296" s="21"/>
      <c r="B296" s="22"/>
      <c r="C296" s="21"/>
      <c r="D296" s="21"/>
      <c r="E296" s="28"/>
      <c r="F296" s="24"/>
      <c r="G296" s="26"/>
      <c r="H296" s="24"/>
      <c r="I296" s="24"/>
      <c r="J296" s="24"/>
      <c r="K296" s="24"/>
      <c r="L296" s="26"/>
      <c r="M296" s="26"/>
      <c r="N296" s="22"/>
      <c r="O296" s="21"/>
      <c r="P296" s="22"/>
      <c r="Q296" s="29" t="str">
        <f aca="false">IF(C296="","",IF(O296&lt;&gt;"",O296,IFERROR(INDEX(Produk!$J$2:$J$100,MATCH(C296,Produk!$A$2:$A$100,0)),"PRODUK?")))</f>
        <v/>
      </c>
      <c r="R296" s="29" t="str">
        <f aca="false">IF(A296="","",IF(COUNTIF(Anggota!$A$2:$A$2001,A296)=0,"TIDAK ADA","OK"))</f>
        <v/>
      </c>
      <c r="S296" s="29" t="str">
        <f aca="false">IF(H296="","",IF(OR(J296="",L296=""),"-",IF(ABS(H296-J296*L296)&gt;Info_Koperasi!$C$10,"SELISIH","OK")))</f>
        <v/>
      </c>
    </row>
    <row r="297" customFormat="false" ht="15" hidden="false" customHeight="false" outlineLevel="0" collapsed="false">
      <c r="A297" s="21"/>
      <c r="B297" s="22"/>
      <c r="C297" s="21"/>
      <c r="D297" s="21"/>
      <c r="E297" s="28"/>
      <c r="F297" s="24"/>
      <c r="G297" s="26"/>
      <c r="H297" s="24"/>
      <c r="I297" s="24"/>
      <c r="J297" s="24"/>
      <c r="K297" s="24"/>
      <c r="L297" s="26"/>
      <c r="M297" s="26"/>
      <c r="N297" s="22"/>
      <c r="O297" s="21"/>
      <c r="P297" s="22"/>
      <c r="Q297" s="29" t="str">
        <f aca="false">IF(C297="","",IF(O297&lt;&gt;"",O297,IFERROR(INDEX(Produk!$J$2:$J$100,MATCH(C297,Produk!$A$2:$A$100,0)),"PRODUK?")))</f>
        <v/>
      </c>
      <c r="R297" s="29" t="str">
        <f aca="false">IF(A297="","",IF(COUNTIF(Anggota!$A$2:$A$2001,A297)=0,"TIDAK ADA","OK"))</f>
        <v/>
      </c>
      <c r="S297" s="29" t="str">
        <f aca="false">IF(H297="","",IF(OR(J297="",L297=""),"-",IF(ABS(H297-J297*L297)&gt;Info_Koperasi!$C$10,"SELISIH","OK")))</f>
        <v/>
      </c>
    </row>
    <row r="298" customFormat="false" ht="15" hidden="false" customHeight="false" outlineLevel="0" collapsed="false">
      <c r="A298" s="21"/>
      <c r="B298" s="22"/>
      <c r="C298" s="21"/>
      <c r="D298" s="21"/>
      <c r="E298" s="28"/>
      <c r="F298" s="24"/>
      <c r="G298" s="26"/>
      <c r="H298" s="24"/>
      <c r="I298" s="24"/>
      <c r="J298" s="24"/>
      <c r="K298" s="24"/>
      <c r="L298" s="26"/>
      <c r="M298" s="26"/>
      <c r="N298" s="22"/>
      <c r="O298" s="21"/>
      <c r="P298" s="22"/>
      <c r="Q298" s="29" t="str">
        <f aca="false">IF(C298="","",IF(O298&lt;&gt;"",O298,IFERROR(INDEX(Produk!$J$2:$J$100,MATCH(C298,Produk!$A$2:$A$100,0)),"PRODUK?")))</f>
        <v/>
      </c>
      <c r="R298" s="29" t="str">
        <f aca="false">IF(A298="","",IF(COUNTIF(Anggota!$A$2:$A$2001,A298)=0,"TIDAK ADA","OK"))</f>
        <v/>
      </c>
      <c r="S298" s="29" t="str">
        <f aca="false">IF(H298="","",IF(OR(J298="",L298=""),"-",IF(ABS(H298-J298*L298)&gt;Info_Koperasi!$C$10,"SELISIH","OK")))</f>
        <v/>
      </c>
    </row>
    <row r="299" customFormat="false" ht="15" hidden="false" customHeight="false" outlineLevel="0" collapsed="false">
      <c r="A299" s="21"/>
      <c r="B299" s="22"/>
      <c r="C299" s="21"/>
      <c r="D299" s="21"/>
      <c r="E299" s="28"/>
      <c r="F299" s="24"/>
      <c r="G299" s="26"/>
      <c r="H299" s="24"/>
      <c r="I299" s="24"/>
      <c r="J299" s="24"/>
      <c r="K299" s="24"/>
      <c r="L299" s="26"/>
      <c r="M299" s="26"/>
      <c r="N299" s="22"/>
      <c r="O299" s="21"/>
      <c r="P299" s="22"/>
      <c r="Q299" s="29" t="str">
        <f aca="false">IF(C299="","",IF(O299&lt;&gt;"",O299,IFERROR(INDEX(Produk!$J$2:$J$100,MATCH(C299,Produk!$A$2:$A$100,0)),"PRODUK?")))</f>
        <v/>
      </c>
      <c r="R299" s="29" t="str">
        <f aca="false">IF(A299="","",IF(COUNTIF(Anggota!$A$2:$A$2001,A299)=0,"TIDAK ADA","OK"))</f>
        <v/>
      </c>
      <c r="S299" s="29" t="str">
        <f aca="false">IF(H299="","",IF(OR(J299="",L299=""),"-",IF(ABS(H299-J299*L299)&gt;Info_Koperasi!$C$10,"SELISIH","OK")))</f>
        <v/>
      </c>
    </row>
    <row r="300" customFormat="false" ht="15" hidden="false" customHeight="false" outlineLevel="0" collapsed="false">
      <c r="A300" s="21"/>
      <c r="B300" s="22"/>
      <c r="C300" s="21"/>
      <c r="D300" s="21"/>
      <c r="E300" s="28"/>
      <c r="F300" s="24"/>
      <c r="G300" s="26"/>
      <c r="H300" s="24"/>
      <c r="I300" s="24"/>
      <c r="J300" s="24"/>
      <c r="K300" s="24"/>
      <c r="L300" s="26"/>
      <c r="M300" s="26"/>
      <c r="N300" s="22"/>
      <c r="O300" s="21"/>
      <c r="P300" s="22"/>
      <c r="Q300" s="29" t="str">
        <f aca="false">IF(C300="","",IF(O300&lt;&gt;"",O300,IFERROR(INDEX(Produk!$J$2:$J$100,MATCH(C300,Produk!$A$2:$A$100,0)),"PRODUK?")))</f>
        <v/>
      </c>
      <c r="R300" s="29" t="str">
        <f aca="false">IF(A300="","",IF(COUNTIF(Anggota!$A$2:$A$2001,A300)=0,"TIDAK ADA","OK"))</f>
        <v/>
      </c>
      <c r="S300" s="29" t="str">
        <f aca="false">IF(H300="","",IF(OR(J300="",L300=""),"-",IF(ABS(H300-J300*L300)&gt;Info_Koperasi!$C$10,"SELISIH","OK")))</f>
        <v/>
      </c>
    </row>
    <row r="301" customFormat="false" ht="15" hidden="false" customHeight="false" outlineLevel="0" collapsed="false">
      <c r="A301" s="21"/>
      <c r="B301" s="22"/>
      <c r="C301" s="21"/>
      <c r="D301" s="21"/>
      <c r="E301" s="28"/>
      <c r="F301" s="24"/>
      <c r="G301" s="26"/>
      <c r="H301" s="24"/>
      <c r="I301" s="24"/>
      <c r="J301" s="24"/>
      <c r="K301" s="24"/>
      <c r="L301" s="26"/>
      <c r="M301" s="26"/>
      <c r="N301" s="22"/>
      <c r="O301" s="21"/>
      <c r="P301" s="22"/>
      <c r="Q301" s="29" t="str">
        <f aca="false">IF(C301="","",IF(O301&lt;&gt;"",O301,IFERROR(INDEX(Produk!$J$2:$J$100,MATCH(C301,Produk!$A$2:$A$100,0)),"PRODUK?")))</f>
        <v/>
      </c>
      <c r="R301" s="29" t="str">
        <f aca="false">IF(A301="","",IF(COUNTIF(Anggota!$A$2:$A$2001,A301)=0,"TIDAK ADA","OK"))</f>
        <v/>
      </c>
      <c r="S301" s="29" t="str">
        <f aca="false">IF(H301="","",IF(OR(J301="",L301=""),"-",IF(ABS(H301-J301*L301)&gt;Info_Koperasi!$C$10,"SELISIH","OK")))</f>
        <v/>
      </c>
    </row>
    <row r="302" customFormat="false" ht="15" hidden="false" customHeight="false" outlineLevel="0" collapsed="false">
      <c r="A302" s="21"/>
      <c r="B302" s="22"/>
      <c r="C302" s="21"/>
      <c r="D302" s="21"/>
      <c r="E302" s="28"/>
      <c r="F302" s="24"/>
      <c r="G302" s="26"/>
      <c r="H302" s="24"/>
      <c r="I302" s="24"/>
      <c r="J302" s="24"/>
      <c r="K302" s="24"/>
      <c r="L302" s="26"/>
      <c r="M302" s="26"/>
      <c r="N302" s="22"/>
      <c r="O302" s="21"/>
      <c r="P302" s="22"/>
      <c r="Q302" s="29" t="str">
        <f aca="false">IF(C302="","",IF(O302&lt;&gt;"",O302,IFERROR(INDEX(Produk!$J$2:$J$100,MATCH(C302,Produk!$A$2:$A$100,0)),"PRODUK?")))</f>
        <v/>
      </c>
      <c r="R302" s="29" t="str">
        <f aca="false">IF(A302="","",IF(COUNTIF(Anggota!$A$2:$A$2001,A302)=0,"TIDAK ADA","OK"))</f>
        <v/>
      </c>
      <c r="S302" s="29" t="str">
        <f aca="false">IF(H302="","",IF(OR(J302="",L302=""),"-",IF(ABS(H302-J302*L302)&gt;Info_Koperasi!$C$10,"SELISIH","OK")))</f>
        <v/>
      </c>
    </row>
    <row r="303" customFormat="false" ht="15" hidden="false" customHeight="false" outlineLevel="0" collapsed="false">
      <c r="A303" s="21"/>
      <c r="B303" s="22"/>
      <c r="C303" s="21"/>
      <c r="D303" s="21"/>
      <c r="E303" s="28"/>
      <c r="F303" s="24"/>
      <c r="G303" s="26"/>
      <c r="H303" s="24"/>
      <c r="I303" s="24"/>
      <c r="J303" s="24"/>
      <c r="K303" s="24"/>
      <c r="L303" s="26"/>
      <c r="M303" s="26"/>
      <c r="N303" s="22"/>
      <c r="O303" s="21"/>
      <c r="P303" s="22"/>
      <c r="Q303" s="29" t="str">
        <f aca="false">IF(C303="","",IF(O303&lt;&gt;"",O303,IFERROR(INDEX(Produk!$J$2:$J$100,MATCH(C303,Produk!$A$2:$A$100,0)),"PRODUK?")))</f>
        <v/>
      </c>
      <c r="R303" s="29" t="str">
        <f aca="false">IF(A303="","",IF(COUNTIF(Anggota!$A$2:$A$2001,A303)=0,"TIDAK ADA","OK"))</f>
        <v/>
      </c>
      <c r="S303" s="29" t="str">
        <f aca="false">IF(H303="","",IF(OR(J303="",L303=""),"-",IF(ABS(H303-J303*L303)&gt;Info_Koperasi!$C$10,"SELISIH","OK")))</f>
        <v/>
      </c>
    </row>
    <row r="304" customFormat="false" ht="15" hidden="false" customHeight="false" outlineLevel="0" collapsed="false">
      <c r="A304" s="21"/>
      <c r="B304" s="22"/>
      <c r="C304" s="21"/>
      <c r="D304" s="21"/>
      <c r="E304" s="28"/>
      <c r="F304" s="24"/>
      <c r="G304" s="26"/>
      <c r="H304" s="24"/>
      <c r="I304" s="24"/>
      <c r="J304" s="24"/>
      <c r="K304" s="24"/>
      <c r="L304" s="26"/>
      <c r="M304" s="26"/>
      <c r="N304" s="22"/>
      <c r="O304" s="21"/>
      <c r="P304" s="22"/>
      <c r="Q304" s="29" t="str">
        <f aca="false">IF(C304="","",IF(O304&lt;&gt;"",O304,IFERROR(INDEX(Produk!$J$2:$J$100,MATCH(C304,Produk!$A$2:$A$100,0)),"PRODUK?")))</f>
        <v/>
      </c>
      <c r="R304" s="29" t="str">
        <f aca="false">IF(A304="","",IF(COUNTIF(Anggota!$A$2:$A$2001,A304)=0,"TIDAK ADA","OK"))</f>
        <v/>
      </c>
      <c r="S304" s="29" t="str">
        <f aca="false">IF(H304="","",IF(OR(J304="",L304=""),"-",IF(ABS(H304-J304*L304)&gt;Info_Koperasi!$C$10,"SELISIH","OK")))</f>
        <v/>
      </c>
    </row>
    <row r="305" customFormat="false" ht="15" hidden="false" customHeight="false" outlineLevel="0" collapsed="false">
      <c r="A305" s="21"/>
      <c r="B305" s="22"/>
      <c r="C305" s="21"/>
      <c r="D305" s="21"/>
      <c r="E305" s="28"/>
      <c r="F305" s="24"/>
      <c r="G305" s="26"/>
      <c r="H305" s="24"/>
      <c r="I305" s="24"/>
      <c r="J305" s="24"/>
      <c r="K305" s="24"/>
      <c r="L305" s="26"/>
      <c r="M305" s="26"/>
      <c r="N305" s="22"/>
      <c r="O305" s="21"/>
      <c r="P305" s="22"/>
      <c r="Q305" s="29" t="str">
        <f aca="false">IF(C305="","",IF(O305&lt;&gt;"",O305,IFERROR(INDEX(Produk!$J$2:$J$100,MATCH(C305,Produk!$A$2:$A$100,0)),"PRODUK?")))</f>
        <v/>
      </c>
      <c r="R305" s="29" t="str">
        <f aca="false">IF(A305="","",IF(COUNTIF(Anggota!$A$2:$A$2001,A305)=0,"TIDAK ADA","OK"))</f>
        <v/>
      </c>
      <c r="S305" s="29" t="str">
        <f aca="false">IF(H305="","",IF(OR(J305="",L305=""),"-",IF(ABS(H305-J305*L305)&gt;Info_Koperasi!$C$10,"SELISIH","OK")))</f>
        <v/>
      </c>
    </row>
    <row r="306" customFormat="false" ht="15" hidden="false" customHeight="false" outlineLevel="0" collapsed="false">
      <c r="A306" s="21"/>
      <c r="B306" s="22"/>
      <c r="C306" s="21"/>
      <c r="D306" s="21"/>
      <c r="E306" s="28"/>
      <c r="F306" s="24"/>
      <c r="G306" s="26"/>
      <c r="H306" s="24"/>
      <c r="I306" s="24"/>
      <c r="J306" s="24"/>
      <c r="K306" s="24"/>
      <c r="L306" s="26"/>
      <c r="M306" s="26"/>
      <c r="N306" s="22"/>
      <c r="O306" s="21"/>
      <c r="P306" s="22"/>
      <c r="Q306" s="29" t="str">
        <f aca="false">IF(C306="","",IF(O306&lt;&gt;"",O306,IFERROR(INDEX(Produk!$J$2:$J$100,MATCH(C306,Produk!$A$2:$A$100,0)),"PRODUK?")))</f>
        <v/>
      </c>
      <c r="R306" s="29" t="str">
        <f aca="false">IF(A306="","",IF(COUNTIF(Anggota!$A$2:$A$2001,A306)=0,"TIDAK ADA","OK"))</f>
        <v/>
      </c>
      <c r="S306" s="29" t="str">
        <f aca="false">IF(H306="","",IF(OR(J306="",L306=""),"-",IF(ABS(H306-J306*L306)&gt;Info_Koperasi!$C$10,"SELISIH","OK")))</f>
        <v/>
      </c>
    </row>
    <row r="307" customFormat="false" ht="15" hidden="false" customHeight="false" outlineLevel="0" collapsed="false">
      <c r="A307" s="21"/>
      <c r="B307" s="22"/>
      <c r="C307" s="21"/>
      <c r="D307" s="21"/>
      <c r="E307" s="28"/>
      <c r="F307" s="24"/>
      <c r="G307" s="26"/>
      <c r="H307" s="24"/>
      <c r="I307" s="24"/>
      <c r="J307" s="24"/>
      <c r="K307" s="24"/>
      <c r="L307" s="26"/>
      <c r="M307" s="26"/>
      <c r="N307" s="22"/>
      <c r="O307" s="21"/>
      <c r="P307" s="22"/>
      <c r="Q307" s="29" t="str">
        <f aca="false">IF(C307="","",IF(O307&lt;&gt;"",O307,IFERROR(INDEX(Produk!$J$2:$J$100,MATCH(C307,Produk!$A$2:$A$100,0)),"PRODUK?")))</f>
        <v/>
      </c>
      <c r="R307" s="29" t="str">
        <f aca="false">IF(A307="","",IF(COUNTIF(Anggota!$A$2:$A$2001,A307)=0,"TIDAK ADA","OK"))</f>
        <v/>
      </c>
      <c r="S307" s="29" t="str">
        <f aca="false">IF(H307="","",IF(OR(J307="",L307=""),"-",IF(ABS(H307-J307*L307)&gt;Info_Koperasi!$C$10,"SELISIH","OK")))</f>
        <v/>
      </c>
    </row>
    <row r="308" customFormat="false" ht="15" hidden="false" customHeight="false" outlineLevel="0" collapsed="false">
      <c r="A308" s="21"/>
      <c r="B308" s="22"/>
      <c r="C308" s="21"/>
      <c r="D308" s="21"/>
      <c r="E308" s="28"/>
      <c r="F308" s="24"/>
      <c r="G308" s="26"/>
      <c r="H308" s="24"/>
      <c r="I308" s="24"/>
      <c r="J308" s="24"/>
      <c r="K308" s="24"/>
      <c r="L308" s="26"/>
      <c r="M308" s="26"/>
      <c r="N308" s="22"/>
      <c r="O308" s="21"/>
      <c r="P308" s="22"/>
      <c r="Q308" s="29" t="str">
        <f aca="false">IF(C308="","",IF(O308&lt;&gt;"",O308,IFERROR(INDEX(Produk!$J$2:$J$100,MATCH(C308,Produk!$A$2:$A$100,0)),"PRODUK?")))</f>
        <v/>
      </c>
      <c r="R308" s="29" t="str">
        <f aca="false">IF(A308="","",IF(COUNTIF(Anggota!$A$2:$A$2001,A308)=0,"TIDAK ADA","OK"))</f>
        <v/>
      </c>
      <c r="S308" s="29" t="str">
        <f aca="false">IF(H308="","",IF(OR(J308="",L308=""),"-",IF(ABS(H308-J308*L308)&gt;Info_Koperasi!$C$10,"SELISIH","OK")))</f>
        <v/>
      </c>
    </row>
    <row r="309" customFormat="false" ht="15" hidden="false" customHeight="false" outlineLevel="0" collapsed="false">
      <c r="A309" s="21"/>
      <c r="B309" s="22"/>
      <c r="C309" s="21"/>
      <c r="D309" s="21"/>
      <c r="E309" s="28"/>
      <c r="F309" s="24"/>
      <c r="G309" s="26"/>
      <c r="H309" s="24"/>
      <c r="I309" s="24"/>
      <c r="J309" s="24"/>
      <c r="K309" s="24"/>
      <c r="L309" s="26"/>
      <c r="M309" s="26"/>
      <c r="N309" s="22"/>
      <c r="O309" s="21"/>
      <c r="P309" s="22"/>
      <c r="Q309" s="29" t="str">
        <f aca="false">IF(C309="","",IF(O309&lt;&gt;"",O309,IFERROR(INDEX(Produk!$J$2:$J$100,MATCH(C309,Produk!$A$2:$A$100,0)),"PRODUK?")))</f>
        <v/>
      </c>
      <c r="R309" s="29" t="str">
        <f aca="false">IF(A309="","",IF(COUNTIF(Anggota!$A$2:$A$2001,A309)=0,"TIDAK ADA","OK"))</f>
        <v/>
      </c>
      <c r="S309" s="29" t="str">
        <f aca="false">IF(H309="","",IF(OR(J309="",L309=""),"-",IF(ABS(H309-J309*L309)&gt;Info_Koperasi!$C$10,"SELISIH","OK")))</f>
        <v/>
      </c>
    </row>
    <row r="310" customFormat="false" ht="15" hidden="false" customHeight="false" outlineLevel="0" collapsed="false">
      <c r="A310" s="21"/>
      <c r="B310" s="22"/>
      <c r="C310" s="21"/>
      <c r="D310" s="21"/>
      <c r="E310" s="28"/>
      <c r="F310" s="24"/>
      <c r="G310" s="26"/>
      <c r="H310" s="24"/>
      <c r="I310" s="24"/>
      <c r="J310" s="24"/>
      <c r="K310" s="24"/>
      <c r="L310" s="26"/>
      <c r="M310" s="26"/>
      <c r="N310" s="22"/>
      <c r="O310" s="21"/>
      <c r="P310" s="22"/>
      <c r="Q310" s="29" t="str">
        <f aca="false">IF(C310="","",IF(O310&lt;&gt;"",O310,IFERROR(INDEX(Produk!$J$2:$J$100,MATCH(C310,Produk!$A$2:$A$100,0)),"PRODUK?")))</f>
        <v/>
      </c>
      <c r="R310" s="29" t="str">
        <f aca="false">IF(A310="","",IF(COUNTIF(Anggota!$A$2:$A$2001,A310)=0,"TIDAK ADA","OK"))</f>
        <v/>
      </c>
      <c r="S310" s="29" t="str">
        <f aca="false">IF(H310="","",IF(OR(J310="",L310=""),"-",IF(ABS(H310-J310*L310)&gt;Info_Koperasi!$C$10,"SELISIH","OK")))</f>
        <v/>
      </c>
    </row>
    <row r="311" customFormat="false" ht="15" hidden="false" customHeight="false" outlineLevel="0" collapsed="false">
      <c r="A311" s="21"/>
      <c r="B311" s="22"/>
      <c r="C311" s="21"/>
      <c r="D311" s="21"/>
      <c r="E311" s="28"/>
      <c r="F311" s="24"/>
      <c r="G311" s="26"/>
      <c r="H311" s="24"/>
      <c r="I311" s="24"/>
      <c r="J311" s="24"/>
      <c r="K311" s="24"/>
      <c r="L311" s="26"/>
      <c r="M311" s="26"/>
      <c r="N311" s="22"/>
      <c r="O311" s="21"/>
      <c r="P311" s="22"/>
      <c r="Q311" s="29" t="str">
        <f aca="false">IF(C311="","",IF(O311&lt;&gt;"",O311,IFERROR(INDEX(Produk!$J$2:$J$100,MATCH(C311,Produk!$A$2:$A$100,0)),"PRODUK?")))</f>
        <v/>
      </c>
      <c r="R311" s="29" t="str">
        <f aca="false">IF(A311="","",IF(COUNTIF(Anggota!$A$2:$A$2001,A311)=0,"TIDAK ADA","OK"))</f>
        <v/>
      </c>
      <c r="S311" s="29" t="str">
        <f aca="false">IF(H311="","",IF(OR(J311="",L311=""),"-",IF(ABS(H311-J311*L311)&gt;Info_Koperasi!$C$10,"SELISIH","OK")))</f>
        <v/>
      </c>
    </row>
    <row r="312" customFormat="false" ht="15" hidden="false" customHeight="false" outlineLevel="0" collapsed="false">
      <c r="A312" s="21"/>
      <c r="B312" s="22"/>
      <c r="C312" s="21"/>
      <c r="D312" s="21"/>
      <c r="E312" s="28"/>
      <c r="F312" s="24"/>
      <c r="G312" s="26"/>
      <c r="H312" s="24"/>
      <c r="I312" s="24"/>
      <c r="J312" s="24"/>
      <c r="K312" s="24"/>
      <c r="L312" s="26"/>
      <c r="M312" s="26"/>
      <c r="N312" s="22"/>
      <c r="O312" s="21"/>
      <c r="P312" s="22"/>
      <c r="Q312" s="29" t="str">
        <f aca="false">IF(C312="","",IF(O312&lt;&gt;"",O312,IFERROR(INDEX(Produk!$J$2:$J$100,MATCH(C312,Produk!$A$2:$A$100,0)),"PRODUK?")))</f>
        <v/>
      </c>
      <c r="R312" s="29" t="str">
        <f aca="false">IF(A312="","",IF(COUNTIF(Anggota!$A$2:$A$2001,A312)=0,"TIDAK ADA","OK"))</f>
        <v/>
      </c>
      <c r="S312" s="29" t="str">
        <f aca="false">IF(H312="","",IF(OR(J312="",L312=""),"-",IF(ABS(H312-J312*L312)&gt;Info_Koperasi!$C$10,"SELISIH","OK")))</f>
        <v/>
      </c>
    </row>
    <row r="313" customFormat="false" ht="15" hidden="false" customHeight="false" outlineLevel="0" collapsed="false">
      <c r="A313" s="21"/>
      <c r="B313" s="22"/>
      <c r="C313" s="21"/>
      <c r="D313" s="21"/>
      <c r="E313" s="28"/>
      <c r="F313" s="24"/>
      <c r="G313" s="26"/>
      <c r="H313" s="24"/>
      <c r="I313" s="24"/>
      <c r="J313" s="24"/>
      <c r="K313" s="24"/>
      <c r="L313" s="26"/>
      <c r="M313" s="26"/>
      <c r="N313" s="22"/>
      <c r="O313" s="21"/>
      <c r="P313" s="22"/>
      <c r="Q313" s="29" t="str">
        <f aca="false">IF(C313="","",IF(O313&lt;&gt;"",O313,IFERROR(INDEX(Produk!$J$2:$J$100,MATCH(C313,Produk!$A$2:$A$100,0)),"PRODUK?")))</f>
        <v/>
      </c>
      <c r="R313" s="29" t="str">
        <f aca="false">IF(A313="","",IF(COUNTIF(Anggota!$A$2:$A$2001,A313)=0,"TIDAK ADA","OK"))</f>
        <v/>
      </c>
      <c r="S313" s="29" t="str">
        <f aca="false">IF(H313="","",IF(OR(J313="",L313=""),"-",IF(ABS(H313-J313*L313)&gt;Info_Koperasi!$C$10,"SELISIH","OK")))</f>
        <v/>
      </c>
    </row>
    <row r="314" customFormat="false" ht="15" hidden="false" customHeight="false" outlineLevel="0" collapsed="false">
      <c r="A314" s="21"/>
      <c r="B314" s="22"/>
      <c r="C314" s="21"/>
      <c r="D314" s="21"/>
      <c r="E314" s="28"/>
      <c r="F314" s="24"/>
      <c r="G314" s="26"/>
      <c r="H314" s="24"/>
      <c r="I314" s="24"/>
      <c r="J314" s="24"/>
      <c r="K314" s="24"/>
      <c r="L314" s="26"/>
      <c r="M314" s="26"/>
      <c r="N314" s="22"/>
      <c r="O314" s="21"/>
      <c r="P314" s="22"/>
      <c r="Q314" s="29" t="str">
        <f aca="false">IF(C314="","",IF(O314&lt;&gt;"",O314,IFERROR(INDEX(Produk!$J$2:$J$100,MATCH(C314,Produk!$A$2:$A$100,0)),"PRODUK?")))</f>
        <v/>
      </c>
      <c r="R314" s="29" t="str">
        <f aca="false">IF(A314="","",IF(COUNTIF(Anggota!$A$2:$A$2001,A314)=0,"TIDAK ADA","OK"))</f>
        <v/>
      </c>
      <c r="S314" s="29" t="str">
        <f aca="false">IF(H314="","",IF(OR(J314="",L314=""),"-",IF(ABS(H314-J314*L314)&gt;Info_Koperasi!$C$10,"SELISIH","OK")))</f>
        <v/>
      </c>
    </row>
    <row r="315" customFormat="false" ht="15" hidden="false" customHeight="false" outlineLevel="0" collapsed="false">
      <c r="A315" s="21"/>
      <c r="B315" s="22"/>
      <c r="C315" s="21"/>
      <c r="D315" s="21"/>
      <c r="E315" s="28"/>
      <c r="F315" s="24"/>
      <c r="G315" s="26"/>
      <c r="H315" s="24"/>
      <c r="I315" s="24"/>
      <c r="J315" s="24"/>
      <c r="K315" s="24"/>
      <c r="L315" s="26"/>
      <c r="M315" s="26"/>
      <c r="N315" s="22"/>
      <c r="O315" s="21"/>
      <c r="P315" s="22"/>
      <c r="Q315" s="29" t="str">
        <f aca="false">IF(C315="","",IF(O315&lt;&gt;"",O315,IFERROR(INDEX(Produk!$J$2:$J$100,MATCH(C315,Produk!$A$2:$A$100,0)),"PRODUK?")))</f>
        <v/>
      </c>
      <c r="R315" s="29" t="str">
        <f aca="false">IF(A315="","",IF(COUNTIF(Anggota!$A$2:$A$2001,A315)=0,"TIDAK ADA","OK"))</f>
        <v/>
      </c>
      <c r="S315" s="29" t="str">
        <f aca="false">IF(H315="","",IF(OR(J315="",L315=""),"-",IF(ABS(H315-J315*L315)&gt;Info_Koperasi!$C$10,"SELISIH","OK")))</f>
        <v/>
      </c>
    </row>
    <row r="316" customFormat="false" ht="15" hidden="false" customHeight="false" outlineLevel="0" collapsed="false">
      <c r="A316" s="21"/>
      <c r="B316" s="22"/>
      <c r="C316" s="21"/>
      <c r="D316" s="21"/>
      <c r="E316" s="28"/>
      <c r="F316" s="24"/>
      <c r="G316" s="26"/>
      <c r="H316" s="24"/>
      <c r="I316" s="24"/>
      <c r="J316" s="24"/>
      <c r="K316" s="24"/>
      <c r="L316" s="26"/>
      <c r="M316" s="26"/>
      <c r="N316" s="22"/>
      <c r="O316" s="21"/>
      <c r="P316" s="22"/>
      <c r="Q316" s="29" t="str">
        <f aca="false">IF(C316="","",IF(O316&lt;&gt;"",O316,IFERROR(INDEX(Produk!$J$2:$J$100,MATCH(C316,Produk!$A$2:$A$100,0)),"PRODUK?")))</f>
        <v/>
      </c>
      <c r="R316" s="29" t="str">
        <f aca="false">IF(A316="","",IF(COUNTIF(Anggota!$A$2:$A$2001,A316)=0,"TIDAK ADA","OK"))</f>
        <v/>
      </c>
      <c r="S316" s="29" t="str">
        <f aca="false">IF(H316="","",IF(OR(J316="",L316=""),"-",IF(ABS(H316-J316*L316)&gt;Info_Koperasi!$C$10,"SELISIH","OK")))</f>
        <v/>
      </c>
    </row>
    <row r="317" customFormat="false" ht="15" hidden="false" customHeight="false" outlineLevel="0" collapsed="false">
      <c r="A317" s="21"/>
      <c r="B317" s="22"/>
      <c r="C317" s="21"/>
      <c r="D317" s="21"/>
      <c r="E317" s="28"/>
      <c r="F317" s="24"/>
      <c r="G317" s="26"/>
      <c r="H317" s="24"/>
      <c r="I317" s="24"/>
      <c r="J317" s="24"/>
      <c r="K317" s="24"/>
      <c r="L317" s="26"/>
      <c r="M317" s="26"/>
      <c r="N317" s="22"/>
      <c r="O317" s="21"/>
      <c r="P317" s="22"/>
      <c r="Q317" s="29" t="str">
        <f aca="false">IF(C317="","",IF(O317&lt;&gt;"",O317,IFERROR(INDEX(Produk!$J$2:$J$100,MATCH(C317,Produk!$A$2:$A$100,0)),"PRODUK?")))</f>
        <v/>
      </c>
      <c r="R317" s="29" t="str">
        <f aca="false">IF(A317="","",IF(COUNTIF(Anggota!$A$2:$A$2001,A317)=0,"TIDAK ADA","OK"))</f>
        <v/>
      </c>
      <c r="S317" s="29" t="str">
        <f aca="false">IF(H317="","",IF(OR(J317="",L317=""),"-",IF(ABS(H317-J317*L317)&gt;Info_Koperasi!$C$10,"SELISIH","OK")))</f>
        <v/>
      </c>
    </row>
    <row r="318" customFormat="false" ht="15" hidden="false" customHeight="false" outlineLevel="0" collapsed="false">
      <c r="A318" s="21"/>
      <c r="B318" s="22"/>
      <c r="C318" s="21"/>
      <c r="D318" s="21"/>
      <c r="E318" s="28"/>
      <c r="F318" s="24"/>
      <c r="G318" s="26"/>
      <c r="H318" s="24"/>
      <c r="I318" s="24"/>
      <c r="J318" s="24"/>
      <c r="K318" s="24"/>
      <c r="L318" s="26"/>
      <c r="M318" s="26"/>
      <c r="N318" s="22"/>
      <c r="O318" s="21"/>
      <c r="P318" s="22"/>
      <c r="Q318" s="29" t="str">
        <f aca="false">IF(C318="","",IF(O318&lt;&gt;"",O318,IFERROR(INDEX(Produk!$J$2:$J$100,MATCH(C318,Produk!$A$2:$A$100,0)),"PRODUK?")))</f>
        <v/>
      </c>
      <c r="R318" s="29" t="str">
        <f aca="false">IF(A318="","",IF(COUNTIF(Anggota!$A$2:$A$2001,A318)=0,"TIDAK ADA","OK"))</f>
        <v/>
      </c>
      <c r="S318" s="29" t="str">
        <f aca="false">IF(H318="","",IF(OR(J318="",L318=""),"-",IF(ABS(H318-J318*L318)&gt;Info_Koperasi!$C$10,"SELISIH","OK")))</f>
        <v/>
      </c>
    </row>
    <row r="319" customFormat="false" ht="15" hidden="false" customHeight="false" outlineLevel="0" collapsed="false">
      <c r="A319" s="21"/>
      <c r="B319" s="22"/>
      <c r="C319" s="21"/>
      <c r="D319" s="21"/>
      <c r="E319" s="28"/>
      <c r="F319" s="24"/>
      <c r="G319" s="26"/>
      <c r="H319" s="24"/>
      <c r="I319" s="24"/>
      <c r="J319" s="24"/>
      <c r="K319" s="24"/>
      <c r="L319" s="26"/>
      <c r="M319" s="26"/>
      <c r="N319" s="22"/>
      <c r="O319" s="21"/>
      <c r="P319" s="22"/>
      <c r="Q319" s="29" t="str">
        <f aca="false">IF(C319="","",IF(O319&lt;&gt;"",O319,IFERROR(INDEX(Produk!$J$2:$J$100,MATCH(C319,Produk!$A$2:$A$100,0)),"PRODUK?")))</f>
        <v/>
      </c>
      <c r="R319" s="29" t="str">
        <f aca="false">IF(A319="","",IF(COUNTIF(Anggota!$A$2:$A$2001,A319)=0,"TIDAK ADA","OK"))</f>
        <v/>
      </c>
      <c r="S319" s="29" t="str">
        <f aca="false">IF(H319="","",IF(OR(J319="",L319=""),"-",IF(ABS(H319-J319*L319)&gt;Info_Koperasi!$C$10,"SELISIH","OK")))</f>
        <v/>
      </c>
    </row>
    <row r="320" customFormat="false" ht="15" hidden="false" customHeight="false" outlineLevel="0" collapsed="false">
      <c r="A320" s="21"/>
      <c r="B320" s="22"/>
      <c r="C320" s="21"/>
      <c r="D320" s="21"/>
      <c r="E320" s="28"/>
      <c r="F320" s="24"/>
      <c r="G320" s="26"/>
      <c r="H320" s="24"/>
      <c r="I320" s="24"/>
      <c r="J320" s="24"/>
      <c r="K320" s="24"/>
      <c r="L320" s="26"/>
      <c r="M320" s="26"/>
      <c r="N320" s="22"/>
      <c r="O320" s="21"/>
      <c r="P320" s="22"/>
      <c r="Q320" s="29" t="str">
        <f aca="false">IF(C320="","",IF(O320&lt;&gt;"",O320,IFERROR(INDEX(Produk!$J$2:$J$100,MATCH(C320,Produk!$A$2:$A$100,0)),"PRODUK?")))</f>
        <v/>
      </c>
      <c r="R320" s="29" t="str">
        <f aca="false">IF(A320="","",IF(COUNTIF(Anggota!$A$2:$A$2001,A320)=0,"TIDAK ADA","OK"))</f>
        <v/>
      </c>
      <c r="S320" s="29" t="str">
        <f aca="false">IF(H320="","",IF(OR(J320="",L320=""),"-",IF(ABS(H320-J320*L320)&gt;Info_Koperasi!$C$10,"SELISIH","OK")))</f>
        <v/>
      </c>
    </row>
    <row r="321" customFormat="false" ht="15" hidden="false" customHeight="false" outlineLevel="0" collapsed="false">
      <c r="A321" s="21"/>
      <c r="B321" s="22"/>
      <c r="C321" s="21"/>
      <c r="D321" s="21"/>
      <c r="E321" s="28"/>
      <c r="F321" s="24"/>
      <c r="G321" s="26"/>
      <c r="H321" s="24"/>
      <c r="I321" s="24"/>
      <c r="J321" s="24"/>
      <c r="K321" s="24"/>
      <c r="L321" s="26"/>
      <c r="M321" s="26"/>
      <c r="N321" s="22"/>
      <c r="O321" s="21"/>
      <c r="P321" s="22"/>
      <c r="Q321" s="29" t="str">
        <f aca="false">IF(C321="","",IF(O321&lt;&gt;"",O321,IFERROR(INDEX(Produk!$J$2:$J$100,MATCH(C321,Produk!$A$2:$A$100,0)),"PRODUK?")))</f>
        <v/>
      </c>
      <c r="R321" s="29" t="str">
        <f aca="false">IF(A321="","",IF(COUNTIF(Anggota!$A$2:$A$2001,A321)=0,"TIDAK ADA","OK"))</f>
        <v/>
      </c>
      <c r="S321" s="29" t="str">
        <f aca="false">IF(H321="","",IF(OR(J321="",L321=""),"-",IF(ABS(H321-J321*L321)&gt;Info_Koperasi!$C$10,"SELISIH","OK")))</f>
        <v/>
      </c>
    </row>
    <row r="322" customFormat="false" ht="15" hidden="false" customHeight="false" outlineLevel="0" collapsed="false">
      <c r="A322" s="21"/>
      <c r="B322" s="22"/>
      <c r="C322" s="21"/>
      <c r="D322" s="21"/>
      <c r="E322" s="28"/>
      <c r="F322" s="24"/>
      <c r="G322" s="26"/>
      <c r="H322" s="24"/>
      <c r="I322" s="24"/>
      <c r="J322" s="24"/>
      <c r="K322" s="24"/>
      <c r="L322" s="26"/>
      <c r="M322" s="26"/>
      <c r="N322" s="22"/>
      <c r="O322" s="21"/>
      <c r="P322" s="22"/>
      <c r="Q322" s="29" t="str">
        <f aca="false">IF(C322="","",IF(O322&lt;&gt;"",O322,IFERROR(INDEX(Produk!$J$2:$J$100,MATCH(C322,Produk!$A$2:$A$100,0)),"PRODUK?")))</f>
        <v/>
      </c>
      <c r="R322" s="29" t="str">
        <f aca="false">IF(A322="","",IF(COUNTIF(Anggota!$A$2:$A$2001,A322)=0,"TIDAK ADA","OK"))</f>
        <v/>
      </c>
      <c r="S322" s="29" t="str">
        <f aca="false">IF(H322="","",IF(OR(J322="",L322=""),"-",IF(ABS(H322-J322*L322)&gt;Info_Koperasi!$C$10,"SELISIH","OK")))</f>
        <v/>
      </c>
    </row>
    <row r="323" customFormat="false" ht="15" hidden="false" customHeight="false" outlineLevel="0" collapsed="false">
      <c r="A323" s="21"/>
      <c r="B323" s="22"/>
      <c r="C323" s="21"/>
      <c r="D323" s="21"/>
      <c r="E323" s="28"/>
      <c r="F323" s="24"/>
      <c r="G323" s="26"/>
      <c r="H323" s="24"/>
      <c r="I323" s="24"/>
      <c r="J323" s="24"/>
      <c r="K323" s="24"/>
      <c r="L323" s="26"/>
      <c r="M323" s="26"/>
      <c r="N323" s="22"/>
      <c r="O323" s="21"/>
      <c r="P323" s="22"/>
      <c r="Q323" s="29" t="str">
        <f aca="false">IF(C323="","",IF(O323&lt;&gt;"",O323,IFERROR(INDEX(Produk!$J$2:$J$100,MATCH(C323,Produk!$A$2:$A$100,0)),"PRODUK?")))</f>
        <v/>
      </c>
      <c r="R323" s="29" t="str">
        <f aca="false">IF(A323="","",IF(COUNTIF(Anggota!$A$2:$A$2001,A323)=0,"TIDAK ADA","OK"))</f>
        <v/>
      </c>
      <c r="S323" s="29" t="str">
        <f aca="false">IF(H323="","",IF(OR(J323="",L323=""),"-",IF(ABS(H323-J323*L323)&gt;Info_Koperasi!$C$10,"SELISIH","OK")))</f>
        <v/>
      </c>
    </row>
    <row r="324" customFormat="false" ht="15" hidden="false" customHeight="false" outlineLevel="0" collapsed="false">
      <c r="A324" s="21"/>
      <c r="B324" s="22"/>
      <c r="C324" s="21"/>
      <c r="D324" s="21"/>
      <c r="E324" s="28"/>
      <c r="F324" s="24"/>
      <c r="G324" s="26"/>
      <c r="H324" s="24"/>
      <c r="I324" s="24"/>
      <c r="J324" s="24"/>
      <c r="K324" s="24"/>
      <c r="L324" s="26"/>
      <c r="M324" s="26"/>
      <c r="N324" s="22"/>
      <c r="O324" s="21"/>
      <c r="P324" s="22"/>
      <c r="Q324" s="29" t="str">
        <f aca="false">IF(C324="","",IF(O324&lt;&gt;"",O324,IFERROR(INDEX(Produk!$J$2:$J$100,MATCH(C324,Produk!$A$2:$A$100,0)),"PRODUK?")))</f>
        <v/>
      </c>
      <c r="R324" s="29" t="str">
        <f aca="false">IF(A324="","",IF(COUNTIF(Anggota!$A$2:$A$2001,A324)=0,"TIDAK ADA","OK"))</f>
        <v/>
      </c>
      <c r="S324" s="29" t="str">
        <f aca="false">IF(H324="","",IF(OR(J324="",L324=""),"-",IF(ABS(H324-J324*L324)&gt;Info_Koperasi!$C$10,"SELISIH","OK")))</f>
        <v/>
      </c>
    </row>
    <row r="325" customFormat="false" ht="15" hidden="false" customHeight="false" outlineLevel="0" collapsed="false">
      <c r="A325" s="21"/>
      <c r="B325" s="22"/>
      <c r="C325" s="21"/>
      <c r="D325" s="21"/>
      <c r="E325" s="28"/>
      <c r="F325" s="24"/>
      <c r="G325" s="26"/>
      <c r="H325" s="24"/>
      <c r="I325" s="24"/>
      <c r="J325" s="24"/>
      <c r="K325" s="24"/>
      <c r="L325" s="26"/>
      <c r="M325" s="26"/>
      <c r="N325" s="22"/>
      <c r="O325" s="21"/>
      <c r="P325" s="22"/>
      <c r="Q325" s="29" t="str">
        <f aca="false">IF(C325="","",IF(O325&lt;&gt;"",O325,IFERROR(INDEX(Produk!$J$2:$J$100,MATCH(C325,Produk!$A$2:$A$100,0)),"PRODUK?")))</f>
        <v/>
      </c>
      <c r="R325" s="29" t="str">
        <f aca="false">IF(A325="","",IF(COUNTIF(Anggota!$A$2:$A$2001,A325)=0,"TIDAK ADA","OK"))</f>
        <v/>
      </c>
      <c r="S325" s="29" t="str">
        <f aca="false">IF(H325="","",IF(OR(J325="",L325=""),"-",IF(ABS(H325-J325*L325)&gt;Info_Koperasi!$C$10,"SELISIH","OK")))</f>
        <v/>
      </c>
    </row>
    <row r="326" customFormat="false" ht="15" hidden="false" customHeight="false" outlineLevel="0" collapsed="false">
      <c r="A326" s="21"/>
      <c r="B326" s="22"/>
      <c r="C326" s="21"/>
      <c r="D326" s="21"/>
      <c r="E326" s="28"/>
      <c r="F326" s="24"/>
      <c r="G326" s="26"/>
      <c r="H326" s="24"/>
      <c r="I326" s="24"/>
      <c r="J326" s="24"/>
      <c r="K326" s="24"/>
      <c r="L326" s="26"/>
      <c r="M326" s="26"/>
      <c r="N326" s="22"/>
      <c r="O326" s="21"/>
      <c r="P326" s="22"/>
      <c r="Q326" s="29" t="str">
        <f aca="false">IF(C326="","",IF(O326&lt;&gt;"",O326,IFERROR(INDEX(Produk!$J$2:$J$100,MATCH(C326,Produk!$A$2:$A$100,0)),"PRODUK?")))</f>
        <v/>
      </c>
      <c r="R326" s="29" t="str">
        <f aca="false">IF(A326="","",IF(COUNTIF(Anggota!$A$2:$A$2001,A326)=0,"TIDAK ADA","OK"))</f>
        <v/>
      </c>
      <c r="S326" s="29" t="str">
        <f aca="false">IF(H326="","",IF(OR(J326="",L326=""),"-",IF(ABS(H326-J326*L326)&gt;Info_Koperasi!$C$10,"SELISIH","OK")))</f>
        <v/>
      </c>
    </row>
    <row r="327" customFormat="false" ht="15" hidden="false" customHeight="false" outlineLevel="0" collapsed="false">
      <c r="A327" s="21"/>
      <c r="B327" s="22"/>
      <c r="C327" s="21"/>
      <c r="D327" s="21"/>
      <c r="E327" s="28"/>
      <c r="F327" s="24"/>
      <c r="G327" s="26"/>
      <c r="H327" s="24"/>
      <c r="I327" s="24"/>
      <c r="J327" s="24"/>
      <c r="K327" s="24"/>
      <c r="L327" s="26"/>
      <c r="M327" s="26"/>
      <c r="N327" s="22"/>
      <c r="O327" s="21"/>
      <c r="P327" s="22"/>
      <c r="Q327" s="29" t="str">
        <f aca="false">IF(C327="","",IF(O327&lt;&gt;"",O327,IFERROR(INDEX(Produk!$J$2:$J$100,MATCH(C327,Produk!$A$2:$A$100,0)),"PRODUK?")))</f>
        <v/>
      </c>
      <c r="R327" s="29" t="str">
        <f aca="false">IF(A327="","",IF(COUNTIF(Anggota!$A$2:$A$2001,A327)=0,"TIDAK ADA","OK"))</f>
        <v/>
      </c>
      <c r="S327" s="29" t="str">
        <f aca="false">IF(H327="","",IF(OR(J327="",L327=""),"-",IF(ABS(H327-J327*L327)&gt;Info_Koperasi!$C$10,"SELISIH","OK")))</f>
        <v/>
      </c>
    </row>
    <row r="328" customFormat="false" ht="15" hidden="false" customHeight="false" outlineLevel="0" collapsed="false">
      <c r="A328" s="21"/>
      <c r="B328" s="22"/>
      <c r="C328" s="21"/>
      <c r="D328" s="21"/>
      <c r="E328" s="28"/>
      <c r="F328" s="24"/>
      <c r="G328" s="26"/>
      <c r="H328" s="24"/>
      <c r="I328" s="24"/>
      <c r="J328" s="24"/>
      <c r="K328" s="24"/>
      <c r="L328" s="26"/>
      <c r="M328" s="26"/>
      <c r="N328" s="22"/>
      <c r="O328" s="21"/>
      <c r="P328" s="22"/>
      <c r="Q328" s="29" t="str">
        <f aca="false">IF(C328="","",IF(O328&lt;&gt;"",O328,IFERROR(INDEX(Produk!$J$2:$J$100,MATCH(C328,Produk!$A$2:$A$100,0)),"PRODUK?")))</f>
        <v/>
      </c>
      <c r="R328" s="29" t="str">
        <f aca="false">IF(A328="","",IF(COUNTIF(Anggota!$A$2:$A$2001,A328)=0,"TIDAK ADA","OK"))</f>
        <v/>
      </c>
      <c r="S328" s="29" t="str">
        <f aca="false">IF(H328="","",IF(OR(J328="",L328=""),"-",IF(ABS(H328-J328*L328)&gt;Info_Koperasi!$C$10,"SELISIH","OK")))</f>
        <v/>
      </c>
    </row>
    <row r="329" customFormat="false" ht="15" hidden="false" customHeight="false" outlineLevel="0" collapsed="false">
      <c r="A329" s="21"/>
      <c r="B329" s="22"/>
      <c r="C329" s="21"/>
      <c r="D329" s="21"/>
      <c r="E329" s="28"/>
      <c r="F329" s="24"/>
      <c r="G329" s="26"/>
      <c r="H329" s="24"/>
      <c r="I329" s="24"/>
      <c r="J329" s="24"/>
      <c r="K329" s="24"/>
      <c r="L329" s="26"/>
      <c r="M329" s="26"/>
      <c r="N329" s="22"/>
      <c r="O329" s="21"/>
      <c r="P329" s="22"/>
      <c r="Q329" s="29" t="str">
        <f aca="false">IF(C329="","",IF(O329&lt;&gt;"",O329,IFERROR(INDEX(Produk!$J$2:$J$100,MATCH(C329,Produk!$A$2:$A$100,0)),"PRODUK?")))</f>
        <v/>
      </c>
      <c r="R329" s="29" t="str">
        <f aca="false">IF(A329="","",IF(COUNTIF(Anggota!$A$2:$A$2001,A329)=0,"TIDAK ADA","OK"))</f>
        <v/>
      </c>
      <c r="S329" s="29" t="str">
        <f aca="false">IF(H329="","",IF(OR(J329="",L329=""),"-",IF(ABS(H329-J329*L329)&gt;Info_Koperasi!$C$10,"SELISIH","OK")))</f>
        <v/>
      </c>
    </row>
    <row r="330" customFormat="false" ht="15" hidden="false" customHeight="false" outlineLevel="0" collapsed="false">
      <c r="A330" s="21"/>
      <c r="B330" s="22"/>
      <c r="C330" s="21"/>
      <c r="D330" s="21"/>
      <c r="E330" s="28"/>
      <c r="F330" s="24"/>
      <c r="G330" s="26"/>
      <c r="H330" s="24"/>
      <c r="I330" s="24"/>
      <c r="J330" s="24"/>
      <c r="K330" s="24"/>
      <c r="L330" s="26"/>
      <c r="M330" s="26"/>
      <c r="N330" s="22"/>
      <c r="O330" s="21"/>
      <c r="P330" s="22"/>
      <c r="Q330" s="29" t="str">
        <f aca="false">IF(C330="","",IF(O330&lt;&gt;"",O330,IFERROR(INDEX(Produk!$J$2:$J$100,MATCH(C330,Produk!$A$2:$A$100,0)),"PRODUK?")))</f>
        <v/>
      </c>
      <c r="R330" s="29" t="str">
        <f aca="false">IF(A330="","",IF(COUNTIF(Anggota!$A$2:$A$2001,A330)=0,"TIDAK ADA","OK"))</f>
        <v/>
      </c>
      <c r="S330" s="29" t="str">
        <f aca="false">IF(H330="","",IF(OR(J330="",L330=""),"-",IF(ABS(H330-J330*L330)&gt;Info_Koperasi!$C$10,"SELISIH","OK")))</f>
        <v/>
      </c>
    </row>
    <row r="331" customFormat="false" ht="15" hidden="false" customHeight="false" outlineLevel="0" collapsed="false">
      <c r="A331" s="21"/>
      <c r="B331" s="22"/>
      <c r="C331" s="21"/>
      <c r="D331" s="21"/>
      <c r="E331" s="28"/>
      <c r="F331" s="24"/>
      <c r="G331" s="26"/>
      <c r="H331" s="24"/>
      <c r="I331" s="24"/>
      <c r="J331" s="24"/>
      <c r="K331" s="24"/>
      <c r="L331" s="26"/>
      <c r="M331" s="26"/>
      <c r="N331" s="22"/>
      <c r="O331" s="21"/>
      <c r="P331" s="22"/>
      <c r="Q331" s="29" t="str">
        <f aca="false">IF(C331="","",IF(O331&lt;&gt;"",O331,IFERROR(INDEX(Produk!$J$2:$J$100,MATCH(C331,Produk!$A$2:$A$100,0)),"PRODUK?")))</f>
        <v/>
      </c>
      <c r="R331" s="29" t="str">
        <f aca="false">IF(A331="","",IF(COUNTIF(Anggota!$A$2:$A$2001,A331)=0,"TIDAK ADA","OK"))</f>
        <v/>
      </c>
      <c r="S331" s="29" t="str">
        <f aca="false">IF(H331="","",IF(OR(J331="",L331=""),"-",IF(ABS(H331-J331*L331)&gt;Info_Koperasi!$C$10,"SELISIH","OK")))</f>
        <v/>
      </c>
    </row>
    <row r="332" customFormat="false" ht="15" hidden="false" customHeight="false" outlineLevel="0" collapsed="false">
      <c r="A332" s="21"/>
      <c r="B332" s="22"/>
      <c r="C332" s="21"/>
      <c r="D332" s="21"/>
      <c r="E332" s="28"/>
      <c r="F332" s="24"/>
      <c r="G332" s="26"/>
      <c r="H332" s="24"/>
      <c r="I332" s="24"/>
      <c r="J332" s="24"/>
      <c r="K332" s="24"/>
      <c r="L332" s="26"/>
      <c r="M332" s="26"/>
      <c r="N332" s="22"/>
      <c r="O332" s="21"/>
      <c r="P332" s="22"/>
      <c r="Q332" s="29" t="str">
        <f aca="false">IF(C332="","",IF(O332&lt;&gt;"",O332,IFERROR(INDEX(Produk!$J$2:$J$100,MATCH(C332,Produk!$A$2:$A$100,0)),"PRODUK?")))</f>
        <v/>
      </c>
      <c r="R332" s="29" t="str">
        <f aca="false">IF(A332="","",IF(COUNTIF(Anggota!$A$2:$A$2001,A332)=0,"TIDAK ADA","OK"))</f>
        <v/>
      </c>
      <c r="S332" s="29" t="str">
        <f aca="false">IF(H332="","",IF(OR(J332="",L332=""),"-",IF(ABS(H332-J332*L332)&gt;Info_Koperasi!$C$10,"SELISIH","OK")))</f>
        <v/>
      </c>
    </row>
    <row r="333" customFormat="false" ht="15" hidden="false" customHeight="false" outlineLevel="0" collapsed="false">
      <c r="A333" s="21"/>
      <c r="B333" s="22"/>
      <c r="C333" s="21"/>
      <c r="D333" s="21"/>
      <c r="E333" s="28"/>
      <c r="F333" s="24"/>
      <c r="G333" s="26"/>
      <c r="H333" s="24"/>
      <c r="I333" s="24"/>
      <c r="J333" s="24"/>
      <c r="K333" s="24"/>
      <c r="L333" s="26"/>
      <c r="M333" s="26"/>
      <c r="N333" s="22"/>
      <c r="O333" s="21"/>
      <c r="P333" s="22"/>
      <c r="Q333" s="29" t="str">
        <f aca="false">IF(C333="","",IF(O333&lt;&gt;"",O333,IFERROR(INDEX(Produk!$J$2:$J$100,MATCH(C333,Produk!$A$2:$A$100,0)),"PRODUK?")))</f>
        <v/>
      </c>
      <c r="R333" s="29" t="str">
        <f aca="false">IF(A333="","",IF(COUNTIF(Anggota!$A$2:$A$2001,A333)=0,"TIDAK ADA","OK"))</f>
        <v/>
      </c>
      <c r="S333" s="29" t="str">
        <f aca="false">IF(H333="","",IF(OR(J333="",L333=""),"-",IF(ABS(H333-J333*L333)&gt;Info_Koperasi!$C$10,"SELISIH","OK")))</f>
        <v/>
      </c>
    </row>
    <row r="334" customFormat="false" ht="15" hidden="false" customHeight="false" outlineLevel="0" collapsed="false">
      <c r="A334" s="21"/>
      <c r="B334" s="22"/>
      <c r="C334" s="21"/>
      <c r="D334" s="21"/>
      <c r="E334" s="28"/>
      <c r="F334" s="24"/>
      <c r="G334" s="26"/>
      <c r="H334" s="24"/>
      <c r="I334" s="24"/>
      <c r="J334" s="24"/>
      <c r="K334" s="24"/>
      <c r="L334" s="26"/>
      <c r="M334" s="26"/>
      <c r="N334" s="22"/>
      <c r="O334" s="21"/>
      <c r="P334" s="22"/>
      <c r="Q334" s="29" t="str">
        <f aca="false">IF(C334="","",IF(O334&lt;&gt;"",O334,IFERROR(INDEX(Produk!$J$2:$J$100,MATCH(C334,Produk!$A$2:$A$100,0)),"PRODUK?")))</f>
        <v/>
      </c>
      <c r="R334" s="29" t="str">
        <f aca="false">IF(A334="","",IF(COUNTIF(Anggota!$A$2:$A$2001,A334)=0,"TIDAK ADA","OK"))</f>
        <v/>
      </c>
      <c r="S334" s="29" t="str">
        <f aca="false">IF(H334="","",IF(OR(J334="",L334=""),"-",IF(ABS(H334-J334*L334)&gt;Info_Koperasi!$C$10,"SELISIH","OK")))</f>
        <v/>
      </c>
    </row>
    <row r="335" customFormat="false" ht="15" hidden="false" customHeight="false" outlineLevel="0" collapsed="false">
      <c r="A335" s="21"/>
      <c r="B335" s="22"/>
      <c r="C335" s="21"/>
      <c r="D335" s="21"/>
      <c r="E335" s="28"/>
      <c r="F335" s="24"/>
      <c r="G335" s="26"/>
      <c r="H335" s="24"/>
      <c r="I335" s="24"/>
      <c r="J335" s="24"/>
      <c r="K335" s="24"/>
      <c r="L335" s="26"/>
      <c r="M335" s="26"/>
      <c r="N335" s="22"/>
      <c r="O335" s="21"/>
      <c r="P335" s="22"/>
      <c r="Q335" s="29" t="str">
        <f aca="false">IF(C335="","",IF(O335&lt;&gt;"",O335,IFERROR(INDEX(Produk!$J$2:$J$100,MATCH(C335,Produk!$A$2:$A$100,0)),"PRODUK?")))</f>
        <v/>
      </c>
      <c r="R335" s="29" t="str">
        <f aca="false">IF(A335="","",IF(COUNTIF(Anggota!$A$2:$A$2001,A335)=0,"TIDAK ADA","OK"))</f>
        <v/>
      </c>
      <c r="S335" s="29" t="str">
        <f aca="false">IF(H335="","",IF(OR(J335="",L335=""),"-",IF(ABS(H335-J335*L335)&gt;Info_Koperasi!$C$10,"SELISIH","OK")))</f>
        <v/>
      </c>
    </row>
    <row r="336" customFormat="false" ht="15" hidden="false" customHeight="false" outlineLevel="0" collapsed="false">
      <c r="A336" s="21"/>
      <c r="B336" s="22"/>
      <c r="C336" s="21"/>
      <c r="D336" s="21"/>
      <c r="E336" s="28"/>
      <c r="F336" s="24"/>
      <c r="G336" s="26"/>
      <c r="H336" s="24"/>
      <c r="I336" s="24"/>
      <c r="J336" s="24"/>
      <c r="K336" s="24"/>
      <c r="L336" s="26"/>
      <c r="M336" s="26"/>
      <c r="N336" s="22"/>
      <c r="O336" s="21"/>
      <c r="P336" s="22"/>
      <c r="Q336" s="29" t="str">
        <f aca="false">IF(C336="","",IF(O336&lt;&gt;"",O336,IFERROR(INDEX(Produk!$J$2:$J$100,MATCH(C336,Produk!$A$2:$A$100,0)),"PRODUK?")))</f>
        <v/>
      </c>
      <c r="R336" s="29" t="str">
        <f aca="false">IF(A336="","",IF(COUNTIF(Anggota!$A$2:$A$2001,A336)=0,"TIDAK ADA","OK"))</f>
        <v/>
      </c>
      <c r="S336" s="29" t="str">
        <f aca="false">IF(H336="","",IF(OR(J336="",L336=""),"-",IF(ABS(H336-J336*L336)&gt;Info_Koperasi!$C$10,"SELISIH","OK")))</f>
        <v/>
      </c>
    </row>
    <row r="337" customFormat="false" ht="15" hidden="false" customHeight="false" outlineLevel="0" collapsed="false">
      <c r="A337" s="21"/>
      <c r="B337" s="22"/>
      <c r="C337" s="21"/>
      <c r="D337" s="21"/>
      <c r="E337" s="28"/>
      <c r="F337" s="24"/>
      <c r="G337" s="26"/>
      <c r="H337" s="24"/>
      <c r="I337" s="24"/>
      <c r="J337" s="24"/>
      <c r="K337" s="24"/>
      <c r="L337" s="26"/>
      <c r="M337" s="26"/>
      <c r="N337" s="22"/>
      <c r="O337" s="21"/>
      <c r="P337" s="22"/>
      <c r="Q337" s="29" t="str">
        <f aca="false">IF(C337="","",IF(O337&lt;&gt;"",O337,IFERROR(INDEX(Produk!$J$2:$J$100,MATCH(C337,Produk!$A$2:$A$100,0)),"PRODUK?")))</f>
        <v/>
      </c>
      <c r="R337" s="29" t="str">
        <f aca="false">IF(A337="","",IF(COUNTIF(Anggota!$A$2:$A$2001,A337)=0,"TIDAK ADA","OK"))</f>
        <v/>
      </c>
      <c r="S337" s="29" t="str">
        <f aca="false">IF(H337="","",IF(OR(J337="",L337=""),"-",IF(ABS(H337-J337*L337)&gt;Info_Koperasi!$C$10,"SELISIH","OK")))</f>
        <v/>
      </c>
    </row>
    <row r="338" customFormat="false" ht="15" hidden="false" customHeight="false" outlineLevel="0" collapsed="false">
      <c r="A338" s="21"/>
      <c r="B338" s="22"/>
      <c r="C338" s="21"/>
      <c r="D338" s="21"/>
      <c r="E338" s="28"/>
      <c r="F338" s="24"/>
      <c r="G338" s="26"/>
      <c r="H338" s="24"/>
      <c r="I338" s="24"/>
      <c r="J338" s="24"/>
      <c r="K338" s="24"/>
      <c r="L338" s="26"/>
      <c r="M338" s="26"/>
      <c r="N338" s="22"/>
      <c r="O338" s="21"/>
      <c r="P338" s="22"/>
      <c r="Q338" s="29" t="str">
        <f aca="false">IF(C338="","",IF(O338&lt;&gt;"",O338,IFERROR(INDEX(Produk!$J$2:$J$100,MATCH(C338,Produk!$A$2:$A$100,0)),"PRODUK?")))</f>
        <v/>
      </c>
      <c r="R338" s="29" t="str">
        <f aca="false">IF(A338="","",IF(COUNTIF(Anggota!$A$2:$A$2001,A338)=0,"TIDAK ADA","OK"))</f>
        <v/>
      </c>
      <c r="S338" s="29" t="str">
        <f aca="false">IF(H338="","",IF(OR(J338="",L338=""),"-",IF(ABS(H338-J338*L338)&gt;Info_Koperasi!$C$10,"SELISIH","OK")))</f>
        <v/>
      </c>
    </row>
    <row r="339" customFormat="false" ht="15" hidden="false" customHeight="false" outlineLevel="0" collapsed="false">
      <c r="A339" s="21"/>
      <c r="B339" s="22"/>
      <c r="C339" s="21"/>
      <c r="D339" s="21"/>
      <c r="E339" s="28"/>
      <c r="F339" s="24"/>
      <c r="G339" s="26"/>
      <c r="H339" s="24"/>
      <c r="I339" s="24"/>
      <c r="J339" s="24"/>
      <c r="K339" s="24"/>
      <c r="L339" s="26"/>
      <c r="M339" s="26"/>
      <c r="N339" s="22"/>
      <c r="O339" s="21"/>
      <c r="P339" s="22"/>
      <c r="Q339" s="29" t="str">
        <f aca="false">IF(C339="","",IF(O339&lt;&gt;"",O339,IFERROR(INDEX(Produk!$J$2:$J$100,MATCH(C339,Produk!$A$2:$A$100,0)),"PRODUK?")))</f>
        <v/>
      </c>
      <c r="R339" s="29" t="str">
        <f aca="false">IF(A339="","",IF(COUNTIF(Anggota!$A$2:$A$2001,A339)=0,"TIDAK ADA","OK"))</f>
        <v/>
      </c>
      <c r="S339" s="29" t="str">
        <f aca="false">IF(H339="","",IF(OR(J339="",L339=""),"-",IF(ABS(H339-J339*L339)&gt;Info_Koperasi!$C$10,"SELISIH","OK")))</f>
        <v/>
      </c>
    </row>
    <row r="340" customFormat="false" ht="15" hidden="false" customHeight="false" outlineLevel="0" collapsed="false">
      <c r="A340" s="21"/>
      <c r="B340" s="22"/>
      <c r="C340" s="21"/>
      <c r="D340" s="21"/>
      <c r="E340" s="28"/>
      <c r="F340" s="24"/>
      <c r="G340" s="26"/>
      <c r="H340" s="24"/>
      <c r="I340" s="24"/>
      <c r="J340" s="24"/>
      <c r="K340" s="24"/>
      <c r="L340" s="26"/>
      <c r="M340" s="26"/>
      <c r="N340" s="22"/>
      <c r="O340" s="21"/>
      <c r="P340" s="22"/>
      <c r="Q340" s="29" t="str">
        <f aca="false">IF(C340="","",IF(O340&lt;&gt;"",O340,IFERROR(INDEX(Produk!$J$2:$J$100,MATCH(C340,Produk!$A$2:$A$100,0)),"PRODUK?")))</f>
        <v/>
      </c>
      <c r="R340" s="29" t="str">
        <f aca="false">IF(A340="","",IF(COUNTIF(Anggota!$A$2:$A$2001,A340)=0,"TIDAK ADA","OK"))</f>
        <v/>
      </c>
      <c r="S340" s="29" t="str">
        <f aca="false">IF(H340="","",IF(OR(J340="",L340=""),"-",IF(ABS(H340-J340*L340)&gt;Info_Koperasi!$C$10,"SELISIH","OK")))</f>
        <v/>
      </c>
    </row>
    <row r="341" customFormat="false" ht="15" hidden="false" customHeight="false" outlineLevel="0" collapsed="false">
      <c r="A341" s="21"/>
      <c r="B341" s="22"/>
      <c r="C341" s="21"/>
      <c r="D341" s="21"/>
      <c r="E341" s="28"/>
      <c r="F341" s="24"/>
      <c r="G341" s="26"/>
      <c r="H341" s="24"/>
      <c r="I341" s="24"/>
      <c r="J341" s="24"/>
      <c r="K341" s="24"/>
      <c r="L341" s="26"/>
      <c r="M341" s="26"/>
      <c r="N341" s="22"/>
      <c r="O341" s="21"/>
      <c r="P341" s="22"/>
      <c r="Q341" s="29" t="str">
        <f aca="false">IF(C341="","",IF(O341&lt;&gt;"",O341,IFERROR(INDEX(Produk!$J$2:$J$100,MATCH(C341,Produk!$A$2:$A$100,0)),"PRODUK?")))</f>
        <v/>
      </c>
      <c r="R341" s="29" t="str">
        <f aca="false">IF(A341="","",IF(COUNTIF(Anggota!$A$2:$A$2001,A341)=0,"TIDAK ADA","OK"))</f>
        <v/>
      </c>
      <c r="S341" s="29" t="str">
        <f aca="false">IF(H341="","",IF(OR(J341="",L341=""),"-",IF(ABS(H341-J341*L341)&gt;Info_Koperasi!$C$10,"SELISIH","OK")))</f>
        <v/>
      </c>
    </row>
    <row r="342" customFormat="false" ht="15" hidden="false" customHeight="false" outlineLevel="0" collapsed="false">
      <c r="A342" s="21"/>
      <c r="B342" s="22"/>
      <c r="C342" s="21"/>
      <c r="D342" s="21"/>
      <c r="E342" s="28"/>
      <c r="F342" s="24"/>
      <c r="G342" s="26"/>
      <c r="H342" s="24"/>
      <c r="I342" s="24"/>
      <c r="J342" s="24"/>
      <c r="K342" s="24"/>
      <c r="L342" s="26"/>
      <c r="M342" s="26"/>
      <c r="N342" s="22"/>
      <c r="O342" s="21"/>
      <c r="P342" s="22"/>
      <c r="Q342" s="29" t="str">
        <f aca="false">IF(C342="","",IF(O342&lt;&gt;"",O342,IFERROR(INDEX(Produk!$J$2:$J$100,MATCH(C342,Produk!$A$2:$A$100,0)),"PRODUK?")))</f>
        <v/>
      </c>
      <c r="R342" s="29" t="str">
        <f aca="false">IF(A342="","",IF(COUNTIF(Anggota!$A$2:$A$2001,A342)=0,"TIDAK ADA","OK"))</f>
        <v/>
      </c>
      <c r="S342" s="29" t="str">
        <f aca="false">IF(H342="","",IF(OR(J342="",L342=""),"-",IF(ABS(H342-J342*L342)&gt;Info_Koperasi!$C$10,"SELISIH","OK")))</f>
        <v/>
      </c>
    </row>
    <row r="343" customFormat="false" ht="15" hidden="false" customHeight="false" outlineLevel="0" collapsed="false">
      <c r="A343" s="21"/>
      <c r="B343" s="22"/>
      <c r="C343" s="21"/>
      <c r="D343" s="21"/>
      <c r="E343" s="28"/>
      <c r="F343" s="24"/>
      <c r="G343" s="26"/>
      <c r="H343" s="24"/>
      <c r="I343" s="24"/>
      <c r="J343" s="24"/>
      <c r="K343" s="24"/>
      <c r="L343" s="26"/>
      <c r="M343" s="26"/>
      <c r="N343" s="22"/>
      <c r="O343" s="21"/>
      <c r="P343" s="22"/>
      <c r="Q343" s="29" t="str">
        <f aca="false">IF(C343="","",IF(O343&lt;&gt;"",O343,IFERROR(INDEX(Produk!$J$2:$J$100,MATCH(C343,Produk!$A$2:$A$100,0)),"PRODUK?")))</f>
        <v/>
      </c>
      <c r="R343" s="29" t="str">
        <f aca="false">IF(A343="","",IF(COUNTIF(Anggota!$A$2:$A$2001,A343)=0,"TIDAK ADA","OK"))</f>
        <v/>
      </c>
      <c r="S343" s="29" t="str">
        <f aca="false">IF(H343="","",IF(OR(J343="",L343=""),"-",IF(ABS(H343-J343*L343)&gt;Info_Koperasi!$C$10,"SELISIH","OK")))</f>
        <v/>
      </c>
    </row>
    <row r="344" customFormat="false" ht="15" hidden="false" customHeight="false" outlineLevel="0" collapsed="false">
      <c r="A344" s="21"/>
      <c r="B344" s="22"/>
      <c r="C344" s="21"/>
      <c r="D344" s="21"/>
      <c r="E344" s="28"/>
      <c r="F344" s="24"/>
      <c r="G344" s="26"/>
      <c r="H344" s="24"/>
      <c r="I344" s="24"/>
      <c r="J344" s="24"/>
      <c r="K344" s="24"/>
      <c r="L344" s="26"/>
      <c r="M344" s="26"/>
      <c r="N344" s="22"/>
      <c r="O344" s="21"/>
      <c r="P344" s="22"/>
      <c r="Q344" s="29" t="str">
        <f aca="false">IF(C344="","",IF(O344&lt;&gt;"",O344,IFERROR(INDEX(Produk!$J$2:$J$100,MATCH(C344,Produk!$A$2:$A$100,0)),"PRODUK?")))</f>
        <v/>
      </c>
      <c r="R344" s="29" t="str">
        <f aca="false">IF(A344="","",IF(COUNTIF(Anggota!$A$2:$A$2001,A344)=0,"TIDAK ADA","OK"))</f>
        <v/>
      </c>
      <c r="S344" s="29" t="str">
        <f aca="false">IF(H344="","",IF(OR(J344="",L344=""),"-",IF(ABS(H344-J344*L344)&gt;Info_Koperasi!$C$10,"SELISIH","OK")))</f>
        <v/>
      </c>
    </row>
    <row r="345" customFormat="false" ht="15" hidden="false" customHeight="false" outlineLevel="0" collapsed="false">
      <c r="A345" s="21"/>
      <c r="B345" s="22"/>
      <c r="C345" s="21"/>
      <c r="D345" s="21"/>
      <c r="E345" s="28"/>
      <c r="F345" s="24"/>
      <c r="G345" s="26"/>
      <c r="H345" s="24"/>
      <c r="I345" s="24"/>
      <c r="J345" s="24"/>
      <c r="K345" s="24"/>
      <c r="L345" s="26"/>
      <c r="M345" s="26"/>
      <c r="N345" s="22"/>
      <c r="O345" s="21"/>
      <c r="P345" s="22"/>
      <c r="Q345" s="29" t="str">
        <f aca="false">IF(C345="","",IF(O345&lt;&gt;"",O345,IFERROR(INDEX(Produk!$J$2:$J$100,MATCH(C345,Produk!$A$2:$A$100,0)),"PRODUK?")))</f>
        <v/>
      </c>
      <c r="R345" s="29" t="str">
        <f aca="false">IF(A345="","",IF(COUNTIF(Anggota!$A$2:$A$2001,A345)=0,"TIDAK ADA","OK"))</f>
        <v/>
      </c>
      <c r="S345" s="29" t="str">
        <f aca="false">IF(H345="","",IF(OR(J345="",L345=""),"-",IF(ABS(H345-J345*L345)&gt;Info_Koperasi!$C$10,"SELISIH","OK")))</f>
        <v/>
      </c>
    </row>
    <row r="346" customFormat="false" ht="15" hidden="false" customHeight="false" outlineLevel="0" collapsed="false">
      <c r="A346" s="21"/>
      <c r="B346" s="22"/>
      <c r="C346" s="21"/>
      <c r="D346" s="21"/>
      <c r="E346" s="28"/>
      <c r="F346" s="24"/>
      <c r="G346" s="26"/>
      <c r="H346" s="24"/>
      <c r="I346" s="24"/>
      <c r="J346" s="24"/>
      <c r="K346" s="24"/>
      <c r="L346" s="26"/>
      <c r="M346" s="26"/>
      <c r="N346" s="22"/>
      <c r="O346" s="21"/>
      <c r="P346" s="22"/>
      <c r="Q346" s="29" t="str">
        <f aca="false">IF(C346="","",IF(O346&lt;&gt;"",O346,IFERROR(INDEX(Produk!$J$2:$J$100,MATCH(C346,Produk!$A$2:$A$100,0)),"PRODUK?")))</f>
        <v/>
      </c>
      <c r="R346" s="29" t="str">
        <f aca="false">IF(A346="","",IF(COUNTIF(Anggota!$A$2:$A$2001,A346)=0,"TIDAK ADA","OK"))</f>
        <v/>
      </c>
      <c r="S346" s="29" t="str">
        <f aca="false">IF(H346="","",IF(OR(J346="",L346=""),"-",IF(ABS(H346-J346*L346)&gt;Info_Koperasi!$C$10,"SELISIH","OK")))</f>
        <v/>
      </c>
    </row>
    <row r="347" customFormat="false" ht="15" hidden="false" customHeight="false" outlineLevel="0" collapsed="false">
      <c r="A347" s="21"/>
      <c r="B347" s="22"/>
      <c r="C347" s="21"/>
      <c r="D347" s="21"/>
      <c r="E347" s="28"/>
      <c r="F347" s="24"/>
      <c r="G347" s="26"/>
      <c r="H347" s="24"/>
      <c r="I347" s="24"/>
      <c r="J347" s="24"/>
      <c r="K347" s="24"/>
      <c r="L347" s="26"/>
      <c r="M347" s="26"/>
      <c r="N347" s="22"/>
      <c r="O347" s="21"/>
      <c r="P347" s="22"/>
      <c r="Q347" s="29" t="str">
        <f aca="false">IF(C347="","",IF(O347&lt;&gt;"",O347,IFERROR(INDEX(Produk!$J$2:$J$100,MATCH(C347,Produk!$A$2:$A$100,0)),"PRODUK?")))</f>
        <v/>
      </c>
      <c r="R347" s="29" t="str">
        <f aca="false">IF(A347="","",IF(COUNTIF(Anggota!$A$2:$A$2001,A347)=0,"TIDAK ADA","OK"))</f>
        <v/>
      </c>
      <c r="S347" s="29" t="str">
        <f aca="false">IF(H347="","",IF(OR(J347="",L347=""),"-",IF(ABS(H347-J347*L347)&gt;Info_Koperasi!$C$10,"SELISIH","OK")))</f>
        <v/>
      </c>
    </row>
    <row r="348" customFormat="false" ht="15" hidden="false" customHeight="false" outlineLevel="0" collapsed="false">
      <c r="A348" s="21"/>
      <c r="B348" s="22"/>
      <c r="C348" s="21"/>
      <c r="D348" s="21"/>
      <c r="E348" s="28"/>
      <c r="F348" s="24"/>
      <c r="G348" s="26"/>
      <c r="H348" s="24"/>
      <c r="I348" s="24"/>
      <c r="J348" s="24"/>
      <c r="K348" s="24"/>
      <c r="L348" s="26"/>
      <c r="M348" s="26"/>
      <c r="N348" s="22"/>
      <c r="O348" s="21"/>
      <c r="P348" s="22"/>
      <c r="Q348" s="29" t="str">
        <f aca="false">IF(C348="","",IF(O348&lt;&gt;"",O348,IFERROR(INDEX(Produk!$J$2:$J$100,MATCH(C348,Produk!$A$2:$A$100,0)),"PRODUK?")))</f>
        <v/>
      </c>
      <c r="R348" s="29" t="str">
        <f aca="false">IF(A348="","",IF(COUNTIF(Anggota!$A$2:$A$2001,A348)=0,"TIDAK ADA","OK"))</f>
        <v/>
      </c>
      <c r="S348" s="29" t="str">
        <f aca="false">IF(H348="","",IF(OR(J348="",L348=""),"-",IF(ABS(H348-J348*L348)&gt;Info_Koperasi!$C$10,"SELISIH","OK")))</f>
        <v/>
      </c>
    </row>
    <row r="349" customFormat="false" ht="15" hidden="false" customHeight="false" outlineLevel="0" collapsed="false">
      <c r="A349" s="21"/>
      <c r="B349" s="22"/>
      <c r="C349" s="21"/>
      <c r="D349" s="21"/>
      <c r="E349" s="28"/>
      <c r="F349" s="24"/>
      <c r="G349" s="26"/>
      <c r="H349" s="24"/>
      <c r="I349" s="24"/>
      <c r="J349" s="24"/>
      <c r="K349" s="24"/>
      <c r="L349" s="26"/>
      <c r="M349" s="26"/>
      <c r="N349" s="22"/>
      <c r="O349" s="21"/>
      <c r="P349" s="22"/>
      <c r="Q349" s="29" t="str">
        <f aca="false">IF(C349="","",IF(O349&lt;&gt;"",O349,IFERROR(INDEX(Produk!$J$2:$J$100,MATCH(C349,Produk!$A$2:$A$100,0)),"PRODUK?")))</f>
        <v/>
      </c>
      <c r="R349" s="29" t="str">
        <f aca="false">IF(A349="","",IF(COUNTIF(Anggota!$A$2:$A$2001,A349)=0,"TIDAK ADA","OK"))</f>
        <v/>
      </c>
      <c r="S349" s="29" t="str">
        <f aca="false">IF(H349="","",IF(OR(J349="",L349=""),"-",IF(ABS(H349-J349*L349)&gt;Info_Koperasi!$C$10,"SELISIH","OK")))</f>
        <v/>
      </c>
    </row>
    <row r="350" customFormat="false" ht="15" hidden="false" customHeight="false" outlineLevel="0" collapsed="false">
      <c r="A350" s="21"/>
      <c r="B350" s="22"/>
      <c r="C350" s="21"/>
      <c r="D350" s="21"/>
      <c r="E350" s="28"/>
      <c r="F350" s="24"/>
      <c r="G350" s="26"/>
      <c r="H350" s="24"/>
      <c r="I350" s="24"/>
      <c r="J350" s="24"/>
      <c r="K350" s="24"/>
      <c r="L350" s="26"/>
      <c r="M350" s="26"/>
      <c r="N350" s="22"/>
      <c r="O350" s="21"/>
      <c r="P350" s="22"/>
      <c r="Q350" s="29" t="str">
        <f aca="false">IF(C350="","",IF(O350&lt;&gt;"",O350,IFERROR(INDEX(Produk!$J$2:$J$100,MATCH(C350,Produk!$A$2:$A$100,0)),"PRODUK?")))</f>
        <v/>
      </c>
      <c r="R350" s="29" t="str">
        <f aca="false">IF(A350="","",IF(COUNTIF(Anggota!$A$2:$A$2001,A350)=0,"TIDAK ADA","OK"))</f>
        <v/>
      </c>
      <c r="S350" s="29" t="str">
        <f aca="false">IF(H350="","",IF(OR(J350="",L350=""),"-",IF(ABS(H350-J350*L350)&gt;Info_Koperasi!$C$10,"SELISIH","OK")))</f>
        <v/>
      </c>
    </row>
    <row r="351" customFormat="false" ht="15" hidden="false" customHeight="false" outlineLevel="0" collapsed="false">
      <c r="A351" s="21"/>
      <c r="B351" s="22"/>
      <c r="C351" s="21"/>
      <c r="D351" s="21"/>
      <c r="E351" s="28"/>
      <c r="F351" s="24"/>
      <c r="G351" s="26"/>
      <c r="H351" s="24"/>
      <c r="I351" s="24"/>
      <c r="J351" s="24"/>
      <c r="K351" s="24"/>
      <c r="L351" s="26"/>
      <c r="M351" s="26"/>
      <c r="N351" s="22"/>
      <c r="O351" s="21"/>
      <c r="P351" s="22"/>
      <c r="Q351" s="29" t="str">
        <f aca="false">IF(C351="","",IF(O351&lt;&gt;"",O351,IFERROR(INDEX(Produk!$J$2:$J$100,MATCH(C351,Produk!$A$2:$A$100,0)),"PRODUK?")))</f>
        <v/>
      </c>
      <c r="R351" s="29" t="str">
        <f aca="false">IF(A351="","",IF(COUNTIF(Anggota!$A$2:$A$2001,A351)=0,"TIDAK ADA","OK"))</f>
        <v/>
      </c>
      <c r="S351" s="29" t="str">
        <f aca="false">IF(H351="","",IF(OR(J351="",L351=""),"-",IF(ABS(H351-J351*L351)&gt;Info_Koperasi!$C$10,"SELISIH","OK")))</f>
        <v/>
      </c>
    </row>
    <row r="352" customFormat="false" ht="15" hidden="false" customHeight="false" outlineLevel="0" collapsed="false">
      <c r="A352" s="21"/>
      <c r="B352" s="22"/>
      <c r="C352" s="21"/>
      <c r="D352" s="21"/>
      <c r="E352" s="28"/>
      <c r="F352" s="24"/>
      <c r="G352" s="26"/>
      <c r="H352" s="24"/>
      <c r="I352" s="24"/>
      <c r="J352" s="24"/>
      <c r="K352" s="24"/>
      <c r="L352" s="26"/>
      <c r="M352" s="26"/>
      <c r="N352" s="22"/>
      <c r="O352" s="21"/>
      <c r="P352" s="22"/>
      <c r="Q352" s="29" t="str">
        <f aca="false">IF(C352="","",IF(O352&lt;&gt;"",O352,IFERROR(INDEX(Produk!$J$2:$J$100,MATCH(C352,Produk!$A$2:$A$100,0)),"PRODUK?")))</f>
        <v/>
      </c>
      <c r="R352" s="29" t="str">
        <f aca="false">IF(A352="","",IF(COUNTIF(Anggota!$A$2:$A$2001,A352)=0,"TIDAK ADA","OK"))</f>
        <v/>
      </c>
      <c r="S352" s="29" t="str">
        <f aca="false">IF(H352="","",IF(OR(J352="",L352=""),"-",IF(ABS(H352-J352*L352)&gt;Info_Koperasi!$C$10,"SELISIH","OK")))</f>
        <v/>
      </c>
    </row>
    <row r="353" customFormat="false" ht="15" hidden="false" customHeight="false" outlineLevel="0" collapsed="false">
      <c r="A353" s="21"/>
      <c r="B353" s="22"/>
      <c r="C353" s="21"/>
      <c r="D353" s="21"/>
      <c r="E353" s="28"/>
      <c r="F353" s="24"/>
      <c r="G353" s="26"/>
      <c r="H353" s="24"/>
      <c r="I353" s="24"/>
      <c r="J353" s="24"/>
      <c r="K353" s="24"/>
      <c r="L353" s="26"/>
      <c r="M353" s="26"/>
      <c r="N353" s="22"/>
      <c r="O353" s="21"/>
      <c r="P353" s="22"/>
      <c r="Q353" s="29" t="str">
        <f aca="false">IF(C353="","",IF(O353&lt;&gt;"",O353,IFERROR(INDEX(Produk!$J$2:$J$100,MATCH(C353,Produk!$A$2:$A$100,0)),"PRODUK?")))</f>
        <v/>
      </c>
      <c r="R353" s="29" t="str">
        <f aca="false">IF(A353="","",IF(COUNTIF(Anggota!$A$2:$A$2001,A353)=0,"TIDAK ADA","OK"))</f>
        <v/>
      </c>
      <c r="S353" s="29" t="str">
        <f aca="false">IF(H353="","",IF(OR(J353="",L353=""),"-",IF(ABS(H353-J353*L353)&gt;Info_Koperasi!$C$10,"SELISIH","OK")))</f>
        <v/>
      </c>
    </row>
    <row r="354" customFormat="false" ht="15" hidden="false" customHeight="false" outlineLevel="0" collapsed="false">
      <c r="A354" s="21"/>
      <c r="B354" s="22"/>
      <c r="C354" s="21"/>
      <c r="D354" s="21"/>
      <c r="E354" s="28"/>
      <c r="F354" s="24"/>
      <c r="G354" s="26"/>
      <c r="H354" s="24"/>
      <c r="I354" s="24"/>
      <c r="J354" s="24"/>
      <c r="K354" s="24"/>
      <c r="L354" s="26"/>
      <c r="M354" s="26"/>
      <c r="N354" s="22"/>
      <c r="O354" s="21"/>
      <c r="P354" s="22"/>
      <c r="Q354" s="29" t="str">
        <f aca="false">IF(C354="","",IF(O354&lt;&gt;"",O354,IFERROR(INDEX(Produk!$J$2:$J$100,MATCH(C354,Produk!$A$2:$A$100,0)),"PRODUK?")))</f>
        <v/>
      </c>
      <c r="R354" s="29" t="str">
        <f aca="false">IF(A354="","",IF(COUNTIF(Anggota!$A$2:$A$2001,A354)=0,"TIDAK ADA","OK"))</f>
        <v/>
      </c>
      <c r="S354" s="29" t="str">
        <f aca="false">IF(H354="","",IF(OR(J354="",L354=""),"-",IF(ABS(H354-J354*L354)&gt;Info_Koperasi!$C$10,"SELISIH","OK")))</f>
        <v/>
      </c>
    </row>
    <row r="355" customFormat="false" ht="15" hidden="false" customHeight="false" outlineLevel="0" collapsed="false">
      <c r="A355" s="21"/>
      <c r="B355" s="22"/>
      <c r="C355" s="21"/>
      <c r="D355" s="21"/>
      <c r="E355" s="28"/>
      <c r="F355" s="24"/>
      <c r="G355" s="26"/>
      <c r="H355" s="24"/>
      <c r="I355" s="24"/>
      <c r="J355" s="24"/>
      <c r="K355" s="24"/>
      <c r="L355" s="26"/>
      <c r="M355" s="26"/>
      <c r="N355" s="22"/>
      <c r="O355" s="21"/>
      <c r="P355" s="22"/>
      <c r="Q355" s="29" t="str">
        <f aca="false">IF(C355="","",IF(O355&lt;&gt;"",O355,IFERROR(INDEX(Produk!$J$2:$J$100,MATCH(C355,Produk!$A$2:$A$100,0)),"PRODUK?")))</f>
        <v/>
      </c>
      <c r="R355" s="29" t="str">
        <f aca="false">IF(A355="","",IF(COUNTIF(Anggota!$A$2:$A$2001,A355)=0,"TIDAK ADA","OK"))</f>
        <v/>
      </c>
      <c r="S355" s="29" t="str">
        <f aca="false">IF(H355="","",IF(OR(J355="",L355=""),"-",IF(ABS(H355-J355*L355)&gt;Info_Koperasi!$C$10,"SELISIH","OK")))</f>
        <v/>
      </c>
    </row>
    <row r="356" customFormat="false" ht="15" hidden="false" customHeight="false" outlineLevel="0" collapsed="false">
      <c r="A356" s="21"/>
      <c r="B356" s="22"/>
      <c r="C356" s="21"/>
      <c r="D356" s="21"/>
      <c r="E356" s="28"/>
      <c r="F356" s="24"/>
      <c r="G356" s="26"/>
      <c r="H356" s="24"/>
      <c r="I356" s="24"/>
      <c r="J356" s="24"/>
      <c r="K356" s="24"/>
      <c r="L356" s="26"/>
      <c r="M356" s="26"/>
      <c r="N356" s="22"/>
      <c r="O356" s="21"/>
      <c r="P356" s="22"/>
      <c r="Q356" s="29" t="str">
        <f aca="false">IF(C356="","",IF(O356&lt;&gt;"",O356,IFERROR(INDEX(Produk!$J$2:$J$100,MATCH(C356,Produk!$A$2:$A$100,0)),"PRODUK?")))</f>
        <v/>
      </c>
      <c r="R356" s="29" t="str">
        <f aca="false">IF(A356="","",IF(COUNTIF(Anggota!$A$2:$A$2001,A356)=0,"TIDAK ADA","OK"))</f>
        <v/>
      </c>
      <c r="S356" s="29" t="str">
        <f aca="false">IF(H356="","",IF(OR(J356="",L356=""),"-",IF(ABS(H356-J356*L356)&gt;Info_Koperasi!$C$10,"SELISIH","OK")))</f>
        <v/>
      </c>
    </row>
    <row r="357" customFormat="false" ht="15" hidden="false" customHeight="false" outlineLevel="0" collapsed="false">
      <c r="A357" s="21"/>
      <c r="B357" s="22"/>
      <c r="C357" s="21"/>
      <c r="D357" s="21"/>
      <c r="E357" s="28"/>
      <c r="F357" s="24"/>
      <c r="G357" s="26"/>
      <c r="H357" s="24"/>
      <c r="I357" s="24"/>
      <c r="J357" s="24"/>
      <c r="K357" s="24"/>
      <c r="L357" s="26"/>
      <c r="M357" s="26"/>
      <c r="N357" s="22"/>
      <c r="O357" s="21"/>
      <c r="P357" s="22"/>
      <c r="Q357" s="29" t="str">
        <f aca="false">IF(C357="","",IF(O357&lt;&gt;"",O357,IFERROR(INDEX(Produk!$J$2:$J$100,MATCH(C357,Produk!$A$2:$A$100,0)),"PRODUK?")))</f>
        <v/>
      </c>
      <c r="R357" s="29" t="str">
        <f aca="false">IF(A357="","",IF(COUNTIF(Anggota!$A$2:$A$2001,A357)=0,"TIDAK ADA","OK"))</f>
        <v/>
      </c>
      <c r="S357" s="29" t="str">
        <f aca="false">IF(H357="","",IF(OR(J357="",L357=""),"-",IF(ABS(H357-J357*L357)&gt;Info_Koperasi!$C$10,"SELISIH","OK")))</f>
        <v/>
      </c>
    </row>
    <row r="358" customFormat="false" ht="15" hidden="false" customHeight="false" outlineLevel="0" collapsed="false">
      <c r="A358" s="21"/>
      <c r="B358" s="22"/>
      <c r="C358" s="21"/>
      <c r="D358" s="21"/>
      <c r="E358" s="28"/>
      <c r="F358" s="24"/>
      <c r="G358" s="26"/>
      <c r="H358" s="24"/>
      <c r="I358" s="24"/>
      <c r="J358" s="24"/>
      <c r="K358" s="24"/>
      <c r="L358" s="26"/>
      <c r="M358" s="26"/>
      <c r="N358" s="22"/>
      <c r="O358" s="21"/>
      <c r="P358" s="22"/>
      <c r="Q358" s="29" t="str">
        <f aca="false">IF(C358="","",IF(O358&lt;&gt;"",O358,IFERROR(INDEX(Produk!$J$2:$J$100,MATCH(C358,Produk!$A$2:$A$100,0)),"PRODUK?")))</f>
        <v/>
      </c>
      <c r="R358" s="29" t="str">
        <f aca="false">IF(A358="","",IF(COUNTIF(Anggota!$A$2:$A$2001,A358)=0,"TIDAK ADA","OK"))</f>
        <v/>
      </c>
      <c r="S358" s="29" t="str">
        <f aca="false">IF(H358="","",IF(OR(J358="",L358=""),"-",IF(ABS(H358-J358*L358)&gt;Info_Koperasi!$C$10,"SELISIH","OK")))</f>
        <v/>
      </c>
    </row>
    <row r="359" customFormat="false" ht="15" hidden="false" customHeight="false" outlineLevel="0" collapsed="false">
      <c r="A359" s="21"/>
      <c r="B359" s="22"/>
      <c r="C359" s="21"/>
      <c r="D359" s="21"/>
      <c r="E359" s="28"/>
      <c r="F359" s="24"/>
      <c r="G359" s="26"/>
      <c r="H359" s="24"/>
      <c r="I359" s="24"/>
      <c r="J359" s="24"/>
      <c r="K359" s="24"/>
      <c r="L359" s="26"/>
      <c r="M359" s="26"/>
      <c r="N359" s="22"/>
      <c r="O359" s="21"/>
      <c r="P359" s="22"/>
      <c r="Q359" s="29" t="str">
        <f aca="false">IF(C359="","",IF(O359&lt;&gt;"",O359,IFERROR(INDEX(Produk!$J$2:$J$100,MATCH(C359,Produk!$A$2:$A$100,0)),"PRODUK?")))</f>
        <v/>
      </c>
      <c r="R359" s="29" t="str">
        <f aca="false">IF(A359="","",IF(COUNTIF(Anggota!$A$2:$A$2001,A359)=0,"TIDAK ADA","OK"))</f>
        <v/>
      </c>
      <c r="S359" s="29" t="str">
        <f aca="false">IF(H359="","",IF(OR(J359="",L359=""),"-",IF(ABS(H359-J359*L359)&gt;Info_Koperasi!$C$10,"SELISIH","OK")))</f>
        <v/>
      </c>
    </row>
    <row r="360" customFormat="false" ht="15" hidden="false" customHeight="false" outlineLevel="0" collapsed="false">
      <c r="A360" s="21"/>
      <c r="B360" s="22"/>
      <c r="C360" s="21"/>
      <c r="D360" s="21"/>
      <c r="E360" s="28"/>
      <c r="F360" s="24"/>
      <c r="G360" s="26"/>
      <c r="H360" s="24"/>
      <c r="I360" s="24"/>
      <c r="J360" s="24"/>
      <c r="K360" s="24"/>
      <c r="L360" s="26"/>
      <c r="M360" s="26"/>
      <c r="N360" s="22"/>
      <c r="O360" s="21"/>
      <c r="P360" s="22"/>
      <c r="Q360" s="29" t="str">
        <f aca="false">IF(C360="","",IF(O360&lt;&gt;"",O360,IFERROR(INDEX(Produk!$J$2:$J$100,MATCH(C360,Produk!$A$2:$A$100,0)),"PRODUK?")))</f>
        <v/>
      </c>
      <c r="R360" s="29" t="str">
        <f aca="false">IF(A360="","",IF(COUNTIF(Anggota!$A$2:$A$2001,A360)=0,"TIDAK ADA","OK"))</f>
        <v/>
      </c>
      <c r="S360" s="29" t="str">
        <f aca="false">IF(H360="","",IF(OR(J360="",L360=""),"-",IF(ABS(H360-J360*L360)&gt;Info_Koperasi!$C$10,"SELISIH","OK")))</f>
        <v/>
      </c>
    </row>
    <row r="361" customFormat="false" ht="15" hidden="false" customHeight="false" outlineLevel="0" collapsed="false">
      <c r="A361" s="21"/>
      <c r="B361" s="22"/>
      <c r="C361" s="21"/>
      <c r="D361" s="21"/>
      <c r="E361" s="28"/>
      <c r="F361" s="24"/>
      <c r="G361" s="26"/>
      <c r="H361" s="24"/>
      <c r="I361" s="24"/>
      <c r="J361" s="24"/>
      <c r="K361" s="24"/>
      <c r="L361" s="26"/>
      <c r="M361" s="26"/>
      <c r="N361" s="22"/>
      <c r="O361" s="21"/>
      <c r="P361" s="22"/>
      <c r="Q361" s="29" t="str">
        <f aca="false">IF(C361="","",IF(O361&lt;&gt;"",O361,IFERROR(INDEX(Produk!$J$2:$J$100,MATCH(C361,Produk!$A$2:$A$100,0)),"PRODUK?")))</f>
        <v/>
      </c>
      <c r="R361" s="29" t="str">
        <f aca="false">IF(A361="","",IF(COUNTIF(Anggota!$A$2:$A$2001,A361)=0,"TIDAK ADA","OK"))</f>
        <v/>
      </c>
      <c r="S361" s="29" t="str">
        <f aca="false">IF(H361="","",IF(OR(J361="",L361=""),"-",IF(ABS(H361-J361*L361)&gt;Info_Koperasi!$C$10,"SELISIH","OK")))</f>
        <v/>
      </c>
    </row>
    <row r="362" customFormat="false" ht="15" hidden="false" customHeight="false" outlineLevel="0" collapsed="false">
      <c r="A362" s="21"/>
      <c r="B362" s="22"/>
      <c r="C362" s="21"/>
      <c r="D362" s="21"/>
      <c r="E362" s="28"/>
      <c r="F362" s="24"/>
      <c r="G362" s="26"/>
      <c r="H362" s="24"/>
      <c r="I362" s="24"/>
      <c r="J362" s="24"/>
      <c r="K362" s="24"/>
      <c r="L362" s="26"/>
      <c r="M362" s="26"/>
      <c r="N362" s="22"/>
      <c r="O362" s="21"/>
      <c r="P362" s="22"/>
      <c r="Q362" s="29" t="str">
        <f aca="false">IF(C362="","",IF(O362&lt;&gt;"",O362,IFERROR(INDEX(Produk!$J$2:$J$100,MATCH(C362,Produk!$A$2:$A$100,0)),"PRODUK?")))</f>
        <v/>
      </c>
      <c r="R362" s="29" t="str">
        <f aca="false">IF(A362="","",IF(COUNTIF(Anggota!$A$2:$A$2001,A362)=0,"TIDAK ADA","OK"))</f>
        <v/>
      </c>
      <c r="S362" s="29" t="str">
        <f aca="false">IF(H362="","",IF(OR(J362="",L362=""),"-",IF(ABS(H362-J362*L362)&gt;Info_Koperasi!$C$10,"SELISIH","OK")))</f>
        <v/>
      </c>
    </row>
    <row r="363" customFormat="false" ht="15" hidden="false" customHeight="false" outlineLevel="0" collapsed="false">
      <c r="A363" s="21"/>
      <c r="B363" s="22"/>
      <c r="C363" s="21"/>
      <c r="D363" s="21"/>
      <c r="E363" s="28"/>
      <c r="F363" s="24"/>
      <c r="G363" s="26"/>
      <c r="H363" s="24"/>
      <c r="I363" s="24"/>
      <c r="J363" s="24"/>
      <c r="K363" s="24"/>
      <c r="L363" s="26"/>
      <c r="M363" s="26"/>
      <c r="N363" s="22"/>
      <c r="O363" s="21"/>
      <c r="P363" s="22"/>
      <c r="Q363" s="29" t="str">
        <f aca="false">IF(C363="","",IF(O363&lt;&gt;"",O363,IFERROR(INDEX(Produk!$J$2:$J$100,MATCH(C363,Produk!$A$2:$A$100,0)),"PRODUK?")))</f>
        <v/>
      </c>
      <c r="R363" s="29" t="str">
        <f aca="false">IF(A363="","",IF(COUNTIF(Anggota!$A$2:$A$2001,A363)=0,"TIDAK ADA","OK"))</f>
        <v/>
      </c>
      <c r="S363" s="29" t="str">
        <f aca="false">IF(H363="","",IF(OR(J363="",L363=""),"-",IF(ABS(H363-J363*L363)&gt;Info_Koperasi!$C$10,"SELISIH","OK")))</f>
        <v/>
      </c>
    </row>
    <row r="364" customFormat="false" ht="15" hidden="false" customHeight="false" outlineLevel="0" collapsed="false">
      <c r="A364" s="21"/>
      <c r="B364" s="22"/>
      <c r="C364" s="21"/>
      <c r="D364" s="21"/>
      <c r="E364" s="28"/>
      <c r="F364" s="24"/>
      <c r="G364" s="26"/>
      <c r="H364" s="24"/>
      <c r="I364" s="24"/>
      <c r="J364" s="24"/>
      <c r="K364" s="24"/>
      <c r="L364" s="26"/>
      <c r="M364" s="26"/>
      <c r="N364" s="22"/>
      <c r="O364" s="21"/>
      <c r="P364" s="22"/>
      <c r="Q364" s="29" t="str">
        <f aca="false">IF(C364="","",IF(O364&lt;&gt;"",O364,IFERROR(INDEX(Produk!$J$2:$J$100,MATCH(C364,Produk!$A$2:$A$100,0)),"PRODUK?")))</f>
        <v/>
      </c>
      <c r="R364" s="29" t="str">
        <f aca="false">IF(A364="","",IF(COUNTIF(Anggota!$A$2:$A$2001,A364)=0,"TIDAK ADA","OK"))</f>
        <v/>
      </c>
      <c r="S364" s="29" t="str">
        <f aca="false">IF(H364="","",IF(OR(J364="",L364=""),"-",IF(ABS(H364-J364*L364)&gt;Info_Koperasi!$C$10,"SELISIH","OK")))</f>
        <v/>
      </c>
    </row>
    <row r="365" customFormat="false" ht="15" hidden="false" customHeight="false" outlineLevel="0" collapsed="false">
      <c r="A365" s="21"/>
      <c r="B365" s="22"/>
      <c r="C365" s="21"/>
      <c r="D365" s="21"/>
      <c r="E365" s="28"/>
      <c r="F365" s="24"/>
      <c r="G365" s="26"/>
      <c r="H365" s="24"/>
      <c r="I365" s="24"/>
      <c r="J365" s="24"/>
      <c r="K365" s="24"/>
      <c r="L365" s="26"/>
      <c r="M365" s="26"/>
      <c r="N365" s="22"/>
      <c r="O365" s="21"/>
      <c r="P365" s="22"/>
      <c r="Q365" s="29" t="str">
        <f aca="false">IF(C365="","",IF(O365&lt;&gt;"",O365,IFERROR(INDEX(Produk!$J$2:$J$100,MATCH(C365,Produk!$A$2:$A$100,0)),"PRODUK?")))</f>
        <v/>
      </c>
      <c r="R365" s="29" t="str">
        <f aca="false">IF(A365="","",IF(COUNTIF(Anggota!$A$2:$A$2001,A365)=0,"TIDAK ADA","OK"))</f>
        <v/>
      </c>
      <c r="S365" s="29" t="str">
        <f aca="false">IF(H365="","",IF(OR(J365="",L365=""),"-",IF(ABS(H365-J365*L365)&gt;Info_Koperasi!$C$10,"SELISIH","OK")))</f>
        <v/>
      </c>
    </row>
    <row r="366" customFormat="false" ht="15" hidden="false" customHeight="false" outlineLevel="0" collapsed="false">
      <c r="A366" s="21"/>
      <c r="B366" s="22"/>
      <c r="C366" s="21"/>
      <c r="D366" s="21"/>
      <c r="E366" s="28"/>
      <c r="F366" s="24"/>
      <c r="G366" s="26"/>
      <c r="H366" s="24"/>
      <c r="I366" s="24"/>
      <c r="J366" s="24"/>
      <c r="K366" s="24"/>
      <c r="L366" s="26"/>
      <c r="M366" s="26"/>
      <c r="N366" s="22"/>
      <c r="O366" s="21"/>
      <c r="P366" s="22"/>
      <c r="Q366" s="29" t="str">
        <f aca="false">IF(C366="","",IF(O366&lt;&gt;"",O366,IFERROR(INDEX(Produk!$J$2:$J$100,MATCH(C366,Produk!$A$2:$A$100,0)),"PRODUK?")))</f>
        <v/>
      </c>
      <c r="R366" s="29" t="str">
        <f aca="false">IF(A366="","",IF(COUNTIF(Anggota!$A$2:$A$2001,A366)=0,"TIDAK ADA","OK"))</f>
        <v/>
      </c>
      <c r="S366" s="29" t="str">
        <f aca="false">IF(H366="","",IF(OR(J366="",L366=""),"-",IF(ABS(H366-J366*L366)&gt;Info_Koperasi!$C$10,"SELISIH","OK")))</f>
        <v/>
      </c>
    </row>
    <row r="367" customFormat="false" ht="15" hidden="false" customHeight="false" outlineLevel="0" collapsed="false">
      <c r="A367" s="21"/>
      <c r="B367" s="22"/>
      <c r="C367" s="21"/>
      <c r="D367" s="21"/>
      <c r="E367" s="28"/>
      <c r="F367" s="24"/>
      <c r="G367" s="26"/>
      <c r="H367" s="24"/>
      <c r="I367" s="24"/>
      <c r="J367" s="24"/>
      <c r="K367" s="24"/>
      <c r="L367" s="26"/>
      <c r="M367" s="26"/>
      <c r="N367" s="22"/>
      <c r="O367" s="21"/>
      <c r="P367" s="22"/>
      <c r="Q367" s="29" t="str">
        <f aca="false">IF(C367="","",IF(O367&lt;&gt;"",O367,IFERROR(INDEX(Produk!$J$2:$J$100,MATCH(C367,Produk!$A$2:$A$100,0)),"PRODUK?")))</f>
        <v/>
      </c>
      <c r="R367" s="29" t="str">
        <f aca="false">IF(A367="","",IF(COUNTIF(Anggota!$A$2:$A$2001,A367)=0,"TIDAK ADA","OK"))</f>
        <v/>
      </c>
      <c r="S367" s="29" t="str">
        <f aca="false">IF(H367="","",IF(OR(J367="",L367=""),"-",IF(ABS(H367-J367*L367)&gt;Info_Koperasi!$C$10,"SELISIH","OK")))</f>
        <v/>
      </c>
    </row>
    <row r="368" customFormat="false" ht="15" hidden="false" customHeight="false" outlineLevel="0" collapsed="false">
      <c r="A368" s="21"/>
      <c r="B368" s="22"/>
      <c r="C368" s="21"/>
      <c r="D368" s="21"/>
      <c r="E368" s="28"/>
      <c r="F368" s="24"/>
      <c r="G368" s="26"/>
      <c r="H368" s="24"/>
      <c r="I368" s="24"/>
      <c r="J368" s="24"/>
      <c r="K368" s="24"/>
      <c r="L368" s="26"/>
      <c r="M368" s="26"/>
      <c r="N368" s="22"/>
      <c r="O368" s="21"/>
      <c r="P368" s="22"/>
      <c r="Q368" s="29" t="str">
        <f aca="false">IF(C368="","",IF(O368&lt;&gt;"",O368,IFERROR(INDEX(Produk!$J$2:$J$100,MATCH(C368,Produk!$A$2:$A$100,0)),"PRODUK?")))</f>
        <v/>
      </c>
      <c r="R368" s="29" t="str">
        <f aca="false">IF(A368="","",IF(COUNTIF(Anggota!$A$2:$A$2001,A368)=0,"TIDAK ADA","OK"))</f>
        <v/>
      </c>
      <c r="S368" s="29" t="str">
        <f aca="false">IF(H368="","",IF(OR(J368="",L368=""),"-",IF(ABS(H368-J368*L368)&gt;Info_Koperasi!$C$10,"SELISIH","OK")))</f>
        <v/>
      </c>
    </row>
    <row r="369" customFormat="false" ht="15" hidden="false" customHeight="false" outlineLevel="0" collapsed="false">
      <c r="A369" s="21"/>
      <c r="B369" s="22"/>
      <c r="C369" s="21"/>
      <c r="D369" s="21"/>
      <c r="E369" s="28"/>
      <c r="F369" s="24"/>
      <c r="G369" s="26"/>
      <c r="H369" s="24"/>
      <c r="I369" s="24"/>
      <c r="J369" s="24"/>
      <c r="K369" s="24"/>
      <c r="L369" s="26"/>
      <c r="M369" s="26"/>
      <c r="N369" s="22"/>
      <c r="O369" s="21"/>
      <c r="P369" s="22"/>
      <c r="Q369" s="29" t="str">
        <f aca="false">IF(C369="","",IF(O369&lt;&gt;"",O369,IFERROR(INDEX(Produk!$J$2:$J$100,MATCH(C369,Produk!$A$2:$A$100,0)),"PRODUK?")))</f>
        <v/>
      </c>
      <c r="R369" s="29" t="str">
        <f aca="false">IF(A369="","",IF(COUNTIF(Anggota!$A$2:$A$2001,A369)=0,"TIDAK ADA","OK"))</f>
        <v/>
      </c>
      <c r="S369" s="29" t="str">
        <f aca="false">IF(H369="","",IF(OR(J369="",L369=""),"-",IF(ABS(H369-J369*L369)&gt;Info_Koperasi!$C$10,"SELISIH","OK")))</f>
        <v/>
      </c>
    </row>
    <row r="370" customFormat="false" ht="15" hidden="false" customHeight="false" outlineLevel="0" collapsed="false">
      <c r="A370" s="21"/>
      <c r="B370" s="22"/>
      <c r="C370" s="21"/>
      <c r="D370" s="21"/>
      <c r="E370" s="28"/>
      <c r="F370" s="24"/>
      <c r="G370" s="26"/>
      <c r="H370" s="24"/>
      <c r="I370" s="24"/>
      <c r="J370" s="24"/>
      <c r="K370" s="24"/>
      <c r="L370" s="26"/>
      <c r="M370" s="26"/>
      <c r="N370" s="22"/>
      <c r="O370" s="21"/>
      <c r="P370" s="22"/>
      <c r="Q370" s="29" t="str">
        <f aca="false">IF(C370="","",IF(O370&lt;&gt;"",O370,IFERROR(INDEX(Produk!$J$2:$J$100,MATCH(C370,Produk!$A$2:$A$100,0)),"PRODUK?")))</f>
        <v/>
      </c>
      <c r="R370" s="29" t="str">
        <f aca="false">IF(A370="","",IF(COUNTIF(Anggota!$A$2:$A$2001,A370)=0,"TIDAK ADA","OK"))</f>
        <v/>
      </c>
      <c r="S370" s="29" t="str">
        <f aca="false">IF(H370="","",IF(OR(J370="",L370=""),"-",IF(ABS(H370-J370*L370)&gt;Info_Koperasi!$C$10,"SELISIH","OK")))</f>
        <v/>
      </c>
    </row>
    <row r="371" customFormat="false" ht="15" hidden="false" customHeight="false" outlineLevel="0" collapsed="false">
      <c r="A371" s="21"/>
      <c r="B371" s="22"/>
      <c r="C371" s="21"/>
      <c r="D371" s="21"/>
      <c r="E371" s="28"/>
      <c r="F371" s="24"/>
      <c r="G371" s="26"/>
      <c r="H371" s="24"/>
      <c r="I371" s="24"/>
      <c r="J371" s="24"/>
      <c r="K371" s="24"/>
      <c r="L371" s="26"/>
      <c r="M371" s="26"/>
      <c r="N371" s="22"/>
      <c r="O371" s="21"/>
      <c r="P371" s="22"/>
      <c r="Q371" s="29" t="str">
        <f aca="false">IF(C371="","",IF(O371&lt;&gt;"",O371,IFERROR(INDEX(Produk!$J$2:$J$100,MATCH(C371,Produk!$A$2:$A$100,0)),"PRODUK?")))</f>
        <v/>
      </c>
      <c r="R371" s="29" t="str">
        <f aca="false">IF(A371="","",IF(COUNTIF(Anggota!$A$2:$A$2001,A371)=0,"TIDAK ADA","OK"))</f>
        <v/>
      </c>
      <c r="S371" s="29" t="str">
        <f aca="false">IF(H371="","",IF(OR(J371="",L371=""),"-",IF(ABS(H371-J371*L371)&gt;Info_Koperasi!$C$10,"SELISIH","OK")))</f>
        <v/>
      </c>
    </row>
    <row r="372" customFormat="false" ht="15" hidden="false" customHeight="false" outlineLevel="0" collapsed="false">
      <c r="A372" s="21"/>
      <c r="B372" s="22"/>
      <c r="C372" s="21"/>
      <c r="D372" s="21"/>
      <c r="E372" s="28"/>
      <c r="F372" s="24"/>
      <c r="G372" s="26"/>
      <c r="H372" s="24"/>
      <c r="I372" s="24"/>
      <c r="J372" s="24"/>
      <c r="K372" s="24"/>
      <c r="L372" s="26"/>
      <c r="M372" s="26"/>
      <c r="N372" s="22"/>
      <c r="O372" s="21"/>
      <c r="P372" s="22"/>
      <c r="Q372" s="29" t="str">
        <f aca="false">IF(C372="","",IF(O372&lt;&gt;"",O372,IFERROR(INDEX(Produk!$J$2:$J$100,MATCH(C372,Produk!$A$2:$A$100,0)),"PRODUK?")))</f>
        <v/>
      </c>
      <c r="R372" s="29" t="str">
        <f aca="false">IF(A372="","",IF(COUNTIF(Anggota!$A$2:$A$2001,A372)=0,"TIDAK ADA","OK"))</f>
        <v/>
      </c>
      <c r="S372" s="29" t="str">
        <f aca="false">IF(H372="","",IF(OR(J372="",L372=""),"-",IF(ABS(H372-J372*L372)&gt;Info_Koperasi!$C$10,"SELISIH","OK")))</f>
        <v/>
      </c>
    </row>
    <row r="373" customFormat="false" ht="15" hidden="false" customHeight="false" outlineLevel="0" collapsed="false">
      <c r="A373" s="21"/>
      <c r="B373" s="22"/>
      <c r="C373" s="21"/>
      <c r="D373" s="21"/>
      <c r="E373" s="28"/>
      <c r="F373" s="24"/>
      <c r="G373" s="26"/>
      <c r="H373" s="24"/>
      <c r="I373" s="24"/>
      <c r="J373" s="24"/>
      <c r="K373" s="24"/>
      <c r="L373" s="26"/>
      <c r="M373" s="26"/>
      <c r="N373" s="22"/>
      <c r="O373" s="21"/>
      <c r="P373" s="22"/>
      <c r="Q373" s="29" t="str">
        <f aca="false">IF(C373="","",IF(O373&lt;&gt;"",O373,IFERROR(INDEX(Produk!$J$2:$J$100,MATCH(C373,Produk!$A$2:$A$100,0)),"PRODUK?")))</f>
        <v/>
      </c>
      <c r="R373" s="29" t="str">
        <f aca="false">IF(A373="","",IF(COUNTIF(Anggota!$A$2:$A$2001,A373)=0,"TIDAK ADA","OK"))</f>
        <v/>
      </c>
      <c r="S373" s="29" t="str">
        <f aca="false">IF(H373="","",IF(OR(J373="",L373=""),"-",IF(ABS(H373-J373*L373)&gt;Info_Koperasi!$C$10,"SELISIH","OK")))</f>
        <v/>
      </c>
    </row>
    <row r="374" customFormat="false" ht="15" hidden="false" customHeight="false" outlineLevel="0" collapsed="false">
      <c r="A374" s="21"/>
      <c r="B374" s="22"/>
      <c r="C374" s="21"/>
      <c r="D374" s="21"/>
      <c r="E374" s="28"/>
      <c r="F374" s="24"/>
      <c r="G374" s="26"/>
      <c r="H374" s="24"/>
      <c r="I374" s="24"/>
      <c r="J374" s="24"/>
      <c r="K374" s="24"/>
      <c r="L374" s="26"/>
      <c r="M374" s="26"/>
      <c r="N374" s="22"/>
      <c r="O374" s="21"/>
      <c r="P374" s="22"/>
      <c r="Q374" s="29" t="str">
        <f aca="false">IF(C374="","",IF(O374&lt;&gt;"",O374,IFERROR(INDEX(Produk!$J$2:$J$100,MATCH(C374,Produk!$A$2:$A$100,0)),"PRODUK?")))</f>
        <v/>
      </c>
      <c r="R374" s="29" t="str">
        <f aca="false">IF(A374="","",IF(COUNTIF(Anggota!$A$2:$A$2001,A374)=0,"TIDAK ADA","OK"))</f>
        <v/>
      </c>
      <c r="S374" s="29" t="str">
        <f aca="false">IF(H374="","",IF(OR(J374="",L374=""),"-",IF(ABS(H374-J374*L374)&gt;Info_Koperasi!$C$10,"SELISIH","OK")))</f>
        <v/>
      </c>
    </row>
    <row r="375" customFormat="false" ht="15" hidden="false" customHeight="false" outlineLevel="0" collapsed="false">
      <c r="A375" s="21"/>
      <c r="B375" s="22"/>
      <c r="C375" s="21"/>
      <c r="D375" s="21"/>
      <c r="E375" s="28"/>
      <c r="F375" s="24"/>
      <c r="G375" s="26"/>
      <c r="H375" s="24"/>
      <c r="I375" s="24"/>
      <c r="J375" s="24"/>
      <c r="K375" s="24"/>
      <c r="L375" s="26"/>
      <c r="M375" s="26"/>
      <c r="N375" s="22"/>
      <c r="O375" s="21"/>
      <c r="P375" s="22"/>
      <c r="Q375" s="29" t="str">
        <f aca="false">IF(C375="","",IF(O375&lt;&gt;"",O375,IFERROR(INDEX(Produk!$J$2:$J$100,MATCH(C375,Produk!$A$2:$A$100,0)),"PRODUK?")))</f>
        <v/>
      </c>
      <c r="R375" s="29" t="str">
        <f aca="false">IF(A375="","",IF(COUNTIF(Anggota!$A$2:$A$2001,A375)=0,"TIDAK ADA","OK"))</f>
        <v/>
      </c>
      <c r="S375" s="29" t="str">
        <f aca="false">IF(H375="","",IF(OR(J375="",L375=""),"-",IF(ABS(H375-J375*L375)&gt;Info_Koperasi!$C$10,"SELISIH","OK")))</f>
        <v/>
      </c>
    </row>
    <row r="376" customFormat="false" ht="15" hidden="false" customHeight="false" outlineLevel="0" collapsed="false">
      <c r="A376" s="21"/>
      <c r="B376" s="22"/>
      <c r="C376" s="21"/>
      <c r="D376" s="21"/>
      <c r="E376" s="28"/>
      <c r="F376" s="24"/>
      <c r="G376" s="26"/>
      <c r="H376" s="24"/>
      <c r="I376" s="24"/>
      <c r="J376" s="24"/>
      <c r="K376" s="24"/>
      <c r="L376" s="26"/>
      <c r="M376" s="26"/>
      <c r="N376" s="22"/>
      <c r="O376" s="21"/>
      <c r="P376" s="22"/>
      <c r="Q376" s="29" t="str">
        <f aca="false">IF(C376="","",IF(O376&lt;&gt;"",O376,IFERROR(INDEX(Produk!$J$2:$J$100,MATCH(C376,Produk!$A$2:$A$100,0)),"PRODUK?")))</f>
        <v/>
      </c>
      <c r="R376" s="29" t="str">
        <f aca="false">IF(A376="","",IF(COUNTIF(Anggota!$A$2:$A$2001,A376)=0,"TIDAK ADA","OK"))</f>
        <v/>
      </c>
      <c r="S376" s="29" t="str">
        <f aca="false">IF(H376="","",IF(OR(J376="",L376=""),"-",IF(ABS(H376-J376*L376)&gt;Info_Koperasi!$C$10,"SELISIH","OK")))</f>
        <v/>
      </c>
    </row>
    <row r="377" customFormat="false" ht="15" hidden="false" customHeight="false" outlineLevel="0" collapsed="false">
      <c r="A377" s="21"/>
      <c r="B377" s="22"/>
      <c r="C377" s="21"/>
      <c r="D377" s="21"/>
      <c r="E377" s="28"/>
      <c r="F377" s="24"/>
      <c r="G377" s="26"/>
      <c r="H377" s="24"/>
      <c r="I377" s="24"/>
      <c r="J377" s="24"/>
      <c r="K377" s="24"/>
      <c r="L377" s="26"/>
      <c r="M377" s="26"/>
      <c r="N377" s="22"/>
      <c r="O377" s="21"/>
      <c r="P377" s="22"/>
      <c r="Q377" s="29" t="str">
        <f aca="false">IF(C377="","",IF(O377&lt;&gt;"",O377,IFERROR(INDEX(Produk!$J$2:$J$100,MATCH(C377,Produk!$A$2:$A$100,0)),"PRODUK?")))</f>
        <v/>
      </c>
      <c r="R377" s="29" t="str">
        <f aca="false">IF(A377="","",IF(COUNTIF(Anggota!$A$2:$A$2001,A377)=0,"TIDAK ADA","OK"))</f>
        <v/>
      </c>
      <c r="S377" s="29" t="str">
        <f aca="false">IF(H377="","",IF(OR(J377="",L377=""),"-",IF(ABS(H377-J377*L377)&gt;Info_Koperasi!$C$10,"SELISIH","OK")))</f>
        <v/>
      </c>
    </row>
    <row r="378" customFormat="false" ht="15" hidden="false" customHeight="false" outlineLevel="0" collapsed="false">
      <c r="A378" s="21"/>
      <c r="B378" s="22"/>
      <c r="C378" s="21"/>
      <c r="D378" s="21"/>
      <c r="E378" s="28"/>
      <c r="F378" s="24"/>
      <c r="G378" s="26"/>
      <c r="H378" s="24"/>
      <c r="I378" s="24"/>
      <c r="J378" s="24"/>
      <c r="K378" s="24"/>
      <c r="L378" s="26"/>
      <c r="M378" s="26"/>
      <c r="N378" s="22"/>
      <c r="O378" s="21"/>
      <c r="P378" s="22"/>
      <c r="Q378" s="29" t="str">
        <f aca="false">IF(C378="","",IF(O378&lt;&gt;"",O378,IFERROR(INDEX(Produk!$J$2:$J$100,MATCH(C378,Produk!$A$2:$A$100,0)),"PRODUK?")))</f>
        <v/>
      </c>
      <c r="R378" s="29" t="str">
        <f aca="false">IF(A378="","",IF(COUNTIF(Anggota!$A$2:$A$2001,A378)=0,"TIDAK ADA","OK"))</f>
        <v/>
      </c>
      <c r="S378" s="29" t="str">
        <f aca="false">IF(H378="","",IF(OR(J378="",L378=""),"-",IF(ABS(H378-J378*L378)&gt;Info_Koperasi!$C$10,"SELISIH","OK")))</f>
        <v/>
      </c>
    </row>
    <row r="379" customFormat="false" ht="15" hidden="false" customHeight="false" outlineLevel="0" collapsed="false">
      <c r="A379" s="21"/>
      <c r="B379" s="22"/>
      <c r="C379" s="21"/>
      <c r="D379" s="21"/>
      <c r="E379" s="28"/>
      <c r="F379" s="24"/>
      <c r="G379" s="26"/>
      <c r="H379" s="24"/>
      <c r="I379" s="24"/>
      <c r="J379" s="24"/>
      <c r="K379" s="24"/>
      <c r="L379" s="26"/>
      <c r="M379" s="26"/>
      <c r="N379" s="22"/>
      <c r="O379" s="21"/>
      <c r="P379" s="22"/>
      <c r="Q379" s="29" t="str">
        <f aca="false">IF(C379="","",IF(O379&lt;&gt;"",O379,IFERROR(INDEX(Produk!$J$2:$J$100,MATCH(C379,Produk!$A$2:$A$100,0)),"PRODUK?")))</f>
        <v/>
      </c>
      <c r="R379" s="29" t="str">
        <f aca="false">IF(A379="","",IF(COUNTIF(Anggota!$A$2:$A$2001,A379)=0,"TIDAK ADA","OK"))</f>
        <v/>
      </c>
      <c r="S379" s="29" t="str">
        <f aca="false">IF(H379="","",IF(OR(J379="",L379=""),"-",IF(ABS(H379-J379*L379)&gt;Info_Koperasi!$C$10,"SELISIH","OK")))</f>
        <v/>
      </c>
    </row>
    <row r="380" customFormat="false" ht="15" hidden="false" customHeight="false" outlineLevel="0" collapsed="false">
      <c r="A380" s="21"/>
      <c r="B380" s="22"/>
      <c r="C380" s="21"/>
      <c r="D380" s="21"/>
      <c r="E380" s="28"/>
      <c r="F380" s="24"/>
      <c r="G380" s="26"/>
      <c r="H380" s="24"/>
      <c r="I380" s="24"/>
      <c r="J380" s="24"/>
      <c r="K380" s="24"/>
      <c r="L380" s="26"/>
      <c r="M380" s="26"/>
      <c r="N380" s="22"/>
      <c r="O380" s="21"/>
      <c r="P380" s="22"/>
      <c r="Q380" s="29" t="str">
        <f aca="false">IF(C380="","",IF(O380&lt;&gt;"",O380,IFERROR(INDEX(Produk!$J$2:$J$100,MATCH(C380,Produk!$A$2:$A$100,0)),"PRODUK?")))</f>
        <v/>
      </c>
      <c r="R380" s="29" t="str">
        <f aca="false">IF(A380="","",IF(COUNTIF(Anggota!$A$2:$A$2001,A380)=0,"TIDAK ADA","OK"))</f>
        <v/>
      </c>
      <c r="S380" s="29" t="str">
        <f aca="false">IF(H380="","",IF(OR(J380="",L380=""),"-",IF(ABS(H380-J380*L380)&gt;Info_Koperasi!$C$10,"SELISIH","OK")))</f>
        <v/>
      </c>
    </row>
    <row r="381" customFormat="false" ht="15" hidden="false" customHeight="false" outlineLevel="0" collapsed="false">
      <c r="A381" s="21"/>
      <c r="B381" s="22"/>
      <c r="C381" s="21"/>
      <c r="D381" s="21"/>
      <c r="E381" s="28"/>
      <c r="F381" s="24"/>
      <c r="G381" s="26"/>
      <c r="H381" s="24"/>
      <c r="I381" s="24"/>
      <c r="J381" s="24"/>
      <c r="K381" s="24"/>
      <c r="L381" s="26"/>
      <c r="M381" s="26"/>
      <c r="N381" s="22"/>
      <c r="O381" s="21"/>
      <c r="P381" s="22"/>
      <c r="Q381" s="29" t="str">
        <f aca="false">IF(C381="","",IF(O381&lt;&gt;"",O381,IFERROR(INDEX(Produk!$J$2:$J$100,MATCH(C381,Produk!$A$2:$A$100,0)),"PRODUK?")))</f>
        <v/>
      </c>
      <c r="R381" s="29" t="str">
        <f aca="false">IF(A381="","",IF(COUNTIF(Anggota!$A$2:$A$2001,A381)=0,"TIDAK ADA","OK"))</f>
        <v/>
      </c>
      <c r="S381" s="29" t="str">
        <f aca="false">IF(H381="","",IF(OR(J381="",L381=""),"-",IF(ABS(H381-J381*L381)&gt;Info_Koperasi!$C$10,"SELISIH","OK")))</f>
        <v/>
      </c>
    </row>
    <row r="382" customFormat="false" ht="15" hidden="false" customHeight="false" outlineLevel="0" collapsed="false">
      <c r="A382" s="21"/>
      <c r="B382" s="22"/>
      <c r="C382" s="21"/>
      <c r="D382" s="21"/>
      <c r="E382" s="28"/>
      <c r="F382" s="24"/>
      <c r="G382" s="26"/>
      <c r="H382" s="24"/>
      <c r="I382" s="24"/>
      <c r="J382" s="24"/>
      <c r="K382" s="24"/>
      <c r="L382" s="26"/>
      <c r="M382" s="26"/>
      <c r="N382" s="22"/>
      <c r="O382" s="21"/>
      <c r="P382" s="22"/>
      <c r="Q382" s="29" t="str">
        <f aca="false">IF(C382="","",IF(O382&lt;&gt;"",O382,IFERROR(INDEX(Produk!$J$2:$J$100,MATCH(C382,Produk!$A$2:$A$100,0)),"PRODUK?")))</f>
        <v/>
      </c>
      <c r="R382" s="29" t="str">
        <f aca="false">IF(A382="","",IF(COUNTIF(Anggota!$A$2:$A$2001,A382)=0,"TIDAK ADA","OK"))</f>
        <v/>
      </c>
      <c r="S382" s="29" t="str">
        <f aca="false">IF(H382="","",IF(OR(J382="",L382=""),"-",IF(ABS(H382-J382*L382)&gt;Info_Koperasi!$C$10,"SELISIH","OK")))</f>
        <v/>
      </c>
    </row>
    <row r="383" customFormat="false" ht="15" hidden="false" customHeight="false" outlineLevel="0" collapsed="false">
      <c r="A383" s="21"/>
      <c r="B383" s="22"/>
      <c r="C383" s="21"/>
      <c r="D383" s="21"/>
      <c r="E383" s="28"/>
      <c r="F383" s="24"/>
      <c r="G383" s="26"/>
      <c r="H383" s="24"/>
      <c r="I383" s="24"/>
      <c r="J383" s="24"/>
      <c r="K383" s="24"/>
      <c r="L383" s="26"/>
      <c r="M383" s="26"/>
      <c r="N383" s="22"/>
      <c r="O383" s="21"/>
      <c r="P383" s="22"/>
      <c r="Q383" s="29" t="str">
        <f aca="false">IF(C383="","",IF(O383&lt;&gt;"",O383,IFERROR(INDEX(Produk!$J$2:$J$100,MATCH(C383,Produk!$A$2:$A$100,0)),"PRODUK?")))</f>
        <v/>
      </c>
      <c r="R383" s="29" t="str">
        <f aca="false">IF(A383="","",IF(COUNTIF(Anggota!$A$2:$A$2001,A383)=0,"TIDAK ADA","OK"))</f>
        <v/>
      </c>
      <c r="S383" s="29" t="str">
        <f aca="false">IF(H383="","",IF(OR(J383="",L383=""),"-",IF(ABS(H383-J383*L383)&gt;Info_Koperasi!$C$10,"SELISIH","OK")))</f>
        <v/>
      </c>
    </row>
    <row r="384" customFormat="false" ht="15" hidden="false" customHeight="false" outlineLevel="0" collapsed="false">
      <c r="A384" s="21"/>
      <c r="B384" s="22"/>
      <c r="C384" s="21"/>
      <c r="D384" s="21"/>
      <c r="E384" s="28"/>
      <c r="F384" s="24"/>
      <c r="G384" s="26"/>
      <c r="H384" s="24"/>
      <c r="I384" s="24"/>
      <c r="J384" s="24"/>
      <c r="K384" s="24"/>
      <c r="L384" s="26"/>
      <c r="M384" s="26"/>
      <c r="N384" s="22"/>
      <c r="O384" s="21"/>
      <c r="P384" s="22"/>
      <c r="Q384" s="29" t="str">
        <f aca="false">IF(C384="","",IF(O384&lt;&gt;"",O384,IFERROR(INDEX(Produk!$J$2:$J$100,MATCH(C384,Produk!$A$2:$A$100,0)),"PRODUK?")))</f>
        <v/>
      </c>
      <c r="R384" s="29" t="str">
        <f aca="false">IF(A384="","",IF(COUNTIF(Anggota!$A$2:$A$2001,A384)=0,"TIDAK ADA","OK"))</f>
        <v/>
      </c>
      <c r="S384" s="29" t="str">
        <f aca="false">IF(H384="","",IF(OR(J384="",L384=""),"-",IF(ABS(H384-J384*L384)&gt;Info_Koperasi!$C$10,"SELISIH","OK")))</f>
        <v/>
      </c>
    </row>
    <row r="385" customFormat="false" ht="15" hidden="false" customHeight="false" outlineLevel="0" collapsed="false">
      <c r="A385" s="21"/>
      <c r="B385" s="22"/>
      <c r="C385" s="21"/>
      <c r="D385" s="21"/>
      <c r="E385" s="28"/>
      <c r="F385" s="24"/>
      <c r="G385" s="26"/>
      <c r="H385" s="24"/>
      <c r="I385" s="24"/>
      <c r="J385" s="24"/>
      <c r="K385" s="24"/>
      <c r="L385" s="26"/>
      <c r="M385" s="26"/>
      <c r="N385" s="22"/>
      <c r="O385" s="21"/>
      <c r="P385" s="22"/>
      <c r="Q385" s="29" t="str">
        <f aca="false">IF(C385="","",IF(O385&lt;&gt;"",O385,IFERROR(INDEX(Produk!$J$2:$J$100,MATCH(C385,Produk!$A$2:$A$100,0)),"PRODUK?")))</f>
        <v/>
      </c>
      <c r="R385" s="29" t="str">
        <f aca="false">IF(A385="","",IF(COUNTIF(Anggota!$A$2:$A$2001,A385)=0,"TIDAK ADA","OK"))</f>
        <v/>
      </c>
      <c r="S385" s="29" t="str">
        <f aca="false">IF(H385="","",IF(OR(J385="",L385=""),"-",IF(ABS(H385-J385*L385)&gt;Info_Koperasi!$C$10,"SELISIH","OK")))</f>
        <v/>
      </c>
    </row>
    <row r="386" customFormat="false" ht="15" hidden="false" customHeight="false" outlineLevel="0" collapsed="false">
      <c r="A386" s="21"/>
      <c r="B386" s="22"/>
      <c r="C386" s="21"/>
      <c r="D386" s="21"/>
      <c r="E386" s="28"/>
      <c r="F386" s="24"/>
      <c r="G386" s="26"/>
      <c r="H386" s="24"/>
      <c r="I386" s="24"/>
      <c r="J386" s="24"/>
      <c r="K386" s="24"/>
      <c r="L386" s="26"/>
      <c r="M386" s="26"/>
      <c r="N386" s="22"/>
      <c r="O386" s="21"/>
      <c r="P386" s="22"/>
      <c r="Q386" s="29" t="str">
        <f aca="false">IF(C386="","",IF(O386&lt;&gt;"",O386,IFERROR(INDEX(Produk!$J$2:$J$100,MATCH(C386,Produk!$A$2:$A$100,0)),"PRODUK?")))</f>
        <v/>
      </c>
      <c r="R386" s="29" t="str">
        <f aca="false">IF(A386="","",IF(COUNTIF(Anggota!$A$2:$A$2001,A386)=0,"TIDAK ADA","OK"))</f>
        <v/>
      </c>
      <c r="S386" s="29" t="str">
        <f aca="false">IF(H386="","",IF(OR(J386="",L386=""),"-",IF(ABS(H386-J386*L386)&gt;Info_Koperasi!$C$10,"SELISIH","OK")))</f>
        <v/>
      </c>
    </row>
    <row r="387" customFormat="false" ht="15" hidden="false" customHeight="false" outlineLevel="0" collapsed="false">
      <c r="A387" s="21"/>
      <c r="B387" s="22"/>
      <c r="C387" s="21"/>
      <c r="D387" s="21"/>
      <c r="E387" s="28"/>
      <c r="F387" s="24"/>
      <c r="G387" s="26"/>
      <c r="H387" s="24"/>
      <c r="I387" s="24"/>
      <c r="J387" s="24"/>
      <c r="K387" s="24"/>
      <c r="L387" s="26"/>
      <c r="M387" s="26"/>
      <c r="N387" s="22"/>
      <c r="O387" s="21"/>
      <c r="P387" s="22"/>
      <c r="Q387" s="29" t="str">
        <f aca="false">IF(C387="","",IF(O387&lt;&gt;"",O387,IFERROR(INDEX(Produk!$J$2:$J$100,MATCH(C387,Produk!$A$2:$A$100,0)),"PRODUK?")))</f>
        <v/>
      </c>
      <c r="R387" s="29" t="str">
        <f aca="false">IF(A387="","",IF(COUNTIF(Anggota!$A$2:$A$2001,A387)=0,"TIDAK ADA","OK"))</f>
        <v/>
      </c>
      <c r="S387" s="29" t="str">
        <f aca="false">IF(H387="","",IF(OR(J387="",L387=""),"-",IF(ABS(H387-J387*L387)&gt;Info_Koperasi!$C$10,"SELISIH","OK")))</f>
        <v/>
      </c>
    </row>
    <row r="388" customFormat="false" ht="15" hidden="false" customHeight="false" outlineLevel="0" collapsed="false">
      <c r="A388" s="21"/>
      <c r="B388" s="22"/>
      <c r="C388" s="21"/>
      <c r="D388" s="21"/>
      <c r="E388" s="28"/>
      <c r="F388" s="24"/>
      <c r="G388" s="26"/>
      <c r="H388" s="24"/>
      <c r="I388" s="24"/>
      <c r="J388" s="24"/>
      <c r="K388" s="24"/>
      <c r="L388" s="26"/>
      <c r="M388" s="26"/>
      <c r="N388" s="22"/>
      <c r="O388" s="21"/>
      <c r="P388" s="22"/>
      <c r="Q388" s="29" t="str">
        <f aca="false">IF(C388="","",IF(O388&lt;&gt;"",O388,IFERROR(INDEX(Produk!$J$2:$J$100,MATCH(C388,Produk!$A$2:$A$100,0)),"PRODUK?")))</f>
        <v/>
      </c>
      <c r="R388" s="29" t="str">
        <f aca="false">IF(A388="","",IF(COUNTIF(Anggota!$A$2:$A$2001,A388)=0,"TIDAK ADA","OK"))</f>
        <v/>
      </c>
      <c r="S388" s="29" t="str">
        <f aca="false">IF(H388="","",IF(OR(J388="",L388=""),"-",IF(ABS(H388-J388*L388)&gt;Info_Koperasi!$C$10,"SELISIH","OK")))</f>
        <v/>
      </c>
    </row>
    <row r="389" customFormat="false" ht="15" hidden="false" customHeight="false" outlineLevel="0" collapsed="false">
      <c r="A389" s="21"/>
      <c r="B389" s="22"/>
      <c r="C389" s="21"/>
      <c r="D389" s="21"/>
      <c r="E389" s="28"/>
      <c r="F389" s="24"/>
      <c r="G389" s="26"/>
      <c r="H389" s="24"/>
      <c r="I389" s="24"/>
      <c r="J389" s="24"/>
      <c r="K389" s="24"/>
      <c r="L389" s="26"/>
      <c r="M389" s="26"/>
      <c r="N389" s="22"/>
      <c r="O389" s="21"/>
      <c r="P389" s="22"/>
      <c r="Q389" s="29" t="str">
        <f aca="false">IF(C389="","",IF(O389&lt;&gt;"",O389,IFERROR(INDEX(Produk!$J$2:$J$100,MATCH(C389,Produk!$A$2:$A$100,0)),"PRODUK?")))</f>
        <v/>
      </c>
      <c r="R389" s="29" t="str">
        <f aca="false">IF(A389="","",IF(COUNTIF(Anggota!$A$2:$A$2001,A389)=0,"TIDAK ADA","OK"))</f>
        <v/>
      </c>
      <c r="S389" s="29" t="str">
        <f aca="false">IF(H389="","",IF(OR(J389="",L389=""),"-",IF(ABS(H389-J389*L389)&gt;Info_Koperasi!$C$10,"SELISIH","OK")))</f>
        <v/>
      </c>
    </row>
    <row r="390" customFormat="false" ht="15" hidden="false" customHeight="false" outlineLevel="0" collapsed="false">
      <c r="A390" s="21"/>
      <c r="B390" s="22"/>
      <c r="C390" s="21"/>
      <c r="D390" s="21"/>
      <c r="E390" s="28"/>
      <c r="F390" s="24"/>
      <c r="G390" s="26"/>
      <c r="H390" s="24"/>
      <c r="I390" s="24"/>
      <c r="J390" s="24"/>
      <c r="K390" s="24"/>
      <c r="L390" s="26"/>
      <c r="M390" s="26"/>
      <c r="N390" s="22"/>
      <c r="O390" s="21"/>
      <c r="P390" s="22"/>
      <c r="Q390" s="29" t="str">
        <f aca="false">IF(C390="","",IF(O390&lt;&gt;"",O390,IFERROR(INDEX(Produk!$J$2:$J$100,MATCH(C390,Produk!$A$2:$A$100,0)),"PRODUK?")))</f>
        <v/>
      </c>
      <c r="R390" s="29" t="str">
        <f aca="false">IF(A390="","",IF(COUNTIF(Anggota!$A$2:$A$2001,A390)=0,"TIDAK ADA","OK"))</f>
        <v/>
      </c>
      <c r="S390" s="29" t="str">
        <f aca="false">IF(H390="","",IF(OR(J390="",L390=""),"-",IF(ABS(H390-J390*L390)&gt;Info_Koperasi!$C$10,"SELISIH","OK")))</f>
        <v/>
      </c>
    </row>
    <row r="391" customFormat="false" ht="15" hidden="false" customHeight="false" outlineLevel="0" collapsed="false">
      <c r="A391" s="21"/>
      <c r="B391" s="22"/>
      <c r="C391" s="21"/>
      <c r="D391" s="21"/>
      <c r="E391" s="28"/>
      <c r="F391" s="24"/>
      <c r="G391" s="26"/>
      <c r="H391" s="24"/>
      <c r="I391" s="24"/>
      <c r="J391" s="24"/>
      <c r="K391" s="24"/>
      <c r="L391" s="26"/>
      <c r="M391" s="26"/>
      <c r="N391" s="22"/>
      <c r="O391" s="21"/>
      <c r="P391" s="22"/>
      <c r="Q391" s="29" t="str">
        <f aca="false">IF(C391="","",IF(O391&lt;&gt;"",O391,IFERROR(INDEX(Produk!$J$2:$J$100,MATCH(C391,Produk!$A$2:$A$100,0)),"PRODUK?")))</f>
        <v/>
      </c>
      <c r="R391" s="29" t="str">
        <f aca="false">IF(A391="","",IF(COUNTIF(Anggota!$A$2:$A$2001,A391)=0,"TIDAK ADA","OK"))</f>
        <v/>
      </c>
      <c r="S391" s="29" t="str">
        <f aca="false">IF(H391="","",IF(OR(J391="",L391=""),"-",IF(ABS(H391-J391*L391)&gt;Info_Koperasi!$C$10,"SELISIH","OK")))</f>
        <v/>
      </c>
    </row>
    <row r="392" customFormat="false" ht="15" hidden="false" customHeight="false" outlineLevel="0" collapsed="false">
      <c r="A392" s="21"/>
      <c r="B392" s="22"/>
      <c r="C392" s="21"/>
      <c r="D392" s="21"/>
      <c r="E392" s="28"/>
      <c r="F392" s="24"/>
      <c r="G392" s="26"/>
      <c r="H392" s="24"/>
      <c r="I392" s="24"/>
      <c r="J392" s="24"/>
      <c r="K392" s="24"/>
      <c r="L392" s="26"/>
      <c r="M392" s="26"/>
      <c r="N392" s="22"/>
      <c r="O392" s="21"/>
      <c r="P392" s="22"/>
      <c r="Q392" s="29" t="str">
        <f aca="false">IF(C392="","",IF(O392&lt;&gt;"",O392,IFERROR(INDEX(Produk!$J$2:$J$100,MATCH(C392,Produk!$A$2:$A$100,0)),"PRODUK?")))</f>
        <v/>
      </c>
      <c r="R392" s="29" t="str">
        <f aca="false">IF(A392="","",IF(COUNTIF(Anggota!$A$2:$A$2001,A392)=0,"TIDAK ADA","OK"))</f>
        <v/>
      </c>
      <c r="S392" s="29" t="str">
        <f aca="false">IF(H392="","",IF(OR(J392="",L392=""),"-",IF(ABS(H392-J392*L392)&gt;Info_Koperasi!$C$10,"SELISIH","OK")))</f>
        <v/>
      </c>
    </row>
    <row r="393" customFormat="false" ht="15" hidden="false" customHeight="false" outlineLevel="0" collapsed="false">
      <c r="A393" s="21"/>
      <c r="B393" s="22"/>
      <c r="C393" s="21"/>
      <c r="D393" s="21"/>
      <c r="E393" s="28"/>
      <c r="F393" s="24"/>
      <c r="G393" s="26"/>
      <c r="H393" s="24"/>
      <c r="I393" s="24"/>
      <c r="J393" s="24"/>
      <c r="K393" s="24"/>
      <c r="L393" s="26"/>
      <c r="M393" s="26"/>
      <c r="N393" s="22"/>
      <c r="O393" s="21"/>
      <c r="P393" s="22"/>
      <c r="Q393" s="29" t="str">
        <f aca="false">IF(C393="","",IF(O393&lt;&gt;"",O393,IFERROR(INDEX(Produk!$J$2:$J$100,MATCH(C393,Produk!$A$2:$A$100,0)),"PRODUK?")))</f>
        <v/>
      </c>
      <c r="R393" s="29" t="str">
        <f aca="false">IF(A393="","",IF(COUNTIF(Anggota!$A$2:$A$2001,A393)=0,"TIDAK ADA","OK"))</f>
        <v/>
      </c>
      <c r="S393" s="29" t="str">
        <f aca="false">IF(H393="","",IF(OR(J393="",L393=""),"-",IF(ABS(H393-J393*L393)&gt;Info_Koperasi!$C$10,"SELISIH","OK")))</f>
        <v/>
      </c>
    </row>
    <row r="394" customFormat="false" ht="15" hidden="false" customHeight="false" outlineLevel="0" collapsed="false">
      <c r="A394" s="21"/>
      <c r="B394" s="22"/>
      <c r="C394" s="21"/>
      <c r="D394" s="21"/>
      <c r="E394" s="28"/>
      <c r="F394" s="24"/>
      <c r="G394" s="26"/>
      <c r="H394" s="24"/>
      <c r="I394" s="24"/>
      <c r="J394" s="24"/>
      <c r="K394" s="24"/>
      <c r="L394" s="26"/>
      <c r="M394" s="26"/>
      <c r="N394" s="22"/>
      <c r="O394" s="21"/>
      <c r="P394" s="22"/>
      <c r="Q394" s="29" t="str">
        <f aca="false">IF(C394="","",IF(O394&lt;&gt;"",O394,IFERROR(INDEX(Produk!$J$2:$J$100,MATCH(C394,Produk!$A$2:$A$100,0)),"PRODUK?")))</f>
        <v/>
      </c>
      <c r="R394" s="29" t="str">
        <f aca="false">IF(A394="","",IF(COUNTIF(Anggota!$A$2:$A$2001,A394)=0,"TIDAK ADA","OK"))</f>
        <v/>
      </c>
      <c r="S394" s="29" t="str">
        <f aca="false">IF(H394="","",IF(OR(J394="",L394=""),"-",IF(ABS(H394-J394*L394)&gt;Info_Koperasi!$C$10,"SELISIH","OK")))</f>
        <v/>
      </c>
    </row>
    <row r="395" customFormat="false" ht="15" hidden="false" customHeight="false" outlineLevel="0" collapsed="false">
      <c r="A395" s="21"/>
      <c r="B395" s="22"/>
      <c r="C395" s="21"/>
      <c r="D395" s="21"/>
      <c r="E395" s="28"/>
      <c r="F395" s="24"/>
      <c r="G395" s="26"/>
      <c r="H395" s="24"/>
      <c r="I395" s="24"/>
      <c r="J395" s="24"/>
      <c r="K395" s="24"/>
      <c r="L395" s="26"/>
      <c r="M395" s="26"/>
      <c r="N395" s="22"/>
      <c r="O395" s="21"/>
      <c r="P395" s="22"/>
      <c r="Q395" s="29" t="str">
        <f aca="false">IF(C395="","",IF(O395&lt;&gt;"",O395,IFERROR(INDEX(Produk!$J$2:$J$100,MATCH(C395,Produk!$A$2:$A$100,0)),"PRODUK?")))</f>
        <v/>
      </c>
      <c r="R395" s="29" t="str">
        <f aca="false">IF(A395="","",IF(COUNTIF(Anggota!$A$2:$A$2001,A395)=0,"TIDAK ADA","OK"))</f>
        <v/>
      </c>
      <c r="S395" s="29" t="str">
        <f aca="false">IF(H395="","",IF(OR(J395="",L395=""),"-",IF(ABS(H395-J395*L395)&gt;Info_Koperasi!$C$10,"SELISIH","OK")))</f>
        <v/>
      </c>
    </row>
    <row r="396" customFormat="false" ht="15" hidden="false" customHeight="false" outlineLevel="0" collapsed="false">
      <c r="A396" s="21"/>
      <c r="B396" s="22"/>
      <c r="C396" s="21"/>
      <c r="D396" s="21"/>
      <c r="E396" s="28"/>
      <c r="F396" s="24"/>
      <c r="G396" s="26"/>
      <c r="H396" s="24"/>
      <c r="I396" s="24"/>
      <c r="J396" s="24"/>
      <c r="K396" s="24"/>
      <c r="L396" s="26"/>
      <c r="M396" s="26"/>
      <c r="N396" s="22"/>
      <c r="O396" s="21"/>
      <c r="P396" s="22"/>
      <c r="Q396" s="29" t="str">
        <f aca="false">IF(C396="","",IF(O396&lt;&gt;"",O396,IFERROR(INDEX(Produk!$J$2:$J$100,MATCH(C396,Produk!$A$2:$A$100,0)),"PRODUK?")))</f>
        <v/>
      </c>
      <c r="R396" s="29" t="str">
        <f aca="false">IF(A396="","",IF(COUNTIF(Anggota!$A$2:$A$2001,A396)=0,"TIDAK ADA","OK"))</f>
        <v/>
      </c>
      <c r="S396" s="29" t="str">
        <f aca="false">IF(H396="","",IF(OR(J396="",L396=""),"-",IF(ABS(H396-J396*L396)&gt;Info_Koperasi!$C$10,"SELISIH","OK")))</f>
        <v/>
      </c>
    </row>
    <row r="397" customFormat="false" ht="15" hidden="false" customHeight="false" outlineLevel="0" collapsed="false">
      <c r="A397" s="21"/>
      <c r="B397" s="22"/>
      <c r="C397" s="21"/>
      <c r="D397" s="21"/>
      <c r="E397" s="28"/>
      <c r="F397" s="24"/>
      <c r="G397" s="26"/>
      <c r="H397" s="24"/>
      <c r="I397" s="24"/>
      <c r="J397" s="24"/>
      <c r="K397" s="24"/>
      <c r="L397" s="26"/>
      <c r="M397" s="26"/>
      <c r="N397" s="22"/>
      <c r="O397" s="21"/>
      <c r="P397" s="22"/>
      <c r="Q397" s="29" t="str">
        <f aca="false">IF(C397="","",IF(O397&lt;&gt;"",O397,IFERROR(INDEX(Produk!$J$2:$J$100,MATCH(C397,Produk!$A$2:$A$100,0)),"PRODUK?")))</f>
        <v/>
      </c>
      <c r="R397" s="29" t="str">
        <f aca="false">IF(A397="","",IF(COUNTIF(Anggota!$A$2:$A$2001,A397)=0,"TIDAK ADA","OK"))</f>
        <v/>
      </c>
      <c r="S397" s="29" t="str">
        <f aca="false">IF(H397="","",IF(OR(J397="",L397=""),"-",IF(ABS(H397-J397*L397)&gt;Info_Koperasi!$C$10,"SELISIH","OK")))</f>
        <v/>
      </c>
    </row>
    <row r="398" customFormat="false" ht="15" hidden="false" customHeight="false" outlineLevel="0" collapsed="false">
      <c r="A398" s="21"/>
      <c r="B398" s="22"/>
      <c r="C398" s="21"/>
      <c r="D398" s="21"/>
      <c r="E398" s="28"/>
      <c r="F398" s="24"/>
      <c r="G398" s="26"/>
      <c r="H398" s="24"/>
      <c r="I398" s="24"/>
      <c r="J398" s="24"/>
      <c r="K398" s="24"/>
      <c r="L398" s="26"/>
      <c r="M398" s="26"/>
      <c r="N398" s="22"/>
      <c r="O398" s="21"/>
      <c r="P398" s="22"/>
      <c r="Q398" s="29" t="str">
        <f aca="false">IF(C398="","",IF(O398&lt;&gt;"",O398,IFERROR(INDEX(Produk!$J$2:$J$100,MATCH(C398,Produk!$A$2:$A$100,0)),"PRODUK?")))</f>
        <v/>
      </c>
      <c r="R398" s="29" t="str">
        <f aca="false">IF(A398="","",IF(COUNTIF(Anggota!$A$2:$A$2001,A398)=0,"TIDAK ADA","OK"))</f>
        <v/>
      </c>
      <c r="S398" s="29" t="str">
        <f aca="false">IF(H398="","",IF(OR(J398="",L398=""),"-",IF(ABS(H398-J398*L398)&gt;Info_Koperasi!$C$10,"SELISIH","OK")))</f>
        <v/>
      </c>
    </row>
    <row r="399" customFormat="false" ht="15" hidden="false" customHeight="false" outlineLevel="0" collapsed="false">
      <c r="A399" s="21"/>
      <c r="B399" s="22"/>
      <c r="C399" s="21"/>
      <c r="D399" s="21"/>
      <c r="E399" s="28"/>
      <c r="F399" s="24"/>
      <c r="G399" s="26"/>
      <c r="H399" s="24"/>
      <c r="I399" s="24"/>
      <c r="J399" s="24"/>
      <c r="K399" s="24"/>
      <c r="L399" s="26"/>
      <c r="M399" s="26"/>
      <c r="N399" s="22"/>
      <c r="O399" s="21"/>
      <c r="P399" s="22"/>
      <c r="Q399" s="29" t="str">
        <f aca="false">IF(C399="","",IF(O399&lt;&gt;"",O399,IFERROR(INDEX(Produk!$J$2:$J$100,MATCH(C399,Produk!$A$2:$A$100,0)),"PRODUK?")))</f>
        <v/>
      </c>
      <c r="R399" s="29" t="str">
        <f aca="false">IF(A399="","",IF(COUNTIF(Anggota!$A$2:$A$2001,A399)=0,"TIDAK ADA","OK"))</f>
        <v/>
      </c>
      <c r="S399" s="29" t="str">
        <f aca="false">IF(H399="","",IF(OR(J399="",L399=""),"-",IF(ABS(H399-J399*L399)&gt;Info_Koperasi!$C$10,"SELISIH","OK")))</f>
        <v/>
      </c>
    </row>
    <row r="400" customFormat="false" ht="15" hidden="false" customHeight="false" outlineLevel="0" collapsed="false">
      <c r="A400" s="21"/>
      <c r="B400" s="22"/>
      <c r="C400" s="21"/>
      <c r="D400" s="21"/>
      <c r="E400" s="28"/>
      <c r="F400" s="24"/>
      <c r="G400" s="26"/>
      <c r="H400" s="24"/>
      <c r="I400" s="24"/>
      <c r="J400" s="24"/>
      <c r="K400" s="24"/>
      <c r="L400" s="26"/>
      <c r="M400" s="26"/>
      <c r="N400" s="22"/>
      <c r="O400" s="21"/>
      <c r="P400" s="22"/>
      <c r="Q400" s="29" t="str">
        <f aca="false">IF(C400="","",IF(O400&lt;&gt;"",O400,IFERROR(INDEX(Produk!$J$2:$J$100,MATCH(C400,Produk!$A$2:$A$100,0)),"PRODUK?")))</f>
        <v/>
      </c>
      <c r="R400" s="29" t="str">
        <f aca="false">IF(A400="","",IF(COUNTIF(Anggota!$A$2:$A$2001,A400)=0,"TIDAK ADA","OK"))</f>
        <v/>
      </c>
      <c r="S400" s="29" t="str">
        <f aca="false">IF(H400="","",IF(OR(J400="",L400=""),"-",IF(ABS(H400-J400*L400)&gt;Info_Koperasi!$C$10,"SELISIH","OK")))</f>
        <v/>
      </c>
    </row>
    <row r="401" customFormat="false" ht="15" hidden="false" customHeight="false" outlineLevel="0" collapsed="false">
      <c r="A401" s="21"/>
      <c r="B401" s="22"/>
      <c r="C401" s="21"/>
      <c r="D401" s="21"/>
      <c r="E401" s="28"/>
      <c r="F401" s="24"/>
      <c r="G401" s="26"/>
      <c r="H401" s="24"/>
      <c r="I401" s="24"/>
      <c r="J401" s="24"/>
      <c r="K401" s="24"/>
      <c r="L401" s="26"/>
      <c r="M401" s="26"/>
      <c r="N401" s="22"/>
      <c r="O401" s="21"/>
      <c r="P401" s="22"/>
      <c r="Q401" s="29" t="str">
        <f aca="false">IF(C401="","",IF(O401&lt;&gt;"",O401,IFERROR(INDEX(Produk!$J$2:$J$100,MATCH(C401,Produk!$A$2:$A$100,0)),"PRODUK?")))</f>
        <v/>
      </c>
      <c r="R401" s="29" t="str">
        <f aca="false">IF(A401="","",IF(COUNTIF(Anggota!$A$2:$A$2001,A401)=0,"TIDAK ADA","OK"))</f>
        <v/>
      </c>
      <c r="S401" s="29" t="str">
        <f aca="false">IF(H401="","",IF(OR(J401="",L401=""),"-",IF(ABS(H401-J401*L401)&gt;Info_Koperasi!$C$10,"SELISIH","OK")))</f>
        <v/>
      </c>
    </row>
    <row r="402" customFormat="false" ht="15" hidden="false" customHeight="false" outlineLevel="0" collapsed="false">
      <c r="A402" s="21"/>
      <c r="B402" s="22"/>
      <c r="C402" s="21"/>
      <c r="D402" s="21"/>
      <c r="E402" s="28"/>
      <c r="F402" s="24"/>
      <c r="G402" s="26"/>
      <c r="H402" s="24"/>
      <c r="I402" s="24"/>
      <c r="J402" s="24"/>
      <c r="K402" s="24"/>
      <c r="L402" s="26"/>
      <c r="M402" s="26"/>
      <c r="N402" s="22"/>
      <c r="O402" s="21"/>
      <c r="P402" s="22"/>
      <c r="Q402" s="29" t="str">
        <f aca="false">IF(C402="","",IF(O402&lt;&gt;"",O402,IFERROR(INDEX(Produk!$J$2:$J$100,MATCH(C402,Produk!$A$2:$A$100,0)),"PRODUK?")))</f>
        <v/>
      </c>
      <c r="R402" s="29" t="str">
        <f aca="false">IF(A402="","",IF(COUNTIF(Anggota!$A$2:$A$2001,A402)=0,"TIDAK ADA","OK"))</f>
        <v/>
      </c>
      <c r="S402" s="29" t="str">
        <f aca="false">IF(H402="","",IF(OR(J402="",L402=""),"-",IF(ABS(H402-J402*L402)&gt;Info_Koperasi!$C$10,"SELISIH","OK")))</f>
        <v/>
      </c>
    </row>
    <row r="403" customFormat="false" ht="15" hidden="false" customHeight="false" outlineLevel="0" collapsed="false">
      <c r="A403" s="21"/>
      <c r="B403" s="22"/>
      <c r="C403" s="21"/>
      <c r="D403" s="21"/>
      <c r="E403" s="28"/>
      <c r="F403" s="24"/>
      <c r="G403" s="26"/>
      <c r="H403" s="24"/>
      <c r="I403" s="24"/>
      <c r="J403" s="24"/>
      <c r="K403" s="24"/>
      <c r="L403" s="26"/>
      <c r="M403" s="26"/>
      <c r="N403" s="22"/>
      <c r="O403" s="21"/>
      <c r="P403" s="22"/>
      <c r="Q403" s="29" t="str">
        <f aca="false">IF(C403="","",IF(O403&lt;&gt;"",O403,IFERROR(INDEX(Produk!$J$2:$J$100,MATCH(C403,Produk!$A$2:$A$100,0)),"PRODUK?")))</f>
        <v/>
      </c>
      <c r="R403" s="29" t="str">
        <f aca="false">IF(A403="","",IF(COUNTIF(Anggota!$A$2:$A$2001,A403)=0,"TIDAK ADA","OK"))</f>
        <v/>
      </c>
      <c r="S403" s="29" t="str">
        <f aca="false">IF(H403="","",IF(OR(J403="",L403=""),"-",IF(ABS(H403-J403*L403)&gt;Info_Koperasi!$C$10,"SELISIH","OK")))</f>
        <v/>
      </c>
    </row>
    <row r="404" customFormat="false" ht="15" hidden="false" customHeight="false" outlineLevel="0" collapsed="false">
      <c r="A404" s="21"/>
      <c r="B404" s="22"/>
      <c r="C404" s="21"/>
      <c r="D404" s="21"/>
      <c r="E404" s="28"/>
      <c r="F404" s="24"/>
      <c r="G404" s="26"/>
      <c r="H404" s="24"/>
      <c r="I404" s="24"/>
      <c r="J404" s="24"/>
      <c r="K404" s="24"/>
      <c r="L404" s="26"/>
      <c r="M404" s="26"/>
      <c r="N404" s="22"/>
      <c r="O404" s="21"/>
      <c r="P404" s="22"/>
      <c r="Q404" s="29" t="str">
        <f aca="false">IF(C404="","",IF(O404&lt;&gt;"",O404,IFERROR(INDEX(Produk!$J$2:$J$100,MATCH(C404,Produk!$A$2:$A$100,0)),"PRODUK?")))</f>
        <v/>
      </c>
      <c r="R404" s="29" t="str">
        <f aca="false">IF(A404="","",IF(COUNTIF(Anggota!$A$2:$A$2001,A404)=0,"TIDAK ADA","OK"))</f>
        <v/>
      </c>
      <c r="S404" s="29" t="str">
        <f aca="false">IF(H404="","",IF(OR(J404="",L404=""),"-",IF(ABS(H404-J404*L404)&gt;Info_Koperasi!$C$10,"SELISIH","OK")))</f>
        <v/>
      </c>
    </row>
    <row r="405" customFormat="false" ht="15" hidden="false" customHeight="false" outlineLevel="0" collapsed="false">
      <c r="A405" s="21"/>
      <c r="B405" s="22"/>
      <c r="C405" s="21"/>
      <c r="D405" s="21"/>
      <c r="E405" s="28"/>
      <c r="F405" s="24"/>
      <c r="G405" s="26"/>
      <c r="H405" s="24"/>
      <c r="I405" s="24"/>
      <c r="J405" s="24"/>
      <c r="K405" s="24"/>
      <c r="L405" s="26"/>
      <c r="M405" s="26"/>
      <c r="N405" s="22"/>
      <c r="O405" s="21"/>
      <c r="P405" s="22"/>
      <c r="Q405" s="29" t="str">
        <f aca="false">IF(C405="","",IF(O405&lt;&gt;"",O405,IFERROR(INDEX(Produk!$J$2:$J$100,MATCH(C405,Produk!$A$2:$A$100,0)),"PRODUK?")))</f>
        <v/>
      </c>
      <c r="R405" s="29" t="str">
        <f aca="false">IF(A405="","",IF(COUNTIF(Anggota!$A$2:$A$2001,A405)=0,"TIDAK ADA","OK"))</f>
        <v/>
      </c>
      <c r="S405" s="29" t="str">
        <f aca="false">IF(H405="","",IF(OR(J405="",L405=""),"-",IF(ABS(H405-J405*L405)&gt;Info_Koperasi!$C$10,"SELISIH","OK")))</f>
        <v/>
      </c>
    </row>
    <row r="406" customFormat="false" ht="15" hidden="false" customHeight="false" outlineLevel="0" collapsed="false">
      <c r="A406" s="21"/>
      <c r="B406" s="22"/>
      <c r="C406" s="21"/>
      <c r="D406" s="21"/>
      <c r="E406" s="28"/>
      <c r="F406" s="24"/>
      <c r="G406" s="26"/>
      <c r="H406" s="24"/>
      <c r="I406" s="24"/>
      <c r="J406" s="24"/>
      <c r="K406" s="24"/>
      <c r="L406" s="26"/>
      <c r="M406" s="26"/>
      <c r="N406" s="22"/>
      <c r="O406" s="21"/>
      <c r="P406" s="22"/>
      <c r="Q406" s="29" t="str">
        <f aca="false">IF(C406="","",IF(O406&lt;&gt;"",O406,IFERROR(INDEX(Produk!$J$2:$J$100,MATCH(C406,Produk!$A$2:$A$100,0)),"PRODUK?")))</f>
        <v/>
      </c>
      <c r="R406" s="29" t="str">
        <f aca="false">IF(A406="","",IF(COUNTIF(Anggota!$A$2:$A$2001,A406)=0,"TIDAK ADA","OK"))</f>
        <v/>
      </c>
      <c r="S406" s="29" t="str">
        <f aca="false">IF(H406="","",IF(OR(J406="",L406=""),"-",IF(ABS(H406-J406*L406)&gt;Info_Koperasi!$C$10,"SELISIH","OK")))</f>
        <v/>
      </c>
    </row>
    <row r="407" customFormat="false" ht="15" hidden="false" customHeight="false" outlineLevel="0" collapsed="false">
      <c r="A407" s="21"/>
      <c r="B407" s="22"/>
      <c r="C407" s="21"/>
      <c r="D407" s="21"/>
      <c r="E407" s="28"/>
      <c r="F407" s="24"/>
      <c r="G407" s="26"/>
      <c r="H407" s="24"/>
      <c r="I407" s="24"/>
      <c r="J407" s="24"/>
      <c r="K407" s="24"/>
      <c r="L407" s="26"/>
      <c r="M407" s="26"/>
      <c r="N407" s="22"/>
      <c r="O407" s="21"/>
      <c r="P407" s="22"/>
      <c r="Q407" s="29" t="str">
        <f aca="false">IF(C407="","",IF(O407&lt;&gt;"",O407,IFERROR(INDEX(Produk!$J$2:$J$100,MATCH(C407,Produk!$A$2:$A$100,0)),"PRODUK?")))</f>
        <v/>
      </c>
      <c r="R407" s="29" t="str">
        <f aca="false">IF(A407="","",IF(COUNTIF(Anggota!$A$2:$A$2001,A407)=0,"TIDAK ADA","OK"))</f>
        <v/>
      </c>
      <c r="S407" s="29" t="str">
        <f aca="false">IF(H407="","",IF(OR(J407="",L407=""),"-",IF(ABS(H407-J407*L407)&gt;Info_Koperasi!$C$10,"SELISIH","OK")))</f>
        <v/>
      </c>
    </row>
    <row r="408" customFormat="false" ht="15" hidden="false" customHeight="false" outlineLevel="0" collapsed="false">
      <c r="A408" s="21"/>
      <c r="B408" s="22"/>
      <c r="C408" s="21"/>
      <c r="D408" s="21"/>
      <c r="E408" s="28"/>
      <c r="F408" s="24"/>
      <c r="G408" s="26"/>
      <c r="H408" s="24"/>
      <c r="I408" s="24"/>
      <c r="J408" s="24"/>
      <c r="K408" s="24"/>
      <c r="L408" s="26"/>
      <c r="M408" s="26"/>
      <c r="N408" s="22"/>
      <c r="O408" s="21"/>
      <c r="P408" s="22"/>
      <c r="Q408" s="29" t="str">
        <f aca="false">IF(C408="","",IF(O408&lt;&gt;"",O408,IFERROR(INDEX(Produk!$J$2:$J$100,MATCH(C408,Produk!$A$2:$A$100,0)),"PRODUK?")))</f>
        <v/>
      </c>
      <c r="R408" s="29" t="str">
        <f aca="false">IF(A408="","",IF(COUNTIF(Anggota!$A$2:$A$2001,A408)=0,"TIDAK ADA","OK"))</f>
        <v/>
      </c>
      <c r="S408" s="29" t="str">
        <f aca="false">IF(H408="","",IF(OR(J408="",L408=""),"-",IF(ABS(H408-J408*L408)&gt;Info_Koperasi!$C$10,"SELISIH","OK")))</f>
        <v/>
      </c>
    </row>
    <row r="409" customFormat="false" ht="15" hidden="false" customHeight="false" outlineLevel="0" collapsed="false">
      <c r="A409" s="21"/>
      <c r="B409" s="22"/>
      <c r="C409" s="21"/>
      <c r="D409" s="21"/>
      <c r="E409" s="28"/>
      <c r="F409" s="24"/>
      <c r="G409" s="26"/>
      <c r="H409" s="24"/>
      <c r="I409" s="24"/>
      <c r="J409" s="24"/>
      <c r="K409" s="24"/>
      <c r="L409" s="26"/>
      <c r="M409" s="26"/>
      <c r="N409" s="22"/>
      <c r="O409" s="21"/>
      <c r="P409" s="22"/>
      <c r="Q409" s="29" t="str">
        <f aca="false">IF(C409="","",IF(O409&lt;&gt;"",O409,IFERROR(INDEX(Produk!$J$2:$J$100,MATCH(C409,Produk!$A$2:$A$100,0)),"PRODUK?")))</f>
        <v/>
      </c>
      <c r="R409" s="29" t="str">
        <f aca="false">IF(A409="","",IF(COUNTIF(Anggota!$A$2:$A$2001,A409)=0,"TIDAK ADA","OK"))</f>
        <v/>
      </c>
      <c r="S409" s="29" t="str">
        <f aca="false">IF(H409="","",IF(OR(J409="",L409=""),"-",IF(ABS(H409-J409*L409)&gt;Info_Koperasi!$C$10,"SELISIH","OK")))</f>
        <v/>
      </c>
    </row>
    <row r="410" customFormat="false" ht="15" hidden="false" customHeight="false" outlineLevel="0" collapsed="false">
      <c r="A410" s="21"/>
      <c r="B410" s="22"/>
      <c r="C410" s="21"/>
      <c r="D410" s="21"/>
      <c r="E410" s="28"/>
      <c r="F410" s="24"/>
      <c r="G410" s="26"/>
      <c r="H410" s="24"/>
      <c r="I410" s="24"/>
      <c r="J410" s="24"/>
      <c r="K410" s="24"/>
      <c r="L410" s="26"/>
      <c r="M410" s="26"/>
      <c r="N410" s="22"/>
      <c r="O410" s="21"/>
      <c r="P410" s="22"/>
      <c r="Q410" s="29" t="str">
        <f aca="false">IF(C410="","",IF(O410&lt;&gt;"",O410,IFERROR(INDEX(Produk!$J$2:$J$100,MATCH(C410,Produk!$A$2:$A$100,0)),"PRODUK?")))</f>
        <v/>
      </c>
      <c r="R410" s="29" t="str">
        <f aca="false">IF(A410="","",IF(COUNTIF(Anggota!$A$2:$A$2001,A410)=0,"TIDAK ADA","OK"))</f>
        <v/>
      </c>
      <c r="S410" s="29" t="str">
        <f aca="false">IF(H410="","",IF(OR(J410="",L410=""),"-",IF(ABS(H410-J410*L410)&gt;Info_Koperasi!$C$10,"SELISIH","OK")))</f>
        <v/>
      </c>
    </row>
    <row r="411" customFormat="false" ht="15" hidden="false" customHeight="false" outlineLevel="0" collapsed="false">
      <c r="A411" s="21"/>
      <c r="B411" s="22"/>
      <c r="C411" s="21"/>
      <c r="D411" s="21"/>
      <c r="E411" s="28"/>
      <c r="F411" s="24"/>
      <c r="G411" s="26"/>
      <c r="H411" s="24"/>
      <c r="I411" s="24"/>
      <c r="J411" s="24"/>
      <c r="K411" s="24"/>
      <c r="L411" s="26"/>
      <c r="M411" s="26"/>
      <c r="N411" s="22"/>
      <c r="O411" s="21"/>
      <c r="P411" s="22"/>
      <c r="Q411" s="29" t="str">
        <f aca="false">IF(C411="","",IF(O411&lt;&gt;"",O411,IFERROR(INDEX(Produk!$J$2:$J$100,MATCH(C411,Produk!$A$2:$A$100,0)),"PRODUK?")))</f>
        <v/>
      </c>
      <c r="R411" s="29" t="str">
        <f aca="false">IF(A411="","",IF(COUNTIF(Anggota!$A$2:$A$2001,A411)=0,"TIDAK ADA","OK"))</f>
        <v/>
      </c>
      <c r="S411" s="29" t="str">
        <f aca="false">IF(H411="","",IF(OR(J411="",L411=""),"-",IF(ABS(H411-J411*L411)&gt;Info_Koperasi!$C$10,"SELISIH","OK")))</f>
        <v/>
      </c>
    </row>
    <row r="412" customFormat="false" ht="15" hidden="false" customHeight="false" outlineLevel="0" collapsed="false">
      <c r="A412" s="21"/>
      <c r="B412" s="22"/>
      <c r="C412" s="21"/>
      <c r="D412" s="21"/>
      <c r="E412" s="28"/>
      <c r="F412" s="24"/>
      <c r="G412" s="26"/>
      <c r="H412" s="24"/>
      <c r="I412" s="24"/>
      <c r="J412" s="24"/>
      <c r="K412" s="24"/>
      <c r="L412" s="26"/>
      <c r="M412" s="26"/>
      <c r="N412" s="22"/>
      <c r="O412" s="21"/>
      <c r="P412" s="22"/>
      <c r="Q412" s="29" t="str">
        <f aca="false">IF(C412="","",IF(O412&lt;&gt;"",O412,IFERROR(INDEX(Produk!$J$2:$J$100,MATCH(C412,Produk!$A$2:$A$100,0)),"PRODUK?")))</f>
        <v/>
      </c>
      <c r="R412" s="29" t="str">
        <f aca="false">IF(A412="","",IF(COUNTIF(Anggota!$A$2:$A$2001,A412)=0,"TIDAK ADA","OK"))</f>
        <v/>
      </c>
      <c r="S412" s="29" t="str">
        <f aca="false">IF(H412="","",IF(OR(J412="",L412=""),"-",IF(ABS(H412-J412*L412)&gt;Info_Koperasi!$C$10,"SELISIH","OK")))</f>
        <v/>
      </c>
    </row>
    <row r="413" customFormat="false" ht="15" hidden="false" customHeight="false" outlineLevel="0" collapsed="false">
      <c r="A413" s="21"/>
      <c r="B413" s="22"/>
      <c r="C413" s="21"/>
      <c r="D413" s="21"/>
      <c r="E413" s="28"/>
      <c r="F413" s="24"/>
      <c r="G413" s="26"/>
      <c r="H413" s="24"/>
      <c r="I413" s="24"/>
      <c r="J413" s="24"/>
      <c r="K413" s="24"/>
      <c r="L413" s="26"/>
      <c r="M413" s="26"/>
      <c r="N413" s="22"/>
      <c r="O413" s="21"/>
      <c r="P413" s="22"/>
      <c r="Q413" s="29" t="str">
        <f aca="false">IF(C413="","",IF(O413&lt;&gt;"",O413,IFERROR(INDEX(Produk!$J$2:$J$100,MATCH(C413,Produk!$A$2:$A$100,0)),"PRODUK?")))</f>
        <v/>
      </c>
      <c r="R413" s="29" t="str">
        <f aca="false">IF(A413="","",IF(COUNTIF(Anggota!$A$2:$A$2001,A413)=0,"TIDAK ADA","OK"))</f>
        <v/>
      </c>
      <c r="S413" s="29" t="str">
        <f aca="false">IF(H413="","",IF(OR(J413="",L413=""),"-",IF(ABS(H413-J413*L413)&gt;Info_Koperasi!$C$10,"SELISIH","OK")))</f>
        <v/>
      </c>
    </row>
    <row r="414" customFormat="false" ht="15" hidden="false" customHeight="false" outlineLevel="0" collapsed="false">
      <c r="A414" s="21"/>
      <c r="B414" s="22"/>
      <c r="C414" s="21"/>
      <c r="D414" s="21"/>
      <c r="E414" s="28"/>
      <c r="F414" s="24"/>
      <c r="G414" s="26"/>
      <c r="H414" s="24"/>
      <c r="I414" s="24"/>
      <c r="J414" s="24"/>
      <c r="K414" s="24"/>
      <c r="L414" s="26"/>
      <c r="M414" s="26"/>
      <c r="N414" s="22"/>
      <c r="O414" s="21"/>
      <c r="P414" s="22"/>
      <c r="Q414" s="29" t="str">
        <f aca="false">IF(C414="","",IF(O414&lt;&gt;"",O414,IFERROR(INDEX(Produk!$J$2:$J$100,MATCH(C414,Produk!$A$2:$A$100,0)),"PRODUK?")))</f>
        <v/>
      </c>
      <c r="R414" s="29" t="str">
        <f aca="false">IF(A414="","",IF(COUNTIF(Anggota!$A$2:$A$2001,A414)=0,"TIDAK ADA","OK"))</f>
        <v/>
      </c>
      <c r="S414" s="29" t="str">
        <f aca="false">IF(H414="","",IF(OR(J414="",L414=""),"-",IF(ABS(H414-J414*L414)&gt;Info_Koperasi!$C$10,"SELISIH","OK")))</f>
        <v/>
      </c>
    </row>
    <row r="415" customFormat="false" ht="15" hidden="false" customHeight="false" outlineLevel="0" collapsed="false">
      <c r="A415" s="21"/>
      <c r="B415" s="22"/>
      <c r="C415" s="21"/>
      <c r="D415" s="21"/>
      <c r="E415" s="28"/>
      <c r="F415" s="24"/>
      <c r="G415" s="26"/>
      <c r="H415" s="24"/>
      <c r="I415" s="24"/>
      <c r="J415" s="24"/>
      <c r="K415" s="24"/>
      <c r="L415" s="26"/>
      <c r="M415" s="26"/>
      <c r="N415" s="22"/>
      <c r="O415" s="21"/>
      <c r="P415" s="22"/>
      <c r="Q415" s="29" t="str">
        <f aca="false">IF(C415="","",IF(O415&lt;&gt;"",O415,IFERROR(INDEX(Produk!$J$2:$J$100,MATCH(C415,Produk!$A$2:$A$100,0)),"PRODUK?")))</f>
        <v/>
      </c>
      <c r="R415" s="29" t="str">
        <f aca="false">IF(A415="","",IF(COUNTIF(Anggota!$A$2:$A$2001,A415)=0,"TIDAK ADA","OK"))</f>
        <v/>
      </c>
      <c r="S415" s="29" t="str">
        <f aca="false">IF(H415="","",IF(OR(J415="",L415=""),"-",IF(ABS(H415-J415*L415)&gt;Info_Koperasi!$C$10,"SELISIH","OK")))</f>
        <v/>
      </c>
    </row>
    <row r="416" customFormat="false" ht="15" hidden="false" customHeight="false" outlineLevel="0" collapsed="false">
      <c r="A416" s="21"/>
      <c r="B416" s="22"/>
      <c r="C416" s="21"/>
      <c r="D416" s="21"/>
      <c r="E416" s="28"/>
      <c r="F416" s="24"/>
      <c r="G416" s="26"/>
      <c r="H416" s="24"/>
      <c r="I416" s="24"/>
      <c r="J416" s="24"/>
      <c r="K416" s="24"/>
      <c r="L416" s="26"/>
      <c r="M416" s="26"/>
      <c r="N416" s="22"/>
      <c r="O416" s="21"/>
      <c r="P416" s="22"/>
      <c r="Q416" s="29" t="str">
        <f aca="false">IF(C416="","",IF(O416&lt;&gt;"",O416,IFERROR(INDEX(Produk!$J$2:$J$100,MATCH(C416,Produk!$A$2:$A$100,0)),"PRODUK?")))</f>
        <v/>
      </c>
      <c r="R416" s="29" t="str">
        <f aca="false">IF(A416="","",IF(COUNTIF(Anggota!$A$2:$A$2001,A416)=0,"TIDAK ADA","OK"))</f>
        <v/>
      </c>
      <c r="S416" s="29" t="str">
        <f aca="false">IF(H416="","",IF(OR(J416="",L416=""),"-",IF(ABS(H416-J416*L416)&gt;Info_Koperasi!$C$10,"SELISIH","OK")))</f>
        <v/>
      </c>
    </row>
    <row r="417" customFormat="false" ht="15" hidden="false" customHeight="false" outlineLevel="0" collapsed="false">
      <c r="A417" s="21"/>
      <c r="B417" s="22"/>
      <c r="C417" s="21"/>
      <c r="D417" s="21"/>
      <c r="E417" s="28"/>
      <c r="F417" s="24"/>
      <c r="G417" s="26"/>
      <c r="H417" s="24"/>
      <c r="I417" s="24"/>
      <c r="J417" s="24"/>
      <c r="K417" s="24"/>
      <c r="L417" s="26"/>
      <c r="M417" s="26"/>
      <c r="N417" s="22"/>
      <c r="O417" s="21"/>
      <c r="P417" s="22"/>
      <c r="Q417" s="29" t="str">
        <f aca="false">IF(C417="","",IF(O417&lt;&gt;"",O417,IFERROR(INDEX(Produk!$J$2:$J$100,MATCH(C417,Produk!$A$2:$A$100,0)),"PRODUK?")))</f>
        <v/>
      </c>
      <c r="R417" s="29" t="str">
        <f aca="false">IF(A417="","",IF(COUNTIF(Anggota!$A$2:$A$2001,A417)=0,"TIDAK ADA","OK"))</f>
        <v/>
      </c>
      <c r="S417" s="29" t="str">
        <f aca="false">IF(H417="","",IF(OR(J417="",L417=""),"-",IF(ABS(H417-J417*L417)&gt;Info_Koperasi!$C$10,"SELISIH","OK")))</f>
        <v/>
      </c>
    </row>
    <row r="418" customFormat="false" ht="15" hidden="false" customHeight="false" outlineLevel="0" collapsed="false">
      <c r="A418" s="21"/>
      <c r="B418" s="22"/>
      <c r="C418" s="21"/>
      <c r="D418" s="21"/>
      <c r="E418" s="28"/>
      <c r="F418" s="24"/>
      <c r="G418" s="26"/>
      <c r="H418" s="24"/>
      <c r="I418" s="24"/>
      <c r="J418" s="24"/>
      <c r="K418" s="24"/>
      <c r="L418" s="26"/>
      <c r="M418" s="26"/>
      <c r="N418" s="22"/>
      <c r="O418" s="21"/>
      <c r="P418" s="22"/>
      <c r="Q418" s="29" t="str">
        <f aca="false">IF(C418="","",IF(O418&lt;&gt;"",O418,IFERROR(INDEX(Produk!$J$2:$J$100,MATCH(C418,Produk!$A$2:$A$100,0)),"PRODUK?")))</f>
        <v/>
      </c>
      <c r="R418" s="29" t="str">
        <f aca="false">IF(A418="","",IF(COUNTIF(Anggota!$A$2:$A$2001,A418)=0,"TIDAK ADA","OK"))</f>
        <v/>
      </c>
      <c r="S418" s="29" t="str">
        <f aca="false">IF(H418="","",IF(OR(J418="",L418=""),"-",IF(ABS(H418-J418*L418)&gt;Info_Koperasi!$C$10,"SELISIH","OK")))</f>
        <v/>
      </c>
    </row>
    <row r="419" customFormat="false" ht="15" hidden="false" customHeight="false" outlineLevel="0" collapsed="false">
      <c r="A419" s="21"/>
      <c r="B419" s="22"/>
      <c r="C419" s="21"/>
      <c r="D419" s="21"/>
      <c r="E419" s="28"/>
      <c r="F419" s="24"/>
      <c r="G419" s="26"/>
      <c r="H419" s="24"/>
      <c r="I419" s="24"/>
      <c r="J419" s="24"/>
      <c r="K419" s="24"/>
      <c r="L419" s="26"/>
      <c r="M419" s="26"/>
      <c r="N419" s="22"/>
      <c r="O419" s="21"/>
      <c r="P419" s="22"/>
      <c r="Q419" s="29" t="str">
        <f aca="false">IF(C419="","",IF(O419&lt;&gt;"",O419,IFERROR(INDEX(Produk!$J$2:$J$100,MATCH(C419,Produk!$A$2:$A$100,0)),"PRODUK?")))</f>
        <v/>
      </c>
      <c r="R419" s="29" t="str">
        <f aca="false">IF(A419="","",IF(COUNTIF(Anggota!$A$2:$A$2001,A419)=0,"TIDAK ADA","OK"))</f>
        <v/>
      </c>
      <c r="S419" s="29" t="str">
        <f aca="false">IF(H419="","",IF(OR(J419="",L419=""),"-",IF(ABS(H419-J419*L419)&gt;Info_Koperasi!$C$10,"SELISIH","OK")))</f>
        <v/>
      </c>
    </row>
    <row r="420" customFormat="false" ht="15" hidden="false" customHeight="false" outlineLevel="0" collapsed="false">
      <c r="A420" s="21"/>
      <c r="B420" s="22"/>
      <c r="C420" s="21"/>
      <c r="D420" s="21"/>
      <c r="E420" s="28"/>
      <c r="F420" s="24"/>
      <c r="G420" s="26"/>
      <c r="H420" s="24"/>
      <c r="I420" s="24"/>
      <c r="J420" s="24"/>
      <c r="K420" s="24"/>
      <c r="L420" s="26"/>
      <c r="M420" s="26"/>
      <c r="N420" s="22"/>
      <c r="O420" s="21"/>
      <c r="P420" s="22"/>
      <c r="Q420" s="29" t="str">
        <f aca="false">IF(C420="","",IF(O420&lt;&gt;"",O420,IFERROR(INDEX(Produk!$J$2:$J$100,MATCH(C420,Produk!$A$2:$A$100,0)),"PRODUK?")))</f>
        <v/>
      </c>
      <c r="R420" s="29" t="str">
        <f aca="false">IF(A420="","",IF(COUNTIF(Anggota!$A$2:$A$2001,A420)=0,"TIDAK ADA","OK"))</f>
        <v/>
      </c>
      <c r="S420" s="29" t="str">
        <f aca="false">IF(H420="","",IF(OR(J420="",L420=""),"-",IF(ABS(H420-J420*L420)&gt;Info_Koperasi!$C$10,"SELISIH","OK")))</f>
        <v/>
      </c>
    </row>
    <row r="421" customFormat="false" ht="15" hidden="false" customHeight="false" outlineLevel="0" collapsed="false">
      <c r="A421" s="21"/>
      <c r="B421" s="22"/>
      <c r="C421" s="21"/>
      <c r="D421" s="21"/>
      <c r="E421" s="28"/>
      <c r="F421" s="24"/>
      <c r="G421" s="26"/>
      <c r="H421" s="24"/>
      <c r="I421" s="24"/>
      <c r="J421" s="24"/>
      <c r="K421" s="24"/>
      <c r="L421" s="26"/>
      <c r="M421" s="26"/>
      <c r="N421" s="22"/>
      <c r="O421" s="21"/>
      <c r="P421" s="22"/>
      <c r="Q421" s="29" t="str">
        <f aca="false">IF(C421="","",IF(O421&lt;&gt;"",O421,IFERROR(INDEX(Produk!$J$2:$J$100,MATCH(C421,Produk!$A$2:$A$100,0)),"PRODUK?")))</f>
        <v/>
      </c>
      <c r="R421" s="29" t="str">
        <f aca="false">IF(A421="","",IF(COUNTIF(Anggota!$A$2:$A$2001,A421)=0,"TIDAK ADA","OK"))</f>
        <v/>
      </c>
      <c r="S421" s="29" t="str">
        <f aca="false">IF(H421="","",IF(OR(J421="",L421=""),"-",IF(ABS(H421-J421*L421)&gt;Info_Koperasi!$C$10,"SELISIH","OK")))</f>
        <v/>
      </c>
    </row>
    <row r="422" customFormat="false" ht="15" hidden="false" customHeight="false" outlineLevel="0" collapsed="false">
      <c r="A422" s="21"/>
      <c r="B422" s="22"/>
      <c r="C422" s="21"/>
      <c r="D422" s="21"/>
      <c r="E422" s="28"/>
      <c r="F422" s="24"/>
      <c r="G422" s="26"/>
      <c r="H422" s="24"/>
      <c r="I422" s="24"/>
      <c r="J422" s="24"/>
      <c r="K422" s="24"/>
      <c r="L422" s="26"/>
      <c r="M422" s="26"/>
      <c r="N422" s="22"/>
      <c r="O422" s="21"/>
      <c r="P422" s="22"/>
      <c r="Q422" s="29" t="str">
        <f aca="false">IF(C422="","",IF(O422&lt;&gt;"",O422,IFERROR(INDEX(Produk!$J$2:$J$100,MATCH(C422,Produk!$A$2:$A$100,0)),"PRODUK?")))</f>
        <v/>
      </c>
      <c r="R422" s="29" t="str">
        <f aca="false">IF(A422="","",IF(COUNTIF(Anggota!$A$2:$A$2001,A422)=0,"TIDAK ADA","OK"))</f>
        <v/>
      </c>
      <c r="S422" s="29" t="str">
        <f aca="false">IF(H422="","",IF(OR(J422="",L422=""),"-",IF(ABS(H422-J422*L422)&gt;Info_Koperasi!$C$10,"SELISIH","OK")))</f>
        <v/>
      </c>
    </row>
    <row r="423" customFormat="false" ht="15" hidden="false" customHeight="false" outlineLevel="0" collapsed="false">
      <c r="A423" s="21"/>
      <c r="B423" s="22"/>
      <c r="C423" s="21"/>
      <c r="D423" s="21"/>
      <c r="E423" s="28"/>
      <c r="F423" s="24"/>
      <c r="G423" s="26"/>
      <c r="H423" s="24"/>
      <c r="I423" s="24"/>
      <c r="J423" s="24"/>
      <c r="K423" s="24"/>
      <c r="L423" s="26"/>
      <c r="M423" s="26"/>
      <c r="N423" s="22"/>
      <c r="O423" s="21"/>
      <c r="P423" s="22"/>
      <c r="Q423" s="29" t="str">
        <f aca="false">IF(C423="","",IF(O423&lt;&gt;"",O423,IFERROR(INDEX(Produk!$J$2:$J$100,MATCH(C423,Produk!$A$2:$A$100,0)),"PRODUK?")))</f>
        <v/>
      </c>
      <c r="R423" s="29" t="str">
        <f aca="false">IF(A423="","",IF(COUNTIF(Anggota!$A$2:$A$2001,A423)=0,"TIDAK ADA","OK"))</f>
        <v/>
      </c>
      <c r="S423" s="29" t="str">
        <f aca="false">IF(H423="","",IF(OR(J423="",L423=""),"-",IF(ABS(H423-J423*L423)&gt;Info_Koperasi!$C$10,"SELISIH","OK")))</f>
        <v/>
      </c>
    </row>
    <row r="424" customFormat="false" ht="15" hidden="false" customHeight="false" outlineLevel="0" collapsed="false">
      <c r="A424" s="21"/>
      <c r="B424" s="22"/>
      <c r="C424" s="21"/>
      <c r="D424" s="21"/>
      <c r="E424" s="28"/>
      <c r="F424" s="24"/>
      <c r="G424" s="26"/>
      <c r="H424" s="24"/>
      <c r="I424" s="24"/>
      <c r="J424" s="24"/>
      <c r="K424" s="24"/>
      <c r="L424" s="26"/>
      <c r="M424" s="26"/>
      <c r="N424" s="22"/>
      <c r="O424" s="21"/>
      <c r="P424" s="22"/>
      <c r="Q424" s="29" t="str">
        <f aca="false">IF(C424="","",IF(O424&lt;&gt;"",O424,IFERROR(INDEX(Produk!$J$2:$J$100,MATCH(C424,Produk!$A$2:$A$100,0)),"PRODUK?")))</f>
        <v/>
      </c>
      <c r="R424" s="29" t="str">
        <f aca="false">IF(A424="","",IF(COUNTIF(Anggota!$A$2:$A$2001,A424)=0,"TIDAK ADA","OK"))</f>
        <v/>
      </c>
      <c r="S424" s="29" t="str">
        <f aca="false">IF(H424="","",IF(OR(J424="",L424=""),"-",IF(ABS(H424-J424*L424)&gt;Info_Koperasi!$C$10,"SELISIH","OK")))</f>
        <v/>
      </c>
    </row>
    <row r="425" customFormat="false" ht="15" hidden="false" customHeight="false" outlineLevel="0" collapsed="false">
      <c r="A425" s="21"/>
      <c r="B425" s="22"/>
      <c r="C425" s="21"/>
      <c r="D425" s="21"/>
      <c r="E425" s="28"/>
      <c r="F425" s="24"/>
      <c r="G425" s="26"/>
      <c r="H425" s="24"/>
      <c r="I425" s="24"/>
      <c r="J425" s="24"/>
      <c r="K425" s="24"/>
      <c r="L425" s="26"/>
      <c r="M425" s="26"/>
      <c r="N425" s="22"/>
      <c r="O425" s="21"/>
      <c r="P425" s="22"/>
      <c r="Q425" s="29" t="str">
        <f aca="false">IF(C425="","",IF(O425&lt;&gt;"",O425,IFERROR(INDEX(Produk!$J$2:$J$100,MATCH(C425,Produk!$A$2:$A$100,0)),"PRODUK?")))</f>
        <v/>
      </c>
      <c r="R425" s="29" t="str">
        <f aca="false">IF(A425="","",IF(COUNTIF(Anggota!$A$2:$A$2001,A425)=0,"TIDAK ADA","OK"))</f>
        <v/>
      </c>
      <c r="S425" s="29" t="str">
        <f aca="false">IF(H425="","",IF(OR(J425="",L425=""),"-",IF(ABS(H425-J425*L425)&gt;Info_Koperasi!$C$10,"SELISIH","OK")))</f>
        <v/>
      </c>
    </row>
    <row r="426" customFormat="false" ht="15" hidden="false" customHeight="false" outlineLevel="0" collapsed="false">
      <c r="A426" s="21"/>
      <c r="B426" s="22"/>
      <c r="C426" s="21"/>
      <c r="D426" s="21"/>
      <c r="E426" s="28"/>
      <c r="F426" s="24"/>
      <c r="G426" s="26"/>
      <c r="H426" s="24"/>
      <c r="I426" s="24"/>
      <c r="J426" s="24"/>
      <c r="K426" s="24"/>
      <c r="L426" s="26"/>
      <c r="M426" s="26"/>
      <c r="N426" s="22"/>
      <c r="O426" s="21"/>
      <c r="P426" s="22"/>
      <c r="Q426" s="29" t="str">
        <f aca="false">IF(C426="","",IF(O426&lt;&gt;"",O426,IFERROR(INDEX(Produk!$J$2:$J$100,MATCH(C426,Produk!$A$2:$A$100,0)),"PRODUK?")))</f>
        <v/>
      </c>
      <c r="R426" s="29" t="str">
        <f aca="false">IF(A426="","",IF(COUNTIF(Anggota!$A$2:$A$2001,A426)=0,"TIDAK ADA","OK"))</f>
        <v/>
      </c>
      <c r="S426" s="29" t="str">
        <f aca="false">IF(H426="","",IF(OR(J426="",L426=""),"-",IF(ABS(H426-J426*L426)&gt;Info_Koperasi!$C$10,"SELISIH","OK")))</f>
        <v/>
      </c>
    </row>
    <row r="427" customFormat="false" ht="15" hidden="false" customHeight="false" outlineLevel="0" collapsed="false">
      <c r="A427" s="21"/>
      <c r="B427" s="22"/>
      <c r="C427" s="21"/>
      <c r="D427" s="21"/>
      <c r="E427" s="28"/>
      <c r="F427" s="24"/>
      <c r="G427" s="26"/>
      <c r="H427" s="24"/>
      <c r="I427" s="24"/>
      <c r="J427" s="24"/>
      <c r="K427" s="24"/>
      <c r="L427" s="26"/>
      <c r="M427" s="26"/>
      <c r="N427" s="22"/>
      <c r="O427" s="21"/>
      <c r="P427" s="22"/>
      <c r="Q427" s="29" t="str">
        <f aca="false">IF(C427="","",IF(O427&lt;&gt;"",O427,IFERROR(INDEX(Produk!$J$2:$J$100,MATCH(C427,Produk!$A$2:$A$100,0)),"PRODUK?")))</f>
        <v/>
      </c>
      <c r="R427" s="29" t="str">
        <f aca="false">IF(A427="","",IF(COUNTIF(Anggota!$A$2:$A$2001,A427)=0,"TIDAK ADA","OK"))</f>
        <v/>
      </c>
      <c r="S427" s="29" t="str">
        <f aca="false">IF(H427="","",IF(OR(J427="",L427=""),"-",IF(ABS(H427-J427*L427)&gt;Info_Koperasi!$C$10,"SELISIH","OK")))</f>
        <v/>
      </c>
    </row>
    <row r="428" customFormat="false" ht="15" hidden="false" customHeight="false" outlineLevel="0" collapsed="false">
      <c r="A428" s="21"/>
      <c r="B428" s="22"/>
      <c r="C428" s="21"/>
      <c r="D428" s="21"/>
      <c r="E428" s="28"/>
      <c r="F428" s="24"/>
      <c r="G428" s="26"/>
      <c r="H428" s="24"/>
      <c r="I428" s="24"/>
      <c r="J428" s="24"/>
      <c r="K428" s="24"/>
      <c r="L428" s="26"/>
      <c r="M428" s="26"/>
      <c r="N428" s="22"/>
      <c r="O428" s="21"/>
      <c r="P428" s="22"/>
      <c r="Q428" s="29" t="str">
        <f aca="false">IF(C428="","",IF(O428&lt;&gt;"",O428,IFERROR(INDEX(Produk!$J$2:$J$100,MATCH(C428,Produk!$A$2:$A$100,0)),"PRODUK?")))</f>
        <v/>
      </c>
      <c r="R428" s="29" t="str">
        <f aca="false">IF(A428="","",IF(COUNTIF(Anggota!$A$2:$A$2001,A428)=0,"TIDAK ADA","OK"))</f>
        <v/>
      </c>
      <c r="S428" s="29" t="str">
        <f aca="false">IF(H428="","",IF(OR(J428="",L428=""),"-",IF(ABS(H428-J428*L428)&gt;Info_Koperasi!$C$10,"SELISIH","OK")))</f>
        <v/>
      </c>
    </row>
    <row r="429" customFormat="false" ht="15" hidden="false" customHeight="false" outlineLevel="0" collapsed="false">
      <c r="A429" s="21"/>
      <c r="B429" s="22"/>
      <c r="C429" s="21"/>
      <c r="D429" s="21"/>
      <c r="E429" s="28"/>
      <c r="F429" s="24"/>
      <c r="G429" s="26"/>
      <c r="H429" s="24"/>
      <c r="I429" s="24"/>
      <c r="J429" s="24"/>
      <c r="K429" s="24"/>
      <c r="L429" s="26"/>
      <c r="M429" s="26"/>
      <c r="N429" s="22"/>
      <c r="O429" s="21"/>
      <c r="P429" s="22"/>
      <c r="Q429" s="29" t="str">
        <f aca="false">IF(C429="","",IF(O429&lt;&gt;"",O429,IFERROR(INDEX(Produk!$J$2:$J$100,MATCH(C429,Produk!$A$2:$A$100,0)),"PRODUK?")))</f>
        <v/>
      </c>
      <c r="R429" s="29" t="str">
        <f aca="false">IF(A429="","",IF(COUNTIF(Anggota!$A$2:$A$2001,A429)=0,"TIDAK ADA","OK"))</f>
        <v/>
      </c>
      <c r="S429" s="29" t="str">
        <f aca="false">IF(H429="","",IF(OR(J429="",L429=""),"-",IF(ABS(H429-J429*L429)&gt;Info_Koperasi!$C$10,"SELISIH","OK")))</f>
        <v/>
      </c>
    </row>
    <row r="430" customFormat="false" ht="15" hidden="false" customHeight="false" outlineLevel="0" collapsed="false">
      <c r="A430" s="21"/>
      <c r="B430" s="22"/>
      <c r="C430" s="21"/>
      <c r="D430" s="21"/>
      <c r="E430" s="28"/>
      <c r="F430" s="24"/>
      <c r="G430" s="26"/>
      <c r="H430" s="24"/>
      <c r="I430" s="24"/>
      <c r="J430" s="24"/>
      <c r="K430" s="24"/>
      <c r="L430" s="26"/>
      <c r="M430" s="26"/>
      <c r="N430" s="22"/>
      <c r="O430" s="21"/>
      <c r="P430" s="22"/>
      <c r="Q430" s="29" t="str">
        <f aca="false">IF(C430="","",IF(O430&lt;&gt;"",O430,IFERROR(INDEX(Produk!$J$2:$J$100,MATCH(C430,Produk!$A$2:$A$100,0)),"PRODUK?")))</f>
        <v/>
      </c>
      <c r="R430" s="29" t="str">
        <f aca="false">IF(A430="","",IF(COUNTIF(Anggota!$A$2:$A$2001,A430)=0,"TIDAK ADA","OK"))</f>
        <v/>
      </c>
      <c r="S430" s="29" t="str">
        <f aca="false">IF(H430="","",IF(OR(J430="",L430=""),"-",IF(ABS(H430-J430*L430)&gt;Info_Koperasi!$C$10,"SELISIH","OK")))</f>
        <v/>
      </c>
    </row>
    <row r="431" customFormat="false" ht="15" hidden="false" customHeight="false" outlineLevel="0" collapsed="false">
      <c r="A431" s="21"/>
      <c r="B431" s="22"/>
      <c r="C431" s="21"/>
      <c r="D431" s="21"/>
      <c r="E431" s="28"/>
      <c r="F431" s="24"/>
      <c r="G431" s="26"/>
      <c r="H431" s="24"/>
      <c r="I431" s="24"/>
      <c r="J431" s="24"/>
      <c r="K431" s="24"/>
      <c r="L431" s="26"/>
      <c r="M431" s="26"/>
      <c r="N431" s="22"/>
      <c r="O431" s="21"/>
      <c r="P431" s="22"/>
      <c r="Q431" s="29" t="str">
        <f aca="false">IF(C431="","",IF(O431&lt;&gt;"",O431,IFERROR(INDEX(Produk!$J$2:$J$100,MATCH(C431,Produk!$A$2:$A$100,0)),"PRODUK?")))</f>
        <v/>
      </c>
      <c r="R431" s="29" t="str">
        <f aca="false">IF(A431="","",IF(COUNTIF(Anggota!$A$2:$A$2001,A431)=0,"TIDAK ADA","OK"))</f>
        <v/>
      </c>
      <c r="S431" s="29" t="str">
        <f aca="false">IF(H431="","",IF(OR(J431="",L431=""),"-",IF(ABS(H431-J431*L431)&gt;Info_Koperasi!$C$10,"SELISIH","OK")))</f>
        <v/>
      </c>
    </row>
    <row r="432" customFormat="false" ht="15" hidden="false" customHeight="false" outlineLevel="0" collapsed="false">
      <c r="A432" s="21"/>
      <c r="B432" s="22"/>
      <c r="C432" s="21"/>
      <c r="D432" s="21"/>
      <c r="E432" s="28"/>
      <c r="F432" s="24"/>
      <c r="G432" s="26"/>
      <c r="H432" s="24"/>
      <c r="I432" s="24"/>
      <c r="J432" s="24"/>
      <c r="K432" s="24"/>
      <c r="L432" s="26"/>
      <c r="M432" s="26"/>
      <c r="N432" s="22"/>
      <c r="O432" s="21"/>
      <c r="P432" s="22"/>
      <c r="Q432" s="29" t="str">
        <f aca="false">IF(C432="","",IF(O432&lt;&gt;"",O432,IFERROR(INDEX(Produk!$J$2:$J$100,MATCH(C432,Produk!$A$2:$A$100,0)),"PRODUK?")))</f>
        <v/>
      </c>
      <c r="R432" s="29" t="str">
        <f aca="false">IF(A432="","",IF(COUNTIF(Anggota!$A$2:$A$2001,A432)=0,"TIDAK ADA","OK"))</f>
        <v/>
      </c>
      <c r="S432" s="29" t="str">
        <f aca="false">IF(H432="","",IF(OR(J432="",L432=""),"-",IF(ABS(H432-J432*L432)&gt;Info_Koperasi!$C$10,"SELISIH","OK")))</f>
        <v/>
      </c>
    </row>
    <row r="433" customFormat="false" ht="15" hidden="false" customHeight="false" outlineLevel="0" collapsed="false">
      <c r="A433" s="21"/>
      <c r="B433" s="22"/>
      <c r="C433" s="21"/>
      <c r="D433" s="21"/>
      <c r="E433" s="28"/>
      <c r="F433" s="24"/>
      <c r="G433" s="26"/>
      <c r="H433" s="24"/>
      <c r="I433" s="24"/>
      <c r="J433" s="24"/>
      <c r="K433" s="24"/>
      <c r="L433" s="26"/>
      <c r="M433" s="26"/>
      <c r="N433" s="22"/>
      <c r="O433" s="21"/>
      <c r="P433" s="22"/>
      <c r="Q433" s="29" t="str">
        <f aca="false">IF(C433="","",IF(O433&lt;&gt;"",O433,IFERROR(INDEX(Produk!$J$2:$J$100,MATCH(C433,Produk!$A$2:$A$100,0)),"PRODUK?")))</f>
        <v/>
      </c>
      <c r="R433" s="29" t="str">
        <f aca="false">IF(A433="","",IF(COUNTIF(Anggota!$A$2:$A$2001,A433)=0,"TIDAK ADA","OK"))</f>
        <v/>
      </c>
      <c r="S433" s="29" t="str">
        <f aca="false">IF(H433="","",IF(OR(J433="",L433=""),"-",IF(ABS(H433-J433*L433)&gt;Info_Koperasi!$C$10,"SELISIH","OK")))</f>
        <v/>
      </c>
    </row>
    <row r="434" customFormat="false" ht="15" hidden="false" customHeight="false" outlineLevel="0" collapsed="false">
      <c r="A434" s="21"/>
      <c r="B434" s="22"/>
      <c r="C434" s="21"/>
      <c r="D434" s="21"/>
      <c r="E434" s="28"/>
      <c r="F434" s="24"/>
      <c r="G434" s="26"/>
      <c r="H434" s="24"/>
      <c r="I434" s="24"/>
      <c r="J434" s="24"/>
      <c r="K434" s="24"/>
      <c r="L434" s="26"/>
      <c r="M434" s="26"/>
      <c r="N434" s="22"/>
      <c r="O434" s="21"/>
      <c r="P434" s="22"/>
      <c r="Q434" s="29" t="str">
        <f aca="false">IF(C434="","",IF(O434&lt;&gt;"",O434,IFERROR(INDEX(Produk!$J$2:$J$100,MATCH(C434,Produk!$A$2:$A$100,0)),"PRODUK?")))</f>
        <v/>
      </c>
      <c r="R434" s="29" t="str">
        <f aca="false">IF(A434="","",IF(COUNTIF(Anggota!$A$2:$A$2001,A434)=0,"TIDAK ADA","OK"))</f>
        <v/>
      </c>
      <c r="S434" s="29" t="str">
        <f aca="false">IF(H434="","",IF(OR(J434="",L434=""),"-",IF(ABS(H434-J434*L434)&gt;Info_Koperasi!$C$10,"SELISIH","OK")))</f>
        <v/>
      </c>
    </row>
    <row r="435" customFormat="false" ht="15" hidden="false" customHeight="false" outlineLevel="0" collapsed="false">
      <c r="A435" s="21"/>
      <c r="B435" s="22"/>
      <c r="C435" s="21"/>
      <c r="D435" s="21"/>
      <c r="E435" s="28"/>
      <c r="F435" s="24"/>
      <c r="G435" s="26"/>
      <c r="H435" s="24"/>
      <c r="I435" s="24"/>
      <c r="J435" s="24"/>
      <c r="K435" s="24"/>
      <c r="L435" s="26"/>
      <c r="M435" s="26"/>
      <c r="N435" s="22"/>
      <c r="O435" s="21"/>
      <c r="P435" s="22"/>
      <c r="Q435" s="29" t="str">
        <f aca="false">IF(C435="","",IF(O435&lt;&gt;"",O435,IFERROR(INDEX(Produk!$J$2:$J$100,MATCH(C435,Produk!$A$2:$A$100,0)),"PRODUK?")))</f>
        <v/>
      </c>
      <c r="R435" s="29" t="str">
        <f aca="false">IF(A435="","",IF(COUNTIF(Anggota!$A$2:$A$2001,A435)=0,"TIDAK ADA","OK"))</f>
        <v/>
      </c>
      <c r="S435" s="29" t="str">
        <f aca="false">IF(H435="","",IF(OR(J435="",L435=""),"-",IF(ABS(H435-J435*L435)&gt;Info_Koperasi!$C$10,"SELISIH","OK")))</f>
        <v/>
      </c>
    </row>
    <row r="436" customFormat="false" ht="15" hidden="false" customHeight="false" outlineLevel="0" collapsed="false">
      <c r="A436" s="21"/>
      <c r="B436" s="22"/>
      <c r="C436" s="21"/>
      <c r="D436" s="21"/>
      <c r="E436" s="28"/>
      <c r="F436" s="24"/>
      <c r="G436" s="26"/>
      <c r="H436" s="24"/>
      <c r="I436" s="24"/>
      <c r="J436" s="24"/>
      <c r="K436" s="24"/>
      <c r="L436" s="26"/>
      <c r="M436" s="26"/>
      <c r="N436" s="22"/>
      <c r="O436" s="21"/>
      <c r="P436" s="22"/>
      <c r="Q436" s="29" t="str">
        <f aca="false">IF(C436="","",IF(O436&lt;&gt;"",O436,IFERROR(INDEX(Produk!$J$2:$J$100,MATCH(C436,Produk!$A$2:$A$100,0)),"PRODUK?")))</f>
        <v/>
      </c>
      <c r="R436" s="29" t="str">
        <f aca="false">IF(A436="","",IF(COUNTIF(Anggota!$A$2:$A$2001,A436)=0,"TIDAK ADA","OK"))</f>
        <v/>
      </c>
      <c r="S436" s="29" t="str">
        <f aca="false">IF(H436="","",IF(OR(J436="",L436=""),"-",IF(ABS(H436-J436*L436)&gt;Info_Koperasi!$C$10,"SELISIH","OK")))</f>
        <v/>
      </c>
    </row>
    <row r="437" customFormat="false" ht="15" hidden="false" customHeight="false" outlineLevel="0" collapsed="false">
      <c r="A437" s="21"/>
      <c r="B437" s="22"/>
      <c r="C437" s="21"/>
      <c r="D437" s="21"/>
      <c r="E437" s="28"/>
      <c r="F437" s="24"/>
      <c r="G437" s="26"/>
      <c r="H437" s="24"/>
      <c r="I437" s="24"/>
      <c r="J437" s="24"/>
      <c r="K437" s="24"/>
      <c r="L437" s="26"/>
      <c r="M437" s="26"/>
      <c r="N437" s="22"/>
      <c r="O437" s="21"/>
      <c r="P437" s="22"/>
      <c r="Q437" s="29" t="str">
        <f aca="false">IF(C437="","",IF(O437&lt;&gt;"",O437,IFERROR(INDEX(Produk!$J$2:$J$100,MATCH(C437,Produk!$A$2:$A$100,0)),"PRODUK?")))</f>
        <v/>
      </c>
      <c r="R437" s="29" t="str">
        <f aca="false">IF(A437="","",IF(COUNTIF(Anggota!$A$2:$A$2001,A437)=0,"TIDAK ADA","OK"))</f>
        <v/>
      </c>
      <c r="S437" s="29" t="str">
        <f aca="false">IF(H437="","",IF(OR(J437="",L437=""),"-",IF(ABS(H437-J437*L437)&gt;Info_Koperasi!$C$10,"SELISIH","OK")))</f>
        <v/>
      </c>
    </row>
    <row r="438" customFormat="false" ht="15" hidden="false" customHeight="false" outlineLevel="0" collapsed="false">
      <c r="A438" s="21"/>
      <c r="B438" s="22"/>
      <c r="C438" s="21"/>
      <c r="D438" s="21"/>
      <c r="E438" s="28"/>
      <c r="F438" s="24"/>
      <c r="G438" s="26"/>
      <c r="H438" s="24"/>
      <c r="I438" s="24"/>
      <c r="J438" s="24"/>
      <c r="K438" s="24"/>
      <c r="L438" s="26"/>
      <c r="M438" s="26"/>
      <c r="N438" s="22"/>
      <c r="O438" s="21"/>
      <c r="P438" s="22"/>
      <c r="Q438" s="29" t="str">
        <f aca="false">IF(C438="","",IF(O438&lt;&gt;"",O438,IFERROR(INDEX(Produk!$J$2:$J$100,MATCH(C438,Produk!$A$2:$A$100,0)),"PRODUK?")))</f>
        <v/>
      </c>
      <c r="R438" s="29" t="str">
        <f aca="false">IF(A438="","",IF(COUNTIF(Anggota!$A$2:$A$2001,A438)=0,"TIDAK ADA","OK"))</f>
        <v/>
      </c>
      <c r="S438" s="29" t="str">
        <f aca="false">IF(H438="","",IF(OR(J438="",L438=""),"-",IF(ABS(H438-J438*L438)&gt;Info_Koperasi!$C$10,"SELISIH","OK")))</f>
        <v/>
      </c>
    </row>
    <row r="439" customFormat="false" ht="15" hidden="false" customHeight="false" outlineLevel="0" collapsed="false">
      <c r="A439" s="21"/>
      <c r="B439" s="22"/>
      <c r="C439" s="21"/>
      <c r="D439" s="21"/>
      <c r="E439" s="28"/>
      <c r="F439" s="24"/>
      <c r="G439" s="26"/>
      <c r="H439" s="24"/>
      <c r="I439" s="24"/>
      <c r="J439" s="24"/>
      <c r="K439" s="24"/>
      <c r="L439" s="26"/>
      <c r="M439" s="26"/>
      <c r="N439" s="22"/>
      <c r="O439" s="21"/>
      <c r="P439" s="22"/>
      <c r="Q439" s="29" t="str">
        <f aca="false">IF(C439="","",IF(O439&lt;&gt;"",O439,IFERROR(INDEX(Produk!$J$2:$J$100,MATCH(C439,Produk!$A$2:$A$100,0)),"PRODUK?")))</f>
        <v/>
      </c>
      <c r="R439" s="29" t="str">
        <f aca="false">IF(A439="","",IF(COUNTIF(Anggota!$A$2:$A$2001,A439)=0,"TIDAK ADA","OK"))</f>
        <v/>
      </c>
      <c r="S439" s="29" t="str">
        <f aca="false">IF(H439="","",IF(OR(J439="",L439=""),"-",IF(ABS(H439-J439*L439)&gt;Info_Koperasi!$C$10,"SELISIH","OK")))</f>
        <v/>
      </c>
    </row>
    <row r="440" customFormat="false" ht="15" hidden="false" customHeight="false" outlineLevel="0" collapsed="false">
      <c r="A440" s="21"/>
      <c r="B440" s="22"/>
      <c r="C440" s="21"/>
      <c r="D440" s="21"/>
      <c r="E440" s="28"/>
      <c r="F440" s="24"/>
      <c r="G440" s="26"/>
      <c r="H440" s="24"/>
      <c r="I440" s="24"/>
      <c r="J440" s="24"/>
      <c r="K440" s="24"/>
      <c r="L440" s="26"/>
      <c r="M440" s="26"/>
      <c r="N440" s="22"/>
      <c r="O440" s="21"/>
      <c r="P440" s="22"/>
      <c r="Q440" s="29" t="str">
        <f aca="false">IF(C440="","",IF(O440&lt;&gt;"",O440,IFERROR(INDEX(Produk!$J$2:$J$100,MATCH(C440,Produk!$A$2:$A$100,0)),"PRODUK?")))</f>
        <v/>
      </c>
      <c r="R440" s="29" t="str">
        <f aca="false">IF(A440="","",IF(COUNTIF(Anggota!$A$2:$A$2001,A440)=0,"TIDAK ADA","OK"))</f>
        <v/>
      </c>
      <c r="S440" s="29" t="str">
        <f aca="false">IF(H440="","",IF(OR(J440="",L440=""),"-",IF(ABS(H440-J440*L440)&gt;Info_Koperasi!$C$10,"SELISIH","OK")))</f>
        <v/>
      </c>
    </row>
    <row r="441" customFormat="false" ht="15" hidden="false" customHeight="false" outlineLevel="0" collapsed="false">
      <c r="A441" s="21"/>
      <c r="B441" s="22"/>
      <c r="C441" s="21"/>
      <c r="D441" s="21"/>
      <c r="E441" s="28"/>
      <c r="F441" s="24"/>
      <c r="G441" s="26"/>
      <c r="H441" s="24"/>
      <c r="I441" s="24"/>
      <c r="J441" s="24"/>
      <c r="K441" s="24"/>
      <c r="L441" s="26"/>
      <c r="M441" s="26"/>
      <c r="N441" s="22"/>
      <c r="O441" s="21"/>
      <c r="P441" s="22"/>
      <c r="Q441" s="29" t="str">
        <f aca="false">IF(C441="","",IF(O441&lt;&gt;"",O441,IFERROR(INDEX(Produk!$J$2:$J$100,MATCH(C441,Produk!$A$2:$A$100,0)),"PRODUK?")))</f>
        <v/>
      </c>
      <c r="R441" s="29" t="str">
        <f aca="false">IF(A441="","",IF(COUNTIF(Anggota!$A$2:$A$2001,A441)=0,"TIDAK ADA","OK"))</f>
        <v/>
      </c>
      <c r="S441" s="29" t="str">
        <f aca="false">IF(H441="","",IF(OR(J441="",L441=""),"-",IF(ABS(H441-J441*L441)&gt;Info_Koperasi!$C$10,"SELISIH","OK")))</f>
        <v/>
      </c>
    </row>
    <row r="442" customFormat="false" ht="15" hidden="false" customHeight="false" outlineLevel="0" collapsed="false">
      <c r="A442" s="21"/>
      <c r="B442" s="22"/>
      <c r="C442" s="21"/>
      <c r="D442" s="21"/>
      <c r="E442" s="28"/>
      <c r="F442" s="24"/>
      <c r="G442" s="26"/>
      <c r="H442" s="24"/>
      <c r="I442" s="24"/>
      <c r="J442" s="24"/>
      <c r="K442" s="24"/>
      <c r="L442" s="26"/>
      <c r="M442" s="26"/>
      <c r="N442" s="22"/>
      <c r="O442" s="21"/>
      <c r="P442" s="22"/>
      <c r="Q442" s="29" t="str">
        <f aca="false">IF(C442="","",IF(O442&lt;&gt;"",O442,IFERROR(INDEX(Produk!$J$2:$J$100,MATCH(C442,Produk!$A$2:$A$100,0)),"PRODUK?")))</f>
        <v/>
      </c>
      <c r="R442" s="29" t="str">
        <f aca="false">IF(A442="","",IF(COUNTIF(Anggota!$A$2:$A$2001,A442)=0,"TIDAK ADA","OK"))</f>
        <v/>
      </c>
      <c r="S442" s="29" t="str">
        <f aca="false">IF(H442="","",IF(OR(J442="",L442=""),"-",IF(ABS(H442-J442*L442)&gt;Info_Koperasi!$C$10,"SELISIH","OK")))</f>
        <v/>
      </c>
    </row>
    <row r="443" customFormat="false" ht="15" hidden="false" customHeight="false" outlineLevel="0" collapsed="false">
      <c r="A443" s="21"/>
      <c r="B443" s="22"/>
      <c r="C443" s="21"/>
      <c r="D443" s="21"/>
      <c r="E443" s="28"/>
      <c r="F443" s="24"/>
      <c r="G443" s="26"/>
      <c r="H443" s="24"/>
      <c r="I443" s="24"/>
      <c r="J443" s="24"/>
      <c r="K443" s="24"/>
      <c r="L443" s="26"/>
      <c r="M443" s="26"/>
      <c r="N443" s="22"/>
      <c r="O443" s="21"/>
      <c r="P443" s="22"/>
      <c r="Q443" s="29" t="str">
        <f aca="false">IF(C443="","",IF(O443&lt;&gt;"",O443,IFERROR(INDEX(Produk!$J$2:$J$100,MATCH(C443,Produk!$A$2:$A$100,0)),"PRODUK?")))</f>
        <v/>
      </c>
      <c r="R443" s="29" t="str">
        <f aca="false">IF(A443="","",IF(COUNTIF(Anggota!$A$2:$A$2001,A443)=0,"TIDAK ADA","OK"))</f>
        <v/>
      </c>
      <c r="S443" s="29" t="str">
        <f aca="false">IF(H443="","",IF(OR(J443="",L443=""),"-",IF(ABS(H443-J443*L443)&gt;Info_Koperasi!$C$10,"SELISIH","OK")))</f>
        <v/>
      </c>
    </row>
    <row r="444" customFormat="false" ht="15" hidden="false" customHeight="false" outlineLevel="0" collapsed="false">
      <c r="A444" s="21"/>
      <c r="B444" s="22"/>
      <c r="C444" s="21"/>
      <c r="D444" s="21"/>
      <c r="E444" s="28"/>
      <c r="F444" s="24"/>
      <c r="G444" s="26"/>
      <c r="H444" s="24"/>
      <c r="I444" s="24"/>
      <c r="J444" s="24"/>
      <c r="K444" s="24"/>
      <c r="L444" s="26"/>
      <c r="M444" s="26"/>
      <c r="N444" s="22"/>
      <c r="O444" s="21"/>
      <c r="P444" s="22"/>
      <c r="Q444" s="29" t="str">
        <f aca="false">IF(C444="","",IF(O444&lt;&gt;"",O444,IFERROR(INDEX(Produk!$J$2:$J$100,MATCH(C444,Produk!$A$2:$A$100,0)),"PRODUK?")))</f>
        <v/>
      </c>
      <c r="R444" s="29" t="str">
        <f aca="false">IF(A444="","",IF(COUNTIF(Anggota!$A$2:$A$2001,A444)=0,"TIDAK ADA","OK"))</f>
        <v/>
      </c>
      <c r="S444" s="29" t="str">
        <f aca="false">IF(H444="","",IF(OR(J444="",L444=""),"-",IF(ABS(H444-J444*L444)&gt;Info_Koperasi!$C$10,"SELISIH","OK")))</f>
        <v/>
      </c>
    </row>
    <row r="445" customFormat="false" ht="15" hidden="false" customHeight="false" outlineLevel="0" collapsed="false">
      <c r="A445" s="21"/>
      <c r="B445" s="22"/>
      <c r="C445" s="21"/>
      <c r="D445" s="21"/>
      <c r="E445" s="28"/>
      <c r="F445" s="24"/>
      <c r="G445" s="26"/>
      <c r="H445" s="24"/>
      <c r="I445" s="24"/>
      <c r="J445" s="24"/>
      <c r="K445" s="24"/>
      <c r="L445" s="26"/>
      <c r="M445" s="26"/>
      <c r="N445" s="22"/>
      <c r="O445" s="21"/>
      <c r="P445" s="22"/>
      <c r="Q445" s="29" t="str">
        <f aca="false">IF(C445="","",IF(O445&lt;&gt;"",O445,IFERROR(INDEX(Produk!$J$2:$J$100,MATCH(C445,Produk!$A$2:$A$100,0)),"PRODUK?")))</f>
        <v/>
      </c>
      <c r="R445" s="29" t="str">
        <f aca="false">IF(A445="","",IF(COUNTIF(Anggota!$A$2:$A$2001,A445)=0,"TIDAK ADA","OK"))</f>
        <v/>
      </c>
      <c r="S445" s="29" t="str">
        <f aca="false">IF(H445="","",IF(OR(J445="",L445=""),"-",IF(ABS(H445-J445*L445)&gt;Info_Koperasi!$C$10,"SELISIH","OK")))</f>
        <v/>
      </c>
    </row>
    <row r="446" customFormat="false" ht="15" hidden="false" customHeight="false" outlineLevel="0" collapsed="false">
      <c r="A446" s="21"/>
      <c r="B446" s="22"/>
      <c r="C446" s="21"/>
      <c r="D446" s="21"/>
      <c r="E446" s="28"/>
      <c r="F446" s="24"/>
      <c r="G446" s="26"/>
      <c r="H446" s="24"/>
      <c r="I446" s="24"/>
      <c r="J446" s="24"/>
      <c r="K446" s="24"/>
      <c r="L446" s="26"/>
      <c r="M446" s="26"/>
      <c r="N446" s="22"/>
      <c r="O446" s="21"/>
      <c r="P446" s="22"/>
      <c r="Q446" s="29" t="str">
        <f aca="false">IF(C446="","",IF(O446&lt;&gt;"",O446,IFERROR(INDEX(Produk!$J$2:$J$100,MATCH(C446,Produk!$A$2:$A$100,0)),"PRODUK?")))</f>
        <v/>
      </c>
      <c r="R446" s="29" t="str">
        <f aca="false">IF(A446="","",IF(COUNTIF(Anggota!$A$2:$A$2001,A446)=0,"TIDAK ADA","OK"))</f>
        <v/>
      </c>
      <c r="S446" s="29" t="str">
        <f aca="false">IF(H446="","",IF(OR(J446="",L446=""),"-",IF(ABS(H446-J446*L446)&gt;Info_Koperasi!$C$10,"SELISIH","OK")))</f>
        <v/>
      </c>
    </row>
    <row r="447" customFormat="false" ht="15" hidden="false" customHeight="false" outlineLevel="0" collapsed="false">
      <c r="A447" s="21"/>
      <c r="B447" s="22"/>
      <c r="C447" s="21"/>
      <c r="D447" s="21"/>
      <c r="E447" s="28"/>
      <c r="F447" s="24"/>
      <c r="G447" s="26"/>
      <c r="H447" s="24"/>
      <c r="I447" s="24"/>
      <c r="J447" s="24"/>
      <c r="K447" s="24"/>
      <c r="L447" s="26"/>
      <c r="M447" s="26"/>
      <c r="N447" s="22"/>
      <c r="O447" s="21"/>
      <c r="P447" s="22"/>
      <c r="Q447" s="29" t="str">
        <f aca="false">IF(C447="","",IF(O447&lt;&gt;"",O447,IFERROR(INDEX(Produk!$J$2:$J$100,MATCH(C447,Produk!$A$2:$A$100,0)),"PRODUK?")))</f>
        <v/>
      </c>
      <c r="R447" s="29" t="str">
        <f aca="false">IF(A447="","",IF(COUNTIF(Anggota!$A$2:$A$2001,A447)=0,"TIDAK ADA","OK"))</f>
        <v/>
      </c>
      <c r="S447" s="29" t="str">
        <f aca="false">IF(H447="","",IF(OR(J447="",L447=""),"-",IF(ABS(H447-J447*L447)&gt;Info_Koperasi!$C$10,"SELISIH","OK")))</f>
        <v/>
      </c>
    </row>
    <row r="448" customFormat="false" ht="15" hidden="false" customHeight="false" outlineLevel="0" collapsed="false">
      <c r="A448" s="21"/>
      <c r="B448" s="22"/>
      <c r="C448" s="21"/>
      <c r="D448" s="21"/>
      <c r="E448" s="28"/>
      <c r="F448" s="24"/>
      <c r="G448" s="26"/>
      <c r="H448" s="24"/>
      <c r="I448" s="24"/>
      <c r="J448" s="24"/>
      <c r="K448" s="24"/>
      <c r="L448" s="26"/>
      <c r="M448" s="26"/>
      <c r="N448" s="22"/>
      <c r="O448" s="21"/>
      <c r="P448" s="22"/>
      <c r="Q448" s="29" t="str">
        <f aca="false">IF(C448="","",IF(O448&lt;&gt;"",O448,IFERROR(INDEX(Produk!$J$2:$J$100,MATCH(C448,Produk!$A$2:$A$100,0)),"PRODUK?")))</f>
        <v/>
      </c>
      <c r="R448" s="29" t="str">
        <f aca="false">IF(A448="","",IF(COUNTIF(Anggota!$A$2:$A$2001,A448)=0,"TIDAK ADA","OK"))</f>
        <v/>
      </c>
      <c r="S448" s="29" t="str">
        <f aca="false">IF(H448="","",IF(OR(J448="",L448=""),"-",IF(ABS(H448-J448*L448)&gt;Info_Koperasi!$C$10,"SELISIH","OK")))</f>
        <v/>
      </c>
    </row>
    <row r="449" customFormat="false" ht="15" hidden="false" customHeight="false" outlineLevel="0" collapsed="false">
      <c r="A449" s="21"/>
      <c r="B449" s="22"/>
      <c r="C449" s="21"/>
      <c r="D449" s="21"/>
      <c r="E449" s="28"/>
      <c r="F449" s="24"/>
      <c r="G449" s="26"/>
      <c r="H449" s="24"/>
      <c r="I449" s="24"/>
      <c r="J449" s="24"/>
      <c r="K449" s="24"/>
      <c r="L449" s="26"/>
      <c r="M449" s="26"/>
      <c r="N449" s="22"/>
      <c r="O449" s="21"/>
      <c r="P449" s="22"/>
      <c r="Q449" s="29" t="str">
        <f aca="false">IF(C449="","",IF(O449&lt;&gt;"",O449,IFERROR(INDEX(Produk!$J$2:$J$100,MATCH(C449,Produk!$A$2:$A$100,0)),"PRODUK?")))</f>
        <v/>
      </c>
      <c r="R449" s="29" t="str">
        <f aca="false">IF(A449="","",IF(COUNTIF(Anggota!$A$2:$A$2001,A449)=0,"TIDAK ADA","OK"))</f>
        <v/>
      </c>
      <c r="S449" s="29" t="str">
        <f aca="false">IF(H449="","",IF(OR(J449="",L449=""),"-",IF(ABS(H449-J449*L449)&gt;Info_Koperasi!$C$10,"SELISIH","OK")))</f>
        <v/>
      </c>
    </row>
    <row r="450" customFormat="false" ht="15" hidden="false" customHeight="false" outlineLevel="0" collapsed="false">
      <c r="A450" s="21"/>
      <c r="B450" s="22"/>
      <c r="C450" s="21"/>
      <c r="D450" s="21"/>
      <c r="E450" s="28"/>
      <c r="F450" s="24"/>
      <c r="G450" s="26"/>
      <c r="H450" s="24"/>
      <c r="I450" s="24"/>
      <c r="J450" s="24"/>
      <c r="K450" s="24"/>
      <c r="L450" s="26"/>
      <c r="M450" s="26"/>
      <c r="N450" s="22"/>
      <c r="O450" s="21"/>
      <c r="P450" s="22"/>
      <c r="Q450" s="29" t="str">
        <f aca="false">IF(C450="","",IF(O450&lt;&gt;"",O450,IFERROR(INDEX(Produk!$J$2:$J$100,MATCH(C450,Produk!$A$2:$A$100,0)),"PRODUK?")))</f>
        <v/>
      </c>
      <c r="R450" s="29" t="str">
        <f aca="false">IF(A450="","",IF(COUNTIF(Anggota!$A$2:$A$2001,A450)=0,"TIDAK ADA","OK"))</f>
        <v/>
      </c>
      <c r="S450" s="29" t="str">
        <f aca="false">IF(H450="","",IF(OR(J450="",L450=""),"-",IF(ABS(H450-J450*L450)&gt;Info_Koperasi!$C$10,"SELISIH","OK")))</f>
        <v/>
      </c>
    </row>
    <row r="451" customFormat="false" ht="15" hidden="false" customHeight="false" outlineLevel="0" collapsed="false">
      <c r="A451" s="21"/>
      <c r="B451" s="22"/>
      <c r="C451" s="21"/>
      <c r="D451" s="21"/>
      <c r="E451" s="28"/>
      <c r="F451" s="24"/>
      <c r="G451" s="26"/>
      <c r="H451" s="24"/>
      <c r="I451" s="24"/>
      <c r="J451" s="24"/>
      <c r="K451" s="24"/>
      <c r="L451" s="26"/>
      <c r="M451" s="26"/>
      <c r="N451" s="22"/>
      <c r="O451" s="21"/>
      <c r="P451" s="22"/>
      <c r="Q451" s="29" t="str">
        <f aca="false">IF(C451="","",IF(O451&lt;&gt;"",O451,IFERROR(INDEX(Produk!$J$2:$J$100,MATCH(C451,Produk!$A$2:$A$100,0)),"PRODUK?")))</f>
        <v/>
      </c>
      <c r="R451" s="29" t="str">
        <f aca="false">IF(A451="","",IF(COUNTIF(Anggota!$A$2:$A$2001,A451)=0,"TIDAK ADA","OK"))</f>
        <v/>
      </c>
      <c r="S451" s="29" t="str">
        <f aca="false">IF(H451="","",IF(OR(J451="",L451=""),"-",IF(ABS(H451-J451*L451)&gt;Info_Koperasi!$C$10,"SELISIH","OK")))</f>
        <v/>
      </c>
    </row>
    <row r="452" customFormat="false" ht="15" hidden="false" customHeight="false" outlineLevel="0" collapsed="false">
      <c r="A452" s="21"/>
      <c r="B452" s="22"/>
      <c r="C452" s="21"/>
      <c r="D452" s="21"/>
      <c r="E452" s="28"/>
      <c r="F452" s="24"/>
      <c r="G452" s="26"/>
      <c r="H452" s="24"/>
      <c r="I452" s="24"/>
      <c r="J452" s="24"/>
      <c r="K452" s="24"/>
      <c r="L452" s="26"/>
      <c r="M452" s="26"/>
      <c r="N452" s="22"/>
      <c r="O452" s="21"/>
      <c r="P452" s="22"/>
      <c r="Q452" s="29" t="str">
        <f aca="false">IF(C452="","",IF(O452&lt;&gt;"",O452,IFERROR(INDEX(Produk!$J$2:$J$100,MATCH(C452,Produk!$A$2:$A$100,0)),"PRODUK?")))</f>
        <v/>
      </c>
      <c r="R452" s="29" t="str">
        <f aca="false">IF(A452="","",IF(COUNTIF(Anggota!$A$2:$A$2001,A452)=0,"TIDAK ADA","OK"))</f>
        <v/>
      </c>
      <c r="S452" s="29" t="str">
        <f aca="false">IF(H452="","",IF(OR(J452="",L452=""),"-",IF(ABS(H452-J452*L452)&gt;Info_Koperasi!$C$10,"SELISIH","OK")))</f>
        <v/>
      </c>
    </row>
    <row r="453" customFormat="false" ht="15" hidden="false" customHeight="false" outlineLevel="0" collapsed="false">
      <c r="A453" s="21"/>
      <c r="B453" s="22"/>
      <c r="C453" s="21"/>
      <c r="D453" s="21"/>
      <c r="E453" s="28"/>
      <c r="F453" s="24"/>
      <c r="G453" s="26"/>
      <c r="H453" s="24"/>
      <c r="I453" s="24"/>
      <c r="J453" s="24"/>
      <c r="K453" s="24"/>
      <c r="L453" s="26"/>
      <c r="M453" s="26"/>
      <c r="N453" s="22"/>
      <c r="O453" s="21"/>
      <c r="P453" s="22"/>
      <c r="Q453" s="29" t="str">
        <f aca="false">IF(C453="","",IF(O453&lt;&gt;"",O453,IFERROR(INDEX(Produk!$J$2:$J$100,MATCH(C453,Produk!$A$2:$A$100,0)),"PRODUK?")))</f>
        <v/>
      </c>
      <c r="R453" s="29" t="str">
        <f aca="false">IF(A453="","",IF(COUNTIF(Anggota!$A$2:$A$2001,A453)=0,"TIDAK ADA","OK"))</f>
        <v/>
      </c>
      <c r="S453" s="29" t="str">
        <f aca="false">IF(H453="","",IF(OR(J453="",L453=""),"-",IF(ABS(H453-J453*L453)&gt;Info_Koperasi!$C$10,"SELISIH","OK")))</f>
        <v/>
      </c>
    </row>
    <row r="454" customFormat="false" ht="15" hidden="false" customHeight="false" outlineLevel="0" collapsed="false">
      <c r="A454" s="21"/>
      <c r="B454" s="22"/>
      <c r="C454" s="21"/>
      <c r="D454" s="21"/>
      <c r="E454" s="28"/>
      <c r="F454" s="24"/>
      <c r="G454" s="26"/>
      <c r="H454" s="24"/>
      <c r="I454" s="24"/>
      <c r="J454" s="24"/>
      <c r="K454" s="24"/>
      <c r="L454" s="26"/>
      <c r="M454" s="26"/>
      <c r="N454" s="22"/>
      <c r="O454" s="21"/>
      <c r="P454" s="22"/>
      <c r="Q454" s="29" t="str">
        <f aca="false">IF(C454="","",IF(O454&lt;&gt;"",O454,IFERROR(INDEX(Produk!$J$2:$J$100,MATCH(C454,Produk!$A$2:$A$100,0)),"PRODUK?")))</f>
        <v/>
      </c>
      <c r="R454" s="29" t="str">
        <f aca="false">IF(A454="","",IF(COUNTIF(Anggota!$A$2:$A$2001,A454)=0,"TIDAK ADA","OK"))</f>
        <v/>
      </c>
      <c r="S454" s="29" t="str">
        <f aca="false">IF(H454="","",IF(OR(J454="",L454=""),"-",IF(ABS(H454-J454*L454)&gt;Info_Koperasi!$C$10,"SELISIH","OK")))</f>
        <v/>
      </c>
    </row>
    <row r="455" customFormat="false" ht="15" hidden="false" customHeight="false" outlineLevel="0" collapsed="false">
      <c r="A455" s="21"/>
      <c r="B455" s="22"/>
      <c r="C455" s="21"/>
      <c r="D455" s="21"/>
      <c r="E455" s="28"/>
      <c r="F455" s="24"/>
      <c r="G455" s="26"/>
      <c r="H455" s="24"/>
      <c r="I455" s="24"/>
      <c r="J455" s="24"/>
      <c r="K455" s="24"/>
      <c r="L455" s="26"/>
      <c r="M455" s="26"/>
      <c r="N455" s="22"/>
      <c r="O455" s="21"/>
      <c r="P455" s="22"/>
      <c r="Q455" s="29" t="str">
        <f aca="false">IF(C455="","",IF(O455&lt;&gt;"",O455,IFERROR(INDEX(Produk!$J$2:$J$100,MATCH(C455,Produk!$A$2:$A$100,0)),"PRODUK?")))</f>
        <v/>
      </c>
      <c r="R455" s="29" t="str">
        <f aca="false">IF(A455="","",IF(COUNTIF(Anggota!$A$2:$A$2001,A455)=0,"TIDAK ADA","OK"))</f>
        <v/>
      </c>
      <c r="S455" s="29" t="str">
        <f aca="false">IF(H455="","",IF(OR(J455="",L455=""),"-",IF(ABS(H455-J455*L455)&gt;Info_Koperasi!$C$10,"SELISIH","OK")))</f>
        <v/>
      </c>
    </row>
    <row r="456" customFormat="false" ht="15" hidden="false" customHeight="false" outlineLevel="0" collapsed="false">
      <c r="A456" s="21"/>
      <c r="B456" s="22"/>
      <c r="C456" s="21"/>
      <c r="D456" s="21"/>
      <c r="E456" s="28"/>
      <c r="F456" s="24"/>
      <c r="G456" s="26"/>
      <c r="H456" s="24"/>
      <c r="I456" s="24"/>
      <c r="J456" s="24"/>
      <c r="K456" s="24"/>
      <c r="L456" s="26"/>
      <c r="M456" s="26"/>
      <c r="N456" s="22"/>
      <c r="O456" s="21"/>
      <c r="P456" s="22"/>
      <c r="Q456" s="29" t="str">
        <f aca="false">IF(C456="","",IF(O456&lt;&gt;"",O456,IFERROR(INDEX(Produk!$J$2:$J$100,MATCH(C456,Produk!$A$2:$A$100,0)),"PRODUK?")))</f>
        <v/>
      </c>
      <c r="R456" s="29" t="str">
        <f aca="false">IF(A456="","",IF(COUNTIF(Anggota!$A$2:$A$2001,A456)=0,"TIDAK ADA","OK"))</f>
        <v/>
      </c>
      <c r="S456" s="29" t="str">
        <f aca="false">IF(H456="","",IF(OR(J456="",L456=""),"-",IF(ABS(H456-J456*L456)&gt;Info_Koperasi!$C$10,"SELISIH","OK")))</f>
        <v/>
      </c>
    </row>
    <row r="457" customFormat="false" ht="15" hidden="false" customHeight="false" outlineLevel="0" collapsed="false">
      <c r="A457" s="21"/>
      <c r="B457" s="22"/>
      <c r="C457" s="21"/>
      <c r="D457" s="21"/>
      <c r="E457" s="28"/>
      <c r="F457" s="24"/>
      <c r="G457" s="26"/>
      <c r="H457" s="24"/>
      <c r="I457" s="24"/>
      <c r="J457" s="24"/>
      <c r="K457" s="24"/>
      <c r="L457" s="26"/>
      <c r="M457" s="26"/>
      <c r="N457" s="22"/>
      <c r="O457" s="21"/>
      <c r="P457" s="22"/>
      <c r="Q457" s="29" t="str">
        <f aca="false">IF(C457="","",IF(O457&lt;&gt;"",O457,IFERROR(INDEX(Produk!$J$2:$J$100,MATCH(C457,Produk!$A$2:$A$100,0)),"PRODUK?")))</f>
        <v/>
      </c>
      <c r="R457" s="29" t="str">
        <f aca="false">IF(A457="","",IF(COUNTIF(Anggota!$A$2:$A$2001,A457)=0,"TIDAK ADA","OK"))</f>
        <v/>
      </c>
      <c r="S457" s="29" t="str">
        <f aca="false">IF(H457="","",IF(OR(J457="",L457=""),"-",IF(ABS(H457-J457*L457)&gt;Info_Koperasi!$C$10,"SELISIH","OK")))</f>
        <v/>
      </c>
    </row>
    <row r="458" customFormat="false" ht="15" hidden="false" customHeight="false" outlineLevel="0" collapsed="false">
      <c r="A458" s="21"/>
      <c r="B458" s="22"/>
      <c r="C458" s="21"/>
      <c r="D458" s="21"/>
      <c r="E458" s="28"/>
      <c r="F458" s="24"/>
      <c r="G458" s="26"/>
      <c r="H458" s="24"/>
      <c r="I458" s="24"/>
      <c r="J458" s="24"/>
      <c r="K458" s="24"/>
      <c r="L458" s="26"/>
      <c r="M458" s="26"/>
      <c r="N458" s="22"/>
      <c r="O458" s="21"/>
      <c r="P458" s="22"/>
      <c r="Q458" s="29" t="str">
        <f aca="false">IF(C458="","",IF(O458&lt;&gt;"",O458,IFERROR(INDEX(Produk!$J$2:$J$100,MATCH(C458,Produk!$A$2:$A$100,0)),"PRODUK?")))</f>
        <v/>
      </c>
      <c r="R458" s="29" t="str">
        <f aca="false">IF(A458="","",IF(COUNTIF(Anggota!$A$2:$A$2001,A458)=0,"TIDAK ADA","OK"))</f>
        <v/>
      </c>
      <c r="S458" s="29" t="str">
        <f aca="false">IF(H458="","",IF(OR(J458="",L458=""),"-",IF(ABS(H458-J458*L458)&gt;Info_Koperasi!$C$10,"SELISIH","OK")))</f>
        <v/>
      </c>
    </row>
    <row r="459" customFormat="false" ht="15" hidden="false" customHeight="false" outlineLevel="0" collapsed="false">
      <c r="A459" s="21"/>
      <c r="B459" s="22"/>
      <c r="C459" s="21"/>
      <c r="D459" s="21"/>
      <c r="E459" s="28"/>
      <c r="F459" s="24"/>
      <c r="G459" s="26"/>
      <c r="H459" s="24"/>
      <c r="I459" s="24"/>
      <c r="J459" s="24"/>
      <c r="K459" s="24"/>
      <c r="L459" s="26"/>
      <c r="M459" s="26"/>
      <c r="N459" s="22"/>
      <c r="O459" s="21"/>
      <c r="P459" s="22"/>
      <c r="Q459" s="29" t="str">
        <f aca="false">IF(C459="","",IF(O459&lt;&gt;"",O459,IFERROR(INDEX(Produk!$J$2:$J$100,MATCH(C459,Produk!$A$2:$A$100,0)),"PRODUK?")))</f>
        <v/>
      </c>
      <c r="R459" s="29" t="str">
        <f aca="false">IF(A459="","",IF(COUNTIF(Anggota!$A$2:$A$2001,A459)=0,"TIDAK ADA","OK"))</f>
        <v/>
      </c>
      <c r="S459" s="29" t="str">
        <f aca="false">IF(H459="","",IF(OR(J459="",L459=""),"-",IF(ABS(H459-J459*L459)&gt;Info_Koperasi!$C$10,"SELISIH","OK")))</f>
        <v/>
      </c>
    </row>
    <row r="460" customFormat="false" ht="15" hidden="false" customHeight="false" outlineLevel="0" collapsed="false">
      <c r="A460" s="21"/>
      <c r="B460" s="22"/>
      <c r="C460" s="21"/>
      <c r="D460" s="21"/>
      <c r="E460" s="28"/>
      <c r="F460" s="24"/>
      <c r="G460" s="26"/>
      <c r="H460" s="24"/>
      <c r="I460" s="24"/>
      <c r="J460" s="24"/>
      <c r="K460" s="24"/>
      <c r="L460" s="26"/>
      <c r="M460" s="26"/>
      <c r="N460" s="22"/>
      <c r="O460" s="21"/>
      <c r="P460" s="22"/>
      <c r="Q460" s="29" t="str">
        <f aca="false">IF(C460="","",IF(O460&lt;&gt;"",O460,IFERROR(INDEX(Produk!$J$2:$J$100,MATCH(C460,Produk!$A$2:$A$100,0)),"PRODUK?")))</f>
        <v/>
      </c>
      <c r="R460" s="29" t="str">
        <f aca="false">IF(A460="","",IF(COUNTIF(Anggota!$A$2:$A$2001,A460)=0,"TIDAK ADA","OK"))</f>
        <v/>
      </c>
      <c r="S460" s="29" t="str">
        <f aca="false">IF(H460="","",IF(OR(J460="",L460=""),"-",IF(ABS(H460-J460*L460)&gt;Info_Koperasi!$C$10,"SELISIH","OK")))</f>
        <v/>
      </c>
    </row>
    <row r="461" customFormat="false" ht="15" hidden="false" customHeight="false" outlineLevel="0" collapsed="false">
      <c r="A461" s="21"/>
      <c r="B461" s="22"/>
      <c r="C461" s="21"/>
      <c r="D461" s="21"/>
      <c r="E461" s="28"/>
      <c r="F461" s="24"/>
      <c r="G461" s="26"/>
      <c r="H461" s="24"/>
      <c r="I461" s="24"/>
      <c r="J461" s="24"/>
      <c r="K461" s="24"/>
      <c r="L461" s="26"/>
      <c r="M461" s="26"/>
      <c r="N461" s="22"/>
      <c r="O461" s="21"/>
      <c r="P461" s="22"/>
      <c r="Q461" s="29" t="str">
        <f aca="false">IF(C461="","",IF(O461&lt;&gt;"",O461,IFERROR(INDEX(Produk!$J$2:$J$100,MATCH(C461,Produk!$A$2:$A$100,0)),"PRODUK?")))</f>
        <v/>
      </c>
      <c r="R461" s="29" t="str">
        <f aca="false">IF(A461="","",IF(COUNTIF(Anggota!$A$2:$A$2001,A461)=0,"TIDAK ADA","OK"))</f>
        <v/>
      </c>
      <c r="S461" s="29" t="str">
        <f aca="false">IF(H461="","",IF(OR(J461="",L461=""),"-",IF(ABS(H461-J461*L461)&gt;Info_Koperasi!$C$10,"SELISIH","OK")))</f>
        <v/>
      </c>
    </row>
    <row r="462" customFormat="false" ht="15" hidden="false" customHeight="false" outlineLevel="0" collapsed="false">
      <c r="A462" s="21"/>
      <c r="B462" s="22"/>
      <c r="C462" s="21"/>
      <c r="D462" s="21"/>
      <c r="E462" s="28"/>
      <c r="F462" s="24"/>
      <c r="G462" s="26"/>
      <c r="H462" s="24"/>
      <c r="I462" s="24"/>
      <c r="J462" s="24"/>
      <c r="K462" s="24"/>
      <c r="L462" s="26"/>
      <c r="M462" s="26"/>
      <c r="N462" s="22"/>
      <c r="O462" s="21"/>
      <c r="P462" s="22"/>
      <c r="Q462" s="29" t="str">
        <f aca="false">IF(C462="","",IF(O462&lt;&gt;"",O462,IFERROR(INDEX(Produk!$J$2:$J$100,MATCH(C462,Produk!$A$2:$A$100,0)),"PRODUK?")))</f>
        <v/>
      </c>
      <c r="R462" s="29" t="str">
        <f aca="false">IF(A462="","",IF(COUNTIF(Anggota!$A$2:$A$2001,A462)=0,"TIDAK ADA","OK"))</f>
        <v/>
      </c>
      <c r="S462" s="29" t="str">
        <f aca="false">IF(H462="","",IF(OR(J462="",L462=""),"-",IF(ABS(H462-J462*L462)&gt;Info_Koperasi!$C$10,"SELISIH","OK")))</f>
        <v/>
      </c>
    </row>
    <row r="463" customFormat="false" ht="15" hidden="false" customHeight="false" outlineLevel="0" collapsed="false">
      <c r="A463" s="21"/>
      <c r="B463" s="22"/>
      <c r="C463" s="21"/>
      <c r="D463" s="21"/>
      <c r="E463" s="28"/>
      <c r="F463" s="24"/>
      <c r="G463" s="26"/>
      <c r="H463" s="24"/>
      <c r="I463" s="24"/>
      <c r="J463" s="24"/>
      <c r="K463" s="24"/>
      <c r="L463" s="26"/>
      <c r="M463" s="26"/>
      <c r="N463" s="22"/>
      <c r="O463" s="21"/>
      <c r="P463" s="22"/>
      <c r="Q463" s="29" t="str">
        <f aca="false">IF(C463="","",IF(O463&lt;&gt;"",O463,IFERROR(INDEX(Produk!$J$2:$J$100,MATCH(C463,Produk!$A$2:$A$100,0)),"PRODUK?")))</f>
        <v/>
      </c>
      <c r="R463" s="29" t="str">
        <f aca="false">IF(A463="","",IF(COUNTIF(Anggota!$A$2:$A$2001,A463)=0,"TIDAK ADA","OK"))</f>
        <v/>
      </c>
      <c r="S463" s="29" t="str">
        <f aca="false">IF(H463="","",IF(OR(J463="",L463=""),"-",IF(ABS(H463-J463*L463)&gt;Info_Koperasi!$C$10,"SELISIH","OK")))</f>
        <v/>
      </c>
    </row>
    <row r="464" customFormat="false" ht="15" hidden="false" customHeight="false" outlineLevel="0" collapsed="false">
      <c r="A464" s="21"/>
      <c r="B464" s="22"/>
      <c r="C464" s="21"/>
      <c r="D464" s="21"/>
      <c r="E464" s="28"/>
      <c r="F464" s="24"/>
      <c r="G464" s="26"/>
      <c r="H464" s="24"/>
      <c r="I464" s="24"/>
      <c r="J464" s="24"/>
      <c r="K464" s="24"/>
      <c r="L464" s="26"/>
      <c r="M464" s="26"/>
      <c r="N464" s="22"/>
      <c r="O464" s="21"/>
      <c r="P464" s="22"/>
      <c r="Q464" s="29" t="str">
        <f aca="false">IF(C464="","",IF(O464&lt;&gt;"",O464,IFERROR(INDEX(Produk!$J$2:$J$100,MATCH(C464,Produk!$A$2:$A$100,0)),"PRODUK?")))</f>
        <v/>
      </c>
      <c r="R464" s="29" t="str">
        <f aca="false">IF(A464="","",IF(COUNTIF(Anggota!$A$2:$A$2001,A464)=0,"TIDAK ADA","OK"))</f>
        <v/>
      </c>
      <c r="S464" s="29" t="str">
        <f aca="false">IF(H464="","",IF(OR(J464="",L464=""),"-",IF(ABS(H464-J464*L464)&gt;Info_Koperasi!$C$10,"SELISIH","OK")))</f>
        <v/>
      </c>
    </row>
    <row r="465" customFormat="false" ht="15" hidden="false" customHeight="false" outlineLevel="0" collapsed="false">
      <c r="A465" s="21"/>
      <c r="B465" s="22"/>
      <c r="C465" s="21"/>
      <c r="D465" s="21"/>
      <c r="E465" s="28"/>
      <c r="F465" s="24"/>
      <c r="G465" s="26"/>
      <c r="H465" s="24"/>
      <c r="I465" s="24"/>
      <c r="J465" s="24"/>
      <c r="K465" s="24"/>
      <c r="L465" s="26"/>
      <c r="M465" s="26"/>
      <c r="N465" s="22"/>
      <c r="O465" s="21"/>
      <c r="P465" s="22"/>
      <c r="Q465" s="29" t="str">
        <f aca="false">IF(C465="","",IF(O465&lt;&gt;"",O465,IFERROR(INDEX(Produk!$J$2:$J$100,MATCH(C465,Produk!$A$2:$A$100,0)),"PRODUK?")))</f>
        <v/>
      </c>
      <c r="R465" s="29" t="str">
        <f aca="false">IF(A465="","",IF(COUNTIF(Anggota!$A$2:$A$2001,A465)=0,"TIDAK ADA","OK"))</f>
        <v/>
      </c>
      <c r="S465" s="29" t="str">
        <f aca="false">IF(H465="","",IF(OR(J465="",L465=""),"-",IF(ABS(H465-J465*L465)&gt;Info_Koperasi!$C$10,"SELISIH","OK")))</f>
        <v/>
      </c>
    </row>
    <row r="466" customFormat="false" ht="15" hidden="false" customHeight="false" outlineLevel="0" collapsed="false">
      <c r="A466" s="21"/>
      <c r="B466" s="22"/>
      <c r="C466" s="21"/>
      <c r="D466" s="21"/>
      <c r="E466" s="28"/>
      <c r="F466" s="24"/>
      <c r="G466" s="26"/>
      <c r="H466" s="24"/>
      <c r="I466" s="24"/>
      <c r="J466" s="24"/>
      <c r="K466" s="24"/>
      <c r="L466" s="26"/>
      <c r="M466" s="26"/>
      <c r="N466" s="22"/>
      <c r="O466" s="21"/>
      <c r="P466" s="22"/>
      <c r="Q466" s="29" t="str">
        <f aca="false">IF(C466="","",IF(O466&lt;&gt;"",O466,IFERROR(INDEX(Produk!$J$2:$J$100,MATCH(C466,Produk!$A$2:$A$100,0)),"PRODUK?")))</f>
        <v/>
      </c>
      <c r="R466" s="29" t="str">
        <f aca="false">IF(A466="","",IF(COUNTIF(Anggota!$A$2:$A$2001,A466)=0,"TIDAK ADA","OK"))</f>
        <v/>
      </c>
      <c r="S466" s="29" t="str">
        <f aca="false">IF(H466="","",IF(OR(J466="",L466=""),"-",IF(ABS(H466-J466*L466)&gt;Info_Koperasi!$C$10,"SELISIH","OK")))</f>
        <v/>
      </c>
    </row>
    <row r="467" customFormat="false" ht="15" hidden="false" customHeight="false" outlineLevel="0" collapsed="false">
      <c r="A467" s="21"/>
      <c r="B467" s="22"/>
      <c r="C467" s="21"/>
      <c r="D467" s="21"/>
      <c r="E467" s="28"/>
      <c r="F467" s="24"/>
      <c r="G467" s="26"/>
      <c r="H467" s="24"/>
      <c r="I467" s="24"/>
      <c r="J467" s="24"/>
      <c r="K467" s="24"/>
      <c r="L467" s="26"/>
      <c r="M467" s="26"/>
      <c r="N467" s="22"/>
      <c r="O467" s="21"/>
      <c r="P467" s="22"/>
      <c r="Q467" s="29" t="str">
        <f aca="false">IF(C467="","",IF(O467&lt;&gt;"",O467,IFERROR(INDEX(Produk!$J$2:$J$100,MATCH(C467,Produk!$A$2:$A$100,0)),"PRODUK?")))</f>
        <v/>
      </c>
      <c r="R467" s="29" t="str">
        <f aca="false">IF(A467="","",IF(COUNTIF(Anggota!$A$2:$A$2001,A467)=0,"TIDAK ADA","OK"))</f>
        <v/>
      </c>
      <c r="S467" s="29" t="str">
        <f aca="false">IF(H467="","",IF(OR(J467="",L467=""),"-",IF(ABS(H467-J467*L467)&gt;Info_Koperasi!$C$10,"SELISIH","OK")))</f>
        <v/>
      </c>
    </row>
    <row r="468" customFormat="false" ht="15" hidden="false" customHeight="false" outlineLevel="0" collapsed="false">
      <c r="A468" s="21"/>
      <c r="B468" s="22"/>
      <c r="C468" s="21"/>
      <c r="D468" s="21"/>
      <c r="E468" s="28"/>
      <c r="F468" s="24"/>
      <c r="G468" s="26"/>
      <c r="H468" s="24"/>
      <c r="I468" s="24"/>
      <c r="J468" s="24"/>
      <c r="K468" s="24"/>
      <c r="L468" s="26"/>
      <c r="M468" s="26"/>
      <c r="N468" s="22"/>
      <c r="O468" s="21"/>
      <c r="P468" s="22"/>
      <c r="Q468" s="29" t="str">
        <f aca="false">IF(C468="","",IF(O468&lt;&gt;"",O468,IFERROR(INDEX(Produk!$J$2:$J$100,MATCH(C468,Produk!$A$2:$A$100,0)),"PRODUK?")))</f>
        <v/>
      </c>
      <c r="R468" s="29" t="str">
        <f aca="false">IF(A468="","",IF(COUNTIF(Anggota!$A$2:$A$2001,A468)=0,"TIDAK ADA","OK"))</f>
        <v/>
      </c>
      <c r="S468" s="29" t="str">
        <f aca="false">IF(H468="","",IF(OR(J468="",L468=""),"-",IF(ABS(H468-J468*L468)&gt;Info_Koperasi!$C$10,"SELISIH","OK")))</f>
        <v/>
      </c>
    </row>
    <row r="469" customFormat="false" ht="15" hidden="false" customHeight="false" outlineLevel="0" collapsed="false">
      <c r="A469" s="21"/>
      <c r="B469" s="22"/>
      <c r="C469" s="21"/>
      <c r="D469" s="21"/>
      <c r="E469" s="28"/>
      <c r="F469" s="24"/>
      <c r="G469" s="26"/>
      <c r="H469" s="24"/>
      <c r="I469" s="24"/>
      <c r="J469" s="24"/>
      <c r="K469" s="24"/>
      <c r="L469" s="26"/>
      <c r="M469" s="26"/>
      <c r="N469" s="22"/>
      <c r="O469" s="21"/>
      <c r="P469" s="22"/>
      <c r="Q469" s="29" t="str">
        <f aca="false">IF(C469="","",IF(O469&lt;&gt;"",O469,IFERROR(INDEX(Produk!$J$2:$J$100,MATCH(C469,Produk!$A$2:$A$100,0)),"PRODUK?")))</f>
        <v/>
      </c>
      <c r="R469" s="29" t="str">
        <f aca="false">IF(A469="","",IF(COUNTIF(Anggota!$A$2:$A$2001,A469)=0,"TIDAK ADA","OK"))</f>
        <v/>
      </c>
      <c r="S469" s="29" t="str">
        <f aca="false">IF(H469="","",IF(OR(J469="",L469=""),"-",IF(ABS(H469-J469*L469)&gt;Info_Koperasi!$C$10,"SELISIH","OK")))</f>
        <v/>
      </c>
    </row>
    <row r="470" customFormat="false" ht="15" hidden="false" customHeight="false" outlineLevel="0" collapsed="false">
      <c r="A470" s="21"/>
      <c r="B470" s="22"/>
      <c r="C470" s="21"/>
      <c r="D470" s="21"/>
      <c r="E470" s="28"/>
      <c r="F470" s="24"/>
      <c r="G470" s="26"/>
      <c r="H470" s="24"/>
      <c r="I470" s="24"/>
      <c r="J470" s="24"/>
      <c r="K470" s="24"/>
      <c r="L470" s="26"/>
      <c r="M470" s="26"/>
      <c r="N470" s="22"/>
      <c r="O470" s="21"/>
      <c r="P470" s="22"/>
      <c r="Q470" s="29" t="str">
        <f aca="false">IF(C470="","",IF(O470&lt;&gt;"",O470,IFERROR(INDEX(Produk!$J$2:$J$100,MATCH(C470,Produk!$A$2:$A$100,0)),"PRODUK?")))</f>
        <v/>
      </c>
      <c r="R470" s="29" t="str">
        <f aca="false">IF(A470="","",IF(COUNTIF(Anggota!$A$2:$A$2001,A470)=0,"TIDAK ADA","OK"))</f>
        <v/>
      </c>
      <c r="S470" s="29" t="str">
        <f aca="false">IF(H470="","",IF(OR(J470="",L470=""),"-",IF(ABS(H470-J470*L470)&gt;Info_Koperasi!$C$10,"SELISIH","OK")))</f>
        <v/>
      </c>
    </row>
    <row r="471" customFormat="false" ht="15" hidden="false" customHeight="false" outlineLevel="0" collapsed="false">
      <c r="A471" s="21"/>
      <c r="B471" s="22"/>
      <c r="C471" s="21"/>
      <c r="D471" s="21"/>
      <c r="E471" s="28"/>
      <c r="F471" s="24"/>
      <c r="G471" s="26"/>
      <c r="H471" s="24"/>
      <c r="I471" s="24"/>
      <c r="J471" s="24"/>
      <c r="K471" s="24"/>
      <c r="L471" s="26"/>
      <c r="M471" s="26"/>
      <c r="N471" s="22"/>
      <c r="O471" s="21"/>
      <c r="P471" s="22"/>
      <c r="Q471" s="29" t="str">
        <f aca="false">IF(C471="","",IF(O471&lt;&gt;"",O471,IFERROR(INDEX(Produk!$J$2:$J$100,MATCH(C471,Produk!$A$2:$A$100,0)),"PRODUK?")))</f>
        <v/>
      </c>
      <c r="R471" s="29" t="str">
        <f aca="false">IF(A471="","",IF(COUNTIF(Anggota!$A$2:$A$2001,A471)=0,"TIDAK ADA","OK"))</f>
        <v/>
      </c>
      <c r="S471" s="29" t="str">
        <f aca="false">IF(H471="","",IF(OR(J471="",L471=""),"-",IF(ABS(H471-J471*L471)&gt;Info_Koperasi!$C$10,"SELISIH","OK")))</f>
        <v/>
      </c>
    </row>
    <row r="472" customFormat="false" ht="15" hidden="false" customHeight="false" outlineLevel="0" collapsed="false">
      <c r="A472" s="21"/>
      <c r="B472" s="22"/>
      <c r="C472" s="21"/>
      <c r="D472" s="21"/>
      <c r="E472" s="28"/>
      <c r="F472" s="24"/>
      <c r="G472" s="26"/>
      <c r="H472" s="24"/>
      <c r="I472" s="24"/>
      <c r="J472" s="24"/>
      <c r="K472" s="24"/>
      <c r="L472" s="26"/>
      <c r="M472" s="26"/>
      <c r="N472" s="22"/>
      <c r="O472" s="21"/>
      <c r="P472" s="22"/>
      <c r="Q472" s="29" t="str">
        <f aca="false">IF(C472="","",IF(O472&lt;&gt;"",O472,IFERROR(INDEX(Produk!$J$2:$J$100,MATCH(C472,Produk!$A$2:$A$100,0)),"PRODUK?")))</f>
        <v/>
      </c>
      <c r="R472" s="29" t="str">
        <f aca="false">IF(A472="","",IF(COUNTIF(Anggota!$A$2:$A$2001,A472)=0,"TIDAK ADA","OK"))</f>
        <v/>
      </c>
      <c r="S472" s="29" t="str">
        <f aca="false">IF(H472="","",IF(OR(J472="",L472=""),"-",IF(ABS(H472-J472*L472)&gt;Info_Koperasi!$C$10,"SELISIH","OK")))</f>
        <v/>
      </c>
    </row>
    <row r="473" customFormat="false" ht="15" hidden="false" customHeight="false" outlineLevel="0" collapsed="false">
      <c r="A473" s="21"/>
      <c r="B473" s="22"/>
      <c r="C473" s="21"/>
      <c r="D473" s="21"/>
      <c r="E473" s="28"/>
      <c r="F473" s="24"/>
      <c r="G473" s="26"/>
      <c r="H473" s="24"/>
      <c r="I473" s="24"/>
      <c r="J473" s="24"/>
      <c r="K473" s="24"/>
      <c r="L473" s="26"/>
      <c r="M473" s="26"/>
      <c r="N473" s="22"/>
      <c r="O473" s="21"/>
      <c r="P473" s="22"/>
      <c r="Q473" s="29" t="str">
        <f aca="false">IF(C473="","",IF(O473&lt;&gt;"",O473,IFERROR(INDEX(Produk!$J$2:$J$100,MATCH(C473,Produk!$A$2:$A$100,0)),"PRODUK?")))</f>
        <v/>
      </c>
      <c r="R473" s="29" t="str">
        <f aca="false">IF(A473="","",IF(COUNTIF(Anggota!$A$2:$A$2001,A473)=0,"TIDAK ADA","OK"))</f>
        <v/>
      </c>
      <c r="S473" s="29" t="str">
        <f aca="false">IF(H473="","",IF(OR(J473="",L473=""),"-",IF(ABS(H473-J473*L473)&gt;Info_Koperasi!$C$10,"SELISIH","OK")))</f>
        <v/>
      </c>
    </row>
    <row r="474" customFormat="false" ht="15" hidden="false" customHeight="false" outlineLevel="0" collapsed="false">
      <c r="A474" s="21"/>
      <c r="B474" s="22"/>
      <c r="C474" s="21"/>
      <c r="D474" s="21"/>
      <c r="E474" s="28"/>
      <c r="F474" s="24"/>
      <c r="G474" s="26"/>
      <c r="H474" s="24"/>
      <c r="I474" s="24"/>
      <c r="J474" s="24"/>
      <c r="K474" s="24"/>
      <c r="L474" s="26"/>
      <c r="M474" s="26"/>
      <c r="N474" s="22"/>
      <c r="O474" s="21"/>
      <c r="P474" s="22"/>
      <c r="Q474" s="29" t="str">
        <f aca="false">IF(C474="","",IF(O474&lt;&gt;"",O474,IFERROR(INDEX(Produk!$J$2:$J$100,MATCH(C474,Produk!$A$2:$A$100,0)),"PRODUK?")))</f>
        <v/>
      </c>
      <c r="R474" s="29" t="str">
        <f aca="false">IF(A474="","",IF(COUNTIF(Anggota!$A$2:$A$2001,A474)=0,"TIDAK ADA","OK"))</f>
        <v/>
      </c>
      <c r="S474" s="29" t="str">
        <f aca="false">IF(H474="","",IF(OR(J474="",L474=""),"-",IF(ABS(H474-J474*L474)&gt;Info_Koperasi!$C$10,"SELISIH","OK")))</f>
        <v/>
      </c>
    </row>
    <row r="475" customFormat="false" ht="15" hidden="false" customHeight="false" outlineLevel="0" collapsed="false">
      <c r="A475" s="21"/>
      <c r="B475" s="22"/>
      <c r="C475" s="21"/>
      <c r="D475" s="21"/>
      <c r="E475" s="28"/>
      <c r="F475" s="24"/>
      <c r="G475" s="26"/>
      <c r="H475" s="24"/>
      <c r="I475" s="24"/>
      <c r="J475" s="24"/>
      <c r="K475" s="24"/>
      <c r="L475" s="26"/>
      <c r="M475" s="26"/>
      <c r="N475" s="22"/>
      <c r="O475" s="21"/>
      <c r="P475" s="22"/>
      <c r="Q475" s="29" t="str">
        <f aca="false">IF(C475="","",IF(O475&lt;&gt;"",O475,IFERROR(INDEX(Produk!$J$2:$J$100,MATCH(C475,Produk!$A$2:$A$100,0)),"PRODUK?")))</f>
        <v/>
      </c>
      <c r="R475" s="29" t="str">
        <f aca="false">IF(A475="","",IF(COUNTIF(Anggota!$A$2:$A$2001,A475)=0,"TIDAK ADA","OK"))</f>
        <v/>
      </c>
      <c r="S475" s="29" t="str">
        <f aca="false">IF(H475="","",IF(OR(J475="",L475=""),"-",IF(ABS(H475-J475*L475)&gt;Info_Koperasi!$C$10,"SELISIH","OK")))</f>
        <v/>
      </c>
    </row>
    <row r="476" customFormat="false" ht="15" hidden="false" customHeight="false" outlineLevel="0" collapsed="false">
      <c r="A476" s="21"/>
      <c r="B476" s="22"/>
      <c r="C476" s="21"/>
      <c r="D476" s="21"/>
      <c r="E476" s="28"/>
      <c r="F476" s="24"/>
      <c r="G476" s="26"/>
      <c r="H476" s="24"/>
      <c r="I476" s="24"/>
      <c r="J476" s="24"/>
      <c r="K476" s="24"/>
      <c r="L476" s="26"/>
      <c r="M476" s="26"/>
      <c r="N476" s="22"/>
      <c r="O476" s="21"/>
      <c r="P476" s="22"/>
      <c r="Q476" s="29" t="str">
        <f aca="false">IF(C476="","",IF(O476&lt;&gt;"",O476,IFERROR(INDEX(Produk!$J$2:$J$100,MATCH(C476,Produk!$A$2:$A$100,0)),"PRODUK?")))</f>
        <v/>
      </c>
      <c r="R476" s="29" t="str">
        <f aca="false">IF(A476="","",IF(COUNTIF(Anggota!$A$2:$A$2001,A476)=0,"TIDAK ADA","OK"))</f>
        <v/>
      </c>
      <c r="S476" s="29" t="str">
        <f aca="false">IF(H476="","",IF(OR(J476="",L476=""),"-",IF(ABS(H476-J476*L476)&gt;Info_Koperasi!$C$10,"SELISIH","OK")))</f>
        <v/>
      </c>
    </row>
    <row r="477" customFormat="false" ht="15" hidden="false" customHeight="false" outlineLevel="0" collapsed="false">
      <c r="A477" s="21"/>
      <c r="B477" s="22"/>
      <c r="C477" s="21"/>
      <c r="D477" s="21"/>
      <c r="E477" s="28"/>
      <c r="F477" s="24"/>
      <c r="G477" s="26"/>
      <c r="H477" s="24"/>
      <c r="I477" s="24"/>
      <c r="J477" s="24"/>
      <c r="K477" s="24"/>
      <c r="L477" s="26"/>
      <c r="M477" s="26"/>
      <c r="N477" s="22"/>
      <c r="O477" s="21"/>
      <c r="P477" s="22"/>
      <c r="Q477" s="29" t="str">
        <f aca="false">IF(C477="","",IF(O477&lt;&gt;"",O477,IFERROR(INDEX(Produk!$J$2:$J$100,MATCH(C477,Produk!$A$2:$A$100,0)),"PRODUK?")))</f>
        <v/>
      </c>
      <c r="R477" s="29" t="str">
        <f aca="false">IF(A477="","",IF(COUNTIF(Anggota!$A$2:$A$2001,A477)=0,"TIDAK ADA","OK"))</f>
        <v/>
      </c>
      <c r="S477" s="29" t="str">
        <f aca="false">IF(H477="","",IF(OR(J477="",L477=""),"-",IF(ABS(H477-J477*L477)&gt;Info_Koperasi!$C$10,"SELISIH","OK")))</f>
        <v/>
      </c>
    </row>
    <row r="478" customFormat="false" ht="15" hidden="false" customHeight="false" outlineLevel="0" collapsed="false">
      <c r="A478" s="21"/>
      <c r="B478" s="22"/>
      <c r="C478" s="21"/>
      <c r="D478" s="21"/>
      <c r="E478" s="28"/>
      <c r="F478" s="24"/>
      <c r="G478" s="26"/>
      <c r="H478" s="24"/>
      <c r="I478" s="24"/>
      <c r="J478" s="24"/>
      <c r="K478" s="24"/>
      <c r="L478" s="26"/>
      <c r="M478" s="26"/>
      <c r="N478" s="22"/>
      <c r="O478" s="21"/>
      <c r="P478" s="22"/>
      <c r="Q478" s="29" t="str">
        <f aca="false">IF(C478="","",IF(O478&lt;&gt;"",O478,IFERROR(INDEX(Produk!$J$2:$J$100,MATCH(C478,Produk!$A$2:$A$100,0)),"PRODUK?")))</f>
        <v/>
      </c>
      <c r="R478" s="29" t="str">
        <f aca="false">IF(A478="","",IF(COUNTIF(Anggota!$A$2:$A$2001,A478)=0,"TIDAK ADA","OK"))</f>
        <v/>
      </c>
      <c r="S478" s="29" t="str">
        <f aca="false">IF(H478="","",IF(OR(J478="",L478=""),"-",IF(ABS(H478-J478*L478)&gt;Info_Koperasi!$C$10,"SELISIH","OK")))</f>
        <v/>
      </c>
    </row>
    <row r="479" customFormat="false" ht="15" hidden="false" customHeight="false" outlineLevel="0" collapsed="false">
      <c r="A479" s="21"/>
      <c r="B479" s="22"/>
      <c r="C479" s="21"/>
      <c r="D479" s="21"/>
      <c r="E479" s="28"/>
      <c r="F479" s="24"/>
      <c r="G479" s="26"/>
      <c r="H479" s="24"/>
      <c r="I479" s="24"/>
      <c r="J479" s="24"/>
      <c r="K479" s="24"/>
      <c r="L479" s="26"/>
      <c r="M479" s="26"/>
      <c r="N479" s="22"/>
      <c r="O479" s="21"/>
      <c r="P479" s="22"/>
      <c r="Q479" s="29" t="str">
        <f aca="false">IF(C479="","",IF(O479&lt;&gt;"",O479,IFERROR(INDEX(Produk!$J$2:$J$100,MATCH(C479,Produk!$A$2:$A$100,0)),"PRODUK?")))</f>
        <v/>
      </c>
      <c r="R479" s="29" t="str">
        <f aca="false">IF(A479="","",IF(COUNTIF(Anggota!$A$2:$A$2001,A479)=0,"TIDAK ADA","OK"))</f>
        <v/>
      </c>
      <c r="S479" s="29" t="str">
        <f aca="false">IF(H479="","",IF(OR(J479="",L479=""),"-",IF(ABS(H479-J479*L479)&gt;Info_Koperasi!$C$10,"SELISIH","OK")))</f>
        <v/>
      </c>
    </row>
    <row r="480" customFormat="false" ht="15" hidden="false" customHeight="false" outlineLevel="0" collapsed="false">
      <c r="A480" s="21"/>
      <c r="B480" s="22"/>
      <c r="C480" s="21"/>
      <c r="D480" s="21"/>
      <c r="E480" s="28"/>
      <c r="F480" s="24"/>
      <c r="G480" s="26"/>
      <c r="H480" s="24"/>
      <c r="I480" s="24"/>
      <c r="J480" s="24"/>
      <c r="K480" s="24"/>
      <c r="L480" s="26"/>
      <c r="M480" s="26"/>
      <c r="N480" s="22"/>
      <c r="O480" s="21"/>
      <c r="P480" s="22"/>
      <c r="Q480" s="29" t="str">
        <f aca="false">IF(C480="","",IF(O480&lt;&gt;"",O480,IFERROR(INDEX(Produk!$J$2:$J$100,MATCH(C480,Produk!$A$2:$A$100,0)),"PRODUK?")))</f>
        <v/>
      </c>
      <c r="R480" s="29" t="str">
        <f aca="false">IF(A480="","",IF(COUNTIF(Anggota!$A$2:$A$2001,A480)=0,"TIDAK ADA","OK"))</f>
        <v/>
      </c>
      <c r="S480" s="29" t="str">
        <f aca="false">IF(H480="","",IF(OR(J480="",L480=""),"-",IF(ABS(H480-J480*L480)&gt;Info_Koperasi!$C$10,"SELISIH","OK")))</f>
        <v/>
      </c>
    </row>
    <row r="481" customFormat="false" ht="15" hidden="false" customHeight="false" outlineLevel="0" collapsed="false">
      <c r="A481" s="21"/>
      <c r="B481" s="22"/>
      <c r="C481" s="21"/>
      <c r="D481" s="21"/>
      <c r="E481" s="28"/>
      <c r="F481" s="24"/>
      <c r="G481" s="26"/>
      <c r="H481" s="24"/>
      <c r="I481" s="24"/>
      <c r="J481" s="24"/>
      <c r="K481" s="24"/>
      <c r="L481" s="26"/>
      <c r="M481" s="26"/>
      <c r="N481" s="22"/>
      <c r="O481" s="21"/>
      <c r="P481" s="22"/>
      <c r="Q481" s="29" t="str">
        <f aca="false">IF(C481="","",IF(O481&lt;&gt;"",O481,IFERROR(INDEX(Produk!$J$2:$J$100,MATCH(C481,Produk!$A$2:$A$100,0)),"PRODUK?")))</f>
        <v/>
      </c>
      <c r="R481" s="29" t="str">
        <f aca="false">IF(A481="","",IF(COUNTIF(Anggota!$A$2:$A$2001,A481)=0,"TIDAK ADA","OK"))</f>
        <v/>
      </c>
      <c r="S481" s="29" t="str">
        <f aca="false">IF(H481="","",IF(OR(J481="",L481=""),"-",IF(ABS(H481-J481*L481)&gt;Info_Koperasi!$C$10,"SELISIH","OK")))</f>
        <v/>
      </c>
    </row>
    <row r="482" customFormat="false" ht="15" hidden="false" customHeight="false" outlineLevel="0" collapsed="false">
      <c r="A482" s="21"/>
      <c r="B482" s="22"/>
      <c r="C482" s="21"/>
      <c r="D482" s="21"/>
      <c r="E482" s="28"/>
      <c r="F482" s="24"/>
      <c r="G482" s="26"/>
      <c r="H482" s="24"/>
      <c r="I482" s="24"/>
      <c r="J482" s="24"/>
      <c r="K482" s="24"/>
      <c r="L482" s="26"/>
      <c r="M482" s="26"/>
      <c r="N482" s="22"/>
      <c r="O482" s="21"/>
      <c r="P482" s="22"/>
      <c r="Q482" s="29" t="str">
        <f aca="false">IF(C482="","",IF(O482&lt;&gt;"",O482,IFERROR(INDEX(Produk!$J$2:$J$100,MATCH(C482,Produk!$A$2:$A$100,0)),"PRODUK?")))</f>
        <v/>
      </c>
      <c r="R482" s="29" t="str">
        <f aca="false">IF(A482="","",IF(COUNTIF(Anggota!$A$2:$A$2001,A482)=0,"TIDAK ADA","OK"))</f>
        <v/>
      </c>
      <c r="S482" s="29" t="str">
        <f aca="false">IF(H482="","",IF(OR(J482="",L482=""),"-",IF(ABS(H482-J482*L482)&gt;Info_Koperasi!$C$10,"SELISIH","OK")))</f>
        <v/>
      </c>
    </row>
    <row r="483" customFormat="false" ht="15" hidden="false" customHeight="false" outlineLevel="0" collapsed="false">
      <c r="A483" s="21"/>
      <c r="B483" s="22"/>
      <c r="C483" s="21"/>
      <c r="D483" s="21"/>
      <c r="E483" s="28"/>
      <c r="F483" s="24"/>
      <c r="G483" s="26"/>
      <c r="H483" s="24"/>
      <c r="I483" s="24"/>
      <c r="J483" s="24"/>
      <c r="K483" s="24"/>
      <c r="L483" s="26"/>
      <c r="M483" s="26"/>
      <c r="N483" s="22"/>
      <c r="O483" s="21"/>
      <c r="P483" s="22"/>
      <c r="Q483" s="29" t="str">
        <f aca="false">IF(C483="","",IF(O483&lt;&gt;"",O483,IFERROR(INDEX(Produk!$J$2:$J$100,MATCH(C483,Produk!$A$2:$A$100,0)),"PRODUK?")))</f>
        <v/>
      </c>
      <c r="R483" s="29" t="str">
        <f aca="false">IF(A483="","",IF(COUNTIF(Anggota!$A$2:$A$2001,A483)=0,"TIDAK ADA","OK"))</f>
        <v/>
      </c>
      <c r="S483" s="29" t="str">
        <f aca="false">IF(H483="","",IF(OR(J483="",L483=""),"-",IF(ABS(H483-J483*L483)&gt;Info_Koperasi!$C$10,"SELISIH","OK")))</f>
        <v/>
      </c>
    </row>
    <row r="484" customFormat="false" ht="15" hidden="false" customHeight="false" outlineLevel="0" collapsed="false">
      <c r="A484" s="21"/>
      <c r="B484" s="22"/>
      <c r="C484" s="21"/>
      <c r="D484" s="21"/>
      <c r="E484" s="28"/>
      <c r="F484" s="24"/>
      <c r="G484" s="26"/>
      <c r="H484" s="24"/>
      <c r="I484" s="24"/>
      <c r="J484" s="24"/>
      <c r="K484" s="24"/>
      <c r="L484" s="26"/>
      <c r="M484" s="26"/>
      <c r="N484" s="22"/>
      <c r="O484" s="21"/>
      <c r="P484" s="22"/>
      <c r="Q484" s="29" t="str">
        <f aca="false">IF(C484="","",IF(O484&lt;&gt;"",O484,IFERROR(INDEX(Produk!$J$2:$J$100,MATCH(C484,Produk!$A$2:$A$100,0)),"PRODUK?")))</f>
        <v/>
      </c>
      <c r="R484" s="29" t="str">
        <f aca="false">IF(A484="","",IF(COUNTIF(Anggota!$A$2:$A$2001,A484)=0,"TIDAK ADA","OK"))</f>
        <v/>
      </c>
      <c r="S484" s="29" t="str">
        <f aca="false">IF(H484="","",IF(OR(J484="",L484=""),"-",IF(ABS(H484-J484*L484)&gt;Info_Koperasi!$C$10,"SELISIH","OK")))</f>
        <v/>
      </c>
    </row>
    <row r="485" customFormat="false" ht="15" hidden="false" customHeight="false" outlineLevel="0" collapsed="false">
      <c r="A485" s="21"/>
      <c r="B485" s="22"/>
      <c r="C485" s="21"/>
      <c r="D485" s="21"/>
      <c r="E485" s="28"/>
      <c r="F485" s="24"/>
      <c r="G485" s="26"/>
      <c r="H485" s="24"/>
      <c r="I485" s="24"/>
      <c r="J485" s="24"/>
      <c r="K485" s="24"/>
      <c r="L485" s="26"/>
      <c r="M485" s="26"/>
      <c r="N485" s="22"/>
      <c r="O485" s="21"/>
      <c r="P485" s="22"/>
      <c r="Q485" s="29" t="str">
        <f aca="false">IF(C485="","",IF(O485&lt;&gt;"",O485,IFERROR(INDEX(Produk!$J$2:$J$100,MATCH(C485,Produk!$A$2:$A$100,0)),"PRODUK?")))</f>
        <v/>
      </c>
      <c r="R485" s="29" t="str">
        <f aca="false">IF(A485="","",IF(COUNTIF(Anggota!$A$2:$A$2001,A485)=0,"TIDAK ADA","OK"))</f>
        <v/>
      </c>
      <c r="S485" s="29" t="str">
        <f aca="false">IF(H485="","",IF(OR(J485="",L485=""),"-",IF(ABS(H485-J485*L485)&gt;Info_Koperasi!$C$10,"SELISIH","OK")))</f>
        <v/>
      </c>
    </row>
    <row r="486" customFormat="false" ht="15" hidden="false" customHeight="false" outlineLevel="0" collapsed="false">
      <c r="A486" s="21"/>
      <c r="B486" s="22"/>
      <c r="C486" s="21"/>
      <c r="D486" s="21"/>
      <c r="E486" s="28"/>
      <c r="F486" s="24"/>
      <c r="G486" s="26"/>
      <c r="H486" s="24"/>
      <c r="I486" s="24"/>
      <c r="J486" s="24"/>
      <c r="K486" s="24"/>
      <c r="L486" s="26"/>
      <c r="M486" s="26"/>
      <c r="N486" s="22"/>
      <c r="O486" s="21"/>
      <c r="P486" s="22"/>
      <c r="Q486" s="29" t="str">
        <f aca="false">IF(C486="","",IF(O486&lt;&gt;"",O486,IFERROR(INDEX(Produk!$J$2:$J$100,MATCH(C486,Produk!$A$2:$A$100,0)),"PRODUK?")))</f>
        <v/>
      </c>
      <c r="R486" s="29" t="str">
        <f aca="false">IF(A486="","",IF(COUNTIF(Anggota!$A$2:$A$2001,A486)=0,"TIDAK ADA","OK"))</f>
        <v/>
      </c>
      <c r="S486" s="29" t="str">
        <f aca="false">IF(H486="","",IF(OR(J486="",L486=""),"-",IF(ABS(H486-J486*L486)&gt;Info_Koperasi!$C$10,"SELISIH","OK")))</f>
        <v/>
      </c>
    </row>
    <row r="487" customFormat="false" ht="15" hidden="false" customHeight="false" outlineLevel="0" collapsed="false">
      <c r="A487" s="21"/>
      <c r="B487" s="22"/>
      <c r="C487" s="21"/>
      <c r="D487" s="21"/>
      <c r="E487" s="28"/>
      <c r="F487" s="24"/>
      <c r="G487" s="26"/>
      <c r="H487" s="24"/>
      <c r="I487" s="24"/>
      <c r="J487" s="24"/>
      <c r="K487" s="24"/>
      <c r="L487" s="26"/>
      <c r="M487" s="26"/>
      <c r="N487" s="22"/>
      <c r="O487" s="21"/>
      <c r="P487" s="22"/>
      <c r="Q487" s="29" t="str">
        <f aca="false">IF(C487="","",IF(O487&lt;&gt;"",O487,IFERROR(INDEX(Produk!$J$2:$J$100,MATCH(C487,Produk!$A$2:$A$100,0)),"PRODUK?")))</f>
        <v/>
      </c>
      <c r="R487" s="29" t="str">
        <f aca="false">IF(A487="","",IF(COUNTIF(Anggota!$A$2:$A$2001,A487)=0,"TIDAK ADA","OK"))</f>
        <v/>
      </c>
      <c r="S487" s="29" t="str">
        <f aca="false">IF(H487="","",IF(OR(J487="",L487=""),"-",IF(ABS(H487-J487*L487)&gt;Info_Koperasi!$C$10,"SELISIH","OK")))</f>
        <v/>
      </c>
    </row>
    <row r="488" customFormat="false" ht="15" hidden="false" customHeight="false" outlineLevel="0" collapsed="false">
      <c r="A488" s="21"/>
      <c r="B488" s="22"/>
      <c r="C488" s="21"/>
      <c r="D488" s="21"/>
      <c r="E488" s="28"/>
      <c r="F488" s="24"/>
      <c r="G488" s="26"/>
      <c r="H488" s="24"/>
      <c r="I488" s="24"/>
      <c r="J488" s="24"/>
      <c r="K488" s="24"/>
      <c r="L488" s="26"/>
      <c r="M488" s="26"/>
      <c r="N488" s="22"/>
      <c r="O488" s="21"/>
      <c r="P488" s="22"/>
      <c r="Q488" s="29" t="str">
        <f aca="false">IF(C488="","",IF(O488&lt;&gt;"",O488,IFERROR(INDEX(Produk!$J$2:$J$100,MATCH(C488,Produk!$A$2:$A$100,0)),"PRODUK?")))</f>
        <v/>
      </c>
      <c r="R488" s="29" t="str">
        <f aca="false">IF(A488="","",IF(COUNTIF(Anggota!$A$2:$A$2001,A488)=0,"TIDAK ADA","OK"))</f>
        <v/>
      </c>
      <c r="S488" s="29" t="str">
        <f aca="false">IF(H488="","",IF(OR(J488="",L488=""),"-",IF(ABS(H488-J488*L488)&gt;Info_Koperasi!$C$10,"SELISIH","OK")))</f>
        <v/>
      </c>
    </row>
    <row r="489" customFormat="false" ht="15" hidden="false" customHeight="false" outlineLevel="0" collapsed="false">
      <c r="A489" s="21"/>
      <c r="B489" s="22"/>
      <c r="C489" s="21"/>
      <c r="D489" s="21"/>
      <c r="E489" s="28"/>
      <c r="F489" s="24"/>
      <c r="G489" s="26"/>
      <c r="H489" s="24"/>
      <c r="I489" s="24"/>
      <c r="J489" s="24"/>
      <c r="K489" s="24"/>
      <c r="L489" s="26"/>
      <c r="M489" s="26"/>
      <c r="N489" s="22"/>
      <c r="O489" s="21"/>
      <c r="P489" s="22"/>
      <c r="Q489" s="29" t="str">
        <f aca="false">IF(C489="","",IF(O489&lt;&gt;"",O489,IFERROR(INDEX(Produk!$J$2:$J$100,MATCH(C489,Produk!$A$2:$A$100,0)),"PRODUK?")))</f>
        <v/>
      </c>
      <c r="R489" s="29" t="str">
        <f aca="false">IF(A489="","",IF(COUNTIF(Anggota!$A$2:$A$2001,A489)=0,"TIDAK ADA","OK"))</f>
        <v/>
      </c>
      <c r="S489" s="29" t="str">
        <f aca="false">IF(H489="","",IF(OR(J489="",L489=""),"-",IF(ABS(H489-J489*L489)&gt;Info_Koperasi!$C$10,"SELISIH","OK")))</f>
        <v/>
      </c>
    </row>
    <row r="490" customFormat="false" ht="15" hidden="false" customHeight="false" outlineLevel="0" collapsed="false">
      <c r="A490" s="21"/>
      <c r="B490" s="22"/>
      <c r="C490" s="21"/>
      <c r="D490" s="21"/>
      <c r="E490" s="28"/>
      <c r="F490" s="24"/>
      <c r="G490" s="26"/>
      <c r="H490" s="24"/>
      <c r="I490" s="24"/>
      <c r="J490" s="24"/>
      <c r="K490" s="24"/>
      <c r="L490" s="26"/>
      <c r="M490" s="26"/>
      <c r="N490" s="22"/>
      <c r="O490" s="21"/>
      <c r="P490" s="22"/>
      <c r="Q490" s="29" t="str">
        <f aca="false">IF(C490="","",IF(O490&lt;&gt;"",O490,IFERROR(INDEX(Produk!$J$2:$J$100,MATCH(C490,Produk!$A$2:$A$100,0)),"PRODUK?")))</f>
        <v/>
      </c>
      <c r="R490" s="29" t="str">
        <f aca="false">IF(A490="","",IF(COUNTIF(Anggota!$A$2:$A$2001,A490)=0,"TIDAK ADA","OK"))</f>
        <v/>
      </c>
      <c r="S490" s="29" t="str">
        <f aca="false">IF(H490="","",IF(OR(J490="",L490=""),"-",IF(ABS(H490-J490*L490)&gt;Info_Koperasi!$C$10,"SELISIH","OK")))</f>
        <v/>
      </c>
    </row>
    <row r="491" customFormat="false" ht="15" hidden="false" customHeight="false" outlineLevel="0" collapsed="false">
      <c r="A491" s="21"/>
      <c r="B491" s="22"/>
      <c r="C491" s="21"/>
      <c r="D491" s="21"/>
      <c r="E491" s="28"/>
      <c r="F491" s="24"/>
      <c r="G491" s="26"/>
      <c r="H491" s="24"/>
      <c r="I491" s="24"/>
      <c r="J491" s="24"/>
      <c r="K491" s="24"/>
      <c r="L491" s="26"/>
      <c r="M491" s="26"/>
      <c r="N491" s="22"/>
      <c r="O491" s="21"/>
      <c r="P491" s="22"/>
      <c r="Q491" s="29" t="str">
        <f aca="false">IF(C491="","",IF(O491&lt;&gt;"",O491,IFERROR(INDEX(Produk!$J$2:$J$100,MATCH(C491,Produk!$A$2:$A$100,0)),"PRODUK?")))</f>
        <v/>
      </c>
      <c r="R491" s="29" t="str">
        <f aca="false">IF(A491="","",IF(COUNTIF(Anggota!$A$2:$A$2001,A491)=0,"TIDAK ADA","OK"))</f>
        <v/>
      </c>
      <c r="S491" s="29" t="str">
        <f aca="false">IF(H491="","",IF(OR(J491="",L491=""),"-",IF(ABS(H491-J491*L491)&gt;Info_Koperasi!$C$10,"SELISIH","OK")))</f>
        <v/>
      </c>
    </row>
    <row r="492" customFormat="false" ht="15" hidden="false" customHeight="false" outlineLevel="0" collapsed="false">
      <c r="A492" s="21"/>
      <c r="B492" s="22"/>
      <c r="C492" s="21"/>
      <c r="D492" s="21"/>
      <c r="E492" s="28"/>
      <c r="F492" s="24"/>
      <c r="G492" s="26"/>
      <c r="H492" s="24"/>
      <c r="I492" s="24"/>
      <c r="J492" s="24"/>
      <c r="K492" s="24"/>
      <c r="L492" s="26"/>
      <c r="M492" s="26"/>
      <c r="N492" s="22"/>
      <c r="O492" s="21"/>
      <c r="P492" s="22"/>
      <c r="Q492" s="29" t="str">
        <f aca="false">IF(C492="","",IF(O492&lt;&gt;"",O492,IFERROR(INDEX(Produk!$J$2:$J$100,MATCH(C492,Produk!$A$2:$A$100,0)),"PRODUK?")))</f>
        <v/>
      </c>
      <c r="R492" s="29" t="str">
        <f aca="false">IF(A492="","",IF(COUNTIF(Anggota!$A$2:$A$2001,A492)=0,"TIDAK ADA","OK"))</f>
        <v/>
      </c>
      <c r="S492" s="29" t="str">
        <f aca="false">IF(H492="","",IF(OR(J492="",L492=""),"-",IF(ABS(H492-J492*L492)&gt;Info_Koperasi!$C$10,"SELISIH","OK")))</f>
        <v/>
      </c>
    </row>
    <row r="493" customFormat="false" ht="15" hidden="false" customHeight="false" outlineLevel="0" collapsed="false">
      <c r="A493" s="21"/>
      <c r="B493" s="22"/>
      <c r="C493" s="21"/>
      <c r="D493" s="21"/>
      <c r="E493" s="28"/>
      <c r="F493" s="24"/>
      <c r="G493" s="26"/>
      <c r="H493" s="24"/>
      <c r="I493" s="24"/>
      <c r="J493" s="24"/>
      <c r="K493" s="24"/>
      <c r="L493" s="26"/>
      <c r="M493" s="26"/>
      <c r="N493" s="22"/>
      <c r="O493" s="21"/>
      <c r="P493" s="22"/>
      <c r="Q493" s="29" t="str">
        <f aca="false">IF(C493="","",IF(O493&lt;&gt;"",O493,IFERROR(INDEX(Produk!$J$2:$J$100,MATCH(C493,Produk!$A$2:$A$100,0)),"PRODUK?")))</f>
        <v/>
      </c>
      <c r="R493" s="29" t="str">
        <f aca="false">IF(A493="","",IF(COUNTIF(Anggota!$A$2:$A$2001,A493)=0,"TIDAK ADA","OK"))</f>
        <v/>
      </c>
      <c r="S493" s="29" t="str">
        <f aca="false">IF(H493="","",IF(OR(J493="",L493=""),"-",IF(ABS(H493-J493*L493)&gt;Info_Koperasi!$C$10,"SELISIH","OK")))</f>
        <v/>
      </c>
    </row>
    <row r="494" customFormat="false" ht="15" hidden="false" customHeight="false" outlineLevel="0" collapsed="false">
      <c r="A494" s="21"/>
      <c r="B494" s="22"/>
      <c r="C494" s="21"/>
      <c r="D494" s="21"/>
      <c r="E494" s="28"/>
      <c r="F494" s="24"/>
      <c r="G494" s="26"/>
      <c r="H494" s="24"/>
      <c r="I494" s="24"/>
      <c r="J494" s="24"/>
      <c r="K494" s="24"/>
      <c r="L494" s="26"/>
      <c r="M494" s="26"/>
      <c r="N494" s="22"/>
      <c r="O494" s="21"/>
      <c r="P494" s="22"/>
      <c r="Q494" s="29" t="str">
        <f aca="false">IF(C494="","",IF(O494&lt;&gt;"",O494,IFERROR(INDEX(Produk!$J$2:$J$100,MATCH(C494,Produk!$A$2:$A$100,0)),"PRODUK?")))</f>
        <v/>
      </c>
      <c r="R494" s="29" t="str">
        <f aca="false">IF(A494="","",IF(COUNTIF(Anggota!$A$2:$A$2001,A494)=0,"TIDAK ADA","OK"))</f>
        <v/>
      </c>
      <c r="S494" s="29" t="str">
        <f aca="false">IF(H494="","",IF(OR(J494="",L494=""),"-",IF(ABS(H494-J494*L494)&gt;Info_Koperasi!$C$10,"SELISIH","OK")))</f>
        <v/>
      </c>
    </row>
    <row r="495" customFormat="false" ht="15" hidden="false" customHeight="false" outlineLevel="0" collapsed="false">
      <c r="A495" s="21"/>
      <c r="B495" s="22"/>
      <c r="C495" s="21"/>
      <c r="D495" s="21"/>
      <c r="E495" s="28"/>
      <c r="F495" s="24"/>
      <c r="G495" s="26"/>
      <c r="H495" s="24"/>
      <c r="I495" s="24"/>
      <c r="J495" s="24"/>
      <c r="K495" s="24"/>
      <c r="L495" s="26"/>
      <c r="M495" s="26"/>
      <c r="N495" s="22"/>
      <c r="O495" s="21"/>
      <c r="P495" s="22"/>
      <c r="Q495" s="29" t="str">
        <f aca="false">IF(C495="","",IF(O495&lt;&gt;"",O495,IFERROR(INDEX(Produk!$J$2:$J$100,MATCH(C495,Produk!$A$2:$A$100,0)),"PRODUK?")))</f>
        <v/>
      </c>
      <c r="R495" s="29" t="str">
        <f aca="false">IF(A495="","",IF(COUNTIF(Anggota!$A$2:$A$2001,A495)=0,"TIDAK ADA","OK"))</f>
        <v/>
      </c>
      <c r="S495" s="29" t="str">
        <f aca="false">IF(H495="","",IF(OR(J495="",L495=""),"-",IF(ABS(H495-J495*L495)&gt;Info_Koperasi!$C$10,"SELISIH","OK")))</f>
        <v/>
      </c>
    </row>
    <row r="496" customFormat="false" ht="15" hidden="false" customHeight="false" outlineLevel="0" collapsed="false">
      <c r="A496" s="21"/>
      <c r="B496" s="22"/>
      <c r="C496" s="21"/>
      <c r="D496" s="21"/>
      <c r="E496" s="28"/>
      <c r="F496" s="24"/>
      <c r="G496" s="26"/>
      <c r="H496" s="24"/>
      <c r="I496" s="24"/>
      <c r="J496" s="24"/>
      <c r="K496" s="24"/>
      <c r="L496" s="26"/>
      <c r="M496" s="26"/>
      <c r="N496" s="22"/>
      <c r="O496" s="21"/>
      <c r="P496" s="22"/>
      <c r="Q496" s="29" t="str">
        <f aca="false">IF(C496="","",IF(O496&lt;&gt;"",O496,IFERROR(INDEX(Produk!$J$2:$J$100,MATCH(C496,Produk!$A$2:$A$100,0)),"PRODUK?")))</f>
        <v/>
      </c>
      <c r="R496" s="29" t="str">
        <f aca="false">IF(A496="","",IF(COUNTIF(Anggota!$A$2:$A$2001,A496)=0,"TIDAK ADA","OK"))</f>
        <v/>
      </c>
      <c r="S496" s="29" t="str">
        <f aca="false">IF(H496="","",IF(OR(J496="",L496=""),"-",IF(ABS(H496-J496*L496)&gt;Info_Koperasi!$C$10,"SELISIH","OK")))</f>
        <v/>
      </c>
    </row>
    <row r="497" customFormat="false" ht="15" hidden="false" customHeight="false" outlineLevel="0" collapsed="false">
      <c r="A497" s="21"/>
      <c r="B497" s="22"/>
      <c r="C497" s="21"/>
      <c r="D497" s="21"/>
      <c r="E497" s="28"/>
      <c r="F497" s="24"/>
      <c r="G497" s="26"/>
      <c r="H497" s="24"/>
      <c r="I497" s="24"/>
      <c r="J497" s="24"/>
      <c r="K497" s="24"/>
      <c r="L497" s="26"/>
      <c r="M497" s="26"/>
      <c r="N497" s="22"/>
      <c r="O497" s="21"/>
      <c r="P497" s="22"/>
      <c r="Q497" s="29" t="str">
        <f aca="false">IF(C497="","",IF(O497&lt;&gt;"",O497,IFERROR(INDEX(Produk!$J$2:$J$100,MATCH(C497,Produk!$A$2:$A$100,0)),"PRODUK?")))</f>
        <v/>
      </c>
      <c r="R497" s="29" t="str">
        <f aca="false">IF(A497="","",IF(COUNTIF(Anggota!$A$2:$A$2001,A497)=0,"TIDAK ADA","OK"))</f>
        <v/>
      </c>
      <c r="S497" s="29" t="str">
        <f aca="false">IF(H497="","",IF(OR(J497="",L497=""),"-",IF(ABS(H497-J497*L497)&gt;Info_Koperasi!$C$10,"SELISIH","OK")))</f>
        <v/>
      </c>
    </row>
    <row r="498" customFormat="false" ht="15" hidden="false" customHeight="false" outlineLevel="0" collapsed="false">
      <c r="A498" s="21"/>
      <c r="B498" s="22"/>
      <c r="C498" s="21"/>
      <c r="D498" s="21"/>
      <c r="E498" s="28"/>
      <c r="F498" s="24"/>
      <c r="G498" s="26"/>
      <c r="H498" s="24"/>
      <c r="I498" s="24"/>
      <c r="J498" s="24"/>
      <c r="K498" s="24"/>
      <c r="L498" s="26"/>
      <c r="M498" s="26"/>
      <c r="N498" s="22"/>
      <c r="O498" s="21"/>
      <c r="P498" s="22"/>
      <c r="Q498" s="29" t="str">
        <f aca="false">IF(C498="","",IF(O498&lt;&gt;"",O498,IFERROR(INDEX(Produk!$J$2:$J$100,MATCH(C498,Produk!$A$2:$A$100,0)),"PRODUK?")))</f>
        <v/>
      </c>
      <c r="R498" s="29" t="str">
        <f aca="false">IF(A498="","",IF(COUNTIF(Anggota!$A$2:$A$2001,A498)=0,"TIDAK ADA","OK"))</f>
        <v/>
      </c>
      <c r="S498" s="29" t="str">
        <f aca="false">IF(H498="","",IF(OR(J498="",L498=""),"-",IF(ABS(H498-J498*L498)&gt;Info_Koperasi!$C$10,"SELISIH","OK")))</f>
        <v/>
      </c>
    </row>
    <row r="499" customFormat="false" ht="15" hidden="false" customHeight="false" outlineLevel="0" collapsed="false">
      <c r="A499" s="21"/>
      <c r="B499" s="22"/>
      <c r="C499" s="21"/>
      <c r="D499" s="21"/>
      <c r="E499" s="28"/>
      <c r="F499" s="24"/>
      <c r="G499" s="26"/>
      <c r="H499" s="24"/>
      <c r="I499" s="24"/>
      <c r="J499" s="24"/>
      <c r="K499" s="24"/>
      <c r="L499" s="26"/>
      <c r="M499" s="26"/>
      <c r="N499" s="22"/>
      <c r="O499" s="21"/>
      <c r="P499" s="22"/>
      <c r="Q499" s="29" t="str">
        <f aca="false">IF(C499="","",IF(O499&lt;&gt;"",O499,IFERROR(INDEX(Produk!$J$2:$J$100,MATCH(C499,Produk!$A$2:$A$100,0)),"PRODUK?")))</f>
        <v/>
      </c>
      <c r="R499" s="29" t="str">
        <f aca="false">IF(A499="","",IF(COUNTIF(Anggota!$A$2:$A$2001,A499)=0,"TIDAK ADA","OK"))</f>
        <v/>
      </c>
      <c r="S499" s="29" t="str">
        <f aca="false">IF(H499="","",IF(OR(J499="",L499=""),"-",IF(ABS(H499-J499*L499)&gt;Info_Koperasi!$C$10,"SELISIH","OK")))</f>
        <v/>
      </c>
    </row>
    <row r="500" customFormat="false" ht="15" hidden="false" customHeight="false" outlineLevel="0" collapsed="false">
      <c r="A500" s="21"/>
      <c r="B500" s="22"/>
      <c r="C500" s="21"/>
      <c r="D500" s="21"/>
      <c r="E500" s="28"/>
      <c r="F500" s="24"/>
      <c r="G500" s="26"/>
      <c r="H500" s="24"/>
      <c r="I500" s="24"/>
      <c r="J500" s="24"/>
      <c r="K500" s="24"/>
      <c r="L500" s="26"/>
      <c r="M500" s="26"/>
      <c r="N500" s="22"/>
      <c r="O500" s="21"/>
      <c r="P500" s="22"/>
      <c r="Q500" s="29" t="str">
        <f aca="false">IF(C500="","",IF(O500&lt;&gt;"",O500,IFERROR(INDEX(Produk!$J$2:$J$100,MATCH(C500,Produk!$A$2:$A$100,0)),"PRODUK?")))</f>
        <v/>
      </c>
      <c r="R500" s="29" t="str">
        <f aca="false">IF(A500="","",IF(COUNTIF(Anggota!$A$2:$A$2001,A500)=0,"TIDAK ADA","OK"))</f>
        <v/>
      </c>
      <c r="S500" s="29" t="str">
        <f aca="false">IF(H500="","",IF(OR(J500="",L500=""),"-",IF(ABS(H500-J500*L500)&gt;Info_Koperasi!$C$10,"SELISIH","OK")))</f>
        <v/>
      </c>
    </row>
    <row r="501" customFormat="false" ht="15" hidden="false" customHeight="false" outlineLevel="0" collapsed="false">
      <c r="A501" s="21"/>
      <c r="B501" s="22"/>
      <c r="C501" s="21"/>
      <c r="D501" s="21"/>
      <c r="E501" s="28"/>
      <c r="F501" s="24"/>
      <c r="G501" s="26"/>
      <c r="H501" s="24"/>
      <c r="I501" s="24"/>
      <c r="J501" s="24"/>
      <c r="K501" s="24"/>
      <c r="L501" s="26"/>
      <c r="M501" s="26"/>
      <c r="N501" s="22"/>
      <c r="O501" s="21"/>
      <c r="P501" s="22"/>
      <c r="Q501" s="29" t="str">
        <f aca="false">IF(C501="","",IF(O501&lt;&gt;"",O501,IFERROR(INDEX(Produk!$J$2:$J$100,MATCH(C501,Produk!$A$2:$A$100,0)),"PRODUK?")))</f>
        <v/>
      </c>
      <c r="R501" s="29" t="str">
        <f aca="false">IF(A501="","",IF(COUNTIF(Anggota!$A$2:$A$2001,A501)=0,"TIDAK ADA","OK"))</f>
        <v/>
      </c>
      <c r="S501" s="29" t="str">
        <f aca="false">IF(H501="","",IF(OR(J501="",L501=""),"-",IF(ABS(H501-J501*L501)&gt;Info_Koperasi!$C$10,"SELISIH","OK")))</f>
        <v/>
      </c>
    </row>
    <row r="502" customFormat="false" ht="15" hidden="false" customHeight="false" outlineLevel="0" collapsed="false">
      <c r="A502" s="21"/>
      <c r="B502" s="22"/>
      <c r="C502" s="21"/>
      <c r="D502" s="21"/>
      <c r="E502" s="28"/>
      <c r="F502" s="24"/>
      <c r="G502" s="26"/>
      <c r="H502" s="24"/>
      <c r="I502" s="24"/>
      <c r="J502" s="24"/>
      <c r="K502" s="24"/>
      <c r="L502" s="26"/>
      <c r="M502" s="26"/>
      <c r="N502" s="22"/>
      <c r="O502" s="21"/>
      <c r="P502" s="22"/>
      <c r="Q502" s="29" t="str">
        <f aca="false">IF(C502="","",IF(O502&lt;&gt;"",O502,IFERROR(INDEX(Produk!$J$2:$J$100,MATCH(C502,Produk!$A$2:$A$100,0)),"PRODUK?")))</f>
        <v/>
      </c>
      <c r="R502" s="29" t="str">
        <f aca="false">IF(A502="","",IF(COUNTIF(Anggota!$A$2:$A$2001,A502)=0,"TIDAK ADA","OK"))</f>
        <v/>
      </c>
      <c r="S502" s="29" t="str">
        <f aca="false">IF(H502="","",IF(OR(J502="",L502=""),"-",IF(ABS(H502-J502*L502)&gt;Info_Koperasi!$C$10,"SELISIH","OK")))</f>
        <v/>
      </c>
    </row>
    <row r="503" customFormat="false" ht="15" hidden="false" customHeight="false" outlineLevel="0" collapsed="false">
      <c r="A503" s="21"/>
      <c r="B503" s="22"/>
      <c r="C503" s="21"/>
      <c r="D503" s="21"/>
      <c r="E503" s="28"/>
      <c r="F503" s="24"/>
      <c r="G503" s="26"/>
      <c r="H503" s="24"/>
      <c r="I503" s="24"/>
      <c r="J503" s="24"/>
      <c r="K503" s="24"/>
      <c r="L503" s="26"/>
      <c r="M503" s="26"/>
      <c r="N503" s="22"/>
      <c r="O503" s="21"/>
      <c r="P503" s="22"/>
      <c r="Q503" s="29" t="str">
        <f aca="false">IF(C503="","",IF(O503&lt;&gt;"",O503,IFERROR(INDEX(Produk!$J$2:$J$100,MATCH(C503,Produk!$A$2:$A$100,0)),"PRODUK?")))</f>
        <v/>
      </c>
      <c r="R503" s="29" t="str">
        <f aca="false">IF(A503="","",IF(COUNTIF(Anggota!$A$2:$A$2001,A503)=0,"TIDAK ADA","OK"))</f>
        <v/>
      </c>
      <c r="S503" s="29" t="str">
        <f aca="false">IF(H503="","",IF(OR(J503="",L503=""),"-",IF(ABS(H503-J503*L503)&gt;Info_Koperasi!$C$10,"SELISIH","OK")))</f>
        <v/>
      </c>
    </row>
    <row r="504" customFormat="false" ht="15" hidden="false" customHeight="false" outlineLevel="0" collapsed="false">
      <c r="A504" s="21"/>
      <c r="B504" s="22"/>
      <c r="C504" s="21"/>
      <c r="D504" s="21"/>
      <c r="E504" s="28"/>
      <c r="F504" s="24"/>
      <c r="G504" s="26"/>
      <c r="H504" s="24"/>
      <c r="I504" s="24"/>
      <c r="J504" s="24"/>
      <c r="K504" s="24"/>
      <c r="L504" s="26"/>
      <c r="M504" s="26"/>
      <c r="N504" s="22"/>
      <c r="O504" s="21"/>
      <c r="P504" s="22"/>
      <c r="Q504" s="29" t="str">
        <f aca="false">IF(C504="","",IF(O504&lt;&gt;"",O504,IFERROR(INDEX(Produk!$J$2:$J$100,MATCH(C504,Produk!$A$2:$A$100,0)),"PRODUK?")))</f>
        <v/>
      </c>
      <c r="R504" s="29" t="str">
        <f aca="false">IF(A504="","",IF(COUNTIF(Anggota!$A$2:$A$2001,A504)=0,"TIDAK ADA","OK"))</f>
        <v/>
      </c>
      <c r="S504" s="29" t="str">
        <f aca="false">IF(H504="","",IF(OR(J504="",L504=""),"-",IF(ABS(H504-J504*L504)&gt;Info_Koperasi!$C$10,"SELISIH","OK")))</f>
        <v/>
      </c>
    </row>
    <row r="505" customFormat="false" ht="15" hidden="false" customHeight="false" outlineLevel="0" collapsed="false">
      <c r="A505" s="21"/>
      <c r="B505" s="22"/>
      <c r="C505" s="21"/>
      <c r="D505" s="21"/>
      <c r="E505" s="28"/>
      <c r="F505" s="24"/>
      <c r="G505" s="26"/>
      <c r="H505" s="24"/>
      <c r="I505" s="24"/>
      <c r="J505" s="24"/>
      <c r="K505" s="24"/>
      <c r="L505" s="26"/>
      <c r="M505" s="26"/>
      <c r="N505" s="22"/>
      <c r="O505" s="21"/>
      <c r="P505" s="22"/>
      <c r="Q505" s="29" t="str">
        <f aca="false">IF(C505="","",IF(O505&lt;&gt;"",O505,IFERROR(INDEX(Produk!$J$2:$J$100,MATCH(C505,Produk!$A$2:$A$100,0)),"PRODUK?")))</f>
        <v/>
      </c>
      <c r="R505" s="29" t="str">
        <f aca="false">IF(A505="","",IF(COUNTIF(Anggota!$A$2:$A$2001,A505)=0,"TIDAK ADA","OK"))</f>
        <v/>
      </c>
      <c r="S505" s="29" t="str">
        <f aca="false">IF(H505="","",IF(OR(J505="",L505=""),"-",IF(ABS(H505-J505*L505)&gt;Info_Koperasi!$C$10,"SELISIH","OK")))</f>
        <v/>
      </c>
    </row>
    <row r="506" customFormat="false" ht="15" hidden="false" customHeight="false" outlineLevel="0" collapsed="false">
      <c r="A506" s="21"/>
      <c r="B506" s="22"/>
      <c r="C506" s="21"/>
      <c r="D506" s="21"/>
      <c r="E506" s="28"/>
      <c r="F506" s="24"/>
      <c r="G506" s="26"/>
      <c r="H506" s="24"/>
      <c r="I506" s="24"/>
      <c r="J506" s="24"/>
      <c r="K506" s="24"/>
      <c r="L506" s="26"/>
      <c r="M506" s="26"/>
      <c r="N506" s="22"/>
      <c r="O506" s="21"/>
      <c r="P506" s="22"/>
      <c r="Q506" s="29" t="str">
        <f aca="false">IF(C506="","",IF(O506&lt;&gt;"",O506,IFERROR(INDEX(Produk!$J$2:$J$100,MATCH(C506,Produk!$A$2:$A$100,0)),"PRODUK?")))</f>
        <v/>
      </c>
      <c r="R506" s="29" t="str">
        <f aca="false">IF(A506="","",IF(COUNTIF(Anggota!$A$2:$A$2001,A506)=0,"TIDAK ADA","OK"))</f>
        <v/>
      </c>
      <c r="S506" s="29" t="str">
        <f aca="false">IF(H506="","",IF(OR(J506="",L506=""),"-",IF(ABS(H506-J506*L506)&gt;Info_Koperasi!$C$10,"SELISIH","OK")))</f>
        <v/>
      </c>
    </row>
    <row r="507" customFormat="false" ht="15" hidden="false" customHeight="false" outlineLevel="0" collapsed="false">
      <c r="A507" s="21"/>
      <c r="B507" s="22"/>
      <c r="C507" s="21"/>
      <c r="D507" s="21"/>
      <c r="E507" s="28"/>
      <c r="F507" s="24"/>
      <c r="G507" s="26"/>
      <c r="H507" s="24"/>
      <c r="I507" s="24"/>
      <c r="J507" s="24"/>
      <c r="K507" s="24"/>
      <c r="L507" s="26"/>
      <c r="M507" s="26"/>
      <c r="N507" s="22"/>
      <c r="O507" s="21"/>
      <c r="P507" s="22"/>
      <c r="Q507" s="29" t="str">
        <f aca="false">IF(C507="","",IF(O507&lt;&gt;"",O507,IFERROR(INDEX(Produk!$J$2:$J$100,MATCH(C507,Produk!$A$2:$A$100,0)),"PRODUK?")))</f>
        <v/>
      </c>
      <c r="R507" s="29" t="str">
        <f aca="false">IF(A507="","",IF(COUNTIF(Anggota!$A$2:$A$2001,A507)=0,"TIDAK ADA","OK"))</f>
        <v/>
      </c>
      <c r="S507" s="29" t="str">
        <f aca="false">IF(H507="","",IF(OR(J507="",L507=""),"-",IF(ABS(H507-J507*L507)&gt;Info_Koperasi!$C$10,"SELISIH","OK")))</f>
        <v/>
      </c>
    </row>
    <row r="508" customFormat="false" ht="15" hidden="false" customHeight="false" outlineLevel="0" collapsed="false">
      <c r="A508" s="21"/>
      <c r="B508" s="22"/>
      <c r="C508" s="21"/>
      <c r="D508" s="21"/>
      <c r="E508" s="28"/>
      <c r="F508" s="24"/>
      <c r="G508" s="26"/>
      <c r="H508" s="24"/>
      <c r="I508" s="24"/>
      <c r="J508" s="24"/>
      <c r="K508" s="24"/>
      <c r="L508" s="26"/>
      <c r="M508" s="26"/>
      <c r="N508" s="22"/>
      <c r="O508" s="21"/>
      <c r="P508" s="22"/>
      <c r="Q508" s="29" t="str">
        <f aca="false">IF(C508="","",IF(O508&lt;&gt;"",O508,IFERROR(INDEX(Produk!$J$2:$J$100,MATCH(C508,Produk!$A$2:$A$100,0)),"PRODUK?")))</f>
        <v/>
      </c>
      <c r="R508" s="29" t="str">
        <f aca="false">IF(A508="","",IF(COUNTIF(Anggota!$A$2:$A$2001,A508)=0,"TIDAK ADA","OK"))</f>
        <v/>
      </c>
      <c r="S508" s="29" t="str">
        <f aca="false">IF(H508="","",IF(OR(J508="",L508=""),"-",IF(ABS(H508-J508*L508)&gt;Info_Koperasi!$C$10,"SELISIH","OK")))</f>
        <v/>
      </c>
    </row>
    <row r="509" customFormat="false" ht="15" hidden="false" customHeight="false" outlineLevel="0" collapsed="false">
      <c r="A509" s="21"/>
      <c r="B509" s="22"/>
      <c r="C509" s="21"/>
      <c r="D509" s="21"/>
      <c r="E509" s="28"/>
      <c r="F509" s="24"/>
      <c r="G509" s="26"/>
      <c r="H509" s="24"/>
      <c r="I509" s="24"/>
      <c r="J509" s="24"/>
      <c r="K509" s="24"/>
      <c r="L509" s="26"/>
      <c r="M509" s="26"/>
      <c r="N509" s="22"/>
      <c r="O509" s="21"/>
      <c r="P509" s="22"/>
      <c r="Q509" s="29" t="str">
        <f aca="false">IF(C509="","",IF(O509&lt;&gt;"",O509,IFERROR(INDEX(Produk!$J$2:$J$100,MATCH(C509,Produk!$A$2:$A$100,0)),"PRODUK?")))</f>
        <v/>
      </c>
      <c r="R509" s="29" t="str">
        <f aca="false">IF(A509="","",IF(COUNTIF(Anggota!$A$2:$A$2001,A509)=0,"TIDAK ADA","OK"))</f>
        <v/>
      </c>
      <c r="S509" s="29" t="str">
        <f aca="false">IF(H509="","",IF(OR(J509="",L509=""),"-",IF(ABS(H509-J509*L509)&gt;Info_Koperasi!$C$10,"SELISIH","OK")))</f>
        <v/>
      </c>
    </row>
    <row r="510" customFormat="false" ht="15" hidden="false" customHeight="false" outlineLevel="0" collapsed="false">
      <c r="A510" s="21"/>
      <c r="B510" s="22"/>
      <c r="C510" s="21"/>
      <c r="D510" s="21"/>
      <c r="E510" s="28"/>
      <c r="F510" s="24"/>
      <c r="G510" s="26"/>
      <c r="H510" s="24"/>
      <c r="I510" s="24"/>
      <c r="J510" s="24"/>
      <c r="K510" s="24"/>
      <c r="L510" s="26"/>
      <c r="M510" s="26"/>
      <c r="N510" s="22"/>
      <c r="O510" s="21"/>
      <c r="P510" s="22"/>
      <c r="Q510" s="29" t="str">
        <f aca="false">IF(C510="","",IF(O510&lt;&gt;"",O510,IFERROR(INDEX(Produk!$J$2:$J$100,MATCH(C510,Produk!$A$2:$A$100,0)),"PRODUK?")))</f>
        <v/>
      </c>
      <c r="R510" s="29" t="str">
        <f aca="false">IF(A510="","",IF(COUNTIF(Anggota!$A$2:$A$2001,A510)=0,"TIDAK ADA","OK"))</f>
        <v/>
      </c>
      <c r="S510" s="29" t="str">
        <f aca="false">IF(H510="","",IF(OR(J510="",L510=""),"-",IF(ABS(H510-J510*L510)&gt;Info_Koperasi!$C$10,"SELISIH","OK")))</f>
        <v/>
      </c>
    </row>
    <row r="511" customFormat="false" ht="15" hidden="false" customHeight="false" outlineLevel="0" collapsed="false">
      <c r="A511" s="21"/>
      <c r="B511" s="22"/>
      <c r="C511" s="21"/>
      <c r="D511" s="21"/>
      <c r="E511" s="28"/>
      <c r="F511" s="24"/>
      <c r="G511" s="26"/>
      <c r="H511" s="24"/>
      <c r="I511" s="24"/>
      <c r="J511" s="24"/>
      <c r="K511" s="24"/>
      <c r="L511" s="26"/>
      <c r="M511" s="26"/>
      <c r="N511" s="22"/>
      <c r="O511" s="21"/>
      <c r="P511" s="22"/>
      <c r="Q511" s="29" t="str">
        <f aca="false">IF(C511="","",IF(O511&lt;&gt;"",O511,IFERROR(INDEX(Produk!$J$2:$J$100,MATCH(C511,Produk!$A$2:$A$100,0)),"PRODUK?")))</f>
        <v/>
      </c>
      <c r="R511" s="29" t="str">
        <f aca="false">IF(A511="","",IF(COUNTIF(Anggota!$A$2:$A$2001,A511)=0,"TIDAK ADA","OK"))</f>
        <v/>
      </c>
      <c r="S511" s="29" t="str">
        <f aca="false">IF(H511="","",IF(OR(J511="",L511=""),"-",IF(ABS(H511-J511*L511)&gt;Info_Koperasi!$C$10,"SELISIH","OK")))</f>
        <v/>
      </c>
    </row>
    <row r="512" customFormat="false" ht="15" hidden="false" customHeight="false" outlineLevel="0" collapsed="false">
      <c r="A512" s="21"/>
      <c r="B512" s="22"/>
      <c r="C512" s="21"/>
      <c r="D512" s="21"/>
      <c r="E512" s="28"/>
      <c r="F512" s="24"/>
      <c r="G512" s="26"/>
      <c r="H512" s="24"/>
      <c r="I512" s="24"/>
      <c r="J512" s="24"/>
      <c r="K512" s="24"/>
      <c r="L512" s="26"/>
      <c r="M512" s="26"/>
      <c r="N512" s="22"/>
      <c r="O512" s="21"/>
      <c r="P512" s="22"/>
      <c r="Q512" s="29" t="str">
        <f aca="false">IF(C512="","",IF(O512&lt;&gt;"",O512,IFERROR(INDEX(Produk!$J$2:$J$100,MATCH(C512,Produk!$A$2:$A$100,0)),"PRODUK?")))</f>
        <v/>
      </c>
      <c r="R512" s="29" t="str">
        <f aca="false">IF(A512="","",IF(COUNTIF(Anggota!$A$2:$A$2001,A512)=0,"TIDAK ADA","OK"))</f>
        <v/>
      </c>
      <c r="S512" s="29" t="str">
        <f aca="false">IF(H512="","",IF(OR(J512="",L512=""),"-",IF(ABS(H512-J512*L512)&gt;Info_Koperasi!$C$10,"SELISIH","OK")))</f>
        <v/>
      </c>
    </row>
    <row r="513" customFormat="false" ht="15" hidden="false" customHeight="false" outlineLevel="0" collapsed="false">
      <c r="A513" s="21"/>
      <c r="B513" s="22"/>
      <c r="C513" s="21"/>
      <c r="D513" s="21"/>
      <c r="E513" s="28"/>
      <c r="F513" s="24"/>
      <c r="G513" s="26"/>
      <c r="H513" s="24"/>
      <c r="I513" s="24"/>
      <c r="J513" s="24"/>
      <c r="K513" s="24"/>
      <c r="L513" s="26"/>
      <c r="M513" s="26"/>
      <c r="N513" s="22"/>
      <c r="O513" s="21"/>
      <c r="P513" s="22"/>
      <c r="Q513" s="29" t="str">
        <f aca="false">IF(C513="","",IF(O513&lt;&gt;"",O513,IFERROR(INDEX(Produk!$J$2:$J$100,MATCH(C513,Produk!$A$2:$A$100,0)),"PRODUK?")))</f>
        <v/>
      </c>
      <c r="R513" s="29" t="str">
        <f aca="false">IF(A513="","",IF(COUNTIF(Anggota!$A$2:$A$2001,A513)=0,"TIDAK ADA","OK"))</f>
        <v/>
      </c>
      <c r="S513" s="29" t="str">
        <f aca="false">IF(H513="","",IF(OR(J513="",L513=""),"-",IF(ABS(H513-J513*L513)&gt;Info_Koperasi!$C$10,"SELISIH","OK")))</f>
        <v/>
      </c>
    </row>
    <row r="514" customFormat="false" ht="15" hidden="false" customHeight="false" outlineLevel="0" collapsed="false">
      <c r="A514" s="21"/>
      <c r="B514" s="22"/>
      <c r="C514" s="21"/>
      <c r="D514" s="21"/>
      <c r="E514" s="28"/>
      <c r="F514" s="24"/>
      <c r="G514" s="26"/>
      <c r="H514" s="24"/>
      <c r="I514" s="24"/>
      <c r="J514" s="24"/>
      <c r="K514" s="24"/>
      <c r="L514" s="26"/>
      <c r="M514" s="26"/>
      <c r="N514" s="22"/>
      <c r="O514" s="21"/>
      <c r="P514" s="22"/>
      <c r="Q514" s="29" t="str">
        <f aca="false">IF(C514="","",IF(O514&lt;&gt;"",O514,IFERROR(INDEX(Produk!$J$2:$J$100,MATCH(C514,Produk!$A$2:$A$100,0)),"PRODUK?")))</f>
        <v/>
      </c>
      <c r="R514" s="29" t="str">
        <f aca="false">IF(A514="","",IF(COUNTIF(Anggota!$A$2:$A$2001,A514)=0,"TIDAK ADA","OK"))</f>
        <v/>
      </c>
      <c r="S514" s="29" t="str">
        <f aca="false">IF(H514="","",IF(OR(J514="",L514=""),"-",IF(ABS(H514-J514*L514)&gt;Info_Koperasi!$C$10,"SELISIH","OK")))</f>
        <v/>
      </c>
    </row>
    <row r="515" customFormat="false" ht="15" hidden="false" customHeight="false" outlineLevel="0" collapsed="false">
      <c r="A515" s="21"/>
      <c r="B515" s="22"/>
      <c r="C515" s="21"/>
      <c r="D515" s="21"/>
      <c r="E515" s="28"/>
      <c r="F515" s="24"/>
      <c r="G515" s="26"/>
      <c r="H515" s="24"/>
      <c r="I515" s="24"/>
      <c r="J515" s="24"/>
      <c r="K515" s="24"/>
      <c r="L515" s="26"/>
      <c r="M515" s="26"/>
      <c r="N515" s="22"/>
      <c r="O515" s="21"/>
      <c r="P515" s="22"/>
      <c r="Q515" s="29" t="str">
        <f aca="false">IF(C515="","",IF(O515&lt;&gt;"",O515,IFERROR(INDEX(Produk!$J$2:$J$100,MATCH(C515,Produk!$A$2:$A$100,0)),"PRODUK?")))</f>
        <v/>
      </c>
      <c r="R515" s="29" t="str">
        <f aca="false">IF(A515="","",IF(COUNTIF(Anggota!$A$2:$A$2001,A515)=0,"TIDAK ADA","OK"))</f>
        <v/>
      </c>
      <c r="S515" s="29" t="str">
        <f aca="false">IF(H515="","",IF(OR(J515="",L515=""),"-",IF(ABS(H515-J515*L515)&gt;Info_Koperasi!$C$10,"SELISIH","OK")))</f>
        <v/>
      </c>
    </row>
    <row r="516" customFormat="false" ht="15" hidden="false" customHeight="false" outlineLevel="0" collapsed="false">
      <c r="A516" s="21"/>
      <c r="B516" s="22"/>
      <c r="C516" s="21"/>
      <c r="D516" s="21"/>
      <c r="E516" s="28"/>
      <c r="F516" s="24"/>
      <c r="G516" s="26"/>
      <c r="H516" s="24"/>
      <c r="I516" s="24"/>
      <c r="J516" s="24"/>
      <c r="K516" s="24"/>
      <c r="L516" s="26"/>
      <c r="M516" s="26"/>
      <c r="N516" s="22"/>
      <c r="O516" s="21"/>
      <c r="P516" s="22"/>
      <c r="Q516" s="29" t="str">
        <f aca="false">IF(C516="","",IF(O516&lt;&gt;"",O516,IFERROR(INDEX(Produk!$J$2:$J$100,MATCH(C516,Produk!$A$2:$A$100,0)),"PRODUK?")))</f>
        <v/>
      </c>
      <c r="R516" s="29" t="str">
        <f aca="false">IF(A516="","",IF(COUNTIF(Anggota!$A$2:$A$2001,A516)=0,"TIDAK ADA","OK"))</f>
        <v/>
      </c>
      <c r="S516" s="29" t="str">
        <f aca="false">IF(H516="","",IF(OR(J516="",L516=""),"-",IF(ABS(H516-J516*L516)&gt;Info_Koperasi!$C$10,"SELISIH","OK")))</f>
        <v/>
      </c>
    </row>
    <row r="517" customFormat="false" ht="15" hidden="false" customHeight="false" outlineLevel="0" collapsed="false">
      <c r="A517" s="21"/>
      <c r="B517" s="22"/>
      <c r="C517" s="21"/>
      <c r="D517" s="21"/>
      <c r="E517" s="28"/>
      <c r="F517" s="24"/>
      <c r="G517" s="26"/>
      <c r="H517" s="24"/>
      <c r="I517" s="24"/>
      <c r="J517" s="24"/>
      <c r="K517" s="24"/>
      <c r="L517" s="26"/>
      <c r="M517" s="26"/>
      <c r="N517" s="22"/>
      <c r="O517" s="21"/>
      <c r="P517" s="22"/>
      <c r="Q517" s="29" t="str">
        <f aca="false">IF(C517="","",IF(O517&lt;&gt;"",O517,IFERROR(INDEX(Produk!$J$2:$J$100,MATCH(C517,Produk!$A$2:$A$100,0)),"PRODUK?")))</f>
        <v/>
      </c>
      <c r="R517" s="29" t="str">
        <f aca="false">IF(A517="","",IF(COUNTIF(Anggota!$A$2:$A$2001,A517)=0,"TIDAK ADA","OK"))</f>
        <v/>
      </c>
      <c r="S517" s="29" t="str">
        <f aca="false">IF(H517="","",IF(OR(J517="",L517=""),"-",IF(ABS(H517-J517*L517)&gt;Info_Koperasi!$C$10,"SELISIH","OK")))</f>
        <v/>
      </c>
    </row>
    <row r="518" customFormat="false" ht="15" hidden="false" customHeight="false" outlineLevel="0" collapsed="false">
      <c r="A518" s="21"/>
      <c r="B518" s="22"/>
      <c r="C518" s="21"/>
      <c r="D518" s="21"/>
      <c r="E518" s="28"/>
      <c r="F518" s="24"/>
      <c r="G518" s="26"/>
      <c r="H518" s="24"/>
      <c r="I518" s="24"/>
      <c r="J518" s="24"/>
      <c r="K518" s="24"/>
      <c r="L518" s="26"/>
      <c r="M518" s="26"/>
      <c r="N518" s="22"/>
      <c r="O518" s="21"/>
      <c r="P518" s="22"/>
      <c r="Q518" s="29" t="str">
        <f aca="false">IF(C518="","",IF(O518&lt;&gt;"",O518,IFERROR(INDEX(Produk!$J$2:$J$100,MATCH(C518,Produk!$A$2:$A$100,0)),"PRODUK?")))</f>
        <v/>
      </c>
      <c r="R518" s="29" t="str">
        <f aca="false">IF(A518="","",IF(COUNTIF(Anggota!$A$2:$A$2001,A518)=0,"TIDAK ADA","OK"))</f>
        <v/>
      </c>
      <c r="S518" s="29" t="str">
        <f aca="false">IF(H518="","",IF(OR(J518="",L518=""),"-",IF(ABS(H518-J518*L518)&gt;Info_Koperasi!$C$10,"SELISIH","OK")))</f>
        <v/>
      </c>
    </row>
    <row r="519" customFormat="false" ht="15" hidden="false" customHeight="false" outlineLevel="0" collapsed="false">
      <c r="A519" s="21"/>
      <c r="B519" s="22"/>
      <c r="C519" s="21"/>
      <c r="D519" s="21"/>
      <c r="E519" s="28"/>
      <c r="F519" s="24"/>
      <c r="G519" s="26"/>
      <c r="H519" s="24"/>
      <c r="I519" s="24"/>
      <c r="J519" s="24"/>
      <c r="K519" s="24"/>
      <c r="L519" s="26"/>
      <c r="M519" s="26"/>
      <c r="N519" s="22"/>
      <c r="O519" s="21"/>
      <c r="P519" s="22"/>
      <c r="Q519" s="29" t="str">
        <f aca="false">IF(C519="","",IF(O519&lt;&gt;"",O519,IFERROR(INDEX(Produk!$J$2:$J$100,MATCH(C519,Produk!$A$2:$A$100,0)),"PRODUK?")))</f>
        <v/>
      </c>
      <c r="R519" s="29" t="str">
        <f aca="false">IF(A519="","",IF(COUNTIF(Anggota!$A$2:$A$2001,A519)=0,"TIDAK ADA","OK"))</f>
        <v/>
      </c>
      <c r="S519" s="29" t="str">
        <f aca="false">IF(H519="","",IF(OR(J519="",L519=""),"-",IF(ABS(H519-J519*L519)&gt;Info_Koperasi!$C$10,"SELISIH","OK")))</f>
        <v/>
      </c>
    </row>
    <row r="520" customFormat="false" ht="15" hidden="false" customHeight="false" outlineLevel="0" collapsed="false">
      <c r="A520" s="21"/>
      <c r="B520" s="22"/>
      <c r="C520" s="21"/>
      <c r="D520" s="21"/>
      <c r="E520" s="28"/>
      <c r="F520" s="24"/>
      <c r="G520" s="26"/>
      <c r="H520" s="24"/>
      <c r="I520" s="24"/>
      <c r="J520" s="24"/>
      <c r="K520" s="24"/>
      <c r="L520" s="26"/>
      <c r="M520" s="26"/>
      <c r="N520" s="22"/>
      <c r="O520" s="21"/>
      <c r="P520" s="22"/>
      <c r="Q520" s="29" t="str">
        <f aca="false">IF(C520="","",IF(O520&lt;&gt;"",O520,IFERROR(INDEX(Produk!$J$2:$J$100,MATCH(C520,Produk!$A$2:$A$100,0)),"PRODUK?")))</f>
        <v/>
      </c>
      <c r="R520" s="29" t="str">
        <f aca="false">IF(A520="","",IF(COUNTIF(Anggota!$A$2:$A$2001,A520)=0,"TIDAK ADA","OK"))</f>
        <v/>
      </c>
      <c r="S520" s="29" t="str">
        <f aca="false">IF(H520="","",IF(OR(J520="",L520=""),"-",IF(ABS(H520-J520*L520)&gt;Info_Koperasi!$C$10,"SELISIH","OK")))</f>
        <v/>
      </c>
    </row>
    <row r="521" customFormat="false" ht="15" hidden="false" customHeight="false" outlineLevel="0" collapsed="false">
      <c r="A521" s="21"/>
      <c r="B521" s="22"/>
      <c r="C521" s="21"/>
      <c r="D521" s="21"/>
      <c r="E521" s="28"/>
      <c r="F521" s="24"/>
      <c r="G521" s="26"/>
      <c r="H521" s="24"/>
      <c r="I521" s="24"/>
      <c r="J521" s="24"/>
      <c r="K521" s="24"/>
      <c r="L521" s="26"/>
      <c r="M521" s="26"/>
      <c r="N521" s="22"/>
      <c r="O521" s="21"/>
      <c r="P521" s="22"/>
      <c r="Q521" s="29" t="str">
        <f aca="false">IF(C521="","",IF(O521&lt;&gt;"",O521,IFERROR(INDEX(Produk!$J$2:$J$100,MATCH(C521,Produk!$A$2:$A$100,0)),"PRODUK?")))</f>
        <v/>
      </c>
      <c r="R521" s="29" t="str">
        <f aca="false">IF(A521="","",IF(COUNTIF(Anggota!$A$2:$A$2001,A521)=0,"TIDAK ADA","OK"))</f>
        <v/>
      </c>
      <c r="S521" s="29" t="str">
        <f aca="false">IF(H521="","",IF(OR(J521="",L521=""),"-",IF(ABS(H521-J521*L521)&gt;Info_Koperasi!$C$10,"SELISIH","OK")))</f>
        <v/>
      </c>
    </row>
    <row r="522" customFormat="false" ht="15" hidden="false" customHeight="false" outlineLevel="0" collapsed="false">
      <c r="A522" s="21"/>
      <c r="B522" s="22"/>
      <c r="C522" s="21"/>
      <c r="D522" s="21"/>
      <c r="E522" s="28"/>
      <c r="F522" s="24"/>
      <c r="G522" s="26"/>
      <c r="H522" s="24"/>
      <c r="I522" s="24"/>
      <c r="J522" s="24"/>
      <c r="K522" s="24"/>
      <c r="L522" s="26"/>
      <c r="M522" s="26"/>
      <c r="N522" s="22"/>
      <c r="O522" s="21"/>
      <c r="P522" s="22"/>
      <c r="Q522" s="29" t="str">
        <f aca="false">IF(C522="","",IF(O522&lt;&gt;"",O522,IFERROR(INDEX(Produk!$J$2:$J$100,MATCH(C522,Produk!$A$2:$A$100,0)),"PRODUK?")))</f>
        <v/>
      </c>
      <c r="R522" s="29" t="str">
        <f aca="false">IF(A522="","",IF(COUNTIF(Anggota!$A$2:$A$2001,A522)=0,"TIDAK ADA","OK"))</f>
        <v/>
      </c>
      <c r="S522" s="29" t="str">
        <f aca="false">IF(H522="","",IF(OR(J522="",L522=""),"-",IF(ABS(H522-J522*L522)&gt;Info_Koperasi!$C$10,"SELISIH","OK")))</f>
        <v/>
      </c>
    </row>
    <row r="523" customFormat="false" ht="15" hidden="false" customHeight="false" outlineLevel="0" collapsed="false">
      <c r="A523" s="21"/>
      <c r="B523" s="22"/>
      <c r="C523" s="21"/>
      <c r="D523" s="21"/>
      <c r="E523" s="28"/>
      <c r="F523" s="24"/>
      <c r="G523" s="26"/>
      <c r="H523" s="24"/>
      <c r="I523" s="24"/>
      <c r="J523" s="24"/>
      <c r="K523" s="24"/>
      <c r="L523" s="26"/>
      <c r="M523" s="26"/>
      <c r="N523" s="22"/>
      <c r="O523" s="21"/>
      <c r="P523" s="22"/>
      <c r="Q523" s="29" t="str">
        <f aca="false">IF(C523="","",IF(O523&lt;&gt;"",O523,IFERROR(INDEX(Produk!$J$2:$J$100,MATCH(C523,Produk!$A$2:$A$100,0)),"PRODUK?")))</f>
        <v/>
      </c>
      <c r="R523" s="29" t="str">
        <f aca="false">IF(A523="","",IF(COUNTIF(Anggota!$A$2:$A$2001,A523)=0,"TIDAK ADA","OK"))</f>
        <v/>
      </c>
      <c r="S523" s="29" t="str">
        <f aca="false">IF(H523="","",IF(OR(J523="",L523=""),"-",IF(ABS(H523-J523*L523)&gt;Info_Koperasi!$C$10,"SELISIH","OK")))</f>
        <v/>
      </c>
    </row>
    <row r="524" customFormat="false" ht="15" hidden="false" customHeight="false" outlineLevel="0" collapsed="false">
      <c r="A524" s="21"/>
      <c r="B524" s="22"/>
      <c r="C524" s="21"/>
      <c r="D524" s="21"/>
      <c r="E524" s="28"/>
      <c r="F524" s="24"/>
      <c r="G524" s="26"/>
      <c r="H524" s="24"/>
      <c r="I524" s="24"/>
      <c r="J524" s="24"/>
      <c r="K524" s="24"/>
      <c r="L524" s="26"/>
      <c r="M524" s="26"/>
      <c r="N524" s="22"/>
      <c r="O524" s="21"/>
      <c r="P524" s="22"/>
      <c r="Q524" s="29" t="str">
        <f aca="false">IF(C524="","",IF(O524&lt;&gt;"",O524,IFERROR(INDEX(Produk!$J$2:$J$100,MATCH(C524,Produk!$A$2:$A$100,0)),"PRODUK?")))</f>
        <v/>
      </c>
      <c r="R524" s="29" t="str">
        <f aca="false">IF(A524="","",IF(COUNTIF(Anggota!$A$2:$A$2001,A524)=0,"TIDAK ADA","OK"))</f>
        <v/>
      </c>
      <c r="S524" s="29" t="str">
        <f aca="false">IF(H524="","",IF(OR(J524="",L524=""),"-",IF(ABS(H524-J524*L524)&gt;Info_Koperasi!$C$10,"SELISIH","OK")))</f>
        <v/>
      </c>
    </row>
    <row r="525" customFormat="false" ht="15" hidden="false" customHeight="false" outlineLevel="0" collapsed="false">
      <c r="A525" s="21"/>
      <c r="B525" s="22"/>
      <c r="C525" s="21"/>
      <c r="D525" s="21"/>
      <c r="E525" s="28"/>
      <c r="F525" s="24"/>
      <c r="G525" s="26"/>
      <c r="H525" s="24"/>
      <c r="I525" s="24"/>
      <c r="J525" s="24"/>
      <c r="K525" s="24"/>
      <c r="L525" s="26"/>
      <c r="M525" s="26"/>
      <c r="N525" s="22"/>
      <c r="O525" s="21"/>
      <c r="P525" s="22"/>
      <c r="Q525" s="29" t="str">
        <f aca="false">IF(C525="","",IF(O525&lt;&gt;"",O525,IFERROR(INDEX(Produk!$J$2:$J$100,MATCH(C525,Produk!$A$2:$A$100,0)),"PRODUK?")))</f>
        <v/>
      </c>
      <c r="R525" s="29" t="str">
        <f aca="false">IF(A525="","",IF(COUNTIF(Anggota!$A$2:$A$2001,A525)=0,"TIDAK ADA","OK"))</f>
        <v/>
      </c>
      <c r="S525" s="29" t="str">
        <f aca="false">IF(H525="","",IF(OR(J525="",L525=""),"-",IF(ABS(H525-J525*L525)&gt;Info_Koperasi!$C$10,"SELISIH","OK")))</f>
        <v/>
      </c>
    </row>
    <row r="526" customFormat="false" ht="15" hidden="false" customHeight="false" outlineLevel="0" collapsed="false">
      <c r="A526" s="21"/>
      <c r="B526" s="22"/>
      <c r="C526" s="21"/>
      <c r="D526" s="21"/>
      <c r="E526" s="28"/>
      <c r="F526" s="24"/>
      <c r="G526" s="26"/>
      <c r="H526" s="24"/>
      <c r="I526" s="24"/>
      <c r="J526" s="24"/>
      <c r="K526" s="24"/>
      <c r="L526" s="26"/>
      <c r="M526" s="26"/>
      <c r="N526" s="22"/>
      <c r="O526" s="21"/>
      <c r="P526" s="22"/>
      <c r="Q526" s="29" t="str">
        <f aca="false">IF(C526="","",IF(O526&lt;&gt;"",O526,IFERROR(INDEX(Produk!$J$2:$J$100,MATCH(C526,Produk!$A$2:$A$100,0)),"PRODUK?")))</f>
        <v/>
      </c>
      <c r="R526" s="29" t="str">
        <f aca="false">IF(A526="","",IF(COUNTIF(Anggota!$A$2:$A$2001,A526)=0,"TIDAK ADA","OK"))</f>
        <v/>
      </c>
      <c r="S526" s="29" t="str">
        <f aca="false">IF(H526="","",IF(OR(J526="",L526=""),"-",IF(ABS(H526-J526*L526)&gt;Info_Koperasi!$C$10,"SELISIH","OK")))</f>
        <v/>
      </c>
    </row>
    <row r="527" customFormat="false" ht="15" hidden="false" customHeight="false" outlineLevel="0" collapsed="false">
      <c r="A527" s="21"/>
      <c r="B527" s="22"/>
      <c r="C527" s="21"/>
      <c r="D527" s="21"/>
      <c r="E527" s="28"/>
      <c r="F527" s="24"/>
      <c r="G527" s="26"/>
      <c r="H527" s="24"/>
      <c r="I527" s="24"/>
      <c r="J527" s="24"/>
      <c r="K527" s="24"/>
      <c r="L527" s="26"/>
      <c r="M527" s="26"/>
      <c r="N527" s="22"/>
      <c r="O527" s="21"/>
      <c r="P527" s="22"/>
      <c r="Q527" s="29" t="str">
        <f aca="false">IF(C527="","",IF(O527&lt;&gt;"",O527,IFERROR(INDEX(Produk!$J$2:$J$100,MATCH(C527,Produk!$A$2:$A$100,0)),"PRODUK?")))</f>
        <v/>
      </c>
      <c r="R527" s="29" t="str">
        <f aca="false">IF(A527="","",IF(COUNTIF(Anggota!$A$2:$A$2001,A527)=0,"TIDAK ADA","OK"))</f>
        <v/>
      </c>
      <c r="S527" s="29" t="str">
        <f aca="false">IF(H527="","",IF(OR(J527="",L527=""),"-",IF(ABS(H527-J527*L527)&gt;Info_Koperasi!$C$10,"SELISIH","OK")))</f>
        <v/>
      </c>
    </row>
    <row r="528" customFormat="false" ht="15" hidden="false" customHeight="false" outlineLevel="0" collapsed="false">
      <c r="A528" s="21"/>
      <c r="B528" s="22"/>
      <c r="C528" s="21"/>
      <c r="D528" s="21"/>
      <c r="E528" s="28"/>
      <c r="F528" s="24"/>
      <c r="G528" s="26"/>
      <c r="H528" s="24"/>
      <c r="I528" s="24"/>
      <c r="J528" s="24"/>
      <c r="K528" s="24"/>
      <c r="L528" s="26"/>
      <c r="M528" s="26"/>
      <c r="N528" s="22"/>
      <c r="O528" s="21"/>
      <c r="P528" s="22"/>
      <c r="Q528" s="29" t="str">
        <f aca="false">IF(C528="","",IF(O528&lt;&gt;"",O528,IFERROR(INDEX(Produk!$J$2:$J$100,MATCH(C528,Produk!$A$2:$A$100,0)),"PRODUK?")))</f>
        <v/>
      </c>
      <c r="R528" s="29" t="str">
        <f aca="false">IF(A528="","",IF(COUNTIF(Anggota!$A$2:$A$2001,A528)=0,"TIDAK ADA","OK"))</f>
        <v/>
      </c>
      <c r="S528" s="29" t="str">
        <f aca="false">IF(H528="","",IF(OR(J528="",L528=""),"-",IF(ABS(H528-J528*L528)&gt;Info_Koperasi!$C$10,"SELISIH","OK")))</f>
        <v/>
      </c>
    </row>
    <row r="529" customFormat="false" ht="15" hidden="false" customHeight="false" outlineLevel="0" collapsed="false">
      <c r="A529" s="21"/>
      <c r="B529" s="22"/>
      <c r="C529" s="21"/>
      <c r="D529" s="21"/>
      <c r="E529" s="28"/>
      <c r="F529" s="24"/>
      <c r="G529" s="26"/>
      <c r="H529" s="24"/>
      <c r="I529" s="24"/>
      <c r="J529" s="24"/>
      <c r="K529" s="24"/>
      <c r="L529" s="26"/>
      <c r="M529" s="26"/>
      <c r="N529" s="22"/>
      <c r="O529" s="21"/>
      <c r="P529" s="22"/>
      <c r="Q529" s="29" t="str">
        <f aca="false">IF(C529="","",IF(O529&lt;&gt;"",O529,IFERROR(INDEX(Produk!$J$2:$J$100,MATCH(C529,Produk!$A$2:$A$100,0)),"PRODUK?")))</f>
        <v/>
      </c>
      <c r="R529" s="29" t="str">
        <f aca="false">IF(A529="","",IF(COUNTIF(Anggota!$A$2:$A$2001,A529)=0,"TIDAK ADA","OK"))</f>
        <v/>
      </c>
      <c r="S529" s="29" t="str">
        <f aca="false">IF(H529="","",IF(OR(J529="",L529=""),"-",IF(ABS(H529-J529*L529)&gt;Info_Koperasi!$C$10,"SELISIH","OK")))</f>
        <v/>
      </c>
    </row>
    <row r="530" customFormat="false" ht="15" hidden="false" customHeight="false" outlineLevel="0" collapsed="false">
      <c r="A530" s="21"/>
      <c r="B530" s="22"/>
      <c r="C530" s="21"/>
      <c r="D530" s="21"/>
      <c r="E530" s="28"/>
      <c r="F530" s="24"/>
      <c r="G530" s="26"/>
      <c r="H530" s="24"/>
      <c r="I530" s="24"/>
      <c r="J530" s="24"/>
      <c r="K530" s="24"/>
      <c r="L530" s="26"/>
      <c r="M530" s="26"/>
      <c r="N530" s="22"/>
      <c r="O530" s="21"/>
      <c r="P530" s="22"/>
      <c r="Q530" s="29" t="str">
        <f aca="false">IF(C530="","",IF(O530&lt;&gt;"",O530,IFERROR(INDEX(Produk!$J$2:$J$100,MATCH(C530,Produk!$A$2:$A$100,0)),"PRODUK?")))</f>
        <v/>
      </c>
      <c r="R530" s="29" t="str">
        <f aca="false">IF(A530="","",IF(COUNTIF(Anggota!$A$2:$A$2001,A530)=0,"TIDAK ADA","OK"))</f>
        <v/>
      </c>
      <c r="S530" s="29" t="str">
        <f aca="false">IF(H530="","",IF(OR(J530="",L530=""),"-",IF(ABS(H530-J530*L530)&gt;Info_Koperasi!$C$10,"SELISIH","OK")))</f>
        <v/>
      </c>
    </row>
    <row r="531" customFormat="false" ht="15" hidden="false" customHeight="false" outlineLevel="0" collapsed="false">
      <c r="A531" s="21"/>
      <c r="B531" s="22"/>
      <c r="C531" s="21"/>
      <c r="D531" s="21"/>
      <c r="E531" s="28"/>
      <c r="F531" s="24"/>
      <c r="G531" s="26"/>
      <c r="H531" s="24"/>
      <c r="I531" s="24"/>
      <c r="J531" s="24"/>
      <c r="K531" s="24"/>
      <c r="L531" s="26"/>
      <c r="M531" s="26"/>
      <c r="N531" s="22"/>
      <c r="O531" s="21"/>
      <c r="P531" s="22"/>
      <c r="Q531" s="29" t="str">
        <f aca="false">IF(C531="","",IF(O531&lt;&gt;"",O531,IFERROR(INDEX(Produk!$J$2:$J$100,MATCH(C531,Produk!$A$2:$A$100,0)),"PRODUK?")))</f>
        <v/>
      </c>
      <c r="R531" s="29" t="str">
        <f aca="false">IF(A531="","",IF(COUNTIF(Anggota!$A$2:$A$2001,A531)=0,"TIDAK ADA","OK"))</f>
        <v/>
      </c>
      <c r="S531" s="29" t="str">
        <f aca="false">IF(H531="","",IF(OR(J531="",L531=""),"-",IF(ABS(H531-J531*L531)&gt;Info_Koperasi!$C$10,"SELISIH","OK")))</f>
        <v/>
      </c>
    </row>
    <row r="532" customFormat="false" ht="15" hidden="false" customHeight="false" outlineLevel="0" collapsed="false">
      <c r="A532" s="21"/>
      <c r="B532" s="22"/>
      <c r="C532" s="21"/>
      <c r="D532" s="21"/>
      <c r="E532" s="28"/>
      <c r="F532" s="24"/>
      <c r="G532" s="26"/>
      <c r="H532" s="24"/>
      <c r="I532" s="24"/>
      <c r="J532" s="24"/>
      <c r="K532" s="24"/>
      <c r="L532" s="26"/>
      <c r="M532" s="26"/>
      <c r="N532" s="22"/>
      <c r="O532" s="21"/>
      <c r="P532" s="22"/>
      <c r="Q532" s="29" t="str">
        <f aca="false">IF(C532="","",IF(O532&lt;&gt;"",O532,IFERROR(INDEX(Produk!$J$2:$J$100,MATCH(C532,Produk!$A$2:$A$100,0)),"PRODUK?")))</f>
        <v/>
      </c>
      <c r="R532" s="29" t="str">
        <f aca="false">IF(A532="","",IF(COUNTIF(Anggota!$A$2:$A$2001,A532)=0,"TIDAK ADA","OK"))</f>
        <v/>
      </c>
      <c r="S532" s="29" t="str">
        <f aca="false">IF(H532="","",IF(OR(J532="",L532=""),"-",IF(ABS(H532-J532*L532)&gt;Info_Koperasi!$C$10,"SELISIH","OK")))</f>
        <v/>
      </c>
    </row>
    <row r="533" customFormat="false" ht="15" hidden="false" customHeight="false" outlineLevel="0" collapsed="false">
      <c r="A533" s="21"/>
      <c r="B533" s="22"/>
      <c r="C533" s="21"/>
      <c r="D533" s="21"/>
      <c r="E533" s="28"/>
      <c r="F533" s="24"/>
      <c r="G533" s="26"/>
      <c r="H533" s="24"/>
      <c r="I533" s="24"/>
      <c r="J533" s="24"/>
      <c r="K533" s="24"/>
      <c r="L533" s="26"/>
      <c r="M533" s="26"/>
      <c r="N533" s="22"/>
      <c r="O533" s="21"/>
      <c r="P533" s="22"/>
      <c r="Q533" s="29" t="str">
        <f aca="false">IF(C533="","",IF(O533&lt;&gt;"",O533,IFERROR(INDEX(Produk!$J$2:$J$100,MATCH(C533,Produk!$A$2:$A$100,0)),"PRODUK?")))</f>
        <v/>
      </c>
      <c r="R533" s="29" t="str">
        <f aca="false">IF(A533="","",IF(COUNTIF(Anggota!$A$2:$A$2001,A533)=0,"TIDAK ADA","OK"))</f>
        <v/>
      </c>
      <c r="S533" s="29" t="str">
        <f aca="false">IF(H533="","",IF(OR(J533="",L533=""),"-",IF(ABS(H533-J533*L533)&gt;Info_Koperasi!$C$10,"SELISIH","OK")))</f>
        <v/>
      </c>
    </row>
    <row r="534" customFormat="false" ht="15" hidden="false" customHeight="false" outlineLevel="0" collapsed="false">
      <c r="A534" s="21"/>
      <c r="B534" s="22"/>
      <c r="C534" s="21"/>
      <c r="D534" s="21"/>
      <c r="E534" s="28"/>
      <c r="F534" s="24"/>
      <c r="G534" s="26"/>
      <c r="H534" s="24"/>
      <c r="I534" s="24"/>
      <c r="J534" s="24"/>
      <c r="K534" s="24"/>
      <c r="L534" s="26"/>
      <c r="M534" s="26"/>
      <c r="N534" s="22"/>
      <c r="O534" s="21"/>
      <c r="P534" s="22"/>
      <c r="Q534" s="29" t="str">
        <f aca="false">IF(C534="","",IF(O534&lt;&gt;"",O534,IFERROR(INDEX(Produk!$J$2:$J$100,MATCH(C534,Produk!$A$2:$A$100,0)),"PRODUK?")))</f>
        <v/>
      </c>
      <c r="R534" s="29" t="str">
        <f aca="false">IF(A534="","",IF(COUNTIF(Anggota!$A$2:$A$2001,A534)=0,"TIDAK ADA","OK"))</f>
        <v/>
      </c>
      <c r="S534" s="29" t="str">
        <f aca="false">IF(H534="","",IF(OR(J534="",L534=""),"-",IF(ABS(H534-J534*L534)&gt;Info_Koperasi!$C$10,"SELISIH","OK")))</f>
        <v/>
      </c>
    </row>
    <row r="535" customFormat="false" ht="15" hidden="false" customHeight="false" outlineLevel="0" collapsed="false">
      <c r="A535" s="21"/>
      <c r="B535" s="22"/>
      <c r="C535" s="21"/>
      <c r="D535" s="21"/>
      <c r="E535" s="28"/>
      <c r="F535" s="24"/>
      <c r="G535" s="26"/>
      <c r="H535" s="24"/>
      <c r="I535" s="24"/>
      <c r="J535" s="24"/>
      <c r="K535" s="24"/>
      <c r="L535" s="26"/>
      <c r="M535" s="26"/>
      <c r="N535" s="22"/>
      <c r="O535" s="21"/>
      <c r="P535" s="22"/>
      <c r="Q535" s="29" t="str">
        <f aca="false">IF(C535="","",IF(O535&lt;&gt;"",O535,IFERROR(INDEX(Produk!$J$2:$J$100,MATCH(C535,Produk!$A$2:$A$100,0)),"PRODUK?")))</f>
        <v/>
      </c>
      <c r="R535" s="29" t="str">
        <f aca="false">IF(A535="","",IF(COUNTIF(Anggota!$A$2:$A$2001,A535)=0,"TIDAK ADA","OK"))</f>
        <v/>
      </c>
      <c r="S535" s="29" t="str">
        <f aca="false">IF(H535="","",IF(OR(J535="",L535=""),"-",IF(ABS(H535-J535*L535)&gt;Info_Koperasi!$C$10,"SELISIH","OK")))</f>
        <v/>
      </c>
    </row>
    <row r="536" customFormat="false" ht="15" hidden="false" customHeight="false" outlineLevel="0" collapsed="false">
      <c r="A536" s="21"/>
      <c r="B536" s="22"/>
      <c r="C536" s="21"/>
      <c r="D536" s="21"/>
      <c r="E536" s="28"/>
      <c r="F536" s="24"/>
      <c r="G536" s="26"/>
      <c r="H536" s="24"/>
      <c r="I536" s="24"/>
      <c r="J536" s="24"/>
      <c r="K536" s="24"/>
      <c r="L536" s="26"/>
      <c r="M536" s="26"/>
      <c r="N536" s="22"/>
      <c r="O536" s="21"/>
      <c r="P536" s="22"/>
      <c r="Q536" s="29" t="str">
        <f aca="false">IF(C536="","",IF(O536&lt;&gt;"",O536,IFERROR(INDEX(Produk!$J$2:$J$100,MATCH(C536,Produk!$A$2:$A$100,0)),"PRODUK?")))</f>
        <v/>
      </c>
      <c r="R536" s="29" t="str">
        <f aca="false">IF(A536="","",IF(COUNTIF(Anggota!$A$2:$A$2001,A536)=0,"TIDAK ADA","OK"))</f>
        <v/>
      </c>
      <c r="S536" s="29" t="str">
        <f aca="false">IF(H536="","",IF(OR(J536="",L536=""),"-",IF(ABS(H536-J536*L536)&gt;Info_Koperasi!$C$10,"SELISIH","OK")))</f>
        <v/>
      </c>
    </row>
    <row r="537" customFormat="false" ht="15" hidden="false" customHeight="false" outlineLevel="0" collapsed="false">
      <c r="A537" s="21"/>
      <c r="B537" s="22"/>
      <c r="C537" s="21"/>
      <c r="D537" s="21"/>
      <c r="E537" s="28"/>
      <c r="F537" s="24"/>
      <c r="G537" s="26"/>
      <c r="H537" s="24"/>
      <c r="I537" s="24"/>
      <c r="J537" s="24"/>
      <c r="K537" s="24"/>
      <c r="L537" s="26"/>
      <c r="M537" s="26"/>
      <c r="N537" s="22"/>
      <c r="O537" s="21"/>
      <c r="P537" s="22"/>
      <c r="Q537" s="29" t="str">
        <f aca="false">IF(C537="","",IF(O537&lt;&gt;"",O537,IFERROR(INDEX(Produk!$J$2:$J$100,MATCH(C537,Produk!$A$2:$A$100,0)),"PRODUK?")))</f>
        <v/>
      </c>
      <c r="R537" s="29" t="str">
        <f aca="false">IF(A537="","",IF(COUNTIF(Anggota!$A$2:$A$2001,A537)=0,"TIDAK ADA","OK"))</f>
        <v/>
      </c>
      <c r="S537" s="29" t="str">
        <f aca="false">IF(H537="","",IF(OR(J537="",L537=""),"-",IF(ABS(H537-J537*L537)&gt;Info_Koperasi!$C$10,"SELISIH","OK")))</f>
        <v/>
      </c>
    </row>
    <row r="538" customFormat="false" ht="15" hidden="false" customHeight="false" outlineLevel="0" collapsed="false">
      <c r="A538" s="21"/>
      <c r="B538" s="22"/>
      <c r="C538" s="21"/>
      <c r="D538" s="21"/>
      <c r="E538" s="28"/>
      <c r="F538" s="24"/>
      <c r="G538" s="26"/>
      <c r="H538" s="24"/>
      <c r="I538" s="24"/>
      <c r="J538" s="24"/>
      <c r="K538" s="24"/>
      <c r="L538" s="26"/>
      <c r="M538" s="26"/>
      <c r="N538" s="22"/>
      <c r="O538" s="21"/>
      <c r="P538" s="22"/>
      <c r="Q538" s="29" t="str">
        <f aca="false">IF(C538="","",IF(O538&lt;&gt;"",O538,IFERROR(INDEX(Produk!$J$2:$J$100,MATCH(C538,Produk!$A$2:$A$100,0)),"PRODUK?")))</f>
        <v/>
      </c>
      <c r="R538" s="29" t="str">
        <f aca="false">IF(A538="","",IF(COUNTIF(Anggota!$A$2:$A$2001,A538)=0,"TIDAK ADA","OK"))</f>
        <v/>
      </c>
      <c r="S538" s="29" t="str">
        <f aca="false">IF(H538="","",IF(OR(J538="",L538=""),"-",IF(ABS(H538-J538*L538)&gt;Info_Koperasi!$C$10,"SELISIH","OK")))</f>
        <v/>
      </c>
    </row>
    <row r="539" customFormat="false" ht="15" hidden="false" customHeight="false" outlineLevel="0" collapsed="false">
      <c r="A539" s="21"/>
      <c r="B539" s="22"/>
      <c r="C539" s="21"/>
      <c r="D539" s="21"/>
      <c r="E539" s="28"/>
      <c r="F539" s="24"/>
      <c r="G539" s="26"/>
      <c r="H539" s="24"/>
      <c r="I539" s="24"/>
      <c r="J539" s="24"/>
      <c r="K539" s="24"/>
      <c r="L539" s="26"/>
      <c r="M539" s="26"/>
      <c r="N539" s="22"/>
      <c r="O539" s="21"/>
      <c r="P539" s="22"/>
      <c r="Q539" s="29" t="str">
        <f aca="false">IF(C539="","",IF(O539&lt;&gt;"",O539,IFERROR(INDEX(Produk!$J$2:$J$100,MATCH(C539,Produk!$A$2:$A$100,0)),"PRODUK?")))</f>
        <v/>
      </c>
      <c r="R539" s="29" t="str">
        <f aca="false">IF(A539="","",IF(COUNTIF(Anggota!$A$2:$A$2001,A539)=0,"TIDAK ADA","OK"))</f>
        <v/>
      </c>
      <c r="S539" s="29" t="str">
        <f aca="false">IF(H539="","",IF(OR(J539="",L539=""),"-",IF(ABS(H539-J539*L539)&gt;Info_Koperasi!$C$10,"SELISIH","OK")))</f>
        <v/>
      </c>
    </row>
    <row r="540" customFormat="false" ht="15" hidden="false" customHeight="false" outlineLevel="0" collapsed="false">
      <c r="A540" s="21"/>
      <c r="B540" s="22"/>
      <c r="C540" s="21"/>
      <c r="D540" s="21"/>
      <c r="E540" s="28"/>
      <c r="F540" s="24"/>
      <c r="G540" s="26"/>
      <c r="H540" s="24"/>
      <c r="I540" s="24"/>
      <c r="J540" s="24"/>
      <c r="K540" s="24"/>
      <c r="L540" s="26"/>
      <c r="M540" s="26"/>
      <c r="N540" s="22"/>
      <c r="O540" s="21"/>
      <c r="P540" s="22"/>
      <c r="Q540" s="29" t="str">
        <f aca="false">IF(C540="","",IF(O540&lt;&gt;"",O540,IFERROR(INDEX(Produk!$J$2:$J$100,MATCH(C540,Produk!$A$2:$A$100,0)),"PRODUK?")))</f>
        <v/>
      </c>
      <c r="R540" s="29" t="str">
        <f aca="false">IF(A540="","",IF(COUNTIF(Anggota!$A$2:$A$2001,A540)=0,"TIDAK ADA","OK"))</f>
        <v/>
      </c>
      <c r="S540" s="29" t="str">
        <f aca="false">IF(H540="","",IF(OR(J540="",L540=""),"-",IF(ABS(H540-J540*L540)&gt;Info_Koperasi!$C$10,"SELISIH","OK")))</f>
        <v/>
      </c>
    </row>
    <row r="541" customFormat="false" ht="15" hidden="false" customHeight="false" outlineLevel="0" collapsed="false">
      <c r="A541" s="21"/>
      <c r="B541" s="22"/>
      <c r="C541" s="21"/>
      <c r="D541" s="21"/>
      <c r="E541" s="28"/>
      <c r="F541" s="24"/>
      <c r="G541" s="26"/>
      <c r="H541" s="24"/>
      <c r="I541" s="24"/>
      <c r="J541" s="24"/>
      <c r="K541" s="24"/>
      <c r="L541" s="26"/>
      <c r="M541" s="26"/>
      <c r="N541" s="22"/>
      <c r="O541" s="21"/>
      <c r="P541" s="22"/>
      <c r="Q541" s="29" t="str">
        <f aca="false">IF(C541="","",IF(O541&lt;&gt;"",O541,IFERROR(INDEX(Produk!$J$2:$J$100,MATCH(C541,Produk!$A$2:$A$100,0)),"PRODUK?")))</f>
        <v/>
      </c>
      <c r="R541" s="29" t="str">
        <f aca="false">IF(A541="","",IF(COUNTIF(Anggota!$A$2:$A$2001,A541)=0,"TIDAK ADA","OK"))</f>
        <v/>
      </c>
      <c r="S541" s="29" t="str">
        <f aca="false">IF(H541="","",IF(OR(J541="",L541=""),"-",IF(ABS(H541-J541*L541)&gt;Info_Koperasi!$C$10,"SELISIH","OK")))</f>
        <v/>
      </c>
    </row>
    <row r="542" customFormat="false" ht="15" hidden="false" customHeight="false" outlineLevel="0" collapsed="false">
      <c r="A542" s="21"/>
      <c r="B542" s="22"/>
      <c r="C542" s="21"/>
      <c r="D542" s="21"/>
      <c r="E542" s="28"/>
      <c r="F542" s="24"/>
      <c r="G542" s="26"/>
      <c r="H542" s="24"/>
      <c r="I542" s="24"/>
      <c r="J542" s="24"/>
      <c r="K542" s="24"/>
      <c r="L542" s="26"/>
      <c r="M542" s="26"/>
      <c r="N542" s="22"/>
      <c r="O542" s="21"/>
      <c r="P542" s="22"/>
      <c r="Q542" s="29" t="str">
        <f aca="false">IF(C542="","",IF(O542&lt;&gt;"",O542,IFERROR(INDEX(Produk!$J$2:$J$100,MATCH(C542,Produk!$A$2:$A$100,0)),"PRODUK?")))</f>
        <v/>
      </c>
      <c r="R542" s="29" t="str">
        <f aca="false">IF(A542="","",IF(COUNTIF(Anggota!$A$2:$A$2001,A542)=0,"TIDAK ADA","OK"))</f>
        <v/>
      </c>
      <c r="S542" s="29" t="str">
        <f aca="false">IF(H542="","",IF(OR(J542="",L542=""),"-",IF(ABS(H542-J542*L542)&gt;Info_Koperasi!$C$10,"SELISIH","OK")))</f>
        <v/>
      </c>
    </row>
    <row r="543" customFormat="false" ht="15" hidden="false" customHeight="false" outlineLevel="0" collapsed="false">
      <c r="A543" s="21"/>
      <c r="B543" s="22"/>
      <c r="C543" s="21"/>
      <c r="D543" s="21"/>
      <c r="E543" s="28"/>
      <c r="F543" s="24"/>
      <c r="G543" s="26"/>
      <c r="H543" s="24"/>
      <c r="I543" s="24"/>
      <c r="J543" s="24"/>
      <c r="K543" s="24"/>
      <c r="L543" s="26"/>
      <c r="M543" s="26"/>
      <c r="N543" s="22"/>
      <c r="O543" s="21"/>
      <c r="P543" s="22"/>
      <c r="Q543" s="29" t="str">
        <f aca="false">IF(C543="","",IF(O543&lt;&gt;"",O543,IFERROR(INDEX(Produk!$J$2:$J$100,MATCH(C543,Produk!$A$2:$A$100,0)),"PRODUK?")))</f>
        <v/>
      </c>
      <c r="R543" s="29" t="str">
        <f aca="false">IF(A543="","",IF(COUNTIF(Anggota!$A$2:$A$2001,A543)=0,"TIDAK ADA","OK"))</f>
        <v/>
      </c>
      <c r="S543" s="29" t="str">
        <f aca="false">IF(H543="","",IF(OR(J543="",L543=""),"-",IF(ABS(H543-J543*L543)&gt;Info_Koperasi!$C$10,"SELISIH","OK")))</f>
        <v/>
      </c>
    </row>
    <row r="544" customFormat="false" ht="15" hidden="false" customHeight="false" outlineLevel="0" collapsed="false">
      <c r="A544" s="21"/>
      <c r="B544" s="22"/>
      <c r="C544" s="21"/>
      <c r="D544" s="21"/>
      <c r="E544" s="28"/>
      <c r="F544" s="24"/>
      <c r="G544" s="26"/>
      <c r="H544" s="24"/>
      <c r="I544" s="24"/>
      <c r="J544" s="24"/>
      <c r="K544" s="24"/>
      <c r="L544" s="26"/>
      <c r="M544" s="26"/>
      <c r="N544" s="22"/>
      <c r="O544" s="21"/>
      <c r="P544" s="22"/>
      <c r="Q544" s="29" t="str">
        <f aca="false">IF(C544="","",IF(O544&lt;&gt;"",O544,IFERROR(INDEX(Produk!$J$2:$J$100,MATCH(C544,Produk!$A$2:$A$100,0)),"PRODUK?")))</f>
        <v/>
      </c>
      <c r="R544" s="29" t="str">
        <f aca="false">IF(A544="","",IF(COUNTIF(Anggota!$A$2:$A$2001,A544)=0,"TIDAK ADA","OK"))</f>
        <v/>
      </c>
      <c r="S544" s="29" t="str">
        <f aca="false">IF(H544="","",IF(OR(J544="",L544=""),"-",IF(ABS(H544-J544*L544)&gt;Info_Koperasi!$C$10,"SELISIH","OK")))</f>
        <v/>
      </c>
    </row>
    <row r="545" customFormat="false" ht="15" hidden="false" customHeight="false" outlineLevel="0" collapsed="false">
      <c r="A545" s="21"/>
      <c r="B545" s="22"/>
      <c r="C545" s="21"/>
      <c r="D545" s="21"/>
      <c r="E545" s="28"/>
      <c r="F545" s="24"/>
      <c r="G545" s="26"/>
      <c r="H545" s="24"/>
      <c r="I545" s="24"/>
      <c r="J545" s="24"/>
      <c r="K545" s="24"/>
      <c r="L545" s="26"/>
      <c r="M545" s="26"/>
      <c r="N545" s="22"/>
      <c r="O545" s="21"/>
      <c r="P545" s="22"/>
      <c r="Q545" s="29" t="str">
        <f aca="false">IF(C545="","",IF(O545&lt;&gt;"",O545,IFERROR(INDEX(Produk!$J$2:$J$100,MATCH(C545,Produk!$A$2:$A$100,0)),"PRODUK?")))</f>
        <v/>
      </c>
      <c r="R545" s="29" t="str">
        <f aca="false">IF(A545="","",IF(COUNTIF(Anggota!$A$2:$A$2001,A545)=0,"TIDAK ADA","OK"))</f>
        <v/>
      </c>
      <c r="S545" s="29" t="str">
        <f aca="false">IF(H545="","",IF(OR(J545="",L545=""),"-",IF(ABS(H545-J545*L545)&gt;Info_Koperasi!$C$10,"SELISIH","OK")))</f>
        <v/>
      </c>
    </row>
    <row r="546" customFormat="false" ht="15" hidden="false" customHeight="false" outlineLevel="0" collapsed="false">
      <c r="A546" s="21"/>
      <c r="B546" s="22"/>
      <c r="C546" s="21"/>
      <c r="D546" s="21"/>
      <c r="E546" s="28"/>
      <c r="F546" s="24"/>
      <c r="G546" s="26"/>
      <c r="H546" s="24"/>
      <c r="I546" s="24"/>
      <c r="J546" s="24"/>
      <c r="K546" s="24"/>
      <c r="L546" s="26"/>
      <c r="M546" s="26"/>
      <c r="N546" s="22"/>
      <c r="O546" s="21"/>
      <c r="P546" s="22"/>
      <c r="Q546" s="29" t="str">
        <f aca="false">IF(C546="","",IF(O546&lt;&gt;"",O546,IFERROR(INDEX(Produk!$J$2:$J$100,MATCH(C546,Produk!$A$2:$A$100,0)),"PRODUK?")))</f>
        <v/>
      </c>
      <c r="R546" s="29" t="str">
        <f aca="false">IF(A546="","",IF(COUNTIF(Anggota!$A$2:$A$2001,A546)=0,"TIDAK ADA","OK"))</f>
        <v/>
      </c>
      <c r="S546" s="29" t="str">
        <f aca="false">IF(H546="","",IF(OR(J546="",L546=""),"-",IF(ABS(H546-J546*L546)&gt;Info_Koperasi!$C$10,"SELISIH","OK")))</f>
        <v/>
      </c>
    </row>
    <row r="547" customFormat="false" ht="15" hidden="false" customHeight="false" outlineLevel="0" collapsed="false">
      <c r="A547" s="21"/>
      <c r="B547" s="22"/>
      <c r="C547" s="21"/>
      <c r="D547" s="21"/>
      <c r="E547" s="28"/>
      <c r="F547" s="24"/>
      <c r="G547" s="26"/>
      <c r="H547" s="24"/>
      <c r="I547" s="24"/>
      <c r="J547" s="24"/>
      <c r="K547" s="24"/>
      <c r="L547" s="26"/>
      <c r="M547" s="26"/>
      <c r="N547" s="22"/>
      <c r="O547" s="21"/>
      <c r="P547" s="22"/>
      <c r="Q547" s="29" t="str">
        <f aca="false">IF(C547="","",IF(O547&lt;&gt;"",O547,IFERROR(INDEX(Produk!$J$2:$J$100,MATCH(C547,Produk!$A$2:$A$100,0)),"PRODUK?")))</f>
        <v/>
      </c>
      <c r="R547" s="29" t="str">
        <f aca="false">IF(A547="","",IF(COUNTIF(Anggota!$A$2:$A$2001,A547)=0,"TIDAK ADA","OK"))</f>
        <v/>
      </c>
      <c r="S547" s="29" t="str">
        <f aca="false">IF(H547="","",IF(OR(J547="",L547=""),"-",IF(ABS(H547-J547*L547)&gt;Info_Koperasi!$C$10,"SELISIH","OK")))</f>
        <v/>
      </c>
    </row>
    <row r="548" customFormat="false" ht="15" hidden="false" customHeight="false" outlineLevel="0" collapsed="false">
      <c r="A548" s="21"/>
      <c r="B548" s="22"/>
      <c r="C548" s="21"/>
      <c r="D548" s="21"/>
      <c r="E548" s="28"/>
      <c r="F548" s="24"/>
      <c r="G548" s="26"/>
      <c r="H548" s="24"/>
      <c r="I548" s="24"/>
      <c r="J548" s="24"/>
      <c r="K548" s="24"/>
      <c r="L548" s="26"/>
      <c r="M548" s="26"/>
      <c r="N548" s="22"/>
      <c r="O548" s="21"/>
      <c r="P548" s="22"/>
      <c r="Q548" s="29" t="str">
        <f aca="false">IF(C548="","",IF(O548&lt;&gt;"",O548,IFERROR(INDEX(Produk!$J$2:$J$100,MATCH(C548,Produk!$A$2:$A$100,0)),"PRODUK?")))</f>
        <v/>
      </c>
      <c r="R548" s="29" t="str">
        <f aca="false">IF(A548="","",IF(COUNTIF(Anggota!$A$2:$A$2001,A548)=0,"TIDAK ADA","OK"))</f>
        <v/>
      </c>
      <c r="S548" s="29" t="str">
        <f aca="false">IF(H548="","",IF(OR(J548="",L548=""),"-",IF(ABS(H548-J548*L548)&gt;Info_Koperasi!$C$10,"SELISIH","OK")))</f>
        <v/>
      </c>
    </row>
    <row r="549" customFormat="false" ht="15" hidden="false" customHeight="false" outlineLevel="0" collapsed="false">
      <c r="A549" s="21"/>
      <c r="B549" s="22"/>
      <c r="C549" s="21"/>
      <c r="D549" s="21"/>
      <c r="E549" s="28"/>
      <c r="F549" s="24"/>
      <c r="G549" s="26"/>
      <c r="H549" s="24"/>
      <c r="I549" s="24"/>
      <c r="J549" s="24"/>
      <c r="K549" s="24"/>
      <c r="L549" s="26"/>
      <c r="M549" s="26"/>
      <c r="N549" s="22"/>
      <c r="O549" s="21"/>
      <c r="P549" s="22"/>
      <c r="Q549" s="29" t="str">
        <f aca="false">IF(C549="","",IF(O549&lt;&gt;"",O549,IFERROR(INDEX(Produk!$J$2:$J$100,MATCH(C549,Produk!$A$2:$A$100,0)),"PRODUK?")))</f>
        <v/>
      </c>
      <c r="R549" s="29" t="str">
        <f aca="false">IF(A549="","",IF(COUNTIF(Anggota!$A$2:$A$2001,A549)=0,"TIDAK ADA","OK"))</f>
        <v/>
      </c>
      <c r="S549" s="29" t="str">
        <f aca="false">IF(H549="","",IF(OR(J549="",L549=""),"-",IF(ABS(H549-J549*L549)&gt;Info_Koperasi!$C$10,"SELISIH","OK")))</f>
        <v/>
      </c>
    </row>
    <row r="550" customFormat="false" ht="15" hidden="false" customHeight="false" outlineLevel="0" collapsed="false">
      <c r="A550" s="21"/>
      <c r="B550" s="22"/>
      <c r="C550" s="21"/>
      <c r="D550" s="21"/>
      <c r="E550" s="28"/>
      <c r="F550" s="24"/>
      <c r="G550" s="26"/>
      <c r="H550" s="24"/>
      <c r="I550" s="24"/>
      <c r="J550" s="24"/>
      <c r="K550" s="24"/>
      <c r="L550" s="26"/>
      <c r="M550" s="26"/>
      <c r="N550" s="22"/>
      <c r="O550" s="21"/>
      <c r="P550" s="22"/>
      <c r="Q550" s="29" t="str">
        <f aca="false">IF(C550="","",IF(O550&lt;&gt;"",O550,IFERROR(INDEX(Produk!$J$2:$J$100,MATCH(C550,Produk!$A$2:$A$100,0)),"PRODUK?")))</f>
        <v/>
      </c>
      <c r="R550" s="29" t="str">
        <f aca="false">IF(A550="","",IF(COUNTIF(Anggota!$A$2:$A$2001,A550)=0,"TIDAK ADA","OK"))</f>
        <v/>
      </c>
      <c r="S550" s="29" t="str">
        <f aca="false">IF(H550="","",IF(OR(J550="",L550=""),"-",IF(ABS(H550-J550*L550)&gt;Info_Koperasi!$C$10,"SELISIH","OK")))</f>
        <v/>
      </c>
    </row>
    <row r="551" customFormat="false" ht="15" hidden="false" customHeight="false" outlineLevel="0" collapsed="false">
      <c r="A551" s="21"/>
      <c r="B551" s="22"/>
      <c r="C551" s="21"/>
      <c r="D551" s="21"/>
      <c r="E551" s="28"/>
      <c r="F551" s="24"/>
      <c r="G551" s="26"/>
      <c r="H551" s="24"/>
      <c r="I551" s="24"/>
      <c r="J551" s="24"/>
      <c r="K551" s="24"/>
      <c r="L551" s="26"/>
      <c r="M551" s="26"/>
      <c r="N551" s="22"/>
      <c r="O551" s="21"/>
      <c r="P551" s="22"/>
      <c r="Q551" s="29" t="str">
        <f aca="false">IF(C551="","",IF(O551&lt;&gt;"",O551,IFERROR(INDEX(Produk!$J$2:$J$100,MATCH(C551,Produk!$A$2:$A$100,0)),"PRODUK?")))</f>
        <v/>
      </c>
      <c r="R551" s="29" t="str">
        <f aca="false">IF(A551="","",IF(COUNTIF(Anggota!$A$2:$A$2001,A551)=0,"TIDAK ADA","OK"))</f>
        <v/>
      </c>
      <c r="S551" s="29" t="str">
        <f aca="false">IF(H551="","",IF(OR(J551="",L551=""),"-",IF(ABS(H551-J551*L551)&gt;Info_Koperasi!$C$10,"SELISIH","OK")))</f>
        <v/>
      </c>
    </row>
    <row r="552" customFormat="false" ht="15" hidden="false" customHeight="false" outlineLevel="0" collapsed="false">
      <c r="A552" s="21"/>
      <c r="B552" s="22"/>
      <c r="C552" s="21"/>
      <c r="D552" s="21"/>
      <c r="E552" s="28"/>
      <c r="F552" s="24"/>
      <c r="G552" s="26"/>
      <c r="H552" s="24"/>
      <c r="I552" s="24"/>
      <c r="J552" s="24"/>
      <c r="K552" s="24"/>
      <c r="L552" s="26"/>
      <c r="M552" s="26"/>
      <c r="N552" s="22"/>
      <c r="O552" s="21"/>
      <c r="P552" s="22"/>
      <c r="Q552" s="29" t="str">
        <f aca="false">IF(C552="","",IF(O552&lt;&gt;"",O552,IFERROR(INDEX(Produk!$J$2:$J$100,MATCH(C552,Produk!$A$2:$A$100,0)),"PRODUK?")))</f>
        <v/>
      </c>
      <c r="R552" s="29" t="str">
        <f aca="false">IF(A552="","",IF(COUNTIF(Anggota!$A$2:$A$2001,A552)=0,"TIDAK ADA","OK"))</f>
        <v/>
      </c>
      <c r="S552" s="29" t="str">
        <f aca="false">IF(H552="","",IF(OR(J552="",L552=""),"-",IF(ABS(H552-J552*L552)&gt;Info_Koperasi!$C$10,"SELISIH","OK")))</f>
        <v/>
      </c>
    </row>
    <row r="553" customFormat="false" ht="15" hidden="false" customHeight="false" outlineLevel="0" collapsed="false">
      <c r="A553" s="21"/>
      <c r="B553" s="22"/>
      <c r="C553" s="21"/>
      <c r="D553" s="21"/>
      <c r="E553" s="28"/>
      <c r="F553" s="24"/>
      <c r="G553" s="26"/>
      <c r="H553" s="24"/>
      <c r="I553" s="24"/>
      <c r="J553" s="24"/>
      <c r="K553" s="24"/>
      <c r="L553" s="26"/>
      <c r="M553" s="26"/>
      <c r="N553" s="22"/>
      <c r="O553" s="21"/>
      <c r="P553" s="22"/>
      <c r="Q553" s="29" t="str">
        <f aca="false">IF(C553="","",IF(O553&lt;&gt;"",O553,IFERROR(INDEX(Produk!$J$2:$J$100,MATCH(C553,Produk!$A$2:$A$100,0)),"PRODUK?")))</f>
        <v/>
      </c>
      <c r="R553" s="29" t="str">
        <f aca="false">IF(A553="","",IF(COUNTIF(Anggota!$A$2:$A$2001,A553)=0,"TIDAK ADA","OK"))</f>
        <v/>
      </c>
      <c r="S553" s="29" t="str">
        <f aca="false">IF(H553="","",IF(OR(J553="",L553=""),"-",IF(ABS(H553-J553*L553)&gt;Info_Koperasi!$C$10,"SELISIH","OK")))</f>
        <v/>
      </c>
    </row>
    <row r="554" customFormat="false" ht="15" hidden="false" customHeight="false" outlineLevel="0" collapsed="false">
      <c r="A554" s="21"/>
      <c r="B554" s="22"/>
      <c r="C554" s="21"/>
      <c r="D554" s="21"/>
      <c r="E554" s="28"/>
      <c r="F554" s="24"/>
      <c r="G554" s="26"/>
      <c r="H554" s="24"/>
      <c r="I554" s="24"/>
      <c r="J554" s="24"/>
      <c r="K554" s="24"/>
      <c r="L554" s="26"/>
      <c r="M554" s="26"/>
      <c r="N554" s="22"/>
      <c r="O554" s="21"/>
      <c r="P554" s="22"/>
      <c r="Q554" s="29" t="str">
        <f aca="false">IF(C554="","",IF(O554&lt;&gt;"",O554,IFERROR(INDEX(Produk!$J$2:$J$100,MATCH(C554,Produk!$A$2:$A$100,0)),"PRODUK?")))</f>
        <v/>
      </c>
      <c r="R554" s="29" t="str">
        <f aca="false">IF(A554="","",IF(COUNTIF(Anggota!$A$2:$A$2001,A554)=0,"TIDAK ADA","OK"))</f>
        <v/>
      </c>
      <c r="S554" s="29" t="str">
        <f aca="false">IF(H554="","",IF(OR(J554="",L554=""),"-",IF(ABS(H554-J554*L554)&gt;Info_Koperasi!$C$10,"SELISIH","OK")))</f>
        <v/>
      </c>
    </row>
    <row r="555" customFormat="false" ht="15" hidden="false" customHeight="false" outlineLevel="0" collapsed="false">
      <c r="A555" s="21"/>
      <c r="B555" s="22"/>
      <c r="C555" s="21"/>
      <c r="D555" s="21"/>
      <c r="E555" s="28"/>
      <c r="F555" s="24"/>
      <c r="G555" s="26"/>
      <c r="H555" s="24"/>
      <c r="I555" s="24"/>
      <c r="J555" s="24"/>
      <c r="K555" s="24"/>
      <c r="L555" s="26"/>
      <c r="M555" s="26"/>
      <c r="N555" s="22"/>
      <c r="O555" s="21"/>
      <c r="P555" s="22"/>
      <c r="Q555" s="29" t="str">
        <f aca="false">IF(C555="","",IF(O555&lt;&gt;"",O555,IFERROR(INDEX(Produk!$J$2:$J$100,MATCH(C555,Produk!$A$2:$A$100,0)),"PRODUK?")))</f>
        <v/>
      </c>
      <c r="R555" s="29" t="str">
        <f aca="false">IF(A555="","",IF(COUNTIF(Anggota!$A$2:$A$2001,A555)=0,"TIDAK ADA","OK"))</f>
        <v/>
      </c>
      <c r="S555" s="29" t="str">
        <f aca="false">IF(H555="","",IF(OR(J555="",L555=""),"-",IF(ABS(H555-J555*L555)&gt;Info_Koperasi!$C$10,"SELISIH","OK")))</f>
        <v/>
      </c>
    </row>
    <row r="556" customFormat="false" ht="15" hidden="false" customHeight="false" outlineLevel="0" collapsed="false">
      <c r="A556" s="21"/>
      <c r="B556" s="22"/>
      <c r="C556" s="21"/>
      <c r="D556" s="21"/>
      <c r="E556" s="28"/>
      <c r="F556" s="24"/>
      <c r="G556" s="26"/>
      <c r="H556" s="24"/>
      <c r="I556" s="24"/>
      <c r="J556" s="24"/>
      <c r="K556" s="24"/>
      <c r="L556" s="26"/>
      <c r="M556" s="26"/>
      <c r="N556" s="22"/>
      <c r="O556" s="21"/>
      <c r="P556" s="22"/>
      <c r="Q556" s="29" t="str">
        <f aca="false">IF(C556="","",IF(O556&lt;&gt;"",O556,IFERROR(INDEX(Produk!$J$2:$J$100,MATCH(C556,Produk!$A$2:$A$100,0)),"PRODUK?")))</f>
        <v/>
      </c>
      <c r="R556" s="29" t="str">
        <f aca="false">IF(A556="","",IF(COUNTIF(Anggota!$A$2:$A$2001,A556)=0,"TIDAK ADA","OK"))</f>
        <v/>
      </c>
      <c r="S556" s="29" t="str">
        <f aca="false">IF(H556="","",IF(OR(J556="",L556=""),"-",IF(ABS(H556-J556*L556)&gt;Info_Koperasi!$C$10,"SELISIH","OK")))</f>
        <v/>
      </c>
    </row>
    <row r="557" customFormat="false" ht="15" hidden="false" customHeight="false" outlineLevel="0" collapsed="false">
      <c r="A557" s="21"/>
      <c r="B557" s="22"/>
      <c r="C557" s="21"/>
      <c r="D557" s="21"/>
      <c r="E557" s="28"/>
      <c r="F557" s="24"/>
      <c r="G557" s="26"/>
      <c r="H557" s="24"/>
      <c r="I557" s="24"/>
      <c r="J557" s="24"/>
      <c r="K557" s="24"/>
      <c r="L557" s="26"/>
      <c r="M557" s="26"/>
      <c r="N557" s="22"/>
      <c r="O557" s="21"/>
      <c r="P557" s="22"/>
      <c r="Q557" s="29" t="str">
        <f aca="false">IF(C557="","",IF(O557&lt;&gt;"",O557,IFERROR(INDEX(Produk!$J$2:$J$100,MATCH(C557,Produk!$A$2:$A$100,0)),"PRODUK?")))</f>
        <v/>
      </c>
      <c r="R557" s="29" t="str">
        <f aca="false">IF(A557="","",IF(COUNTIF(Anggota!$A$2:$A$2001,A557)=0,"TIDAK ADA","OK"))</f>
        <v/>
      </c>
      <c r="S557" s="29" t="str">
        <f aca="false">IF(H557="","",IF(OR(J557="",L557=""),"-",IF(ABS(H557-J557*L557)&gt;Info_Koperasi!$C$10,"SELISIH","OK")))</f>
        <v/>
      </c>
    </row>
    <row r="558" customFormat="false" ht="15" hidden="false" customHeight="false" outlineLevel="0" collapsed="false">
      <c r="A558" s="21"/>
      <c r="B558" s="22"/>
      <c r="C558" s="21"/>
      <c r="D558" s="21"/>
      <c r="E558" s="28"/>
      <c r="F558" s="24"/>
      <c r="G558" s="26"/>
      <c r="H558" s="24"/>
      <c r="I558" s="24"/>
      <c r="J558" s="24"/>
      <c r="K558" s="24"/>
      <c r="L558" s="26"/>
      <c r="M558" s="26"/>
      <c r="N558" s="22"/>
      <c r="O558" s="21"/>
      <c r="P558" s="22"/>
      <c r="Q558" s="29" t="str">
        <f aca="false">IF(C558="","",IF(O558&lt;&gt;"",O558,IFERROR(INDEX(Produk!$J$2:$J$100,MATCH(C558,Produk!$A$2:$A$100,0)),"PRODUK?")))</f>
        <v/>
      </c>
      <c r="R558" s="29" t="str">
        <f aca="false">IF(A558="","",IF(COUNTIF(Anggota!$A$2:$A$2001,A558)=0,"TIDAK ADA","OK"))</f>
        <v/>
      </c>
      <c r="S558" s="29" t="str">
        <f aca="false">IF(H558="","",IF(OR(J558="",L558=""),"-",IF(ABS(H558-J558*L558)&gt;Info_Koperasi!$C$10,"SELISIH","OK")))</f>
        <v/>
      </c>
    </row>
    <row r="559" customFormat="false" ht="15" hidden="false" customHeight="false" outlineLevel="0" collapsed="false">
      <c r="A559" s="21"/>
      <c r="B559" s="22"/>
      <c r="C559" s="21"/>
      <c r="D559" s="21"/>
      <c r="E559" s="28"/>
      <c r="F559" s="24"/>
      <c r="G559" s="26"/>
      <c r="H559" s="24"/>
      <c r="I559" s="24"/>
      <c r="J559" s="24"/>
      <c r="K559" s="24"/>
      <c r="L559" s="26"/>
      <c r="M559" s="26"/>
      <c r="N559" s="22"/>
      <c r="O559" s="21"/>
      <c r="P559" s="22"/>
      <c r="Q559" s="29" t="str">
        <f aca="false">IF(C559="","",IF(O559&lt;&gt;"",O559,IFERROR(INDEX(Produk!$J$2:$J$100,MATCH(C559,Produk!$A$2:$A$100,0)),"PRODUK?")))</f>
        <v/>
      </c>
      <c r="R559" s="29" t="str">
        <f aca="false">IF(A559="","",IF(COUNTIF(Anggota!$A$2:$A$2001,A559)=0,"TIDAK ADA","OK"))</f>
        <v/>
      </c>
      <c r="S559" s="29" t="str">
        <f aca="false">IF(H559="","",IF(OR(J559="",L559=""),"-",IF(ABS(H559-J559*L559)&gt;Info_Koperasi!$C$10,"SELISIH","OK")))</f>
        <v/>
      </c>
    </row>
    <row r="560" customFormat="false" ht="15" hidden="false" customHeight="false" outlineLevel="0" collapsed="false">
      <c r="A560" s="21"/>
      <c r="B560" s="22"/>
      <c r="C560" s="21"/>
      <c r="D560" s="21"/>
      <c r="E560" s="28"/>
      <c r="F560" s="24"/>
      <c r="G560" s="26"/>
      <c r="H560" s="24"/>
      <c r="I560" s="24"/>
      <c r="J560" s="24"/>
      <c r="K560" s="24"/>
      <c r="L560" s="26"/>
      <c r="M560" s="26"/>
      <c r="N560" s="22"/>
      <c r="O560" s="21"/>
      <c r="P560" s="22"/>
      <c r="Q560" s="29" t="str">
        <f aca="false">IF(C560="","",IF(O560&lt;&gt;"",O560,IFERROR(INDEX(Produk!$J$2:$J$100,MATCH(C560,Produk!$A$2:$A$100,0)),"PRODUK?")))</f>
        <v/>
      </c>
      <c r="R560" s="29" t="str">
        <f aca="false">IF(A560="","",IF(COUNTIF(Anggota!$A$2:$A$2001,A560)=0,"TIDAK ADA","OK"))</f>
        <v/>
      </c>
      <c r="S560" s="29" t="str">
        <f aca="false">IF(H560="","",IF(OR(J560="",L560=""),"-",IF(ABS(H560-J560*L560)&gt;Info_Koperasi!$C$10,"SELISIH","OK")))</f>
        <v/>
      </c>
    </row>
    <row r="561" customFormat="false" ht="15" hidden="false" customHeight="false" outlineLevel="0" collapsed="false">
      <c r="A561" s="21"/>
      <c r="B561" s="22"/>
      <c r="C561" s="21"/>
      <c r="D561" s="21"/>
      <c r="E561" s="28"/>
      <c r="F561" s="24"/>
      <c r="G561" s="26"/>
      <c r="H561" s="24"/>
      <c r="I561" s="24"/>
      <c r="J561" s="24"/>
      <c r="K561" s="24"/>
      <c r="L561" s="26"/>
      <c r="M561" s="26"/>
      <c r="N561" s="22"/>
      <c r="O561" s="21"/>
      <c r="P561" s="22"/>
      <c r="Q561" s="29" t="str">
        <f aca="false">IF(C561="","",IF(O561&lt;&gt;"",O561,IFERROR(INDEX(Produk!$J$2:$J$100,MATCH(C561,Produk!$A$2:$A$100,0)),"PRODUK?")))</f>
        <v/>
      </c>
      <c r="R561" s="29" t="str">
        <f aca="false">IF(A561="","",IF(COUNTIF(Anggota!$A$2:$A$2001,A561)=0,"TIDAK ADA","OK"))</f>
        <v/>
      </c>
      <c r="S561" s="29" t="str">
        <f aca="false">IF(H561="","",IF(OR(J561="",L561=""),"-",IF(ABS(H561-J561*L561)&gt;Info_Koperasi!$C$10,"SELISIH","OK")))</f>
        <v/>
      </c>
    </row>
    <row r="562" customFormat="false" ht="15" hidden="false" customHeight="false" outlineLevel="0" collapsed="false">
      <c r="A562" s="21"/>
      <c r="B562" s="22"/>
      <c r="C562" s="21"/>
      <c r="D562" s="21"/>
      <c r="E562" s="28"/>
      <c r="F562" s="24"/>
      <c r="G562" s="26"/>
      <c r="H562" s="24"/>
      <c r="I562" s="24"/>
      <c r="J562" s="24"/>
      <c r="K562" s="24"/>
      <c r="L562" s="26"/>
      <c r="M562" s="26"/>
      <c r="N562" s="22"/>
      <c r="O562" s="21"/>
      <c r="P562" s="22"/>
      <c r="Q562" s="29" t="str">
        <f aca="false">IF(C562="","",IF(O562&lt;&gt;"",O562,IFERROR(INDEX(Produk!$J$2:$J$100,MATCH(C562,Produk!$A$2:$A$100,0)),"PRODUK?")))</f>
        <v/>
      </c>
      <c r="R562" s="29" t="str">
        <f aca="false">IF(A562="","",IF(COUNTIF(Anggota!$A$2:$A$2001,A562)=0,"TIDAK ADA","OK"))</f>
        <v/>
      </c>
      <c r="S562" s="29" t="str">
        <f aca="false">IF(H562="","",IF(OR(J562="",L562=""),"-",IF(ABS(H562-J562*L562)&gt;Info_Koperasi!$C$10,"SELISIH","OK")))</f>
        <v/>
      </c>
    </row>
    <row r="563" customFormat="false" ht="15" hidden="false" customHeight="false" outlineLevel="0" collapsed="false">
      <c r="A563" s="21"/>
      <c r="B563" s="22"/>
      <c r="C563" s="21"/>
      <c r="D563" s="21"/>
      <c r="E563" s="28"/>
      <c r="F563" s="24"/>
      <c r="G563" s="26"/>
      <c r="H563" s="24"/>
      <c r="I563" s="24"/>
      <c r="J563" s="24"/>
      <c r="K563" s="24"/>
      <c r="L563" s="26"/>
      <c r="M563" s="26"/>
      <c r="N563" s="22"/>
      <c r="O563" s="21"/>
      <c r="P563" s="22"/>
      <c r="Q563" s="29" t="str">
        <f aca="false">IF(C563="","",IF(O563&lt;&gt;"",O563,IFERROR(INDEX(Produk!$J$2:$J$100,MATCH(C563,Produk!$A$2:$A$100,0)),"PRODUK?")))</f>
        <v/>
      </c>
      <c r="R563" s="29" t="str">
        <f aca="false">IF(A563="","",IF(COUNTIF(Anggota!$A$2:$A$2001,A563)=0,"TIDAK ADA","OK"))</f>
        <v/>
      </c>
      <c r="S563" s="29" t="str">
        <f aca="false">IF(H563="","",IF(OR(J563="",L563=""),"-",IF(ABS(H563-J563*L563)&gt;Info_Koperasi!$C$10,"SELISIH","OK")))</f>
        <v/>
      </c>
    </row>
    <row r="564" customFormat="false" ht="15" hidden="false" customHeight="false" outlineLevel="0" collapsed="false">
      <c r="A564" s="21"/>
      <c r="B564" s="22"/>
      <c r="C564" s="21"/>
      <c r="D564" s="21"/>
      <c r="E564" s="28"/>
      <c r="F564" s="24"/>
      <c r="G564" s="26"/>
      <c r="H564" s="24"/>
      <c r="I564" s="24"/>
      <c r="J564" s="24"/>
      <c r="K564" s="24"/>
      <c r="L564" s="26"/>
      <c r="M564" s="26"/>
      <c r="N564" s="22"/>
      <c r="O564" s="21"/>
      <c r="P564" s="22"/>
      <c r="Q564" s="29" t="str">
        <f aca="false">IF(C564="","",IF(O564&lt;&gt;"",O564,IFERROR(INDEX(Produk!$J$2:$J$100,MATCH(C564,Produk!$A$2:$A$100,0)),"PRODUK?")))</f>
        <v/>
      </c>
      <c r="R564" s="29" t="str">
        <f aca="false">IF(A564="","",IF(COUNTIF(Anggota!$A$2:$A$2001,A564)=0,"TIDAK ADA","OK"))</f>
        <v/>
      </c>
      <c r="S564" s="29" t="str">
        <f aca="false">IF(H564="","",IF(OR(J564="",L564=""),"-",IF(ABS(H564-J564*L564)&gt;Info_Koperasi!$C$10,"SELISIH","OK")))</f>
        <v/>
      </c>
    </row>
    <row r="565" customFormat="false" ht="15" hidden="false" customHeight="false" outlineLevel="0" collapsed="false">
      <c r="A565" s="21"/>
      <c r="B565" s="22"/>
      <c r="C565" s="21"/>
      <c r="D565" s="21"/>
      <c r="E565" s="28"/>
      <c r="F565" s="24"/>
      <c r="G565" s="26"/>
      <c r="H565" s="24"/>
      <c r="I565" s="24"/>
      <c r="J565" s="24"/>
      <c r="K565" s="24"/>
      <c r="L565" s="26"/>
      <c r="M565" s="26"/>
      <c r="N565" s="22"/>
      <c r="O565" s="21"/>
      <c r="P565" s="22"/>
      <c r="Q565" s="29" t="str">
        <f aca="false">IF(C565="","",IF(O565&lt;&gt;"",O565,IFERROR(INDEX(Produk!$J$2:$J$100,MATCH(C565,Produk!$A$2:$A$100,0)),"PRODUK?")))</f>
        <v/>
      </c>
      <c r="R565" s="29" t="str">
        <f aca="false">IF(A565="","",IF(COUNTIF(Anggota!$A$2:$A$2001,A565)=0,"TIDAK ADA","OK"))</f>
        <v/>
      </c>
      <c r="S565" s="29" t="str">
        <f aca="false">IF(H565="","",IF(OR(J565="",L565=""),"-",IF(ABS(H565-J565*L565)&gt;Info_Koperasi!$C$10,"SELISIH","OK")))</f>
        <v/>
      </c>
    </row>
    <row r="566" customFormat="false" ht="15" hidden="false" customHeight="false" outlineLevel="0" collapsed="false">
      <c r="A566" s="21"/>
      <c r="B566" s="22"/>
      <c r="C566" s="21"/>
      <c r="D566" s="21"/>
      <c r="E566" s="28"/>
      <c r="F566" s="24"/>
      <c r="G566" s="26"/>
      <c r="H566" s="24"/>
      <c r="I566" s="24"/>
      <c r="J566" s="24"/>
      <c r="K566" s="24"/>
      <c r="L566" s="26"/>
      <c r="M566" s="26"/>
      <c r="N566" s="22"/>
      <c r="O566" s="21"/>
      <c r="P566" s="22"/>
      <c r="Q566" s="29" t="str">
        <f aca="false">IF(C566="","",IF(O566&lt;&gt;"",O566,IFERROR(INDEX(Produk!$J$2:$J$100,MATCH(C566,Produk!$A$2:$A$100,0)),"PRODUK?")))</f>
        <v/>
      </c>
      <c r="R566" s="29" t="str">
        <f aca="false">IF(A566="","",IF(COUNTIF(Anggota!$A$2:$A$2001,A566)=0,"TIDAK ADA","OK"))</f>
        <v/>
      </c>
      <c r="S566" s="29" t="str">
        <f aca="false">IF(H566="","",IF(OR(J566="",L566=""),"-",IF(ABS(H566-J566*L566)&gt;Info_Koperasi!$C$10,"SELISIH","OK")))</f>
        <v/>
      </c>
    </row>
    <row r="567" customFormat="false" ht="15" hidden="false" customHeight="false" outlineLevel="0" collapsed="false">
      <c r="A567" s="21"/>
      <c r="B567" s="22"/>
      <c r="C567" s="21"/>
      <c r="D567" s="21"/>
      <c r="E567" s="28"/>
      <c r="F567" s="24"/>
      <c r="G567" s="26"/>
      <c r="H567" s="24"/>
      <c r="I567" s="24"/>
      <c r="J567" s="24"/>
      <c r="K567" s="24"/>
      <c r="L567" s="26"/>
      <c r="M567" s="26"/>
      <c r="N567" s="22"/>
      <c r="O567" s="21"/>
      <c r="P567" s="22"/>
      <c r="Q567" s="29" t="str">
        <f aca="false">IF(C567="","",IF(O567&lt;&gt;"",O567,IFERROR(INDEX(Produk!$J$2:$J$100,MATCH(C567,Produk!$A$2:$A$100,0)),"PRODUK?")))</f>
        <v/>
      </c>
      <c r="R567" s="29" t="str">
        <f aca="false">IF(A567="","",IF(COUNTIF(Anggota!$A$2:$A$2001,A567)=0,"TIDAK ADA","OK"))</f>
        <v/>
      </c>
      <c r="S567" s="29" t="str">
        <f aca="false">IF(H567="","",IF(OR(J567="",L567=""),"-",IF(ABS(H567-J567*L567)&gt;Info_Koperasi!$C$10,"SELISIH","OK")))</f>
        <v/>
      </c>
    </row>
    <row r="568" customFormat="false" ht="15" hidden="false" customHeight="false" outlineLevel="0" collapsed="false">
      <c r="A568" s="21"/>
      <c r="B568" s="22"/>
      <c r="C568" s="21"/>
      <c r="D568" s="21"/>
      <c r="E568" s="28"/>
      <c r="F568" s="24"/>
      <c r="G568" s="26"/>
      <c r="H568" s="24"/>
      <c r="I568" s="24"/>
      <c r="J568" s="24"/>
      <c r="K568" s="24"/>
      <c r="L568" s="26"/>
      <c r="M568" s="26"/>
      <c r="N568" s="22"/>
      <c r="O568" s="21"/>
      <c r="P568" s="22"/>
      <c r="Q568" s="29" t="str">
        <f aca="false">IF(C568="","",IF(O568&lt;&gt;"",O568,IFERROR(INDEX(Produk!$J$2:$J$100,MATCH(C568,Produk!$A$2:$A$100,0)),"PRODUK?")))</f>
        <v/>
      </c>
      <c r="R568" s="29" t="str">
        <f aca="false">IF(A568="","",IF(COUNTIF(Anggota!$A$2:$A$2001,A568)=0,"TIDAK ADA","OK"))</f>
        <v/>
      </c>
      <c r="S568" s="29" t="str">
        <f aca="false">IF(H568="","",IF(OR(J568="",L568=""),"-",IF(ABS(H568-J568*L568)&gt;Info_Koperasi!$C$10,"SELISIH","OK")))</f>
        <v/>
      </c>
    </row>
    <row r="569" customFormat="false" ht="15" hidden="false" customHeight="false" outlineLevel="0" collapsed="false">
      <c r="A569" s="21"/>
      <c r="B569" s="22"/>
      <c r="C569" s="21"/>
      <c r="D569" s="21"/>
      <c r="E569" s="28"/>
      <c r="F569" s="24"/>
      <c r="G569" s="26"/>
      <c r="H569" s="24"/>
      <c r="I569" s="24"/>
      <c r="J569" s="24"/>
      <c r="K569" s="24"/>
      <c r="L569" s="26"/>
      <c r="M569" s="26"/>
      <c r="N569" s="22"/>
      <c r="O569" s="21"/>
      <c r="P569" s="22"/>
      <c r="Q569" s="29" t="str">
        <f aca="false">IF(C569="","",IF(O569&lt;&gt;"",O569,IFERROR(INDEX(Produk!$J$2:$J$100,MATCH(C569,Produk!$A$2:$A$100,0)),"PRODUK?")))</f>
        <v/>
      </c>
      <c r="R569" s="29" t="str">
        <f aca="false">IF(A569="","",IF(COUNTIF(Anggota!$A$2:$A$2001,A569)=0,"TIDAK ADA","OK"))</f>
        <v/>
      </c>
      <c r="S569" s="29" t="str">
        <f aca="false">IF(H569="","",IF(OR(J569="",L569=""),"-",IF(ABS(H569-J569*L569)&gt;Info_Koperasi!$C$10,"SELISIH","OK")))</f>
        <v/>
      </c>
    </row>
    <row r="570" customFormat="false" ht="15" hidden="false" customHeight="false" outlineLevel="0" collapsed="false">
      <c r="A570" s="21"/>
      <c r="B570" s="22"/>
      <c r="C570" s="21"/>
      <c r="D570" s="21"/>
      <c r="E570" s="28"/>
      <c r="F570" s="24"/>
      <c r="G570" s="26"/>
      <c r="H570" s="24"/>
      <c r="I570" s="24"/>
      <c r="J570" s="24"/>
      <c r="K570" s="24"/>
      <c r="L570" s="26"/>
      <c r="M570" s="26"/>
      <c r="N570" s="22"/>
      <c r="O570" s="21"/>
      <c r="P570" s="22"/>
      <c r="Q570" s="29" t="str">
        <f aca="false">IF(C570="","",IF(O570&lt;&gt;"",O570,IFERROR(INDEX(Produk!$J$2:$J$100,MATCH(C570,Produk!$A$2:$A$100,0)),"PRODUK?")))</f>
        <v/>
      </c>
      <c r="R570" s="29" t="str">
        <f aca="false">IF(A570="","",IF(COUNTIF(Anggota!$A$2:$A$2001,A570)=0,"TIDAK ADA","OK"))</f>
        <v/>
      </c>
      <c r="S570" s="29" t="str">
        <f aca="false">IF(H570="","",IF(OR(J570="",L570=""),"-",IF(ABS(H570-J570*L570)&gt;Info_Koperasi!$C$10,"SELISIH","OK")))</f>
        <v/>
      </c>
    </row>
    <row r="571" customFormat="false" ht="15" hidden="false" customHeight="false" outlineLevel="0" collapsed="false">
      <c r="A571" s="21"/>
      <c r="B571" s="22"/>
      <c r="C571" s="21"/>
      <c r="D571" s="21"/>
      <c r="E571" s="28"/>
      <c r="F571" s="24"/>
      <c r="G571" s="26"/>
      <c r="H571" s="24"/>
      <c r="I571" s="24"/>
      <c r="J571" s="24"/>
      <c r="K571" s="24"/>
      <c r="L571" s="26"/>
      <c r="M571" s="26"/>
      <c r="N571" s="22"/>
      <c r="O571" s="21"/>
      <c r="P571" s="22"/>
      <c r="Q571" s="29" t="str">
        <f aca="false">IF(C571="","",IF(O571&lt;&gt;"",O571,IFERROR(INDEX(Produk!$J$2:$J$100,MATCH(C571,Produk!$A$2:$A$100,0)),"PRODUK?")))</f>
        <v/>
      </c>
      <c r="R571" s="29" t="str">
        <f aca="false">IF(A571="","",IF(COUNTIF(Anggota!$A$2:$A$2001,A571)=0,"TIDAK ADA","OK"))</f>
        <v/>
      </c>
      <c r="S571" s="29" t="str">
        <f aca="false">IF(H571="","",IF(OR(J571="",L571=""),"-",IF(ABS(H571-J571*L571)&gt;Info_Koperasi!$C$10,"SELISIH","OK")))</f>
        <v/>
      </c>
    </row>
    <row r="572" customFormat="false" ht="15" hidden="false" customHeight="false" outlineLevel="0" collapsed="false">
      <c r="A572" s="21"/>
      <c r="B572" s="22"/>
      <c r="C572" s="21"/>
      <c r="D572" s="21"/>
      <c r="E572" s="28"/>
      <c r="F572" s="24"/>
      <c r="G572" s="26"/>
      <c r="H572" s="24"/>
      <c r="I572" s="24"/>
      <c r="J572" s="24"/>
      <c r="K572" s="24"/>
      <c r="L572" s="26"/>
      <c r="M572" s="26"/>
      <c r="N572" s="22"/>
      <c r="O572" s="21"/>
      <c r="P572" s="22"/>
      <c r="Q572" s="29" t="str">
        <f aca="false">IF(C572="","",IF(O572&lt;&gt;"",O572,IFERROR(INDEX(Produk!$J$2:$J$100,MATCH(C572,Produk!$A$2:$A$100,0)),"PRODUK?")))</f>
        <v/>
      </c>
      <c r="R572" s="29" t="str">
        <f aca="false">IF(A572="","",IF(COUNTIF(Anggota!$A$2:$A$2001,A572)=0,"TIDAK ADA","OK"))</f>
        <v/>
      </c>
      <c r="S572" s="29" t="str">
        <f aca="false">IF(H572="","",IF(OR(J572="",L572=""),"-",IF(ABS(H572-J572*L572)&gt;Info_Koperasi!$C$10,"SELISIH","OK")))</f>
        <v/>
      </c>
    </row>
    <row r="573" customFormat="false" ht="15" hidden="false" customHeight="false" outlineLevel="0" collapsed="false">
      <c r="A573" s="21"/>
      <c r="B573" s="22"/>
      <c r="C573" s="21"/>
      <c r="D573" s="21"/>
      <c r="E573" s="28"/>
      <c r="F573" s="24"/>
      <c r="G573" s="26"/>
      <c r="H573" s="24"/>
      <c r="I573" s="24"/>
      <c r="J573" s="24"/>
      <c r="K573" s="24"/>
      <c r="L573" s="26"/>
      <c r="M573" s="26"/>
      <c r="N573" s="22"/>
      <c r="O573" s="21"/>
      <c r="P573" s="22"/>
      <c r="Q573" s="29" t="str">
        <f aca="false">IF(C573="","",IF(O573&lt;&gt;"",O573,IFERROR(INDEX(Produk!$J$2:$J$100,MATCH(C573,Produk!$A$2:$A$100,0)),"PRODUK?")))</f>
        <v/>
      </c>
      <c r="R573" s="29" t="str">
        <f aca="false">IF(A573="","",IF(COUNTIF(Anggota!$A$2:$A$2001,A573)=0,"TIDAK ADA","OK"))</f>
        <v/>
      </c>
      <c r="S573" s="29" t="str">
        <f aca="false">IF(H573="","",IF(OR(J573="",L573=""),"-",IF(ABS(H573-J573*L573)&gt;Info_Koperasi!$C$10,"SELISIH","OK")))</f>
        <v/>
      </c>
    </row>
    <row r="574" customFormat="false" ht="15" hidden="false" customHeight="false" outlineLevel="0" collapsed="false">
      <c r="A574" s="21"/>
      <c r="B574" s="22"/>
      <c r="C574" s="21"/>
      <c r="D574" s="21"/>
      <c r="E574" s="28"/>
      <c r="F574" s="24"/>
      <c r="G574" s="26"/>
      <c r="H574" s="24"/>
      <c r="I574" s="24"/>
      <c r="J574" s="24"/>
      <c r="K574" s="24"/>
      <c r="L574" s="26"/>
      <c r="M574" s="26"/>
      <c r="N574" s="22"/>
      <c r="O574" s="21"/>
      <c r="P574" s="22"/>
      <c r="Q574" s="29" t="str">
        <f aca="false">IF(C574="","",IF(O574&lt;&gt;"",O574,IFERROR(INDEX(Produk!$J$2:$J$100,MATCH(C574,Produk!$A$2:$A$100,0)),"PRODUK?")))</f>
        <v/>
      </c>
      <c r="R574" s="29" t="str">
        <f aca="false">IF(A574="","",IF(COUNTIF(Anggota!$A$2:$A$2001,A574)=0,"TIDAK ADA","OK"))</f>
        <v/>
      </c>
      <c r="S574" s="29" t="str">
        <f aca="false">IF(H574="","",IF(OR(J574="",L574=""),"-",IF(ABS(H574-J574*L574)&gt;Info_Koperasi!$C$10,"SELISIH","OK")))</f>
        <v/>
      </c>
    </row>
    <row r="575" customFormat="false" ht="15" hidden="false" customHeight="false" outlineLevel="0" collapsed="false">
      <c r="A575" s="21"/>
      <c r="B575" s="22"/>
      <c r="C575" s="21"/>
      <c r="D575" s="21"/>
      <c r="E575" s="28"/>
      <c r="F575" s="24"/>
      <c r="G575" s="26"/>
      <c r="H575" s="24"/>
      <c r="I575" s="24"/>
      <c r="J575" s="24"/>
      <c r="K575" s="24"/>
      <c r="L575" s="26"/>
      <c r="M575" s="26"/>
      <c r="N575" s="22"/>
      <c r="O575" s="21"/>
      <c r="P575" s="22"/>
      <c r="Q575" s="29" t="str">
        <f aca="false">IF(C575="","",IF(O575&lt;&gt;"",O575,IFERROR(INDEX(Produk!$J$2:$J$100,MATCH(C575,Produk!$A$2:$A$100,0)),"PRODUK?")))</f>
        <v/>
      </c>
      <c r="R575" s="29" t="str">
        <f aca="false">IF(A575="","",IF(COUNTIF(Anggota!$A$2:$A$2001,A575)=0,"TIDAK ADA","OK"))</f>
        <v/>
      </c>
      <c r="S575" s="29" t="str">
        <f aca="false">IF(H575="","",IF(OR(J575="",L575=""),"-",IF(ABS(H575-J575*L575)&gt;Info_Koperasi!$C$10,"SELISIH","OK")))</f>
        <v/>
      </c>
    </row>
    <row r="576" customFormat="false" ht="15" hidden="false" customHeight="false" outlineLevel="0" collapsed="false">
      <c r="A576" s="21"/>
      <c r="B576" s="22"/>
      <c r="C576" s="21"/>
      <c r="D576" s="21"/>
      <c r="E576" s="28"/>
      <c r="F576" s="24"/>
      <c r="G576" s="26"/>
      <c r="H576" s="24"/>
      <c r="I576" s="24"/>
      <c r="J576" s="24"/>
      <c r="K576" s="24"/>
      <c r="L576" s="26"/>
      <c r="M576" s="26"/>
      <c r="N576" s="22"/>
      <c r="O576" s="21"/>
      <c r="P576" s="22"/>
      <c r="Q576" s="29" t="str">
        <f aca="false">IF(C576="","",IF(O576&lt;&gt;"",O576,IFERROR(INDEX(Produk!$J$2:$J$100,MATCH(C576,Produk!$A$2:$A$100,0)),"PRODUK?")))</f>
        <v/>
      </c>
      <c r="R576" s="29" t="str">
        <f aca="false">IF(A576="","",IF(COUNTIF(Anggota!$A$2:$A$2001,A576)=0,"TIDAK ADA","OK"))</f>
        <v/>
      </c>
      <c r="S576" s="29" t="str">
        <f aca="false">IF(H576="","",IF(OR(J576="",L576=""),"-",IF(ABS(H576-J576*L576)&gt;Info_Koperasi!$C$10,"SELISIH","OK")))</f>
        <v/>
      </c>
    </row>
    <row r="577" customFormat="false" ht="15" hidden="false" customHeight="false" outlineLevel="0" collapsed="false">
      <c r="A577" s="21"/>
      <c r="B577" s="22"/>
      <c r="C577" s="21"/>
      <c r="D577" s="21"/>
      <c r="E577" s="28"/>
      <c r="F577" s="24"/>
      <c r="G577" s="26"/>
      <c r="H577" s="24"/>
      <c r="I577" s="24"/>
      <c r="J577" s="24"/>
      <c r="K577" s="24"/>
      <c r="L577" s="26"/>
      <c r="M577" s="26"/>
      <c r="N577" s="22"/>
      <c r="O577" s="21"/>
      <c r="P577" s="22"/>
      <c r="Q577" s="29" t="str">
        <f aca="false">IF(C577="","",IF(O577&lt;&gt;"",O577,IFERROR(INDEX(Produk!$J$2:$J$100,MATCH(C577,Produk!$A$2:$A$100,0)),"PRODUK?")))</f>
        <v/>
      </c>
      <c r="R577" s="29" t="str">
        <f aca="false">IF(A577="","",IF(COUNTIF(Anggota!$A$2:$A$2001,A577)=0,"TIDAK ADA","OK"))</f>
        <v/>
      </c>
      <c r="S577" s="29" t="str">
        <f aca="false">IF(H577="","",IF(OR(J577="",L577=""),"-",IF(ABS(H577-J577*L577)&gt;Info_Koperasi!$C$10,"SELISIH","OK")))</f>
        <v/>
      </c>
    </row>
    <row r="578" customFormat="false" ht="15" hidden="false" customHeight="false" outlineLevel="0" collapsed="false">
      <c r="A578" s="21"/>
      <c r="B578" s="22"/>
      <c r="C578" s="21"/>
      <c r="D578" s="21"/>
      <c r="E578" s="28"/>
      <c r="F578" s="24"/>
      <c r="G578" s="26"/>
      <c r="H578" s="24"/>
      <c r="I578" s="24"/>
      <c r="J578" s="24"/>
      <c r="K578" s="24"/>
      <c r="L578" s="26"/>
      <c r="M578" s="26"/>
      <c r="N578" s="22"/>
      <c r="O578" s="21"/>
      <c r="P578" s="22"/>
      <c r="Q578" s="29" t="str">
        <f aca="false">IF(C578="","",IF(O578&lt;&gt;"",O578,IFERROR(INDEX(Produk!$J$2:$J$100,MATCH(C578,Produk!$A$2:$A$100,0)),"PRODUK?")))</f>
        <v/>
      </c>
      <c r="R578" s="29" t="str">
        <f aca="false">IF(A578="","",IF(COUNTIF(Anggota!$A$2:$A$2001,A578)=0,"TIDAK ADA","OK"))</f>
        <v/>
      </c>
      <c r="S578" s="29" t="str">
        <f aca="false">IF(H578="","",IF(OR(J578="",L578=""),"-",IF(ABS(H578-J578*L578)&gt;Info_Koperasi!$C$10,"SELISIH","OK")))</f>
        <v/>
      </c>
    </row>
    <row r="579" customFormat="false" ht="15" hidden="false" customHeight="false" outlineLevel="0" collapsed="false">
      <c r="A579" s="21"/>
      <c r="B579" s="22"/>
      <c r="C579" s="21"/>
      <c r="D579" s="21"/>
      <c r="E579" s="28"/>
      <c r="F579" s="24"/>
      <c r="G579" s="26"/>
      <c r="H579" s="24"/>
      <c r="I579" s="24"/>
      <c r="J579" s="24"/>
      <c r="K579" s="24"/>
      <c r="L579" s="26"/>
      <c r="M579" s="26"/>
      <c r="N579" s="22"/>
      <c r="O579" s="21"/>
      <c r="P579" s="22"/>
      <c r="Q579" s="29" t="str">
        <f aca="false">IF(C579="","",IF(O579&lt;&gt;"",O579,IFERROR(INDEX(Produk!$J$2:$J$100,MATCH(C579,Produk!$A$2:$A$100,0)),"PRODUK?")))</f>
        <v/>
      </c>
      <c r="R579" s="29" t="str">
        <f aca="false">IF(A579="","",IF(COUNTIF(Anggota!$A$2:$A$2001,A579)=0,"TIDAK ADA","OK"))</f>
        <v/>
      </c>
      <c r="S579" s="29" t="str">
        <f aca="false">IF(H579="","",IF(OR(J579="",L579=""),"-",IF(ABS(H579-J579*L579)&gt;Info_Koperasi!$C$10,"SELISIH","OK")))</f>
        <v/>
      </c>
    </row>
    <row r="580" customFormat="false" ht="15" hidden="false" customHeight="false" outlineLevel="0" collapsed="false">
      <c r="A580" s="21"/>
      <c r="B580" s="22"/>
      <c r="C580" s="21"/>
      <c r="D580" s="21"/>
      <c r="E580" s="28"/>
      <c r="F580" s="24"/>
      <c r="G580" s="26"/>
      <c r="H580" s="24"/>
      <c r="I580" s="24"/>
      <c r="J580" s="24"/>
      <c r="K580" s="24"/>
      <c r="L580" s="26"/>
      <c r="M580" s="26"/>
      <c r="N580" s="22"/>
      <c r="O580" s="21"/>
      <c r="P580" s="22"/>
      <c r="Q580" s="29" t="str">
        <f aca="false">IF(C580="","",IF(O580&lt;&gt;"",O580,IFERROR(INDEX(Produk!$J$2:$J$100,MATCH(C580,Produk!$A$2:$A$100,0)),"PRODUK?")))</f>
        <v/>
      </c>
      <c r="R580" s="29" t="str">
        <f aca="false">IF(A580="","",IF(COUNTIF(Anggota!$A$2:$A$2001,A580)=0,"TIDAK ADA","OK"))</f>
        <v/>
      </c>
      <c r="S580" s="29" t="str">
        <f aca="false">IF(H580="","",IF(OR(J580="",L580=""),"-",IF(ABS(H580-J580*L580)&gt;Info_Koperasi!$C$10,"SELISIH","OK")))</f>
        <v/>
      </c>
    </row>
    <row r="581" customFormat="false" ht="15" hidden="false" customHeight="false" outlineLevel="0" collapsed="false">
      <c r="A581" s="21"/>
      <c r="B581" s="22"/>
      <c r="C581" s="21"/>
      <c r="D581" s="21"/>
      <c r="E581" s="28"/>
      <c r="F581" s="24"/>
      <c r="G581" s="26"/>
      <c r="H581" s="24"/>
      <c r="I581" s="24"/>
      <c r="J581" s="24"/>
      <c r="K581" s="24"/>
      <c r="L581" s="26"/>
      <c r="M581" s="26"/>
      <c r="N581" s="22"/>
      <c r="O581" s="21"/>
      <c r="P581" s="22"/>
      <c r="Q581" s="29" t="str">
        <f aca="false">IF(C581="","",IF(O581&lt;&gt;"",O581,IFERROR(INDEX(Produk!$J$2:$J$100,MATCH(C581,Produk!$A$2:$A$100,0)),"PRODUK?")))</f>
        <v/>
      </c>
      <c r="R581" s="29" t="str">
        <f aca="false">IF(A581="","",IF(COUNTIF(Anggota!$A$2:$A$2001,A581)=0,"TIDAK ADA","OK"))</f>
        <v/>
      </c>
      <c r="S581" s="29" t="str">
        <f aca="false">IF(H581="","",IF(OR(J581="",L581=""),"-",IF(ABS(H581-J581*L581)&gt;Info_Koperasi!$C$10,"SELISIH","OK")))</f>
        <v/>
      </c>
    </row>
    <row r="582" customFormat="false" ht="15" hidden="false" customHeight="false" outlineLevel="0" collapsed="false">
      <c r="A582" s="21"/>
      <c r="B582" s="22"/>
      <c r="C582" s="21"/>
      <c r="D582" s="21"/>
      <c r="E582" s="28"/>
      <c r="F582" s="24"/>
      <c r="G582" s="26"/>
      <c r="H582" s="24"/>
      <c r="I582" s="24"/>
      <c r="J582" s="24"/>
      <c r="K582" s="24"/>
      <c r="L582" s="26"/>
      <c r="M582" s="26"/>
      <c r="N582" s="22"/>
      <c r="O582" s="21"/>
      <c r="P582" s="22"/>
      <c r="Q582" s="29" t="str">
        <f aca="false">IF(C582="","",IF(O582&lt;&gt;"",O582,IFERROR(INDEX(Produk!$J$2:$J$100,MATCH(C582,Produk!$A$2:$A$100,0)),"PRODUK?")))</f>
        <v/>
      </c>
      <c r="R582" s="29" t="str">
        <f aca="false">IF(A582="","",IF(COUNTIF(Anggota!$A$2:$A$2001,A582)=0,"TIDAK ADA","OK"))</f>
        <v/>
      </c>
      <c r="S582" s="29" t="str">
        <f aca="false">IF(H582="","",IF(OR(J582="",L582=""),"-",IF(ABS(H582-J582*L582)&gt;Info_Koperasi!$C$10,"SELISIH","OK")))</f>
        <v/>
      </c>
    </row>
    <row r="583" customFormat="false" ht="15" hidden="false" customHeight="false" outlineLevel="0" collapsed="false">
      <c r="A583" s="21"/>
      <c r="B583" s="22"/>
      <c r="C583" s="21"/>
      <c r="D583" s="21"/>
      <c r="E583" s="28"/>
      <c r="F583" s="24"/>
      <c r="G583" s="26"/>
      <c r="H583" s="24"/>
      <c r="I583" s="24"/>
      <c r="J583" s="24"/>
      <c r="K583" s="24"/>
      <c r="L583" s="26"/>
      <c r="M583" s="26"/>
      <c r="N583" s="22"/>
      <c r="O583" s="21"/>
      <c r="P583" s="22"/>
      <c r="Q583" s="29" t="str">
        <f aca="false">IF(C583="","",IF(O583&lt;&gt;"",O583,IFERROR(INDEX(Produk!$J$2:$J$100,MATCH(C583,Produk!$A$2:$A$100,0)),"PRODUK?")))</f>
        <v/>
      </c>
      <c r="R583" s="29" t="str">
        <f aca="false">IF(A583="","",IF(COUNTIF(Anggota!$A$2:$A$2001,A583)=0,"TIDAK ADA","OK"))</f>
        <v/>
      </c>
      <c r="S583" s="29" t="str">
        <f aca="false">IF(H583="","",IF(OR(J583="",L583=""),"-",IF(ABS(H583-J583*L583)&gt;Info_Koperasi!$C$10,"SELISIH","OK")))</f>
        <v/>
      </c>
    </row>
    <row r="584" customFormat="false" ht="15" hidden="false" customHeight="false" outlineLevel="0" collapsed="false">
      <c r="A584" s="21"/>
      <c r="B584" s="22"/>
      <c r="C584" s="21"/>
      <c r="D584" s="21"/>
      <c r="E584" s="28"/>
      <c r="F584" s="24"/>
      <c r="G584" s="26"/>
      <c r="H584" s="24"/>
      <c r="I584" s="24"/>
      <c r="J584" s="24"/>
      <c r="K584" s="24"/>
      <c r="L584" s="26"/>
      <c r="M584" s="26"/>
      <c r="N584" s="22"/>
      <c r="O584" s="21"/>
      <c r="P584" s="22"/>
      <c r="Q584" s="29" t="str">
        <f aca="false">IF(C584="","",IF(O584&lt;&gt;"",O584,IFERROR(INDEX(Produk!$J$2:$J$100,MATCH(C584,Produk!$A$2:$A$100,0)),"PRODUK?")))</f>
        <v/>
      </c>
      <c r="R584" s="29" t="str">
        <f aca="false">IF(A584="","",IF(COUNTIF(Anggota!$A$2:$A$2001,A584)=0,"TIDAK ADA","OK"))</f>
        <v/>
      </c>
      <c r="S584" s="29" t="str">
        <f aca="false">IF(H584="","",IF(OR(J584="",L584=""),"-",IF(ABS(H584-J584*L584)&gt;Info_Koperasi!$C$10,"SELISIH","OK")))</f>
        <v/>
      </c>
    </row>
    <row r="585" customFormat="false" ht="15" hidden="false" customHeight="false" outlineLevel="0" collapsed="false">
      <c r="A585" s="21"/>
      <c r="B585" s="22"/>
      <c r="C585" s="21"/>
      <c r="D585" s="21"/>
      <c r="E585" s="28"/>
      <c r="F585" s="24"/>
      <c r="G585" s="26"/>
      <c r="H585" s="24"/>
      <c r="I585" s="24"/>
      <c r="J585" s="24"/>
      <c r="K585" s="24"/>
      <c r="L585" s="26"/>
      <c r="M585" s="26"/>
      <c r="N585" s="22"/>
      <c r="O585" s="21"/>
      <c r="P585" s="22"/>
      <c r="Q585" s="29" t="str">
        <f aca="false">IF(C585="","",IF(O585&lt;&gt;"",O585,IFERROR(INDEX(Produk!$J$2:$J$100,MATCH(C585,Produk!$A$2:$A$100,0)),"PRODUK?")))</f>
        <v/>
      </c>
      <c r="R585" s="29" t="str">
        <f aca="false">IF(A585="","",IF(COUNTIF(Anggota!$A$2:$A$2001,A585)=0,"TIDAK ADA","OK"))</f>
        <v/>
      </c>
      <c r="S585" s="29" t="str">
        <f aca="false">IF(H585="","",IF(OR(J585="",L585=""),"-",IF(ABS(H585-J585*L585)&gt;Info_Koperasi!$C$10,"SELISIH","OK")))</f>
        <v/>
      </c>
    </row>
    <row r="586" customFormat="false" ht="15" hidden="false" customHeight="false" outlineLevel="0" collapsed="false">
      <c r="A586" s="21"/>
      <c r="B586" s="22"/>
      <c r="C586" s="21"/>
      <c r="D586" s="21"/>
      <c r="E586" s="28"/>
      <c r="F586" s="24"/>
      <c r="G586" s="26"/>
      <c r="H586" s="24"/>
      <c r="I586" s="24"/>
      <c r="J586" s="24"/>
      <c r="K586" s="24"/>
      <c r="L586" s="26"/>
      <c r="M586" s="26"/>
      <c r="N586" s="22"/>
      <c r="O586" s="21"/>
      <c r="P586" s="22"/>
      <c r="Q586" s="29" t="str">
        <f aca="false">IF(C586="","",IF(O586&lt;&gt;"",O586,IFERROR(INDEX(Produk!$J$2:$J$100,MATCH(C586,Produk!$A$2:$A$100,0)),"PRODUK?")))</f>
        <v/>
      </c>
      <c r="R586" s="29" t="str">
        <f aca="false">IF(A586="","",IF(COUNTIF(Anggota!$A$2:$A$2001,A586)=0,"TIDAK ADA","OK"))</f>
        <v/>
      </c>
      <c r="S586" s="29" t="str">
        <f aca="false">IF(H586="","",IF(OR(J586="",L586=""),"-",IF(ABS(H586-J586*L586)&gt;Info_Koperasi!$C$10,"SELISIH","OK")))</f>
        <v/>
      </c>
    </row>
    <row r="587" customFormat="false" ht="15" hidden="false" customHeight="false" outlineLevel="0" collapsed="false">
      <c r="A587" s="21"/>
      <c r="B587" s="22"/>
      <c r="C587" s="21"/>
      <c r="D587" s="21"/>
      <c r="E587" s="28"/>
      <c r="F587" s="24"/>
      <c r="G587" s="26"/>
      <c r="H587" s="24"/>
      <c r="I587" s="24"/>
      <c r="J587" s="24"/>
      <c r="K587" s="24"/>
      <c r="L587" s="26"/>
      <c r="M587" s="26"/>
      <c r="N587" s="22"/>
      <c r="O587" s="21"/>
      <c r="P587" s="22"/>
      <c r="Q587" s="29" t="str">
        <f aca="false">IF(C587="","",IF(O587&lt;&gt;"",O587,IFERROR(INDEX(Produk!$J$2:$J$100,MATCH(C587,Produk!$A$2:$A$100,0)),"PRODUK?")))</f>
        <v/>
      </c>
      <c r="R587" s="29" t="str">
        <f aca="false">IF(A587="","",IF(COUNTIF(Anggota!$A$2:$A$2001,A587)=0,"TIDAK ADA","OK"))</f>
        <v/>
      </c>
      <c r="S587" s="29" t="str">
        <f aca="false">IF(H587="","",IF(OR(J587="",L587=""),"-",IF(ABS(H587-J587*L587)&gt;Info_Koperasi!$C$10,"SELISIH","OK")))</f>
        <v/>
      </c>
    </row>
    <row r="588" customFormat="false" ht="15" hidden="false" customHeight="false" outlineLevel="0" collapsed="false">
      <c r="A588" s="21"/>
      <c r="B588" s="22"/>
      <c r="C588" s="21"/>
      <c r="D588" s="21"/>
      <c r="E588" s="28"/>
      <c r="F588" s="24"/>
      <c r="G588" s="26"/>
      <c r="H588" s="24"/>
      <c r="I588" s="24"/>
      <c r="J588" s="24"/>
      <c r="K588" s="24"/>
      <c r="L588" s="26"/>
      <c r="M588" s="26"/>
      <c r="N588" s="22"/>
      <c r="O588" s="21"/>
      <c r="P588" s="22"/>
      <c r="Q588" s="29" t="str">
        <f aca="false">IF(C588="","",IF(O588&lt;&gt;"",O588,IFERROR(INDEX(Produk!$J$2:$J$100,MATCH(C588,Produk!$A$2:$A$100,0)),"PRODUK?")))</f>
        <v/>
      </c>
      <c r="R588" s="29" t="str">
        <f aca="false">IF(A588="","",IF(COUNTIF(Anggota!$A$2:$A$2001,A588)=0,"TIDAK ADA","OK"))</f>
        <v/>
      </c>
      <c r="S588" s="29" t="str">
        <f aca="false">IF(H588="","",IF(OR(J588="",L588=""),"-",IF(ABS(H588-J588*L588)&gt;Info_Koperasi!$C$10,"SELISIH","OK")))</f>
        <v/>
      </c>
    </row>
    <row r="589" customFormat="false" ht="15" hidden="false" customHeight="false" outlineLevel="0" collapsed="false">
      <c r="A589" s="21"/>
      <c r="B589" s="22"/>
      <c r="C589" s="21"/>
      <c r="D589" s="21"/>
      <c r="E589" s="28"/>
      <c r="F589" s="24"/>
      <c r="G589" s="26"/>
      <c r="H589" s="24"/>
      <c r="I589" s="24"/>
      <c r="J589" s="24"/>
      <c r="K589" s="24"/>
      <c r="L589" s="26"/>
      <c r="M589" s="26"/>
      <c r="N589" s="22"/>
      <c r="O589" s="21"/>
      <c r="P589" s="22"/>
      <c r="Q589" s="29" t="str">
        <f aca="false">IF(C589="","",IF(O589&lt;&gt;"",O589,IFERROR(INDEX(Produk!$J$2:$J$100,MATCH(C589,Produk!$A$2:$A$100,0)),"PRODUK?")))</f>
        <v/>
      </c>
      <c r="R589" s="29" t="str">
        <f aca="false">IF(A589="","",IF(COUNTIF(Anggota!$A$2:$A$2001,A589)=0,"TIDAK ADA","OK"))</f>
        <v/>
      </c>
      <c r="S589" s="29" t="str">
        <f aca="false">IF(H589="","",IF(OR(J589="",L589=""),"-",IF(ABS(H589-J589*L589)&gt;Info_Koperasi!$C$10,"SELISIH","OK")))</f>
        <v/>
      </c>
    </row>
    <row r="590" customFormat="false" ht="15" hidden="false" customHeight="false" outlineLevel="0" collapsed="false">
      <c r="A590" s="21"/>
      <c r="B590" s="22"/>
      <c r="C590" s="21"/>
      <c r="D590" s="21"/>
      <c r="E590" s="28"/>
      <c r="F590" s="24"/>
      <c r="G590" s="26"/>
      <c r="H590" s="24"/>
      <c r="I590" s="24"/>
      <c r="J590" s="24"/>
      <c r="K590" s="24"/>
      <c r="L590" s="26"/>
      <c r="M590" s="26"/>
      <c r="N590" s="22"/>
      <c r="O590" s="21"/>
      <c r="P590" s="22"/>
      <c r="Q590" s="29" t="str">
        <f aca="false">IF(C590="","",IF(O590&lt;&gt;"",O590,IFERROR(INDEX(Produk!$J$2:$J$100,MATCH(C590,Produk!$A$2:$A$100,0)),"PRODUK?")))</f>
        <v/>
      </c>
      <c r="R590" s="29" t="str">
        <f aca="false">IF(A590="","",IF(COUNTIF(Anggota!$A$2:$A$2001,A590)=0,"TIDAK ADA","OK"))</f>
        <v/>
      </c>
      <c r="S590" s="29" t="str">
        <f aca="false">IF(H590="","",IF(OR(J590="",L590=""),"-",IF(ABS(H590-J590*L590)&gt;Info_Koperasi!$C$10,"SELISIH","OK")))</f>
        <v/>
      </c>
    </row>
    <row r="591" customFormat="false" ht="15" hidden="false" customHeight="false" outlineLevel="0" collapsed="false">
      <c r="A591" s="21"/>
      <c r="B591" s="22"/>
      <c r="C591" s="21"/>
      <c r="D591" s="21"/>
      <c r="E591" s="28"/>
      <c r="F591" s="24"/>
      <c r="G591" s="26"/>
      <c r="H591" s="24"/>
      <c r="I591" s="24"/>
      <c r="J591" s="24"/>
      <c r="K591" s="24"/>
      <c r="L591" s="26"/>
      <c r="M591" s="26"/>
      <c r="N591" s="22"/>
      <c r="O591" s="21"/>
      <c r="P591" s="22"/>
      <c r="Q591" s="29" t="str">
        <f aca="false">IF(C591="","",IF(O591&lt;&gt;"",O591,IFERROR(INDEX(Produk!$J$2:$J$100,MATCH(C591,Produk!$A$2:$A$100,0)),"PRODUK?")))</f>
        <v/>
      </c>
      <c r="R591" s="29" t="str">
        <f aca="false">IF(A591="","",IF(COUNTIF(Anggota!$A$2:$A$2001,A591)=0,"TIDAK ADA","OK"))</f>
        <v/>
      </c>
      <c r="S591" s="29" t="str">
        <f aca="false">IF(H591="","",IF(OR(J591="",L591=""),"-",IF(ABS(H591-J591*L591)&gt;Info_Koperasi!$C$10,"SELISIH","OK")))</f>
        <v/>
      </c>
    </row>
    <row r="592" customFormat="false" ht="15" hidden="false" customHeight="false" outlineLevel="0" collapsed="false">
      <c r="A592" s="21"/>
      <c r="B592" s="22"/>
      <c r="C592" s="21"/>
      <c r="D592" s="21"/>
      <c r="E592" s="28"/>
      <c r="F592" s="24"/>
      <c r="G592" s="26"/>
      <c r="H592" s="24"/>
      <c r="I592" s="24"/>
      <c r="J592" s="24"/>
      <c r="K592" s="24"/>
      <c r="L592" s="26"/>
      <c r="M592" s="26"/>
      <c r="N592" s="22"/>
      <c r="O592" s="21"/>
      <c r="P592" s="22"/>
      <c r="Q592" s="29" t="str">
        <f aca="false">IF(C592="","",IF(O592&lt;&gt;"",O592,IFERROR(INDEX(Produk!$J$2:$J$100,MATCH(C592,Produk!$A$2:$A$100,0)),"PRODUK?")))</f>
        <v/>
      </c>
      <c r="R592" s="29" t="str">
        <f aca="false">IF(A592="","",IF(COUNTIF(Anggota!$A$2:$A$2001,A592)=0,"TIDAK ADA","OK"))</f>
        <v/>
      </c>
      <c r="S592" s="29" t="str">
        <f aca="false">IF(H592="","",IF(OR(J592="",L592=""),"-",IF(ABS(H592-J592*L592)&gt;Info_Koperasi!$C$10,"SELISIH","OK")))</f>
        <v/>
      </c>
    </row>
    <row r="593" customFormat="false" ht="15" hidden="false" customHeight="false" outlineLevel="0" collapsed="false">
      <c r="A593" s="21"/>
      <c r="B593" s="22"/>
      <c r="C593" s="21"/>
      <c r="D593" s="21"/>
      <c r="E593" s="28"/>
      <c r="F593" s="24"/>
      <c r="G593" s="26"/>
      <c r="H593" s="24"/>
      <c r="I593" s="24"/>
      <c r="J593" s="24"/>
      <c r="K593" s="24"/>
      <c r="L593" s="26"/>
      <c r="M593" s="26"/>
      <c r="N593" s="22"/>
      <c r="O593" s="21"/>
      <c r="P593" s="22"/>
      <c r="Q593" s="29" t="str">
        <f aca="false">IF(C593="","",IF(O593&lt;&gt;"",O593,IFERROR(INDEX(Produk!$J$2:$J$100,MATCH(C593,Produk!$A$2:$A$100,0)),"PRODUK?")))</f>
        <v/>
      </c>
      <c r="R593" s="29" t="str">
        <f aca="false">IF(A593="","",IF(COUNTIF(Anggota!$A$2:$A$2001,A593)=0,"TIDAK ADA","OK"))</f>
        <v/>
      </c>
      <c r="S593" s="29" t="str">
        <f aca="false">IF(H593="","",IF(OR(J593="",L593=""),"-",IF(ABS(H593-J593*L593)&gt;Info_Koperasi!$C$10,"SELISIH","OK")))</f>
        <v/>
      </c>
    </row>
    <row r="594" customFormat="false" ht="15" hidden="false" customHeight="false" outlineLevel="0" collapsed="false">
      <c r="A594" s="21"/>
      <c r="B594" s="22"/>
      <c r="C594" s="21"/>
      <c r="D594" s="21"/>
      <c r="E594" s="28"/>
      <c r="F594" s="24"/>
      <c r="G594" s="26"/>
      <c r="H594" s="24"/>
      <c r="I594" s="24"/>
      <c r="J594" s="24"/>
      <c r="K594" s="24"/>
      <c r="L594" s="26"/>
      <c r="M594" s="26"/>
      <c r="N594" s="22"/>
      <c r="O594" s="21"/>
      <c r="P594" s="22"/>
      <c r="Q594" s="29" t="str">
        <f aca="false">IF(C594="","",IF(O594&lt;&gt;"",O594,IFERROR(INDEX(Produk!$J$2:$J$100,MATCH(C594,Produk!$A$2:$A$100,0)),"PRODUK?")))</f>
        <v/>
      </c>
      <c r="R594" s="29" t="str">
        <f aca="false">IF(A594="","",IF(COUNTIF(Anggota!$A$2:$A$2001,A594)=0,"TIDAK ADA","OK"))</f>
        <v/>
      </c>
      <c r="S594" s="29" t="str">
        <f aca="false">IF(H594="","",IF(OR(J594="",L594=""),"-",IF(ABS(H594-J594*L594)&gt;Info_Koperasi!$C$10,"SELISIH","OK")))</f>
        <v/>
      </c>
    </row>
    <row r="595" customFormat="false" ht="15" hidden="false" customHeight="false" outlineLevel="0" collapsed="false">
      <c r="A595" s="21"/>
      <c r="B595" s="22"/>
      <c r="C595" s="21"/>
      <c r="D595" s="21"/>
      <c r="E595" s="28"/>
      <c r="F595" s="24"/>
      <c r="G595" s="26"/>
      <c r="H595" s="24"/>
      <c r="I595" s="24"/>
      <c r="J595" s="24"/>
      <c r="K595" s="24"/>
      <c r="L595" s="26"/>
      <c r="M595" s="26"/>
      <c r="N595" s="22"/>
      <c r="O595" s="21"/>
      <c r="P595" s="22"/>
      <c r="Q595" s="29" t="str">
        <f aca="false">IF(C595="","",IF(O595&lt;&gt;"",O595,IFERROR(INDEX(Produk!$J$2:$J$100,MATCH(C595,Produk!$A$2:$A$100,0)),"PRODUK?")))</f>
        <v/>
      </c>
      <c r="R595" s="29" t="str">
        <f aca="false">IF(A595="","",IF(COUNTIF(Anggota!$A$2:$A$2001,A595)=0,"TIDAK ADA","OK"))</f>
        <v/>
      </c>
      <c r="S595" s="29" t="str">
        <f aca="false">IF(H595="","",IF(OR(J595="",L595=""),"-",IF(ABS(H595-J595*L595)&gt;Info_Koperasi!$C$10,"SELISIH","OK")))</f>
        <v/>
      </c>
    </row>
    <row r="596" customFormat="false" ht="15" hidden="false" customHeight="false" outlineLevel="0" collapsed="false">
      <c r="A596" s="21"/>
      <c r="B596" s="22"/>
      <c r="C596" s="21"/>
      <c r="D596" s="21"/>
      <c r="E596" s="28"/>
      <c r="F596" s="24"/>
      <c r="G596" s="26"/>
      <c r="H596" s="24"/>
      <c r="I596" s="24"/>
      <c r="J596" s="24"/>
      <c r="K596" s="24"/>
      <c r="L596" s="26"/>
      <c r="M596" s="26"/>
      <c r="N596" s="22"/>
      <c r="O596" s="21"/>
      <c r="P596" s="22"/>
      <c r="Q596" s="29" t="str">
        <f aca="false">IF(C596="","",IF(O596&lt;&gt;"",O596,IFERROR(INDEX(Produk!$J$2:$J$100,MATCH(C596,Produk!$A$2:$A$100,0)),"PRODUK?")))</f>
        <v/>
      </c>
      <c r="R596" s="29" t="str">
        <f aca="false">IF(A596="","",IF(COUNTIF(Anggota!$A$2:$A$2001,A596)=0,"TIDAK ADA","OK"))</f>
        <v/>
      </c>
      <c r="S596" s="29" t="str">
        <f aca="false">IF(H596="","",IF(OR(J596="",L596=""),"-",IF(ABS(H596-J596*L596)&gt;Info_Koperasi!$C$10,"SELISIH","OK")))</f>
        <v/>
      </c>
    </row>
    <row r="597" customFormat="false" ht="15" hidden="false" customHeight="false" outlineLevel="0" collapsed="false">
      <c r="A597" s="21"/>
      <c r="B597" s="22"/>
      <c r="C597" s="21"/>
      <c r="D597" s="21"/>
      <c r="E597" s="28"/>
      <c r="F597" s="24"/>
      <c r="G597" s="26"/>
      <c r="H597" s="24"/>
      <c r="I597" s="24"/>
      <c r="J597" s="24"/>
      <c r="K597" s="24"/>
      <c r="L597" s="26"/>
      <c r="M597" s="26"/>
      <c r="N597" s="22"/>
      <c r="O597" s="21"/>
      <c r="P597" s="22"/>
      <c r="Q597" s="29" t="str">
        <f aca="false">IF(C597="","",IF(O597&lt;&gt;"",O597,IFERROR(INDEX(Produk!$J$2:$J$100,MATCH(C597,Produk!$A$2:$A$100,0)),"PRODUK?")))</f>
        <v/>
      </c>
      <c r="R597" s="29" t="str">
        <f aca="false">IF(A597="","",IF(COUNTIF(Anggota!$A$2:$A$2001,A597)=0,"TIDAK ADA","OK"))</f>
        <v/>
      </c>
      <c r="S597" s="29" t="str">
        <f aca="false">IF(H597="","",IF(OR(J597="",L597=""),"-",IF(ABS(H597-J597*L597)&gt;Info_Koperasi!$C$10,"SELISIH","OK")))</f>
        <v/>
      </c>
    </row>
    <row r="598" customFormat="false" ht="15" hidden="false" customHeight="false" outlineLevel="0" collapsed="false">
      <c r="A598" s="21"/>
      <c r="B598" s="22"/>
      <c r="C598" s="21"/>
      <c r="D598" s="21"/>
      <c r="E598" s="28"/>
      <c r="F598" s="24"/>
      <c r="G598" s="26"/>
      <c r="H598" s="24"/>
      <c r="I598" s="24"/>
      <c r="J598" s="24"/>
      <c r="K598" s="24"/>
      <c r="L598" s="26"/>
      <c r="M598" s="26"/>
      <c r="N598" s="22"/>
      <c r="O598" s="21"/>
      <c r="P598" s="22"/>
      <c r="Q598" s="29" t="str">
        <f aca="false">IF(C598="","",IF(O598&lt;&gt;"",O598,IFERROR(INDEX(Produk!$J$2:$J$100,MATCH(C598,Produk!$A$2:$A$100,0)),"PRODUK?")))</f>
        <v/>
      </c>
      <c r="R598" s="29" t="str">
        <f aca="false">IF(A598="","",IF(COUNTIF(Anggota!$A$2:$A$2001,A598)=0,"TIDAK ADA","OK"))</f>
        <v/>
      </c>
      <c r="S598" s="29" t="str">
        <f aca="false">IF(H598="","",IF(OR(J598="",L598=""),"-",IF(ABS(H598-J598*L598)&gt;Info_Koperasi!$C$10,"SELISIH","OK")))</f>
        <v/>
      </c>
    </row>
    <row r="599" customFormat="false" ht="15" hidden="false" customHeight="false" outlineLevel="0" collapsed="false">
      <c r="A599" s="21"/>
      <c r="B599" s="22"/>
      <c r="C599" s="21"/>
      <c r="D599" s="21"/>
      <c r="E599" s="28"/>
      <c r="F599" s="24"/>
      <c r="G599" s="26"/>
      <c r="H599" s="24"/>
      <c r="I599" s="24"/>
      <c r="J599" s="24"/>
      <c r="K599" s="24"/>
      <c r="L599" s="26"/>
      <c r="M599" s="26"/>
      <c r="N599" s="22"/>
      <c r="O599" s="21"/>
      <c r="P599" s="22"/>
      <c r="Q599" s="29" t="str">
        <f aca="false">IF(C599="","",IF(O599&lt;&gt;"",O599,IFERROR(INDEX(Produk!$J$2:$J$100,MATCH(C599,Produk!$A$2:$A$100,0)),"PRODUK?")))</f>
        <v/>
      </c>
      <c r="R599" s="29" t="str">
        <f aca="false">IF(A599="","",IF(COUNTIF(Anggota!$A$2:$A$2001,A599)=0,"TIDAK ADA","OK"))</f>
        <v/>
      </c>
      <c r="S599" s="29" t="str">
        <f aca="false">IF(H599="","",IF(OR(J599="",L599=""),"-",IF(ABS(H599-J599*L599)&gt;Info_Koperasi!$C$10,"SELISIH","OK")))</f>
        <v/>
      </c>
    </row>
    <row r="600" customFormat="false" ht="15" hidden="false" customHeight="false" outlineLevel="0" collapsed="false">
      <c r="A600" s="21"/>
      <c r="B600" s="22"/>
      <c r="C600" s="21"/>
      <c r="D600" s="21"/>
      <c r="E600" s="28"/>
      <c r="F600" s="24"/>
      <c r="G600" s="26"/>
      <c r="H600" s="24"/>
      <c r="I600" s="24"/>
      <c r="J600" s="24"/>
      <c r="K600" s="24"/>
      <c r="L600" s="26"/>
      <c r="M600" s="26"/>
      <c r="N600" s="22"/>
      <c r="O600" s="21"/>
      <c r="P600" s="22"/>
      <c r="Q600" s="29" t="str">
        <f aca="false">IF(C600="","",IF(O600&lt;&gt;"",O600,IFERROR(INDEX(Produk!$J$2:$J$100,MATCH(C600,Produk!$A$2:$A$100,0)),"PRODUK?")))</f>
        <v/>
      </c>
      <c r="R600" s="29" t="str">
        <f aca="false">IF(A600="","",IF(COUNTIF(Anggota!$A$2:$A$2001,A600)=0,"TIDAK ADA","OK"))</f>
        <v/>
      </c>
      <c r="S600" s="29" t="str">
        <f aca="false">IF(H600="","",IF(OR(J600="",L600=""),"-",IF(ABS(H600-J600*L600)&gt;Info_Koperasi!$C$10,"SELISIH","OK")))</f>
        <v/>
      </c>
    </row>
    <row r="601" customFormat="false" ht="15" hidden="false" customHeight="false" outlineLevel="0" collapsed="false">
      <c r="A601" s="21"/>
      <c r="B601" s="22"/>
      <c r="C601" s="21"/>
      <c r="D601" s="21"/>
      <c r="E601" s="28"/>
      <c r="F601" s="24"/>
      <c r="G601" s="26"/>
      <c r="H601" s="24"/>
      <c r="I601" s="24"/>
      <c r="J601" s="24"/>
      <c r="K601" s="24"/>
      <c r="L601" s="26"/>
      <c r="M601" s="26"/>
      <c r="N601" s="22"/>
      <c r="O601" s="21"/>
      <c r="P601" s="22"/>
      <c r="Q601" s="29" t="str">
        <f aca="false">IF(C601="","",IF(O601&lt;&gt;"",O601,IFERROR(INDEX(Produk!$J$2:$J$100,MATCH(C601,Produk!$A$2:$A$100,0)),"PRODUK?")))</f>
        <v/>
      </c>
      <c r="R601" s="29" t="str">
        <f aca="false">IF(A601="","",IF(COUNTIF(Anggota!$A$2:$A$2001,A601)=0,"TIDAK ADA","OK"))</f>
        <v/>
      </c>
      <c r="S601" s="29" t="str">
        <f aca="false">IF(H601="","",IF(OR(J601="",L601=""),"-",IF(ABS(H601-J601*L601)&gt;Info_Koperasi!$C$10,"SELISIH","OK")))</f>
        <v/>
      </c>
    </row>
    <row r="602" customFormat="false" ht="15" hidden="false" customHeight="false" outlineLevel="0" collapsed="false">
      <c r="A602" s="21"/>
      <c r="B602" s="22"/>
      <c r="C602" s="21"/>
      <c r="D602" s="21"/>
      <c r="E602" s="28"/>
      <c r="F602" s="24"/>
      <c r="G602" s="26"/>
      <c r="H602" s="24"/>
      <c r="I602" s="24"/>
      <c r="J602" s="24"/>
      <c r="K602" s="24"/>
      <c r="L602" s="26"/>
      <c r="M602" s="26"/>
      <c r="N602" s="22"/>
      <c r="O602" s="21"/>
      <c r="P602" s="22"/>
      <c r="Q602" s="29" t="str">
        <f aca="false">IF(C602="","",IF(O602&lt;&gt;"",O602,IFERROR(INDEX(Produk!$J$2:$J$100,MATCH(C602,Produk!$A$2:$A$100,0)),"PRODUK?")))</f>
        <v/>
      </c>
      <c r="R602" s="29" t="str">
        <f aca="false">IF(A602="","",IF(COUNTIF(Anggota!$A$2:$A$2001,A602)=0,"TIDAK ADA","OK"))</f>
        <v/>
      </c>
      <c r="S602" s="29" t="str">
        <f aca="false">IF(H602="","",IF(OR(J602="",L602=""),"-",IF(ABS(H602-J602*L602)&gt;Info_Koperasi!$C$10,"SELISIH","OK")))</f>
        <v/>
      </c>
    </row>
    <row r="603" customFormat="false" ht="15" hidden="false" customHeight="false" outlineLevel="0" collapsed="false">
      <c r="A603" s="21"/>
      <c r="B603" s="22"/>
      <c r="C603" s="21"/>
      <c r="D603" s="21"/>
      <c r="E603" s="28"/>
      <c r="F603" s="24"/>
      <c r="G603" s="26"/>
      <c r="H603" s="24"/>
      <c r="I603" s="24"/>
      <c r="J603" s="24"/>
      <c r="K603" s="24"/>
      <c r="L603" s="26"/>
      <c r="M603" s="26"/>
      <c r="N603" s="22"/>
      <c r="O603" s="21"/>
      <c r="P603" s="22"/>
      <c r="Q603" s="29" t="str">
        <f aca="false">IF(C603="","",IF(O603&lt;&gt;"",O603,IFERROR(INDEX(Produk!$J$2:$J$100,MATCH(C603,Produk!$A$2:$A$100,0)),"PRODUK?")))</f>
        <v/>
      </c>
      <c r="R603" s="29" t="str">
        <f aca="false">IF(A603="","",IF(COUNTIF(Anggota!$A$2:$A$2001,A603)=0,"TIDAK ADA","OK"))</f>
        <v/>
      </c>
      <c r="S603" s="29" t="str">
        <f aca="false">IF(H603="","",IF(OR(J603="",L603=""),"-",IF(ABS(H603-J603*L603)&gt;Info_Koperasi!$C$10,"SELISIH","OK")))</f>
        <v/>
      </c>
    </row>
    <row r="604" customFormat="false" ht="15" hidden="false" customHeight="false" outlineLevel="0" collapsed="false">
      <c r="A604" s="21"/>
      <c r="B604" s="22"/>
      <c r="C604" s="21"/>
      <c r="D604" s="21"/>
      <c r="E604" s="28"/>
      <c r="F604" s="24"/>
      <c r="G604" s="26"/>
      <c r="H604" s="24"/>
      <c r="I604" s="24"/>
      <c r="J604" s="24"/>
      <c r="K604" s="24"/>
      <c r="L604" s="26"/>
      <c r="M604" s="26"/>
      <c r="N604" s="22"/>
      <c r="O604" s="21"/>
      <c r="P604" s="22"/>
      <c r="Q604" s="29" t="str">
        <f aca="false">IF(C604="","",IF(O604&lt;&gt;"",O604,IFERROR(INDEX(Produk!$J$2:$J$100,MATCH(C604,Produk!$A$2:$A$100,0)),"PRODUK?")))</f>
        <v/>
      </c>
      <c r="R604" s="29" t="str">
        <f aca="false">IF(A604="","",IF(COUNTIF(Anggota!$A$2:$A$2001,A604)=0,"TIDAK ADA","OK"))</f>
        <v/>
      </c>
      <c r="S604" s="29" t="str">
        <f aca="false">IF(H604="","",IF(OR(J604="",L604=""),"-",IF(ABS(H604-J604*L604)&gt;Info_Koperasi!$C$10,"SELISIH","OK")))</f>
        <v/>
      </c>
    </row>
    <row r="605" customFormat="false" ht="15" hidden="false" customHeight="false" outlineLevel="0" collapsed="false">
      <c r="A605" s="21"/>
      <c r="B605" s="22"/>
      <c r="C605" s="21"/>
      <c r="D605" s="21"/>
      <c r="E605" s="28"/>
      <c r="F605" s="24"/>
      <c r="G605" s="26"/>
      <c r="H605" s="24"/>
      <c r="I605" s="24"/>
      <c r="J605" s="24"/>
      <c r="K605" s="24"/>
      <c r="L605" s="26"/>
      <c r="M605" s="26"/>
      <c r="N605" s="22"/>
      <c r="O605" s="21"/>
      <c r="P605" s="22"/>
      <c r="Q605" s="29" t="str">
        <f aca="false">IF(C605="","",IF(O605&lt;&gt;"",O605,IFERROR(INDEX(Produk!$J$2:$J$100,MATCH(C605,Produk!$A$2:$A$100,0)),"PRODUK?")))</f>
        <v/>
      </c>
      <c r="R605" s="29" t="str">
        <f aca="false">IF(A605="","",IF(COUNTIF(Anggota!$A$2:$A$2001,A605)=0,"TIDAK ADA","OK"))</f>
        <v/>
      </c>
      <c r="S605" s="29" t="str">
        <f aca="false">IF(H605="","",IF(OR(J605="",L605=""),"-",IF(ABS(H605-J605*L605)&gt;Info_Koperasi!$C$10,"SELISIH","OK")))</f>
        <v/>
      </c>
    </row>
    <row r="606" customFormat="false" ht="15" hidden="false" customHeight="false" outlineLevel="0" collapsed="false">
      <c r="A606" s="21"/>
      <c r="B606" s="22"/>
      <c r="C606" s="21"/>
      <c r="D606" s="21"/>
      <c r="E606" s="28"/>
      <c r="F606" s="24"/>
      <c r="G606" s="26"/>
      <c r="H606" s="24"/>
      <c r="I606" s="24"/>
      <c r="J606" s="24"/>
      <c r="K606" s="24"/>
      <c r="L606" s="26"/>
      <c r="M606" s="26"/>
      <c r="N606" s="22"/>
      <c r="O606" s="21"/>
      <c r="P606" s="22"/>
      <c r="Q606" s="29" t="str">
        <f aca="false">IF(C606="","",IF(O606&lt;&gt;"",O606,IFERROR(INDEX(Produk!$J$2:$J$100,MATCH(C606,Produk!$A$2:$A$100,0)),"PRODUK?")))</f>
        <v/>
      </c>
      <c r="R606" s="29" t="str">
        <f aca="false">IF(A606="","",IF(COUNTIF(Anggota!$A$2:$A$2001,A606)=0,"TIDAK ADA","OK"))</f>
        <v/>
      </c>
      <c r="S606" s="29" t="str">
        <f aca="false">IF(H606="","",IF(OR(J606="",L606=""),"-",IF(ABS(H606-J606*L606)&gt;Info_Koperasi!$C$10,"SELISIH","OK")))</f>
        <v/>
      </c>
    </row>
    <row r="607" customFormat="false" ht="15" hidden="false" customHeight="false" outlineLevel="0" collapsed="false">
      <c r="A607" s="21"/>
      <c r="B607" s="22"/>
      <c r="C607" s="21"/>
      <c r="D607" s="21"/>
      <c r="E607" s="28"/>
      <c r="F607" s="24"/>
      <c r="G607" s="26"/>
      <c r="H607" s="24"/>
      <c r="I607" s="24"/>
      <c r="J607" s="24"/>
      <c r="K607" s="24"/>
      <c r="L607" s="26"/>
      <c r="M607" s="26"/>
      <c r="N607" s="22"/>
      <c r="O607" s="21"/>
      <c r="P607" s="22"/>
      <c r="Q607" s="29" t="str">
        <f aca="false">IF(C607="","",IF(O607&lt;&gt;"",O607,IFERROR(INDEX(Produk!$J$2:$J$100,MATCH(C607,Produk!$A$2:$A$100,0)),"PRODUK?")))</f>
        <v/>
      </c>
      <c r="R607" s="29" t="str">
        <f aca="false">IF(A607="","",IF(COUNTIF(Anggota!$A$2:$A$2001,A607)=0,"TIDAK ADA","OK"))</f>
        <v/>
      </c>
      <c r="S607" s="29" t="str">
        <f aca="false">IF(H607="","",IF(OR(J607="",L607=""),"-",IF(ABS(H607-J607*L607)&gt;Info_Koperasi!$C$10,"SELISIH","OK")))</f>
        <v/>
      </c>
    </row>
    <row r="608" customFormat="false" ht="15" hidden="false" customHeight="false" outlineLevel="0" collapsed="false">
      <c r="A608" s="21"/>
      <c r="B608" s="22"/>
      <c r="C608" s="21"/>
      <c r="D608" s="21"/>
      <c r="E608" s="28"/>
      <c r="F608" s="24"/>
      <c r="G608" s="26"/>
      <c r="H608" s="24"/>
      <c r="I608" s="24"/>
      <c r="J608" s="24"/>
      <c r="K608" s="24"/>
      <c r="L608" s="26"/>
      <c r="M608" s="26"/>
      <c r="N608" s="22"/>
      <c r="O608" s="21"/>
      <c r="P608" s="22"/>
      <c r="Q608" s="29" t="str">
        <f aca="false">IF(C608="","",IF(O608&lt;&gt;"",O608,IFERROR(INDEX(Produk!$J$2:$J$100,MATCH(C608,Produk!$A$2:$A$100,0)),"PRODUK?")))</f>
        <v/>
      </c>
      <c r="R608" s="29" t="str">
        <f aca="false">IF(A608="","",IF(COUNTIF(Anggota!$A$2:$A$2001,A608)=0,"TIDAK ADA","OK"))</f>
        <v/>
      </c>
      <c r="S608" s="29" t="str">
        <f aca="false">IF(H608="","",IF(OR(J608="",L608=""),"-",IF(ABS(H608-J608*L608)&gt;Info_Koperasi!$C$10,"SELISIH","OK")))</f>
        <v/>
      </c>
    </row>
    <row r="609" customFormat="false" ht="15" hidden="false" customHeight="false" outlineLevel="0" collapsed="false">
      <c r="A609" s="21"/>
      <c r="B609" s="22"/>
      <c r="C609" s="21"/>
      <c r="D609" s="21"/>
      <c r="E609" s="28"/>
      <c r="F609" s="24"/>
      <c r="G609" s="26"/>
      <c r="H609" s="24"/>
      <c r="I609" s="24"/>
      <c r="J609" s="24"/>
      <c r="K609" s="24"/>
      <c r="L609" s="26"/>
      <c r="M609" s="26"/>
      <c r="N609" s="22"/>
      <c r="O609" s="21"/>
      <c r="P609" s="22"/>
      <c r="Q609" s="29" t="str">
        <f aca="false">IF(C609="","",IF(O609&lt;&gt;"",O609,IFERROR(INDEX(Produk!$J$2:$J$100,MATCH(C609,Produk!$A$2:$A$100,0)),"PRODUK?")))</f>
        <v/>
      </c>
      <c r="R609" s="29" t="str">
        <f aca="false">IF(A609="","",IF(COUNTIF(Anggota!$A$2:$A$2001,A609)=0,"TIDAK ADA","OK"))</f>
        <v/>
      </c>
      <c r="S609" s="29" t="str">
        <f aca="false">IF(H609="","",IF(OR(J609="",L609=""),"-",IF(ABS(H609-J609*L609)&gt;Info_Koperasi!$C$10,"SELISIH","OK")))</f>
        <v/>
      </c>
    </row>
    <row r="610" customFormat="false" ht="15" hidden="false" customHeight="false" outlineLevel="0" collapsed="false">
      <c r="A610" s="21"/>
      <c r="B610" s="22"/>
      <c r="C610" s="21"/>
      <c r="D610" s="21"/>
      <c r="E610" s="28"/>
      <c r="F610" s="24"/>
      <c r="G610" s="26"/>
      <c r="H610" s="24"/>
      <c r="I610" s="24"/>
      <c r="J610" s="24"/>
      <c r="K610" s="24"/>
      <c r="L610" s="26"/>
      <c r="M610" s="26"/>
      <c r="N610" s="22"/>
      <c r="O610" s="21"/>
      <c r="P610" s="22"/>
      <c r="Q610" s="29" t="str">
        <f aca="false">IF(C610="","",IF(O610&lt;&gt;"",O610,IFERROR(INDEX(Produk!$J$2:$J$100,MATCH(C610,Produk!$A$2:$A$100,0)),"PRODUK?")))</f>
        <v/>
      </c>
      <c r="R610" s="29" t="str">
        <f aca="false">IF(A610="","",IF(COUNTIF(Anggota!$A$2:$A$2001,A610)=0,"TIDAK ADA","OK"))</f>
        <v/>
      </c>
      <c r="S610" s="29" t="str">
        <f aca="false">IF(H610="","",IF(OR(J610="",L610=""),"-",IF(ABS(H610-J610*L610)&gt;Info_Koperasi!$C$10,"SELISIH","OK")))</f>
        <v/>
      </c>
    </row>
    <row r="611" customFormat="false" ht="15" hidden="false" customHeight="false" outlineLevel="0" collapsed="false">
      <c r="A611" s="21"/>
      <c r="B611" s="22"/>
      <c r="C611" s="21"/>
      <c r="D611" s="21"/>
      <c r="E611" s="28"/>
      <c r="F611" s="24"/>
      <c r="G611" s="26"/>
      <c r="H611" s="24"/>
      <c r="I611" s="24"/>
      <c r="J611" s="24"/>
      <c r="K611" s="24"/>
      <c r="L611" s="26"/>
      <c r="M611" s="26"/>
      <c r="N611" s="22"/>
      <c r="O611" s="21"/>
      <c r="P611" s="22"/>
      <c r="Q611" s="29" t="str">
        <f aca="false">IF(C611="","",IF(O611&lt;&gt;"",O611,IFERROR(INDEX(Produk!$J$2:$J$100,MATCH(C611,Produk!$A$2:$A$100,0)),"PRODUK?")))</f>
        <v/>
      </c>
      <c r="R611" s="29" t="str">
        <f aca="false">IF(A611="","",IF(COUNTIF(Anggota!$A$2:$A$2001,A611)=0,"TIDAK ADA","OK"))</f>
        <v/>
      </c>
      <c r="S611" s="29" t="str">
        <f aca="false">IF(H611="","",IF(OR(J611="",L611=""),"-",IF(ABS(H611-J611*L611)&gt;Info_Koperasi!$C$10,"SELISIH","OK")))</f>
        <v/>
      </c>
    </row>
    <row r="612" customFormat="false" ht="15" hidden="false" customHeight="false" outlineLevel="0" collapsed="false">
      <c r="A612" s="21"/>
      <c r="B612" s="22"/>
      <c r="C612" s="21"/>
      <c r="D612" s="21"/>
      <c r="E612" s="28"/>
      <c r="F612" s="24"/>
      <c r="G612" s="26"/>
      <c r="H612" s="24"/>
      <c r="I612" s="24"/>
      <c r="J612" s="24"/>
      <c r="K612" s="24"/>
      <c r="L612" s="26"/>
      <c r="M612" s="26"/>
      <c r="N612" s="22"/>
      <c r="O612" s="21"/>
      <c r="P612" s="22"/>
      <c r="Q612" s="29" t="str">
        <f aca="false">IF(C612="","",IF(O612&lt;&gt;"",O612,IFERROR(INDEX(Produk!$J$2:$J$100,MATCH(C612,Produk!$A$2:$A$100,0)),"PRODUK?")))</f>
        <v/>
      </c>
      <c r="R612" s="29" t="str">
        <f aca="false">IF(A612="","",IF(COUNTIF(Anggota!$A$2:$A$2001,A612)=0,"TIDAK ADA","OK"))</f>
        <v/>
      </c>
      <c r="S612" s="29" t="str">
        <f aca="false">IF(H612="","",IF(OR(J612="",L612=""),"-",IF(ABS(H612-J612*L612)&gt;Info_Koperasi!$C$10,"SELISIH","OK")))</f>
        <v/>
      </c>
    </row>
    <row r="613" customFormat="false" ht="15" hidden="false" customHeight="false" outlineLevel="0" collapsed="false">
      <c r="A613" s="21"/>
      <c r="B613" s="22"/>
      <c r="C613" s="21"/>
      <c r="D613" s="21"/>
      <c r="E613" s="28"/>
      <c r="F613" s="24"/>
      <c r="G613" s="26"/>
      <c r="H613" s="24"/>
      <c r="I613" s="24"/>
      <c r="J613" s="24"/>
      <c r="K613" s="24"/>
      <c r="L613" s="26"/>
      <c r="M613" s="26"/>
      <c r="N613" s="22"/>
      <c r="O613" s="21"/>
      <c r="P613" s="22"/>
      <c r="Q613" s="29" t="str">
        <f aca="false">IF(C613="","",IF(O613&lt;&gt;"",O613,IFERROR(INDEX(Produk!$J$2:$J$100,MATCH(C613,Produk!$A$2:$A$100,0)),"PRODUK?")))</f>
        <v/>
      </c>
      <c r="R613" s="29" t="str">
        <f aca="false">IF(A613="","",IF(COUNTIF(Anggota!$A$2:$A$2001,A613)=0,"TIDAK ADA","OK"))</f>
        <v/>
      </c>
      <c r="S613" s="29" t="str">
        <f aca="false">IF(H613="","",IF(OR(J613="",L613=""),"-",IF(ABS(H613-J613*L613)&gt;Info_Koperasi!$C$10,"SELISIH","OK")))</f>
        <v/>
      </c>
    </row>
    <row r="614" customFormat="false" ht="15" hidden="false" customHeight="false" outlineLevel="0" collapsed="false">
      <c r="A614" s="21"/>
      <c r="B614" s="22"/>
      <c r="C614" s="21"/>
      <c r="D614" s="21"/>
      <c r="E614" s="28"/>
      <c r="F614" s="24"/>
      <c r="G614" s="26"/>
      <c r="H614" s="24"/>
      <c r="I614" s="24"/>
      <c r="J614" s="24"/>
      <c r="K614" s="24"/>
      <c r="L614" s="26"/>
      <c r="M614" s="26"/>
      <c r="N614" s="22"/>
      <c r="O614" s="21"/>
      <c r="P614" s="22"/>
      <c r="Q614" s="29" t="str">
        <f aca="false">IF(C614="","",IF(O614&lt;&gt;"",O614,IFERROR(INDEX(Produk!$J$2:$J$100,MATCH(C614,Produk!$A$2:$A$100,0)),"PRODUK?")))</f>
        <v/>
      </c>
      <c r="R614" s="29" t="str">
        <f aca="false">IF(A614="","",IF(COUNTIF(Anggota!$A$2:$A$2001,A614)=0,"TIDAK ADA","OK"))</f>
        <v/>
      </c>
      <c r="S614" s="29" t="str">
        <f aca="false">IF(H614="","",IF(OR(J614="",L614=""),"-",IF(ABS(H614-J614*L614)&gt;Info_Koperasi!$C$10,"SELISIH","OK")))</f>
        <v/>
      </c>
    </row>
    <row r="615" customFormat="false" ht="15" hidden="false" customHeight="false" outlineLevel="0" collapsed="false">
      <c r="A615" s="21"/>
      <c r="B615" s="22"/>
      <c r="C615" s="21"/>
      <c r="D615" s="21"/>
      <c r="E615" s="28"/>
      <c r="F615" s="24"/>
      <c r="G615" s="26"/>
      <c r="H615" s="24"/>
      <c r="I615" s="24"/>
      <c r="J615" s="24"/>
      <c r="K615" s="24"/>
      <c r="L615" s="26"/>
      <c r="M615" s="26"/>
      <c r="N615" s="22"/>
      <c r="O615" s="21"/>
      <c r="P615" s="22"/>
      <c r="Q615" s="29" t="str">
        <f aca="false">IF(C615="","",IF(O615&lt;&gt;"",O615,IFERROR(INDEX(Produk!$J$2:$J$100,MATCH(C615,Produk!$A$2:$A$100,0)),"PRODUK?")))</f>
        <v/>
      </c>
      <c r="R615" s="29" t="str">
        <f aca="false">IF(A615="","",IF(COUNTIF(Anggota!$A$2:$A$2001,A615)=0,"TIDAK ADA","OK"))</f>
        <v/>
      </c>
      <c r="S615" s="29" t="str">
        <f aca="false">IF(H615="","",IF(OR(J615="",L615=""),"-",IF(ABS(H615-J615*L615)&gt;Info_Koperasi!$C$10,"SELISIH","OK")))</f>
        <v/>
      </c>
    </row>
    <row r="616" customFormat="false" ht="15" hidden="false" customHeight="false" outlineLevel="0" collapsed="false">
      <c r="A616" s="21"/>
      <c r="B616" s="22"/>
      <c r="C616" s="21"/>
      <c r="D616" s="21"/>
      <c r="E616" s="28"/>
      <c r="F616" s="24"/>
      <c r="G616" s="26"/>
      <c r="H616" s="24"/>
      <c r="I616" s="24"/>
      <c r="J616" s="24"/>
      <c r="K616" s="24"/>
      <c r="L616" s="26"/>
      <c r="M616" s="26"/>
      <c r="N616" s="22"/>
      <c r="O616" s="21"/>
      <c r="P616" s="22"/>
      <c r="Q616" s="29" t="str">
        <f aca="false">IF(C616="","",IF(O616&lt;&gt;"",O616,IFERROR(INDEX(Produk!$J$2:$J$100,MATCH(C616,Produk!$A$2:$A$100,0)),"PRODUK?")))</f>
        <v/>
      </c>
      <c r="R616" s="29" t="str">
        <f aca="false">IF(A616="","",IF(COUNTIF(Anggota!$A$2:$A$2001,A616)=0,"TIDAK ADA","OK"))</f>
        <v/>
      </c>
      <c r="S616" s="29" t="str">
        <f aca="false">IF(H616="","",IF(OR(J616="",L616=""),"-",IF(ABS(H616-J616*L616)&gt;Info_Koperasi!$C$10,"SELISIH","OK")))</f>
        <v/>
      </c>
    </row>
    <row r="617" customFormat="false" ht="15" hidden="false" customHeight="false" outlineLevel="0" collapsed="false">
      <c r="A617" s="21"/>
      <c r="B617" s="22"/>
      <c r="C617" s="21"/>
      <c r="D617" s="21"/>
      <c r="E617" s="28"/>
      <c r="F617" s="24"/>
      <c r="G617" s="26"/>
      <c r="H617" s="24"/>
      <c r="I617" s="24"/>
      <c r="J617" s="24"/>
      <c r="K617" s="24"/>
      <c r="L617" s="26"/>
      <c r="M617" s="26"/>
      <c r="N617" s="22"/>
      <c r="O617" s="21"/>
      <c r="P617" s="22"/>
      <c r="Q617" s="29" t="str">
        <f aca="false">IF(C617="","",IF(O617&lt;&gt;"",O617,IFERROR(INDEX(Produk!$J$2:$J$100,MATCH(C617,Produk!$A$2:$A$100,0)),"PRODUK?")))</f>
        <v/>
      </c>
      <c r="R617" s="29" t="str">
        <f aca="false">IF(A617="","",IF(COUNTIF(Anggota!$A$2:$A$2001,A617)=0,"TIDAK ADA","OK"))</f>
        <v/>
      </c>
      <c r="S617" s="29" t="str">
        <f aca="false">IF(H617="","",IF(OR(J617="",L617=""),"-",IF(ABS(H617-J617*L617)&gt;Info_Koperasi!$C$10,"SELISIH","OK")))</f>
        <v/>
      </c>
    </row>
    <row r="618" customFormat="false" ht="15" hidden="false" customHeight="false" outlineLevel="0" collapsed="false">
      <c r="A618" s="21"/>
      <c r="B618" s="22"/>
      <c r="C618" s="21"/>
      <c r="D618" s="21"/>
      <c r="E618" s="28"/>
      <c r="F618" s="24"/>
      <c r="G618" s="26"/>
      <c r="H618" s="24"/>
      <c r="I618" s="24"/>
      <c r="J618" s="24"/>
      <c r="K618" s="24"/>
      <c r="L618" s="26"/>
      <c r="M618" s="26"/>
      <c r="N618" s="22"/>
      <c r="O618" s="21"/>
      <c r="P618" s="22"/>
      <c r="Q618" s="29" t="str">
        <f aca="false">IF(C618="","",IF(O618&lt;&gt;"",O618,IFERROR(INDEX(Produk!$J$2:$J$100,MATCH(C618,Produk!$A$2:$A$100,0)),"PRODUK?")))</f>
        <v/>
      </c>
      <c r="R618" s="29" t="str">
        <f aca="false">IF(A618="","",IF(COUNTIF(Anggota!$A$2:$A$2001,A618)=0,"TIDAK ADA","OK"))</f>
        <v/>
      </c>
      <c r="S618" s="29" t="str">
        <f aca="false">IF(H618="","",IF(OR(J618="",L618=""),"-",IF(ABS(H618-J618*L618)&gt;Info_Koperasi!$C$10,"SELISIH","OK")))</f>
        <v/>
      </c>
    </row>
    <row r="619" customFormat="false" ht="15" hidden="false" customHeight="false" outlineLevel="0" collapsed="false">
      <c r="A619" s="21"/>
      <c r="B619" s="22"/>
      <c r="C619" s="21"/>
      <c r="D619" s="21"/>
      <c r="E619" s="28"/>
      <c r="F619" s="24"/>
      <c r="G619" s="26"/>
      <c r="H619" s="24"/>
      <c r="I619" s="24"/>
      <c r="J619" s="24"/>
      <c r="K619" s="24"/>
      <c r="L619" s="26"/>
      <c r="M619" s="26"/>
      <c r="N619" s="22"/>
      <c r="O619" s="21"/>
      <c r="P619" s="22"/>
      <c r="Q619" s="29" t="str">
        <f aca="false">IF(C619="","",IF(O619&lt;&gt;"",O619,IFERROR(INDEX(Produk!$J$2:$J$100,MATCH(C619,Produk!$A$2:$A$100,0)),"PRODUK?")))</f>
        <v/>
      </c>
      <c r="R619" s="29" t="str">
        <f aca="false">IF(A619="","",IF(COUNTIF(Anggota!$A$2:$A$2001,A619)=0,"TIDAK ADA","OK"))</f>
        <v/>
      </c>
      <c r="S619" s="29" t="str">
        <f aca="false">IF(H619="","",IF(OR(J619="",L619=""),"-",IF(ABS(H619-J619*L619)&gt;Info_Koperasi!$C$10,"SELISIH","OK")))</f>
        <v/>
      </c>
    </row>
    <row r="620" customFormat="false" ht="15" hidden="false" customHeight="false" outlineLevel="0" collapsed="false">
      <c r="A620" s="21"/>
      <c r="B620" s="22"/>
      <c r="C620" s="21"/>
      <c r="D620" s="21"/>
      <c r="E620" s="28"/>
      <c r="F620" s="24"/>
      <c r="G620" s="26"/>
      <c r="H620" s="24"/>
      <c r="I620" s="24"/>
      <c r="J620" s="24"/>
      <c r="K620" s="24"/>
      <c r="L620" s="26"/>
      <c r="M620" s="26"/>
      <c r="N620" s="22"/>
      <c r="O620" s="21"/>
      <c r="P620" s="22"/>
      <c r="Q620" s="29" t="str">
        <f aca="false">IF(C620="","",IF(O620&lt;&gt;"",O620,IFERROR(INDEX(Produk!$J$2:$J$100,MATCH(C620,Produk!$A$2:$A$100,0)),"PRODUK?")))</f>
        <v/>
      </c>
      <c r="R620" s="29" t="str">
        <f aca="false">IF(A620="","",IF(COUNTIF(Anggota!$A$2:$A$2001,A620)=0,"TIDAK ADA","OK"))</f>
        <v/>
      </c>
      <c r="S620" s="29" t="str">
        <f aca="false">IF(H620="","",IF(OR(J620="",L620=""),"-",IF(ABS(H620-J620*L620)&gt;Info_Koperasi!$C$10,"SELISIH","OK")))</f>
        <v/>
      </c>
    </row>
    <row r="621" customFormat="false" ht="15" hidden="false" customHeight="false" outlineLevel="0" collapsed="false">
      <c r="A621" s="21"/>
      <c r="B621" s="22"/>
      <c r="C621" s="21"/>
      <c r="D621" s="21"/>
      <c r="E621" s="28"/>
      <c r="F621" s="24"/>
      <c r="G621" s="26"/>
      <c r="H621" s="24"/>
      <c r="I621" s="24"/>
      <c r="J621" s="24"/>
      <c r="K621" s="24"/>
      <c r="L621" s="26"/>
      <c r="M621" s="26"/>
      <c r="N621" s="22"/>
      <c r="O621" s="21"/>
      <c r="P621" s="22"/>
      <c r="Q621" s="29" t="str">
        <f aca="false">IF(C621="","",IF(O621&lt;&gt;"",O621,IFERROR(INDEX(Produk!$J$2:$J$100,MATCH(C621,Produk!$A$2:$A$100,0)),"PRODUK?")))</f>
        <v/>
      </c>
      <c r="R621" s="29" t="str">
        <f aca="false">IF(A621="","",IF(COUNTIF(Anggota!$A$2:$A$2001,A621)=0,"TIDAK ADA","OK"))</f>
        <v/>
      </c>
      <c r="S621" s="29" t="str">
        <f aca="false">IF(H621="","",IF(OR(J621="",L621=""),"-",IF(ABS(H621-J621*L621)&gt;Info_Koperasi!$C$10,"SELISIH","OK")))</f>
        <v/>
      </c>
    </row>
    <row r="622" customFormat="false" ht="15" hidden="false" customHeight="false" outlineLevel="0" collapsed="false">
      <c r="A622" s="21"/>
      <c r="B622" s="22"/>
      <c r="C622" s="21"/>
      <c r="D622" s="21"/>
      <c r="E622" s="28"/>
      <c r="F622" s="24"/>
      <c r="G622" s="26"/>
      <c r="H622" s="24"/>
      <c r="I622" s="24"/>
      <c r="J622" s="24"/>
      <c r="K622" s="24"/>
      <c r="L622" s="26"/>
      <c r="M622" s="26"/>
      <c r="N622" s="22"/>
      <c r="O622" s="21"/>
      <c r="P622" s="22"/>
      <c r="Q622" s="29" t="str">
        <f aca="false">IF(C622="","",IF(O622&lt;&gt;"",O622,IFERROR(INDEX(Produk!$J$2:$J$100,MATCH(C622,Produk!$A$2:$A$100,0)),"PRODUK?")))</f>
        <v/>
      </c>
      <c r="R622" s="29" t="str">
        <f aca="false">IF(A622="","",IF(COUNTIF(Anggota!$A$2:$A$2001,A622)=0,"TIDAK ADA","OK"))</f>
        <v/>
      </c>
      <c r="S622" s="29" t="str">
        <f aca="false">IF(H622="","",IF(OR(J622="",L622=""),"-",IF(ABS(H622-J622*L622)&gt;Info_Koperasi!$C$10,"SELISIH","OK")))</f>
        <v/>
      </c>
    </row>
    <row r="623" customFormat="false" ht="15" hidden="false" customHeight="false" outlineLevel="0" collapsed="false">
      <c r="A623" s="21"/>
      <c r="B623" s="22"/>
      <c r="C623" s="21"/>
      <c r="D623" s="21"/>
      <c r="E623" s="28"/>
      <c r="F623" s="24"/>
      <c r="G623" s="26"/>
      <c r="H623" s="24"/>
      <c r="I623" s="24"/>
      <c r="J623" s="24"/>
      <c r="K623" s="24"/>
      <c r="L623" s="26"/>
      <c r="M623" s="26"/>
      <c r="N623" s="22"/>
      <c r="O623" s="21"/>
      <c r="P623" s="22"/>
      <c r="Q623" s="29" t="str">
        <f aca="false">IF(C623="","",IF(O623&lt;&gt;"",O623,IFERROR(INDEX(Produk!$J$2:$J$100,MATCH(C623,Produk!$A$2:$A$100,0)),"PRODUK?")))</f>
        <v/>
      </c>
      <c r="R623" s="29" t="str">
        <f aca="false">IF(A623="","",IF(COUNTIF(Anggota!$A$2:$A$2001,A623)=0,"TIDAK ADA","OK"))</f>
        <v/>
      </c>
      <c r="S623" s="29" t="str">
        <f aca="false">IF(H623="","",IF(OR(J623="",L623=""),"-",IF(ABS(H623-J623*L623)&gt;Info_Koperasi!$C$10,"SELISIH","OK")))</f>
        <v/>
      </c>
    </row>
    <row r="624" customFormat="false" ht="15" hidden="false" customHeight="false" outlineLevel="0" collapsed="false">
      <c r="A624" s="21"/>
      <c r="B624" s="22"/>
      <c r="C624" s="21"/>
      <c r="D624" s="21"/>
      <c r="E624" s="28"/>
      <c r="F624" s="24"/>
      <c r="G624" s="26"/>
      <c r="H624" s="24"/>
      <c r="I624" s="24"/>
      <c r="J624" s="24"/>
      <c r="K624" s="24"/>
      <c r="L624" s="26"/>
      <c r="M624" s="26"/>
      <c r="N624" s="22"/>
      <c r="O624" s="21"/>
      <c r="P624" s="22"/>
      <c r="Q624" s="29" t="str">
        <f aca="false">IF(C624="","",IF(O624&lt;&gt;"",O624,IFERROR(INDEX(Produk!$J$2:$J$100,MATCH(C624,Produk!$A$2:$A$100,0)),"PRODUK?")))</f>
        <v/>
      </c>
      <c r="R624" s="29" t="str">
        <f aca="false">IF(A624="","",IF(COUNTIF(Anggota!$A$2:$A$2001,A624)=0,"TIDAK ADA","OK"))</f>
        <v/>
      </c>
      <c r="S624" s="29" t="str">
        <f aca="false">IF(H624="","",IF(OR(J624="",L624=""),"-",IF(ABS(H624-J624*L624)&gt;Info_Koperasi!$C$10,"SELISIH","OK")))</f>
        <v/>
      </c>
    </row>
    <row r="625" customFormat="false" ht="15" hidden="false" customHeight="false" outlineLevel="0" collapsed="false">
      <c r="A625" s="21"/>
      <c r="B625" s="22"/>
      <c r="C625" s="21"/>
      <c r="D625" s="21"/>
      <c r="E625" s="28"/>
      <c r="F625" s="24"/>
      <c r="G625" s="26"/>
      <c r="H625" s="24"/>
      <c r="I625" s="24"/>
      <c r="J625" s="24"/>
      <c r="K625" s="24"/>
      <c r="L625" s="26"/>
      <c r="M625" s="26"/>
      <c r="N625" s="22"/>
      <c r="O625" s="21"/>
      <c r="P625" s="22"/>
      <c r="Q625" s="29" t="str">
        <f aca="false">IF(C625="","",IF(O625&lt;&gt;"",O625,IFERROR(INDEX(Produk!$J$2:$J$100,MATCH(C625,Produk!$A$2:$A$100,0)),"PRODUK?")))</f>
        <v/>
      </c>
      <c r="R625" s="29" t="str">
        <f aca="false">IF(A625="","",IF(COUNTIF(Anggota!$A$2:$A$2001,A625)=0,"TIDAK ADA","OK"))</f>
        <v/>
      </c>
      <c r="S625" s="29" t="str">
        <f aca="false">IF(H625="","",IF(OR(J625="",L625=""),"-",IF(ABS(H625-J625*L625)&gt;Info_Koperasi!$C$10,"SELISIH","OK")))</f>
        <v/>
      </c>
    </row>
    <row r="626" customFormat="false" ht="15" hidden="false" customHeight="false" outlineLevel="0" collapsed="false">
      <c r="A626" s="21"/>
      <c r="B626" s="22"/>
      <c r="C626" s="21"/>
      <c r="D626" s="21"/>
      <c r="E626" s="28"/>
      <c r="F626" s="24"/>
      <c r="G626" s="26"/>
      <c r="H626" s="24"/>
      <c r="I626" s="24"/>
      <c r="J626" s="24"/>
      <c r="K626" s="24"/>
      <c r="L626" s="26"/>
      <c r="M626" s="26"/>
      <c r="N626" s="22"/>
      <c r="O626" s="21"/>
      <c r="P626" s="22"/>
      <c r="Q626" s="29" t="str">
        <f aca="false">IF(C626="","",IF(O626&lt;&gt;"",O626,IFERROR(INDEX(Produk!$J$2:$J$100,MATCH(C626,Produk!$A$2:$A$100,0)),"PRODUK?")))</f>
        <v/>
      </c>
      <c r="R626" s="29" t="str">
        <f aca="false">IF(A626="","",IF(COUNTIF(Anggota!$A$2:$A$2001,A626)=0,"TIDAK ADA","OK"))</f>
        <v/>
      </c>
      <c r="S626" s="29" t="str">
        <f aca="false">IF(H626="","",IF(OR(J626="",L626=""),"-",IF(ABS(H626-J626*L626)&gt;Info_Koperasi!$C$10,"SELISIH","OK")))</f>
        <v/>
      </c>
    </row>
    <row r="627" customFormat="false" ht="15" hidden="false" customHeight="false" outlineLevel="0" collapsed="false">
      <c r="A627" s="21"/>
      <c r="B627" s="22"/>
      <c r="C627" s="21"/>
      <c r="D627" s="21"/>
      <c r="E627" s="28"/>
      <c r="F627" s="24"/>
      <c r="G627" s="26"/>
      <c r="H627" s="24"/>
      <c r="I627" s="24"/>
      <c r="J627" s="24"/>
      <c r="K627" s="24"/>
      <c r="L627" s="26"/>
      <c r="M627" s="26"/>
      <c r="N627" s="22"/>
      <c r="O627" s="21"/>
      <c r="P627" s="22"/>
      <c r="Q627" s="29" t="str">
        <f aca="false">IF(C627="","",IF(O627&lt;&gt;"",O627,IFERROR(INDEX(Produk!$J$2:$J$100,MATCH(C627,Produk!$A$2:$A$100,0)),"PRODUK?")))</f>
        <v/>
      </c>
      <c r="R627" s="29" t="str">
        <f aca="false">IF(A627="","",IF(COUNTIF(Anggota!$A$2:$A$2001,A627)=0,"TIDAK ADA","OK"))</f>
        <v/>
      </c>
      <c r="S627" s="29" t="str">
        <f aca="false">IF(H627="","",IF(OR(J627="",L627=""),"-",IF(ABS(H627-J627*L627)&gt;Info_Koperasi!$C$10,"SELISIH","OK")))</f>
        <v/>
      </c>
    </row>
    <row r="628" customFormat="false" ht="15" hidden="false" customHeight="false" outlineLevel="0" collapsed="false">
      <c r="A628" s="21"/>
      <c r="B628" s="22"/>
      <c r="C628" s="21"/>
      <c r="D628" s="21"/>
      <c r="E628" s="28"/>
      <c r="F628" s="24"/>
      <c r="G628" s="26"/>
      <c r="H628" s="24"/>
      <c r="I628" s="24"/>
      <c r="J628" s="24"/>
      <c r="K628" s="24"/>
      <c r="L628" s="26"/>
      <c r="M628" s="26"/>
      <c r="N628" s="22"/>
      <c r="O628" s="21"/>
      <c r="P628" s="22"/>
      <c r="Q628" s="29" t="str">
        <f aca="false">IF(C628="","",IF(O628&lt;&gt;"",O628,IFERROR(INDEX(Produk!$J$2:$J$100,MATCH(C628,Produk!$A$2:$A$100,0)),"PRODUK?")))</f>
        <v/>
      </c>
      <c r="R628" s="29" t="str">
        <f aca="false">IF(A628="","",IF(COUNTIF(Anggota!$A$2:$A$2001,A628)=0,"TIDAK ADA","OK"))</f>
        <v/>
      </c>
      <c r="S628" s="29" t="str">
        <f aca="false">IF(H628="","",IF(OR(J628="",L628=""),"-",IF(ABS(H628-J628*L628)&gt;Info_Koperasi!$C$10,"SELISIH","OK")))</f>
        <v/>
      </c>
    </row>
    <row r="629" customFormat="false" ht="15" hidden="false" customHeight="false" outlineLevel="0" collapsed="false">
      <c r="A629" s="21"/>
      <c r="B629" s="22"/>
      <c r="C629" s="21"/>
      <c r="D629" s="21"/>
      <c r="E629" s="28"/>
      <c r="F629" s="24"/>
      <c r="G629" s="26"/>
      <c r="H629" s="24"/>
      <c r="I629" s="24"/>
      <c r="J629" s="24"/>
      <c r="K629" s="24"/>
      <c r="L629" s="26"/>
      <c r="M629" s="26"/>
      <c r="N629" s="22"/>
      <c r="O629" s="21"/>
      <c r="P629" s="22"/>
      <c r="Q629" s="29" t="str">
        <f aca="false">IF(C629="","",IF(O629&lt;&gt;"",O629,IFERROR(INDEX(Produk!$J$2:$J$100,MATCH(C629,Produk!$A$2:$A$100,0)),"PRODUK?")))</f>
        <v/>
      </c>
      <c r="R629" s="29" t="str">
        <f aca="false">IF(A629="","",IF(COUNTIF(Anggota!$A$2:$A$2001,A629)=0,"TIDAK ADA","OK"))</f>
        <v/>
      </c>
      <c r="S629" s="29" t="str">
        <f aca="false">IF(H629="","",IF(OR(J629="",L629=""),"-",IF(ABS(H629-J629*L629)&gt;Info_Koperasi!$C$10,"SELISIH","OK")))</f>
        <v/>
      </c>
    </row>
    <row r="630" customFormat="false" ht="15" hidden="false" customHeight="false" outlineLevel="0" collapsed="false">
      <c r="A630" s="21"/>
      <c r="B630" s="22"/>
      <c r="C630" s="21"/>
      <c r="D630" s="21"/>
      <c r="E630" s="28"/>
      <c r="F630" s="24"/>
      <c r="G630" s="26"/>
      <c r="H630" s="24"/>
      <c r="I630" s="24"/>
      <c r="J630" s="24"/>
      <c r="K630" s="24"/>
      <c r="L630" s="26"/>
      <c r="M630" s="26"/>
      <c r="N630" s="22"/>
      <c r="O630" s="21"/>
      <c r="P630" s="22"/>
      <c r="Q630" s="29" t="str">
        <f aca="false">IF(C630="","",IF(O630&lt;&gt;"",O630,IFERROR(INDEX(Produk!$J$2:$J$100,MATCH(C630,Produk!$A$2:$A$100,0)),"PRODUK?")))</f>
        <v/>
      </c>
      <c r="R630" s="29" t="str">
        <f aca="false">IF(A630="","",IF(COUNTIF(Anggota!$A$2:$A$2001,A630)=0,"TIDAK ADA","OK"))</f>
        <v/>
      </c>
      <c r="S630" s="29" t="str">
        <f aca="false">IF(H630="","",IF(OR(J630="",L630=""),"-",IF(ABS(H630-J630*L630)&gt;Info_Koperasi!$C$10,"SELISIH","OK")))</f>
        <v/>
      </c>
    </row>
    <row r="631" customFormat="false" ht="15" hidden="false" customHeight="false" outlineLevel="0" collapsed="false">
      <c r="A631" s="21"/>
      <c r="B631" s="22"/>
      <c r="C631" s="21"/>
      <c r="D631" s="21"/>
      <c r="E631" s="28"/>
      <c r="F631" s="24"/>
      <c r="G631" s="26"/>
      <c r="H631" s="24"/>
      <c r="I631" s="24"/>
      <c r="J631" s="24"/>
      <c r="K631" s="24"/>
      <c r="L631" s="26"/>
      <c r="M631" s="26"/>
      <c r="N631" s="22"/>
      <c r="O631" s="21"/>
      <c r="P631" s="22"/>
      <c r="Q631" s="29" t="str">
        <f aca="false">IF(C631="","",IF(O631&lt;&gt;"",O631,IFERROR(INDEX(Produk!$J$2:$J$100,MATCH(C631,Produk!$A$2:$A$100,0)),"PRODUK?")))</f>
        <v/>
      </c>
      <c r="R631" s="29" t="str">
        <f aca="false">IF(A631="","",IF(COUNTIF(Anggota!$A$2:$A$2001,A631)=0,"TIDAK ADA","OK"))</f>
        <v/>
      </c>
      <c r="S631" s="29" t="str">
        <f aca="false">IF(H631="","",IF(OR(J631="",L631=""),"-",IF(ABS(H631-J631*L631)&gt;Info_Koperasi!$C$10,"SELISIH","OK")))</f>
        <v/>
      </c>
    </row>
    <row r="632" customFormat="false" ht="15" hidden="false" customHeight="false" outlineLevel="0" collapsed="false">
      <c r="A632" s="21"/>
      <c r="B632" s="22"/>
      <c r="C632" s="21"/>
      <c r="D632" s="21"/>
      <c r="E632" s="28"/>
      <c r="F632" s="24"/>
      <c r="G632" s="26"/>
      <c r="H632" s="24"/>
      <c r="I632" s="24"/>
      <c r="J632" s="24"/>
      <c r="K632" s="24"/>
      <c r="L632" s="26"/>
      <c r="M632" s="26"/>
      <c r="N632" s="22"/>
      <c r="O632" s="21"/>
      <c r="P632" s="22"/>
      <c r="Q632" s="29" t="str">
        <f aca="false">IF(C632="","",IF(O632&lt;&gt;"",O632,IFERROR(INDEX(Produk!$J$2:$J$100,MATCH(C632,Produk!$A$2:$A$100,0)),"PRODUK?")))</f>
        <v/>
      </c>
      <c r="R632" s="29" t="str">
        <f aca="false">IF(A632="","",IF(COUNTIF(Anggota!$A$2:$A$2001,A632)=0,"TIDAK ADA","OK"))</f>
        <v/>
      </c>
      <c r="S632" s="29" t="str">
        <f aca="false">IF(H632="","",IF(OR(J632="",L632=""),"-",IF(ABS(H632-J632*L632)&gt;Info_Koperasi!$C$10,"SELISIH","OK")))</f>
        <v/>
      </c>
    </row>
    <row r="633" customFormat="false" ht="15" hidden="false" customHeight="false" outlineLevel="0" collapsed="false">
      <c r="A633" s="21"/>
      <c r="B633" s="22"/>
      <c r="C633" s="21"/>
      <c r="D633" s="21"/>
      <c r="E633" s="28"/>
      <c r="F633" s="24"/>
      <c r="G633" s="26"/>
      <c r="H633" s="24"/>
      <c r="I633" s="24"/>
      <c r="J633" s="24"/>
      <c r="K633" s="24"/>
      <c r="L633" s="26"/>
      <c r="M633" s="26"/>
      <c r="N633" s="22"/>
      <c r="O633" s="21"/>
      <c r="P633" s="22"/>
      <c r="Q633" s="29" t="str">
        <f aca="false">IF(C633="","",IF(O633&lt;&gt;"",O633,IFERROR(INDEX(Produk!$J$2:$J$100,MATCH(C633,Produk!$A$2:$A$100,0)),"PRODUK?")))</f>
        <v/>
      </c>
      <c r="R633" s="29" t="str">
        <f aca="false">IF(A633="","",IF(COUNTIF(Anggota!$A$2:$A$2001,A633)=0,"TIDAK ADA","OK"))</f>
        <v/>
      </c>
      <c r="S633" s="29" t="str">
        <f aca="false">IF(H633="","",IF(OR(J633="",L633=""),"-",IF(ABS(H633-J633*L633)&gt;Info_Koperasi!$C$10,"SELISIH","OK")))</f>
        <v/>
      </c>
    </row>
    <row r="634" customFormat="false" ht="15" hidden="false" customHeight="false" outlineLevel="0" collapsed="false">
      <c r="A634" s="21"/>
      <c r="B634" s="22"/>
      <c r="C634" s="21"/>
      <c r="D634" s="21"/>
      <c r="E634" s="28"/>
      <c r="F634" s="24"/>
      <c r="G634" s="26"/>
      <c r="H634" s="24"/>
      <c r="I634" s="24"/>
      <c r="J634" s="24"/>
      <c r="K634" s="24"/>
      <c r="L634" s="26"/>
      <c r="M634" s="26"/>
      <c r="N634" s="22"/>
      <c r="O634" s="21"/>
      <c r="P634" s="22"/>
      <c r="Q634" s="29" t="str">
        <f aca="false">IF(C634="","",IF(O634&lt;&gt;"",O634,IFERROR(INDEX(Produk!$J$2:$J$100,MATCH(C634,Produk!$A$2:$A$100,0)),"PRODUK?")))</f>
        <v/>
      </c>
      <c r="R634" s="29" t="str">
        <f aca="false">IF(A634="","",IF(COUNTIF(Anggota!$A$2:$A$2001,A634)=0,"TIDAK ADA","OK"))</f>
        <v/>
      </c>
      <c r="S634" s="29" t="str">
        <f aca="false">IF(H634="","",IF(OR(J634="",L634=""),"-",IF(ABS(H634-J634*L634)&gt;Info_Koperasi!$C$10,"SELISIH","OK")))</f>
        <v/>
      </c>
    </row>
    <row r="635" customFormat="false" ht="15" hidden="false" customHeight="false" outlineLevel="0" collapsed="false">
      <c r="A635" s="21"/>
      <c r="B635" s="22"/>
      <c r="C635" s="21"/>
      <c r="D635" s="21"/>
      <c r="E635" s="28"/>
      <c r="F635" s="24"/>
      <c r="G635" s="26"/>
      <c r="H635" s="24"/>
      <c r="I635" s="24"/>
      <c r="J635" s="24"/>
      <c r="K635" s="24"/>
      <c r="L635" s="26"/>
      <c r="M635" s="26"/>
      <c r="N635" s="22"/>
      <c r="O635" s="21"/>
      <c r="P635" s="22"/>
      <c r="Q635" s="29" t="str">
        <f aca="false">IF(C635="","",IF(O635&lt;&gt;"",O635,IFERROR(INDEX(Produk!$J$2:$J$100,MATCH(C635,Produk!$A$2:$A$100,0)),"PRODUK?")))</f>
        <v/>
      </c>
      <c r="R635" s="29" t="str">
        <f aca="false">IF(A635="","",IF(COUNTIF(Anggota!$A$2:$A$2001,A635)=0,"TIDAK ADA","OK"))</f>
        <v/>
      </c>
      <c r="S635" s="29" t="str">
        <f aca="false">IF(H635="","",IF(OR(J635="",L635=""),"-",IF(ABS(H635-J635*L635)&gt;Info_Koperasi!$C$10,"SELISIH","OK")))</f>
        <v/>
      </c>
    </row>
    <row r="636" customFormat="false" ht="15" hidden="false" customHeight="false" outlineLevel="0" collapsed="false">
      <c r="A636" s="21"/>
      <c r="B636" s="22"/>
      <c r="C636" s="21"/>
      <c r="D636" s="21"/>
      <c r="E636" s="28"/>
      <c r="F636" s="24"/>
      <c r="G636" s="26"/>
      <c r="H636" s="24"/>
      <c r="I636" s="24"/>
      <c r="J636" s="24"/>
      <c r="K636" s="24"/>
      <c r="L636" s="26"/>
      <c r="M636" s="26"/>
      <c r="N636" s="22"/>
      <c r="O636" s="21"/>
      <c r="P636" s="22"/>
      <c r="Q636" s="29" t="str">
        <f aca="false">IF(C636="","",IF(O636&lt;&gt;"",O636,IFERROR(INDEX(Produk!$J$2:$J$100,MATCH(C636,Produk!$A$2:$A$100,0)),"PRODUK?")))</f>
        <v/>
      </c>
      <c r="R636" s="29" t="str">
        <f aca="false">IF(A636="","",IF(COUNTIF(Anggota!$A$2:$A$2001,A636)=0,"TIDAK ADA","OK"))</f>
        <v/>
      </c>
      <c r="S636" s="29" t="str">
        <f aca="false">IF(H636="","",IF(OR(J636="",L636=""),"-",IF(ABS(H636-J636*L636)&gt;Info_Koperasi!$C$10,"SELISIH","OK")))</f>
        <v/>
      </c>
    </row>
    <row r="637" customFormat="false" ht="15" hidden="false" customHeight="false" outlineLevel="0" collapsed="false">
      <c r="A637" s="21"/>
      <c r="B637" s="22"/>
      <c r="C637" s="21"/>
      <c r="D637" s="21"/>
      <c r="E637" s="28"/>
      <c r="F637" s="24"/>
      <c r="G637" s="26"/>
      <c r="H637" s="24"/>
      <c r="I637" s="24"/>
      <c r="J637" s="24"/>
      <c r="K637" s="24"/>
      <c r="L637" s="26"/>
      <c r="M637" s="26"/>
      <c r="N637" s="22"/>
      <c r="O637" s="21"/>
      <c r="P637" s="22"/>
      <c r="Q637" s="29" t="str">
        <f aca="false">IF(C637="","",IF(O637&lt;&gt;"",O637,IFERROR(INDEX(Produk!$J$2:$J$100,MATCH(C637,Produk!$A$2:$A$100,0)),"PRODUK?")))</f>
        <v/>
      </c>
      <c r="R637" s="29" t="str">
        <f aca="false">IF(A637="","",IF(COUNTIF(Anggota!$A$2:$A$2001,A637)=0,"TIDAK ADA","OK"))</f>
        <v/>
      </c>
      <c r="S637" s="29" t="str">
        <f aca="false">IF(H637="","",IF(OR(J637="",L637=""),"-",IF(ABS(H637-J637*L637)&gt;Info_Koperasi!$C$10,"SELISIH","OK")))</f>
        <v/>
      </c>
    </row>
    <row r="638" customFormat="false" ht="15" hidden="false" customHeight="false" outlineLevel="0" collapsed="false">
      <c r="A638" s="21"/>
      <c r="B638" s="22"/>
      <c r="C638" s="21"/>
      <c r="D638" s="21"/>
      <c r="E638" s="28"/>
      <c r="F638" s="24"/>
      <c r="G638" s="26"/>
      <c r="H638" s="24"/>
      <c r="I638" s="24"/>
      <c r="J638" s="24"/>
      <c r="K638" s="24"/>
      <c r="L638" s="26"/>
      <c r="M638" s="26"/>
      <c r="N638" s="22"/>
      <c r="O638" s="21"/>
      <c r="P638" s="22"/>
      <c r="Q638" s="29" t="str">
        <f aca="false">IF(C638="","",IF(O638&lt;&gt;"",O638,IFERROR(INDEX(Produk!$J$2:$J$100,MATCH(C638,Produk!$A$2:$A$100,0)),"PRODUK?")))</f>
        <v/>
      </c>
      <c r="R638" s="29" t="str">
        <f aca="false">IF(A638="","",IF(COUNTIF(Anggota!$A$2:$A$2001,A638)=0,"TIDAK ADA","OK"))</f>
        <v/>
      </c>
      <c r="S638" s="29" t="str">
        <f aca="false">IF(H638="","",IF(OR(J638="",L638=""),"-",IF(ABS(H638-J638*L638)&gt;Info_Koperasi!$C$10,"SELISIH","OK")))</f>
        <v/>
      </c>
    </row>
    <row r="639" customFormat="false" ht="15" hidden="false" customHeight="false" outlineLevel="0" collapsed="false">
      <c r="A639" s="21"/>
      <c r="B639" s="22"/>
      <c r="C639" s="21"/>
      <c r="D639" s="21"/>
      <c r="E639" s="28"/>
      <c r="F639" s="24"/>
      <c r="G639" s="26"/>
      <c r="H639" s="24"/>
      <c r="I639" s="24"/>
      <c r="J639" s="24"/>
      <c r="K639" s="24"/>
      <c r="L639" s="26"/>
      <c r="M639" s="26"/>
      <c r="N639" s="22"/>
      <c r="O639" s="21"/>
      <c r="P639" s="22"/>
      <c r="Q639" s="29" t="str">
        <f aca="false">IF(C639="","",IF(O639&lt;&gt;"",O639,IFERROR(INDEX(Produk!$J$2:$J$100,MATCH(C639,Produk!$A$2:$A$100,0)),"PRODUK?")))</f>
        <v/>
      </c>
      <c r="R639" s="29" t="str">
        <f aca="false">IF(A639="","",IF(COUNTIF(Anggota!$A$2:$A$2001,A639)=0,"TIDAK ADA","OK"))</f>
        <v/>
      </c>
      <c r="S639" s="29" t="str">
        <f aca="false">IF(H639="","",IF(OR(J639="",L639=""),"-",IF(ABS(H639-J639*L639)&gt;Info_Koperasi!$C$10,"SELISIH","OK")))</f>
        <v/>
      </c>
    </row>
    <row r="640" customFormat="false" ht="15" hidden="false" customHeight="false" outlineLevel="0" collapsed="false">
      <c r="A640" s="21"/>
      <c r="B640" s="22"/>
      <c r="C640" s="21"/>
      <c r="D640" s="21"/>
      <c r="E640" s="28"/>
      <c r="F640" s="24"/>
      <c r="G640" s="26"/>
      <c r="H640" s="24"/>
      <c r="I640" s="24"/>
      <c r="J640" s="24"/>
      <c r="K640" s="24"/>
      <c r="L640" s="26"/>
      <c r="M640" s="26"/>
      <c r="N640" s="22"/>
      <c r="O640" s="21"/>
      <c r="P640" s="22"/>
      <c r="Q640" s="29" t="str">
        <f aca="false">IF(C640="","",IF(O640&lt;&gt;"",O640,IFERROR(INDEX(Produk!$J$2:$J$100,MATCH(C640,Produk!$A$2:$A$100,0)),"PRODUK?")))</f>
        <v/>
      </c>
      <c r="R640" s="29" t="str">
        <f aca="false">IF(A640="","",IF(COUNTIF(Anggota!$A$2:$A$2001,A640)=0,"TIDAK ADA","OK"))</f>
        <v/>
      </c>
      <c r="S640" s="29" t="str">
        <f aca="false">IF(H640="","",IF(OR(J640="",L640=""),"-",IF(ABS(H640-J640*L640)&gt;Info_Koperasi!$C$10,"SELISIH","OK")))</f>
        <v/>
      </c>
    </row>
    <row r="641" customFormat="false" ht="15" hidden="false" customHeight="false" outlineLevel="0" collapsed="false">
      <c r="A641" s="21"/>
      <c r="B641" s="22"/>
      <c r="C641" s="21"/>
      <c r="D641" s="21"/>
      <c r="E641" s="28"/>
      <c r="F641" s="24"/>
      <c r="G641" s="26"/>
      <c r="H641" s="24"/>
      <c r="I641" s="24"/>
      <c r="J641" s="24"/>
      <c r="K641" s="24"/>
      <c r="L641" s="26"/>
      <c r="M641" s="26"/>
      <c r="N641" s="22"/>
      <c r="O641" s="21"/>
      <c r="P641" s="22"/>
      <c r="Q641" s="29" t="str">
        <f aca="false">IF(C641="","",IF(O641&lt;&gt;"",O641,IFERROR(INDEX(Produk!$J$2:$J$100,MATCH(C641,Produk!$A$2:$A$100,0)),"PRODUK?")))</f>
        <v/>
      </c>
      <c r="R641" s="29" t="str">
        <f aca="false">IF(A641="","",IF(COUNTIF(Anggota!$A$2:$A$2001,A641)=0,"TIDAK ADA","OK"))</f>
        <v/>
      </c>
      <c r="S641" s="29" t="str">
        <f aca="false">IF(H641="","",IF(OR(J641="",L641=""),"-",IF(ABS(H641-J641*L641)&gt;Info_Koperasi!$C$10,"SELISIH","OK")))</f>
        <v/>
      </c>
    </row>
    <row r="642" customFormat="false" ht="15" hidden="false" customHeight="false" outlineLevel="0" collapsed="false">
      <c r="A642" s="21"/>
      <c r="B642" s="22"/>
      <c r="C642" s="21"/>
      <c r="D642" s="21"/>
      <c r="E642" s="28"/>
      <c r="F642" s="24"/>
      <c r="G642" s="26"/>
      <c r="H642" s="24"/>
      <c r="I642" s="24"/>
      <c r="J642" s="24"/>
      <c r="K642" s="24"/>
      <c r="L642" s="26"/>
      <c r="M642" s="26"/>
      <c r="N642" s="22"/>
      <c r="O642" s="21"/>
      <c r="P642" s="22"/>
      <c r="Q642" s="29" t="str">
        <f aca="false">IF(C642="","",IF(O642&lt;&gt;"",O642,IFERROR(INDEX(Produk!$J$2:$J$100,MATCH(C642,Produk!$A$2:$A$100,0)),"PRODUK?")))</f>
        <v/>
      </c>
      <c r="R642" s="29" t="str">
        <f aca="false">IF(A642="","",IF(COUNTIF(Anggota!$A$2:$A$2001,A642)=0,"TIDAK ADA","OK"))</f>
        <v/>
      </c>
      <c r="S642" s="29" t="str">
        <f aca="false">IF(H642="","",IF(OR(J642="",L642=""),"-",IF(ABS(H642-J642*L642)&gt;Info_Koperasi!$C$10,"SELISIH","OK")))</f>
        <v/>
      </c>
    </row>
    <row r="643" customFormat="false" ht="15" hidden="false" customHeight="false" outlineLevel="0" collapsed="false">
      <c r="A643" s="21"/>
      <c r="B643" s="22"/>
      <c r="C643" s="21"/>
      <c r="D643" s="21"/>
      <c r="E643" s="28"/>
      <c r="F643" s="24"/>
      <c r="G643" s="26"/>
      <c r="H643" s="24"/>
      <c r="I643" s="24"/>
      <c r="J643" s="24"/>
      <c r="K643" s="24"/>
      <c r="L643" s="26"/>
      <c r="M643" s="26"/>
      <c r="N643" s="22"/>
      <c r="O643" s="21"/>
      <c r="P643" s="22"/>
      <c r="Q643" s="29" t="str">
        <f aca="false">IF(C643="","",IF(O643&lt;&gt;"",O643,IFERROR(INDEX(Produk!$J$2:$J$100,MATCH(C643,Produk!$A$2:$A$100,0)),"PRODUK?")))</f>
        <v/>
      </c>
      <c r="R643" s="29" t="str">
        <f aca="false">IF(A643="","",IF(COUNTIF(Anggota!$A$2:$A$2001,A643)=0,"TIDAK ADA","OK"))</f>
        <v/>
      </c>
      <c r="S643" s="29" t="str">
        <f aca="false">IF(H643="","",IF(OR(J643="",L643=""),"-",IF(ABS(H643-J643*L643)&gt;Info_Koperasi!$C$10,"SELISIH","OK")))</f>
        <v/>
      </c>
    </row>
    <row r="644" customFormat="false" ht="15" hidden="false" customHeight="false" outlineLevel="0" collapsed="false">
      <c r="A644" s="21"/>
      <c r="B644" s="22"/>
      <c r="C644" s="21"/>
      <c r="D644" s="21"/>
      <c r="E644" s="28"/>
      <c r="F644" s="24"/>
      <c r="G644" s="26"/>
      <c r="H644" s="24"/>
      <c r="I644" s="24"/>
      <c r="J644" s="24"/>
      <c r="K644" s="24"/>
      <c r="L644" s="26"/>
      <c r="M644" s="26"/>
      <c r="N644" s="22"/>
      <c r="O644" s="21"/>
      <c r="P644" s="22"/>
      <c r="Q644" s="29" t="str">
        <f aca="false">IF(C644="","",IF(O644&lt;&gt;"",O644,IFERROR(INDEX(Produk!$J$2:$J$100,MATCH(C644,Produk!$A$2:$A$100,0)),"PRODUK?")))</f>
        <v/>
      </c>
      <c r="R644" s="29" t="str">
        <f aca="false">IF(A644="","",IF(COUNTIF(Anggota!$A$2:$A$2001,A644)=0,"TIDAK ADA","OK"))</f>
        <v/>
      </c>
      <c r="S644" s="29" t="str">
        <f aca="false">IF(H644="","",IF(OR(J644="",L644=""),"-",IF(ABS(H644-J644*L644)&gt;Info_Koperasi!$C$10,"SELISIH","OK")))</f>
        <v/>
      </c>
    </row>
    <row r="645" customFormat="false" ht="15" hidden="false" customHeight="false" outlineLevel="0" collapsed="false">
      <c r="A645" s="21"/>
      <c r="B645" s="22"/>
      <c r="C645" s="21"/>
      <c r="D645" s="21"/>
      <c r="E645" s="28"/>
      <c r="F645" s="24"/>
      <c r="G645" s="26"/>
      <c r="H645" s="24"/>
      <c r="I645" s="24"/>
      <c r="J645" s="24"/>
      <c r="K645" s="24"/>
      <c r="L645" s="26"/>
      <c r="M645" s="26"/>
      <c r="N645" s="22"/>
      <c r="O645" s="21"/>
      <c r="P645" s="22"/>
      <c r="Q645" s="29" t="str">
        <f aca="false">IF(C645="","",IF(O645&lt;&gt;"",O645,IFERROR(INDEX(Produk!$J$2:$J$100,MATCH(C645,Produk!$A$2:$A$100,0)),"PRODUK?")))</f>
        <v/>
      </c>
      <c r="R645" s="29" t="str">
        <f aca="false">IF(A645="","",IF(COUNTIF(Anggota!$A$2:$A$2001,A645)=0,"TIDAK ADA","OK"))</f>
        <v/>
      </c>
      <c r="S645" s="29" t="str">
        <f aca="false">IF(H645="","",IF(OR(J645="",L645=""),"-",IF(ABS(H645-J645*L645)&gt;Info_Koperasi!$C$10,"SELISIH","OK")))</f>
        <v/>
      </c>
    </row>
    <row r="646" customFormat="false" ht="15" hidden="false" customHeight="false" outlineLevel="0" collapsed="false">
      <c r="A646" s="21"/>
      <c r="B646" s="22"/>
      <c r="C646" s="21"/>
      <c r="D646" s="21"/>
      <c r="E646" s="28"/>
      <c r="F646" s="24"/>
      <c r="G646" s="26"/>
      <c r="H646" s="24"/>
      <c r="I646" s="24"/>
      <c r="J646" s="24"/>
      <c r="K646" s="24"/>
      <c r="L646" s="26"/>
      <c r="M646" s="26"/>
      <c r="N646" s="22"/>
      <c r="O646" s="21"/>
      <c r="P646" s="22"/>
      <c r="Q646" s="29" t="str">
        <f aca="false">IF(C646="","",IF(O646&lt;&gt;"",O646,IFERROR(INDEX(Produk!$J$2:$J$100,MATCH(C646,Produk!$A$2:$A$100,0)),"PRODUK?")))</f>
        <v/>
      </c>
      <c r="R646" s="29" t="str">
        <f aca="false">IF(A646="","",IF(COUNTIF(Anggota!$A$2:$A$2001,A646)=0,"TIDAK ADA","OK"))</f>
        <v/>
      </c>
      <c r="S646" s="29" t="str">
        <f aca="false">IF(H646="","",IF(OR(J646="",L646=""),"-",IF(ABS(H646-J646*L646)&gt;Info_Koperasi!$C$10,"SELISIH","OK")))</f>
        <v/>
      </c>
    </row>
    <row r="647" customFormat="false" ht="15" hidden="false" customHeight="false" outlineLevel="0" collapsed="false">
      <c r="A647" s="21"/>
      <c r="B647" s="22"/>
      <c r="C647" s="21"/>
      <c r="D647" s="21"/>
      <c r="E647" s="28"/>
      <c r="F647" s="24"/>
      <c r="G647" s="26"/>
      <c r="H647" s="24"/>
      <c r="I647" s="24"/>
      <c r="J647" s="24"/>
      <c r="K647" s="24"/>
      <c r="L647" s="26"/>
      <c r="M647" s="26"/>
      <c r="N647" s="22"/>
      <c r="O647" s="21"/>
      <c r="P647" s="22"/>
      <c r="Q647" s="29" t="str">
        <f aca="false">IF(C647="","",IF(O647&lt;&gt;"",O647,IFERROR(INDEX(Produk!$J$2:$J$100,MATCH(C647,Produk!$A$2:$A$100,0)),"PRODUK?")))</f>
        <v/>
      </c>
      <c r="R647" s="29" t="str">
        <f aca="false">IF(A647="","",IF(COUNTIF(Anggota!$A$2:$A$2001,A647)=0,"TIDAK ADA","OK"))</f>
        <v/>
      </c>
      <c r="S647" s="29" t="str">
        <f aca="false">IF(H647="","",IF(OR(J647="",L647=""),"-",IF(ABS(H647-J647*L647)&gt;Info_Koperasi!$C$10,"SELISIH","OK")))</f>
        <v/>
      </c>
    </row>
    <row r="648" customFormat="false" ht="15" hidden="false" customHeight="false" outlineLevel="0" collapsed="false">
      <c r="A648" s="21"/>
      <c r="B648" s="22"/>
      <c r="C648" s="21"/>
      <c r="D648" s="21"/>
      <c r="E648" s="28"/>
      <c r="F648" s="24"/>
      <c r="G648" s="26"/>
      <c r="H648" s="24"/>
      <c r="I648" s="24"/>
      <c r="J648" s="24"/>
      <c r="K648" s="24"/>
      <c r="L648" s="26"/>
      <c r="M648" s="26"/>
      <c r="N648" s="22"/>
      <c r="O648" s="21"/>
      <c r="P648" s="22"/>
      <c r="Q648" s="29" t="str">
        <f aca="false">IF(C648="","",IF(O648&lt;&gt;"",O648,IFERROR(INDEX(Produk!$J$2:$J$100,MATCH(C648,Produk!$A$2:$A$100,0)),"PRODUK?")))</f>
        <v/>
      </c>
      <c r="R648" s="29" t="str">
        <f aca="false">IF(A648="","",IF(COUNTIF(Anggota!$A$2:$A$2001,A648)=0,"TIDAK ADA","OK"))</f>
        <v/>
      </c>
      <c r="S648" s="29" t="str">
        <f aca="false">IF(H648="","",IF(OR(J648="",L648=""),"-",IF(ABS(H648-J648*L648)&gt;Info_Koperasi!$C$10,"SELISIH","OK")))</f>
        <v/>
      </c>
    </row>
    <row r="649" customFormat="false" ht="15" hidden="false" customHeight="false" outlineLevel="0" collapsed="false">
      <c r="A649" s="21"/>
      <c r="B649" s="22"/>
      <c r="C649" s="21"/>
      <c r="D649" s="21"/>
      <c r="E649" s="28"/>
      <c r="F649" s="24"/>
      <c r="G649" s="26"/>
      <c r="H649" s="24"/>
      <c r="I649" s="24"/>
      <c r="J649" s="24"/>
      <c r="K649" s="24"/>
      <c r="L649" s="26"/>
      <c r="M649" s="26"/>
      <c r="N649" s="22"/>
      <c r="O649" s="21"/>
      <c r="P649" s="22"/>
      <c r="Q649" s="29" t="str">
        <f aca="false">IF(C649="","",IF(O649&lt;&gt;"",O649,IFERROR(INDEX(Produk!$J$2:$J$100,MATCH(C649,Produk!$A$2:$A$100,0)),"PRODUK?")))</f>
        <v/>
      </c>
      <c r="R649" s="29" t="str">
        <f aca="false">IF(A649="","",IF(COUNTIF(Anggota!$A$2:$A$2001,A649)=0,"TIDAK ADA","OK"))</f>
        <v/>
      </c>
      <c r="S649" s="29" t="str">
        <f aca="false">IF(H649="","",IF(OR(J649="",L649=""),"-",IF(ABS(H649-J649*L649)&gt;Info_Koperasi!$C$10,"SELISIH","OK")))</f>
        <v/>
      </c>
    </row>
    <row r="650" customFormat="false" ht="15" hidden="false" customHeight="false" outlineLevel="0" collapsed="false">
      <c r="A650" s="21"/>
      <c r="B650" s="22"/>
      <c r="C650" s="21"/>
      <c r="D650" s="21"/>
      <c r="E650" s="28"/>
      <c r="F650" s="24"/>
      <c r="G650" s="26"/>
      <c r="H650" s="24"/>
      <c r="I650" s="24"/>
      <c r="J650" s="24"/>
      <c r="K650" s="24"/>
      <c r="L650" s="26"/>
      <c r="M650" s="26"/>
      <c r="N650" s="22"/>
      <c r="O650" s="21"/>
      <c r="P650" s="22"/>
      <c r="Q650" s="29" t="str">
        <f aca="false">IF(C650="","",IF(O650&lt;&gt;"",O650,IFERROR(INDEX(Produk!$J$2:$J$100,MATCH(C650,Produk!$A$2:$A$100,0)),"PRODUK?")))</f>
        <v/>
      </c>
      <c r="R650" s="29" t="str">
        <f aca="false">IF(A650="","",IF(COUNTIF(Anggota!$A$2:$A$2001,A650)=0,"TIDAK ADA","OK"))</f>
        <v/>
      </c>
      <c r="S650" s="29" t="str">
        <f aca="false">IF(H650="","",IF(OR(J650="",L650=""),"-",IF(ABS(H650-J650*L650)&gt;Info_Koperasi!$C$10,"SELISIH","OK")))</f>
        <v/>
      </c>
    </row>
    <row r="651" customFormat="false" ht="15" hidden="false" customHeight="false" outlineLevel="0" collapsed="false">
      <c r="A651" s="21"/>
      <c r="B651" s="22"/>
      <c r="C651" s="21"/>
      <c r="D651" s="21"/>
      <c r="E651" s="28"/>
      <c r="F651" s="24"/>
      <c r="G651" s="26"/>
      <c r="H651" s="24"/>
      <c r="I651" s="24"/>
      <c r="J651" s="24"/>
      <c r="K651" s="24"/>
      <c r="L651" s="26"/>
      <c r="M651" s="26"/>
      <c r="N651" s="22"/>
      <c r="O651" s="21"/>
      <c r="P651" s="22"/>
      <c r="Q651" s="29" t="str">
        <f aca="false">IF(C651="","",IF(O651&lt;&gt;"",O651,IFERROR(INDEX(Produk!$J$2:$J$100,MATCH(C651,Produk!$A$2:$A$100,0)),"PRODUK?")))</f>
        <v/>
      </c>
      <c r="R651" s="29" t="str">
        <f aca="false">IF(A651="","",IF(COUNTIF(Anggota!$A$2:$A$2001,A651)=0,"TIDAK ADA","OK"))</f>
        <v/>
      </c>
      <c r="S651" s="29" t="str">
        <f aca="false">IF(H651="","",IF(OR(J651="",L651=""),"-",IF(ABS(H651-J651*L651)&gt;Info_Koperasi!$C$10,"SELISIH","OK")))</f>
        <v/>
      </c>
    </row>
    <row r="652" customFormat="false" ht="15" hidden="false" customHeight="false" outlineLevel="0" collapsed="false">
      <c r="A652" s="21"/>
      <c r="B652" s="22"/>
      <c r="C652" s="21"/>
      <c r="D652" s="21"/>
      <c r="E652" s="28"/>
      <c r="F652" s="24"/>
      <c r="G652" s="26"/>
      <c r="H652" s="24"/>
      <c r="I652" s="24"/>
      <c r="J652" s="24"/>
      <c r="K652" s="24"/>
      <c r="L652" s="26"/>
      <c r="M652" s="26"/>
      <c r="N652" s="22"/>
      <c r="O652" s="21"/>
      <c r="P652" s="22"/>
      <c r="Q652" s="29" t="str">
        <f aca="false">IF(C652="","",IF(O652&lt;&gt;"",O652,IFERROR(INDEX(Produk!$J$2:$J$100,MATCH(C652,Produk!$A$2:$A$100,0)),"PRODUK?")))</f>
        <v/>
      </c>
      <c r="R652" s="29" t="str">
        <f aca="false">IF(A652="","",IF(COUNTIF(Anggota!$A$2:$A$2001,A652)=0,"TIDAK ADA","OK"))</f>
        <v/>
      </c>
      <c r="S652" s="29" t="str">
        <f aca="false">IF(H652="","",IF(OR(J652="",L652=""),"-",IF(ABS(H652-J652*L652)&gt;Info_Koperasi!$C$10,"SELISIH","OK")))</f>
        <v/>
      </c>
    </row>
    <row r="653" customFormat="false" ht="15" hidden="false" customHeight="false" outlineLevel="0" collapsed="false">
      <c r="A653" s="21"/>
      <c r="B653" s="22"/>
      <c r="C653" s="21"/>
      <c r="D653" s="21"/>
      <c r="E653" s="28"/>
      <c r="F653" s="24"/>
      <c r="G653" s="26"/>
      <c r="H653" s="24"/>
      <c r="I653" s="24"/>
      <c r="J653" s="24"/>
      <c r="K653" s="24"/>
      <c r="L653" s="26"/>
      <c r="M653" s="26"/>
      <c r="N653" s="22"/>
      <c r="O653" s="21"/>
      <c r="P653" s="22"/>
      <c r="Q653" s="29" t="str">
        <f aca="false">IF(C653="","",IF(O653&lt;&gt;"",O653,IFERROR(INDEX(Produk!$J$2:$J$100,MATCH(C653,Produk!$A$2:$A$100,0)),"PRODUK?")))</f>
        <v/>
      </c>
      <c r="R653" s="29" t="str">
        <f aca="false">IF(A653="","",IF(COUNTIF(Anggota!$A$2:$A$2001,A653)=0,"TIDAK ADA","OK"))</f>
        <v/>
      </c>
      <c r="S653" s="29" t="str">
        <f aca="false">IF(H653="","",IF(OR(J653="",L653=""),"-",IF(ABS(H653-J653*L653)&gt;Info_Koperasi!$C$10,"SELISIH","OK")))</f>
        <v/>
      </c>
    </row>
    <row r="654" customFormat="false" ht="15" hidden="false" customHeight="false" outlineLevel="0" collapsed="false">
      <c r="A654" s="21"/>
      <c r="B654" s="22"/>
      <c r="C654" s="21"/>
      <c r="D654" s="21"/>
      <c r="E654" s="28"/>
      <c r="F654" s="24"/>
      <c r="G654" s="26"/>
      <c r="H654" s="24"/>
      <c r="I654" s="24"/>
      <c r="J654" s="24"/>
      <c r="K654" s="24"/>
      <c r="L654" s="26"/>
      <c r="M654" s="26"/>
      <c r="N654" s="22"/>
      <c r="O654" s="21"/>
      <c r="P654" s="22"/>
      <c r="Q654" s="29" t="str">
        <f aca="false">IF(C654="","",IF(O654&lt;&gt;"",O654,IFERROR(INDEX(Produk!$J$2:$J$100,MATCH(C654,Produk!$A$2:$A$100,0)),"PRODUK?")))</f>
        <v/>
      </c>
      <c r="R654" s="29" t="str">
        <f aca="false">IF(A654="","",IF(COUNTIF(Anggota!$A$2:$A$2001,A654)=0,"TIDAK ADA","OK"))</f>
        <v/>
      </c>
      <c r="S654" s="29" t="str">
        <f aca="false">IF(H654="","",IF(OR(J654="",L654=""),"-",IF(ABS(H654-J654*L654)&gt;Info_Koperasi!$C$10,"SELISIH","OK")))</f>
        <v/>
      </c>
    </row>
    <row r="655" customFormat="false" ht="15" hidden="false" customHeight="false" outlineLevel="0" collapsed="false">
      <c r="A655" s="21"/>
      <c r="B655" s="22"/>
      <c r="C655" s="21"/>
      <c r="D655" s="21"/>
      <c r="E655" s="28"/>
      <c r="F655" s="24"/>
      <c r="G655" s="26"/>
      <c r="H655" s="24"/>
      <c r="I655" s="24"/>
      <c r="J655" s="24"/>
      <c r="K655" s="24"/>
      <c r="L655" s="26"/>
      <c r="M655" s="26"/>
      <c r="N655" s="22"/>
      <c r="O655" s="21"/>
      <c r="P655" s="22"/>
      <c r="Q655" s="29" t="str">
        <f aca="false">IF(C655="","",IF(O655&lt;&gt;"",O655,IFERROR(INDEX(Produk!$J$2:$J$100,MATCH(C655,Produk!$A$2:$A$100,0)),"PRODUK?")))</f>
        <v/>
      </c>
      <c r="R655" s="29" t="str">
        <f aca="false">IF(A655="","",IF(COUNTIF(Anggota!$A$2:$A$2001,A655)=0,"TIDAK ADA","OK"))</f>
        <v/>
      </c>
      <c r="S655" s="29" t="str">
        <f aca="false">IF(H655="","",IF(OR(J655="",L655=""),"-",IF(ABS(H655-J655*L655)&gt;Info_Koperasi!$C$10,"SELISIH","OK")))</f>
        <v/>
      </c>
    </row>
    <row r="656" customFormat="false" ht="15" hidden="false" customHeight="false" outlineLevel="0" collapsed="false">
      <c r="A656" s="21"/>
      <c r="B656" s="22"/>
      <c r="C656" s="21"/>
      <c r="D656" s="21"/>
      <c r="E656" s="28"/>
      <c r="F656" s="24"/>
      <c r="G656" s="26"/>
      <c r="H656" s="24"/>
      <c r="I656" s="24"/>
      <c r="J656" s="24"/>
      <c r="K656" s="24"/>
      <c r="L656" s="26"/>
      <c r="M656" s="26"/>
      <c r="N656" s="22"/>
      <c r="O656" s="21"/>
      <c r="P656" s="22"/>
      <c r="Q656" s="29" t="str">
        <f aca="false">IF(C656="","",IF(O656&lt;&gt;"",O656,IFERROR(INDEX(Produk!$J$2:$J$100,MATCH(C656,Produk!$A$2:$A$100,0)),"PRODUK?")))</f>
        <v/>
      </c>
      <c r="R656" s="29" t="str">
        <f aca="false">IF(A656="","",IF(COUNTIF(Anggota!$A$2:$A$2001,A656)=0,"TIDAK ADA","OK"))</f>
        <v/>
      </c>
      <c r="S656" s="29" t="str">
        <f aca="false">IF(H656="","",IF(OR(J656="",L656=""),"-",IF(ABS(H656-J656*L656)&gt;Info_Koperasi!$C$10,"SELISIH","OK")))</f>
        <v/>
      </c>
    </row>
    <row r="657" customFormat="false" ht="15" hidden="false" customHeight="false" outlineLevel="0" collapsed="false">
      <c r="A657" s="21"/>
      <c r="B657" s="22"/>
      <c r="C657" s="21"/>
      <c r="D657" s="21"/>
      <c r="E657" s="28"/>
      <c r="F657" s="24"/>
      <c r="G657" s="26"/>
      <c r="H657" s="24"/>
      <c r="I657" s="24"/>
      <c r="J657" s="24"/>
      <c r="K657" s="24"/>
      <c r="L657" s="26"/>
      <c r="M657" s="26"/>
      <c r="N657" s="22"/>
      <c r="O657" s="21"/>
      <c r="P657" s="22"/>
      <c r="Q657" s="29" t="str">
        <f aca="false">IF(C657="","",IF(O657&lt;&gt;"",O657,IFERROR(INDEX(Produk!$J$2:$J$100,MATCH(C657,Produk!$A$2:$A$100,0)),"PRODUK?")))</f>
        <v/>
      </c>
      <c r="R657" s="29" t="str">
        <f aca="false">IF(A657="","",IF(COUNTIF(Anggota!$A$2:$A$2001,A657)=0,"TIDAK ADA","OK"))</f>
        <v/>
      </c>
      <c r="S657" s="29" t="str">
        <f aca="false">IF(H657="","",IF(OR(J657="",L657=""),"-",IF(ABS(H657-J657*L657)&gt;Info_Koperasi!$C$10,"SELISIH","OK")))</f>
        <v/>
      </c>
    </row>
    <row r="658" customFormat="false" ht="15" hidden="false" customHeight="false" outlineLevel="0" collapsed="false">
      <c r="A658" s="21"/>
      <c r="B658" s="22"/>
      <c r="C658" s="21"/>
      <c r="D658" s="21"/>
      <c r="E658" s="28"/>
      <c r="F658" s="24"/>
      <c r="G658" s="26"/>
      <c r="H658" s="24"/>
      <c r="I658" s="24"/>
      <c r="J658" s="24"/>
      <c r="K658" s="24"/>
      <c r="L658" s="26"/>
      <c r="M658" s="26"/>
      <c r="N658" s="22"/>
      <c r="O658" s="21"/>
      <c r="P658" s="22"/>
      <c r="Q658" s="29" t="str">
        <f aca="false">IF(C658="","",IF(O658&lt;&gt;"",O658,IFERROR(INDEX(Produk!$J$2:$J$100,MATCH(C658,Produk!$A$2:$A$100,0)),"PRODUK?")))</f>
        <v/>
      </c>
      <c r="R658" s="29" t="str">
        <f aca="false">IF(A658="","",IF(COUNTIF(Anggota!$A$2:$A$2001,A658)=0,"TIDAK ADA","OK"))</f>
        <v/>
      </c>
      <c r="S658" s="29" t="str">
        <f aca="false">IF(H658="","",IF(OR(J658="",L658=""),"-",IF(ABS(H658-J658*L658)&gt;Info_Koperasi!$C$10,"SELISIH","OK")))</f>
        <v/>
      </c>
    </row>
    <row r="659" customFormat="false" ht="15" hidden="false" customHeight="false" outlineLevel="0" collapsed="false">
      <c r="A659" s="21"/>
      <c r="B659" s="22"/>
      <c r="C659" s="21"/>
      <c r="D659" s="21"/>
      <c r="E659" s="28"/>
      <c r="F659" s="24"/>
      <c r="G659" s="26"/>
      <c r="H659" s="24"/>
      <c r="I659" s="24"/>
      <c r="J659" s="24"/>
      <c r="K659" s="24"/>
      <c r="L659" s="26"/>
      <c r="M659" s="26"/>
      <c r="N659" s="22"/>
      <c r="O659" s="21"/>
      <c r="P659" s="22"/>
      <c r="Q659" s="29" t="str">
        <f aca="false">IF(C659="","",IF(O659&lt;&gt;"",O659,IFERROR(INDEX(Produk!$J$2:$J$100,MATCH(C659,Produk!$A$2:$A$100,0)),"PRODUK?")))</f>
        <v/>
      </c>
      <c r="R659" s="29" t="str">
        <f aca="false">IF(A659="","",IF(COUNTIF(Anggota!$A$2:$A$2001,A659)=0,"TIDAK ADA","OK"))</f>
        <v/>
      </c>
      <c r="S659" s="29" t="str">
        <f aca="false">IF(H659="","",IF(OR(J659="",L659=""),"-",IF(ABS(H659-J659*L659)&gt;Info_Koperasi!$C$10,"SELISIH","OK")))</f>
        <v/>
      </c>
    </row>
    <row r="660" customFormat="false" ht="15" hidden="false" customHeight="false" outlineLevel="0" collapsed="false">
      <c r="A660" s="21"/>
      <c r="B660" s="22"/>
      <c r="C660" s="21"/>
      <c r="D660" s="21"/>
      <c r="E660" s="28"/>
      <c r="F660" s="24"/>
      <c r="G660" s="26"/>
      <c r="H660" s="24"/>
      <c r="I660" s="24"/>
      <c r="J660" s="24"/>
      <c r="K660" s="24"/>
      <c r="L660" s="26"/>
      <c r="M660" s="26"/>
      <c r="N660" s="22"/>
      <c r="O660" s="21"/>
      <c r="P660" s="22"/>
      <c r="Q660" s="29" t="str">
        <f aca="false">IF(C660="","",IF(O660&lt;&gt;"",O660,IFERROR(INDEX(Produk!$J$2:$J$100,MATCH(C660,Produk!$A$2:$A$100,0)),"PRODUK?")))</f>
        <v/>
      </c>
      <c r="R660" s="29" t="str">
        <f aca="false">IF(A660="","",IF(COUNTIF(Anggota!$A$2:$A$2001,A660)=0,"TIDAK ADA","OK"))</f>
        <v/>
      </c>
      <c r="S660" s="29" t="str">
        <f aca="false">IF(H660="","",IF(OR(J660="",L660=""),"-",IF(ABS(H660-J660*L660)&gt;Info_Koperasi!$C$10,"SELISIH","OK")))</f>
        <v/>
      </c>
    </row>
    <row r="661" customFormat="false" ht="15" hidden="false" customHeight="false" outlineLevel="0" collapsed="false">
      <c r="A661" s="21"/>
      <c r="B661" s="22"/>
      <c r="C661" s="21"/>
      <c r="D661" s="21"/>
      <c r="E661" s="28"/>
      <c r="F661" s="24"/>
      <c r="G661" s="26"/>
      <c r="H661" s="24"/>
      <c r="I661" s="24"/>
      <c r="J661" s="24"/>
      <c r="K661" s="24"/>
      <c r="L661" s="26"/>
      <c r="M661" s="26"/>
      <c r="N661" s="22"/>
      <c r="O661" s="21"/>
      <c r="P661" s="22"/>
      <c r="Q661" s="29" t="str">
        <f aca="false">IF(C661="","",IF(O661&lt;&gt;"",O661,IFERROR(INDEX(Produk!$J$2:$J$100,MATCH(C661,Produk!$A$2:$A$100,0)),"PRODUK?")))</f>
        <v/>
      </c>
      <c r="R661" s="29" t="str">
        <f aca="false">IF(A661="","",IF(COUNTIF(Anggota!$A$2:$A$2001,A661)=0,"TIDAK ADA","OK"))</f>
        <v/>
      </c>
      <c r="S661" s="29" t="str">
        <f aca="false">IF(H661="","",IF(OR(J661="",L661=""),"-",IF(ABS(H661-J661*L661)&gt;Info_Koperasi!$C$10,"SELISIH","OK")))</f>
        <v/>
      </c>
    </row>
    <row r="662" customFormat="false" ht="15" hidden="false" customHeight="false" outlineLevel="0" collapsed="false">
      <c r="A662" s="21"/>
      <c r="B662" s="22"/>
      <c r="C662" s="21"/>
      <c r="D662" s="21"/>
      <c r="E662" s="28"/>
      <c r="F662" s="24"/>
      <c r="G662" s="26"/>
      <c r="H662" s="24"/>
      <c r="I662" s="24"/>
      <c r="J662" s="24"/>
      <c r="K662" s="24"/>
      <c r="L662" s="26"/>
      <c r="M662" s="26"/>
      <c r="N662" s="22"/>
      <c r="O662" s="21"/>
      <c r="P662" s="22"/>
      <c r="Q662" s="29" t="str">
        <f aca="false">IF(C662="","",IF(O662&lt;&gt;"",O662,IFERROR(INDEX(Produk!$J$2:$J$100,MATCH(C662,Produk!$A$2:$A$100,0)),"PRODUK?")))</f>
        <v/>
      </c>
      <c r="R662" s="29" t="str">
        <f aca="false">IF(A662="","",IF(COUNTIF(Anggota!$A$2:$A$2001,A662)=0,"TIDAK ADA","OK"))</f>
        <v/>
      </c>
      <c r="S662" s="29" t="str">
        <f aca="false">IF(H662="","",IF(OR(J662="",L662=""),"-",IF(ABS(H662-J662*L662)&gt;Info_Koperasi!$C$10,"SELISIH","OK")))</f>
        <v/>
      </c>
    </row>
    <row r="663" customFormat="false" ht="15" hidden="false" customHeight="false" outlineLevel="0" collapsed="false">
      <c r="A663" s="21"/>
      <c r="B663" s="22"/>
      <c r="C663" s="21"/>
      <c r="D663" s="21"/>
      <c r="E663" s="28"/>
      <c r="F663" s="24"/>
      <c r="G663" s="26"/>
      <c r="H663" s="24"/>
      <c r="I663" s="24"/>
      <c r="J663" s="24"/>
      <c r="K663" s="24"/>
      <c r="L663" s="26"/>
      <c r="M663" s="26"/>
      <c r="N663" s="22"/>
      <c r="O663" s="21"/>
      <c r="P663" s="22"/>
      <c r="Q663" s="29" t="str">
        <f aca="false">IF(C663="","",IF(O663&lt;&gt;"",O663,IFERROR(INDEX(Produk!$J$2:$J$100,MATCH(C663,Produk!$A$2:$A$100,0)),"PRODUK?")))</f>
        <v/>
      </c>
      <c r="R663" s="29" t="str">
        <f aca="false">IF(A663="","",IF(COUNTIF(Anggota!$A$2:$A$2001,A663)=0,"TIDAK ADA","OK"))</f>
        <v/>
      </c>
      <c r="S663" s="29" t="str">
        <f aca="false">IF(H663="","",IF(OR(J663="",L663=""),"-",IF(ABS(H663-J663*L663)&gt;Info_Koperasi!$C$10,"SELISIH","OK")))</f>
        <v/>
      </c>
    </row>
    <row r="664" customFormat="false" ht="15" hidden="false" customHeight="false" outlineLevel="0" collapsed="false">
      <c r="A664" s="21"/>
      <c r="B664" s="22"/>
      <c r="C664" s="21"/>
      <c r="D664" s="21"/>
      <c r="E664" s="28"/>
      <c r="F664" s="24"/>
      <c r="G664" s="26"/>
      <c r="H664" s="24"/>
      <c r="I664" s="24"/>
      <c r="J664" s="24"/>
      <c r="K664" s="24"/>
      <c r="L664" s="26"/>
      <c r="M664" s="26"/>
      <c r="N664" s="22"/>
      <c r="O664" s="21"/>
      <c r="P664" s="22"/>
      <c r="Q664" s="29" t="str">
        <f aca="false">IF(C664="","",IF(O664&lt;&gt;"",O664,IFERROR(INDEX(Produk!$J$2:$J$100,MATCH(C664,Produk!$A$2:$A$100,0)),"PRODUK?")))</f>
        <v/>
      </c>
      <c r="R664" s="29" t="str">
        <f aca="false">IF(A664="","",IF(COUNTIF(Anggota!$A$2:$A$2001,A664)=0,"TIDAK ADA","OK"))</f>
        <v/>
      </c>
      <c r="S664" s="29" t="str">
        <f aca="false">IF(H664="","",IF(OR(J664="",L664=""),"-",IF(ABS(H664-J664*L664)&gt;Info_Koperasi!$C$10,"SELISIH","OK")))</f>
        <v/>
      </c>
    </row>
    <row r="665" customFormat="false" ht="15" hidden="false" customHeight="false" outlineLevel="0" collapsed="false">
      <c r="A665" s="21"/>
      <c r="B665" s="22"/>
      <c r="C665" s="21"/>
      <c r="D665" s="21"/>
      <c r="E665" s="28"/>
      <c r="F665" s="24"/>
      <c r="G665" s="26"/>
      <c r="H665" s="24"/>
      <c r="I665" s="24"/>
      <c r="J665" s="24"/>
      <c r="K665" s="24"/>
      <c r="L665" s="26"/>
      <c r="M665" s="26"/>
      <c r="N665" s="22"/>
      <c r="O665" s="21"/>
      <c r="P665" s="22"/>
      <c r="Q665" s="29" t="str">
        <f aca="false">IF(C665="","",IF(O665&lt;&gt;"",O665,IFERROR(INDEX(Produk!$J$2:$J$100,MATCH(C665,Produk!$A$2:$A$100,0)),"PRODUK?")))</f>
        <v/>
      </c>
      <c r="R665" s="29" t="str">
        <f aca="false">IF(A665="","",IF(COUNTIF(Anggota!$A$2:$A$2001,A665)=0,"TIDAK ADA","OK"))</f>
        <v/>
      </c>
      <c r="S665" s="29" t="str">
        <f aca="false">IF(H665="","",IF(OR(J665="",L665=""),"-",IF(ABS(H665-J665*L665)&gt;Info_Koperasi!$C$10,"SELISIH","OK")))</f>
        <v/>
      </c>
    </row>
    <row r="666" customFormat="false" ht="15" hidden="false" customHeight="false" outlineLevel="0" collapsed="false">
      <c r="A666" s="21"/>
      <c r="B666" s="22"/>
      <c r="C666" s="21"/>
      <c r="D666" s="21"/>
      <c r="E666" s="28"/>
      <c r="F666" s="24"/>
      <c r="G666" s="26"/>
      <c r="H666" s="24"/>
      <c r="I666" s="24"/>
      <c r="J666" s="24"/>
      <c r="K666" s="24"/>
      <c r="L666" s="26"/>
      <c r="M666" s="26"/>
      <c r="N666" s="22"/>
      <c r="O666" s="21"/>
      <c r="P666" s="22"/>
      <c r="Q666" s="29" t="str">
        <f aca="false">IF(C666="","",IF(O666&lt;&gt;"",O666,IFERROR(INDEX(Produk!$J$2:$J$100,MATCH(C666,Produk!$A$2:$A$100,0)),"PRODUK?")))</f>
        <v/>
      </c>
      <c r="R666" s="29" t="str">
        <f aca="false">IF(A666="","",IF(COUNTIF(Anggota!$A$2:$A$2001,A666)=0,"TIDAK ADA","OK"))</f>
        <v/>
      </c>
      <c r="S666" s="29" t="str">
        <f aca="false">IF(H666="","",IF(OR(J666="",L666=""),"-",IF(ABS(H666-J666*L666)&gt;Info_Koperasi!$C$10,"SELISIH","OK")))</f>
        <v/>
      </c>
    </row>
    <row r="667" customFormat="false" ht="15" hidden="false" customHeight="false" outlineLevel="0" collapsed="false">
      <c r="A667" s="21"/>
      <c r="B667" s="22"/>
      <c r="C667" s="21"/>
      <c r="D667" s="21"/>
      <c r="E667" s="28"/>
      <c r="F667" s="24"/>
      <c r="G667" s="26"/>
      <c r="H667" s="24"/>
      <c r="I667" s="24"/>
      <c r="J667" s="24"/>
      <c r="K667" s="24"/>
      <c r="L667" s="26"/>
      <c r="M667" s="26"/>
      <c r="N667" s="22"/>
      <c r="O667" s="21"/>
      <c r="P667" s="22"/>
      <c r="Q667" s="29" t="str">
        <f aca="false">IF(C667="","",IF(O667&lt;&gt;"",O667,IFERROR(INDEX(Produk!$J$2:$J$100,MATCH(C667,Produk!$A$2:$A$100,0)),"PRODUK?")))</f>
        <v/>
      </c>
      <c r="R667" s="29" t="str">
        <f aca="false">IF(A667="","",IF(COUNTIF(Anggota!$A$2:$A$2001,A667)=0,"TIDAK ADA","OK"))</f>
        <v/>
      </c>
      <c r="S667" s="29" t="str">
        <f aca="false">IF(H667="","",IF(OR(J667="",L667=""),"-",IF(ABS(H667-J667*L667)&gt;Info_Koperasi!$C$10,"SELISIH","OK")))</f>
        <v/>
      </c>
    </row>
    <row r="668" customFormat="false" ht="15" hidden="false" customHeight="false" outlineLevel="0" collapsed="false">
      <c r="A668" s="21"/>
      <c r="B668" s="22"/>
      <c r="C668" s="21"/>
      <c r="D668" s="21"/>
      <c r="E668" s="28"/>
      <c r="F668" s="24"/>
      <c r="G668" s="26"/>
      <c r="H668" s="24"/>
      <c r="I668" s="24"/>
      <c r="J668" s="24"/>
      <c r="K668" s="24"/>
      <c r="L668" s="26"/>
      <c r="M668" s="26"/>
      <c r="N668" s="22"/>
      <c r="O668" s="21"/>
      <c r="P668" s="22"/>
      <c r="Q668" s="29" t="str">
        <f aca="false">IF(C668="","",IF(O668&lt;&gt;"",O668,IFERROR(INDEX(Produk!$J$2:$J$100,MATCH(C668,Produk!$A$2:$A$100,0)),"PRODUK?")))</f>
        <v/>
      </c>
      <c r="R668" s="29" t="str">
        <f aca="false">IF(A668="","",IF(COUNTIF(Anggota!$A$2:$A$2001,A668)=0,"TIDAK ADA","OK"))</f>
        <v/>
      </c>
      <c r="S668" s="29" t="str">
        <f aca="false">IF(H668="","",IF(OR(J668="",L668=""),"-",IF(ABS(H668-J668*L668)&gt;Info_Koperasi!$C$10,"SELISIH","OK")))</f>
        <v/>
      </c>
    </row>
    <row r="669" customFormat="false" ht="15" hidden="false" customHeight="false" outlineLevel="0" collapsed="false">
      <c r="A669" s="21"/>
      <c r="B669" s="22"/>
      <c r="C669" s="21"/>
      <c r="D669" s="21"/>
      <c r="E669" s="28"/>
      <c r="F669" s="24"/>
      <c r="G669" s="26"/>
      <c r="H669" s="24"/>
      <c r="I669" s="24"/>
      <c r="J669" s="24"/>
      <c r="K669" s="24"/>
      <c r="L669" s="26"/>
      <c r="M669" s="26"/>
      <c r="N669" s="22"/>
      <c r="O669" s="21"/>
      <c r="P669" s="22"/>
      <c r="Q669" s="29" t="str">
        <f aca="false">IF(C669="","",IF(O669&lt;&gt;"",O669,IFERROR(INDEX(Produk!$J$2:$J$100,MATCH(C669,Produk!$A$2:$A$100,0)),"PRODUK?")))</f>
        <v/>
      </c>
      <c r="R669" s="29" t="str">
        <f aca="false">IF(A669="","",IF(COUNTIF(Anggota!$A$2:$A$2001,A669)=0,"TIDAK ADA","OK"))</f>
        <v/>
      </c>
      <c r="S669" s="29" t="str">
        <f aca="false">IF(H669="","",IF(OR(J669="",L669=""),"-",IF(ABS(H669-J669*L669)&gt;Info_Koperasi!$C$10,"SELISIH","OK")))</f>
        <v/>
      </c>
    </row>
    <row r="670" customFormat="false" ht="15" hidden="false" customHeight="false" outlineLevel="0" collapsed="false">
      <c r="A670" s="21"/>
      <c r="B670" s="22"/>
      <c r="C670" s="21"/>
      <c r="D670" s="21"/>
      <c r="E670" s="28"/>
      <c r="F670" s="24"/>
      <c r="G670" s="26"/>
      <c r="H670" s="24"/>
      <c r="I670" s="24"/>
      <c r="J670" s="24"/>
      <c r="K670" s="24"/>
      <c r="L670" s="26"/>
      <c r="M670" s="26"/>
      <c r="N670" s="22"/>
      <c r="O670" s="21"/>
      <c r="P670" s="22"/>
      <c r="Q670" s="29" t="str">
        <f aca="false">IF(C670="","",IF(O670&lt;&gt;"",O670,IFERROR(INDEX(Produk!$J$2:$J$100,MATCH(C670,Produk!$A$2:$A$100,0)),"PRODUK?")))</f>
        <v/>
      </c>
      <c r="R670" s="29" t="str">
        <f aca="false">IF(A670="","",IF(COUNTIF(Anggota!$A$2:$A$2001,A670)=0,"TIDAK ADA","OK"))</f>
        <v/>
      </c>
      <c r="S670" s="29" t="str">
        <f aca="false">IF(H670="","",IF(OR(J670="",L670=""),"-",IF(ABS(H670-J670*L670)&gt;Info_Koperasi!$C$10,"SELISIH","OK")))</f>
        <v/>
      </c>
    </row>
    <row r="671" customFormat="false" ht="15" hidden="false" customHeight="false" outlineLevel="0" collapsed="false">
      <c r="A671" s="21"/>
      <c r="B671" s="22"/>
      <c r="C671" s="21"/>
      <c r="D671" s="21"/>
      <c r="E671" s="28"/>
      <c r="F671" s="24"/>
      <c r="G671" s="26"/>
      <c r="H671" s="24"/>
      <c r="I671" s="24"/>
      <c r="J671" s="24"/>
      <c r="K671" s="24"/>
      <c r="L671" s="26"/>
      <c r="M671" s="26"/>
      <c r="N671" s="22"/>
      <c r="O671" s="21"/>
      <c r="P671" s="22"/>
      <c r="Q671" s="29" t="str">
        <f aca="false">IF(C671="","",IF(O671&lt;&gt;"",O671,IFERROR(INDEX(Produk!$J$2:$J$100,MATCH(C671,Produk!$A$2:$A$100,0)),"PRODUK?")))</f>
        <v/>
      </c>
      <c r="R671" s="29" t="str">
        <f aca="false">IF(A671="","",IF(COUNTIF(Anggota!$A$2:$A$2001,A671)=0,"TIDAK ADA","OK"))</f>
        <v/>
      </c>
      <c r="S671" s="29" t="str">
        <f aca="false">IF(H671="","",IF(OR(J671="",L671=""),"-",IF(ABS(H671-J671*L671)&gt;Info_Koperasi!$C$10,"SELISIH","OK")))</f>
        <v/>
      </c>
    </row>
    <row r="672" customFormat="false" ht="15" hidden="false" customHeight="false" outlineLevel="0" collapsed="false">
      <c r="A672" s="21"/>
      <c r="B672" s="22"/>
      <c r="C672" s="21"/>
      <c r="D672" s="21"/>
      <c r="E672" s="28"/>
      <c r="F672" s="24"/>
      <c r="G672" s="26"/>
      <c r="H672" s="24"/>
      <c r="I672" s="24"/>
      <c r="J672" s="24"/>
      <c r="K672" s="24"/>
      <c r="L672" s="26"/>
      <c r="M672" s="26"/>
      <c r="N672" s="22"/>
      <c r="O672" s="21"/>
      <c r="P672" s="22"/>
      <c r="Q672" s="29" t="str">
        <f aca="false">IF(C672="","",IF(O672&lt;&gt;"",O672,IFERROR(INDEX(Produk!$J$2:$J$100,MATCH(C672,Produk!$A$2:$A$100,0)),"PRODUK?")))</f>
        <v/>
      </c>
      <c r="R672" s="29" t="str">
        <f aca="false">IF(A672="","",IF(COUNTIF(Anggota!$A$2:$A$2001,A672)=0,"TIDAK ADA","OK"))</f>
        <v/>
      </c>
      <c r="S672" s="29" t="str">
        <f aca="false">IF(H672="","",IF(OR(J672="",L672=""),"-",IF(ABS(H672-J672*L672)&gt;Info_Koperasi!$C$10,"SELISIH","OK")))</f>
        <v/>
      </c>
    </row>
    <row r="673" customFormat="false" ht="15" hidden="false" customHeight="false" outlineLevel="0" collapsed="false">
      <c r="A673" s="21"/>
      <c r="B673" s="22"/>
      <c r="C673" s="21"/>
      <c r="D673" s="21"/>
      <c r="E673" s="28"/>
      <c r="F673" s="24"/>
      <c r="G673" s="26"/>
      <c r="H673" s="24"/>
      <c r="I673" s="24"/>
      <c r="J673" s="24"/>
      <c r="K673" s="24"/>
      <c r="L673" s="26"/>
      <c r="M673" s="26"/>
      <c r="N673" s="22"/>
      <c r="O673" s="21"/>
      <c r="P673" s="22"/>
      <c r="Q673" s="29" t="str">
        <f aca="false">IF(C673="","",IF(O673&lt;&gt;"",O673,IFERROR(INDEX(Produk!$J$2:$J$100,MATCH(C673,Produk!$A$2:$A$100,0)),"PRODUK?")))</f>
        <v/>
      </c>
      <c r="R673" s="29" t="str">
        <f aca="false">IF(A673="","",IF(COUNTIF(Anggota!$A$2:$A$2001,A673)=0,"TIDAK ADA","OK"))</f>
        <v/>
      </c>
      <c r="S673" s="29" t="str">
        <f aca="false">IF(H673="","",IF(OR(J673="",L673=""),"-",IF(ABS(H673-J673*L673)&gt;Info_Koperasi!$C$10,"SELISIH","OK")))</f>
        <v/>
      </c>
    </row>
    <row r="674" customFormat="false" ht="15" hidden="false" customHeight="false" outlineLevel="0" collapsed="false">
      <c r="A674" s="21"/>
      <c r="B674" s="22"/>
      <c r="C674" s="21"/>
      <c r="D674" s="21"/>
      <c r="E674" s="28"/>
      <c r="F674" s="24"/>
      <c r="G674" s="26"/>
      <c r="H674" s="24"/>
      <c r="I674" s="24"/>
      <c r="J674" s="24"/>
      <c r="K674" s="24"/>
      <c r="L674" s="26"/>
      <c r="M674" s="26"/>
      <c r="N674" s="22"/>
      <c r="O674" s="21"/>
      <c r="P674" s="22"/>
      <c r="Q674" s="29" t="str">
        <f aca="false">IF(C674="","",IF(O674&lt;&gt;"",O674,IFERROR(INDEX(Produk!$J$2:$J$100,MATCH(C674,Produk!$A$2:$A$100,0)),"PRODUK?")))</f>
        <v/>
      </c>
      <c r="R674" s="29" t="str">
        <f aca="false">IF(A674="","",IF(COUNTIF(Anggota!$A$2:$A$2001,A674)=0,"TIDAK ADA","OK"))</f>
        <v/>
      </c>
      <c r="S674" s="29" t="str">
        <f aca="false">IF(H674="","",IF(OR(J674="",L674=""),"-",IF(ABS(H674-J674*L674)&gt;Info_Koperasi!$C$10,"SELISIH","OK")))</f>
        <v/>
      </c>
    </row>
    <row r="675" customFormat="false" ht="15" hidden="false" customHeight="false" outlineLevel="0" collapsed="false">
      <c r="A675" s="21"/>
      <c r="B675" s="22"/>
      <c r="C675" s="21"/>
      <c r="D675" s="21"/>
      <c r="E675" s="28"/>
      <c r="F675" s="24"/>
      <c r="G675" s="26"/>
      <c r="H675" s="24"/>
      <c r="I675" s="24"/>
      <c r="J675" s="24"/>
      <c r="K675" s="24"/>
      <c r="L675" s="26"/>
      <c r="M675" s="26"/>
      <c r="N675" s="22"/>
      <c r="O675" s="21"/>
      <c r="P675" s="22"/>
      <c r="Q675" s="29" t="str">
        <f aca="false">IF(C675="","",IF(O675&lt;&gt;"",O675,IFERROR(INDEX(Produk!$J$2:$J$100,MATCH(C675,Produk!$A$2:$A$100,0)),"PRODUK?")))</f>
        <v/>
      </c>
      <c r="R675" s="29" t="str">
        <f aca="false">IF(A675="","",IF(COUNTIF(Anggota!$A$2:$A$2001,A675)=0,"TIDAK ADA","OK"))</f>
        <v/>
      </c>
      <c r="S675" s="29" t="str">
        <f aca="false">IF(H675="","",IF(OR(J675="",L675=""),"-",IF(ABS(H675-J675*L675)&gt;Info_Koperasi!$C$10,"SELISIH","OK")))</f>
        <v/>
      </c>
    </row>
    <row r="676" customFormat="false" ht="15" hidden="false" customHeight="false" outlineLevel="0" collapsed="false">
      <c r="A676" s="21"/>
      <c r="B676" s="22"/>
      <c r="C676" s="21"/>
      <c r="D676" s="21"/>
      <c r="E676" s="28"/>
      <c r="F676" s="24"/>
      <c r="G676" s="26"/>
      <c r="H676" s="24"/>
      <c r="I676" s="24"/>
      <c r="J676" s="24"/>
      <c r="K676" s="24"/>
      <c r="L676" s="26"/>
      <c r="M676" s="26"/>
      <c r="N676" s="22"/>
      <c r="O676" s="21"/>
      <c r="P676" s="22"/>
      <c r="Q676" s="29" t="str">
        <f aca="false">IF(C676="","",IF(O676&lt;&gt;"",O676,IFERROR(INDEX(Produk!$J$2:$J$100,MATCH(C676,Produk!$A$2:$A$100,0)),"PRODUK?")))</f>
        <v/>
      </c>
      <c r="R676" s="29" t="str">
        <f aca="false">IF(A676="","",IF(COUNTIF(Anggota!$A$2:$A$2001,A676)=0,"TIDAK ADA","OK"))</f>
        <v/>
      </c>
      <c r="S676" s="29" t="str">
        <f aca="false">IF(H676="","",IF(OR(J676="",L676=""),"-",IF(ABS(H676-J676*L676)&gt;Info_Koperasi!$C$10,"SELISIH","OK")))</f>
        <v/>
      </c>
    </row>
    <row r="677" customFormat="false" ht="15" hidden="false" customHeight="false" outlineLevel="0" collapsed="false">
      <c r="A677" s="21"/>
      <c r="B677" s="22"/>
      <c r="C677" s="21"/>
      <c r="D677" s="21"/>
      <c r="E677" s="28"/>
      <c r="F677" s="24"/>
      <c r="G677" s="26"/>
      <c r="H677" s="24"/>
      <c r="I677" s="24"/>
      <c r="J677" s="24"/>
      <c r="K677" s="24"/>
      <c r="L677" s="26"/>
      <c r="M677" s="26"/>
      <c r="N677" s="22"/>
      <c r="O677" s="21"/>
      <c r="P677" s="22"/>
      <c r="Q677" s="29" t="str">
        <f aca="false">IF(C677="","",IF(O677&lt;&gt;"",O677,IFERROR(INDEX(Produk!$J$2:$J$100,MATCH(C677,Produk!$A$2:$A$100,0)),"PRODUK?")))</f>
        <v/>
      </c>
      <c r="R677" s="29" t="str">
        <f aca="false">IF(A677="","",IF(COUNTIF(Anggota!$A$2:$A$2001,A677)=0,"TIDAK ADA","OK"))</f>
        <v/>
      </c>
      <c r="S677" s="29" t="str">
        <f aca="false">IF(H677="","",IF(OR(J677="",L677=""),"-",IF(ABS(H677-J677*L677)&gt;Info_Koperasi!$C$10,"SELISIH","OK")))</f>
        <v/>
      </c>
    </row>
    <row r="678" customFormat="false" ht="15" hidden="false" customHeight="false" outlineLevel="0" collapsed="false">
      <c r="A678" s="21"/>
      <c r="B678" s="22"/>
      <c r="C678" s="21"/>
      <c r="D678" s="21"/>
      <c r="E678" s="28"/>
      <c r="F678" s="24"/>
      <c r="G678" s="26"/>
      <c r="H678" s="24"/>
      <c r="I678" s="24"/>
      <c r="J678" s="24"/>
      <c r="K678" s="24"/>
      <c r="L678" s="26"/>
      <c r="M678" s="26"/>
      <c r="N678" s="22"/>
      <c r="O678" s="21"/>
      <c r="P678" s="22"/>
      <c r="Q678" s="29" t="str">
        <f aca="false">IF(C678="","",IF(O678&lt;&gt;"",O678,IFERROR(INDEX(Produk!$J$2:$J$100,MATCH(C678,Produk!$A$2:$A$100,0)),"PRODUK?")))</f>
        <v/>
      </c>
      <c r="R678" s="29" t="str">
        <f aca="false">IF(A678="","",IF(COUNTIF(Anggota!$A$2:$A$2001,A678)=0,"TIDAK ADA","OK"))</f>
        <v/>
      </c>
      <c r="S678" s="29" t="str">
        <f aca="false">IF(H678="","",IF(OR(J678="",L678=""),"-",IF(ABS(H678-J678*L678)&gt;Info_Koperasi!$C$10,"SELISIH","OK")))</f>
        <v/>
      </c>
    </row>
    <row r="679" customFormat="false" ht="15" hidden="false" customHeight="false" outlineLevel="0" collapsed="false">
      <c r="A679" s="21"/>
      <c r="B679" s="22"/>
      <c r="C679" s="21"/>
      <c r="D679" s="21"/>
      <c r="E679" s="28"/>
      <c r="F679" s="24"/>
      <c r="G679" s="26"/>
      <c r="H679" s="24"/>
      <c r="I679" s="24"/>
      <c r="J679" s="24"/>
      <c r="K679" s="24"/>
      <c r="L679" s="26"/>
      <c r="M679" s="26"/>
      <c r="N679" s="22"/>
      <c r="O679" s="21"/>
      <c r="P679" s="22"/>
      <c r="Q679" s="29" t="str">
        <f aca="false">IF(C679="","",IF(O679&lt;&gt;"",O679,IFERROR(INDEX(Produk!$J$2:$J$100,MATCH(C679,Produk!$A$2:$A$100,0)),"PRODUK?")))</f>
        <v/>
      </c>
      <c r="R679" s="29" t="str">
        <f aca="false">IF(A679="","",IF(COUNTIF(Anggota!$A$2:$A$2001,A679)=0,"TIDAK ADA","OK"))</f>
        <v/>
      </c>
      <c r="S679" s="29" t="str">
        <f aca="false">IF(H679="","",IF(OR(J679="",L679=""),"-",IF(ABS(H679-J679*L679)&gt;Info_Koperasi!$C$10,"SELISIH","OK")))</f>
        <v/>
      </c>
    </row>
    <row r="680" customFormat="false" ht="15" hidden="false" customHeight="false" outlineLevel="0" collapsed="false">
      <c r="A680" s="21"/>
      <c r="B680" s="22"/>
      <c r="C680" s="21"/>
      <c r="D680" s="21"/>
      <c r="E680" s="28"/>
      <c r="F680" s="24"/>
      <c r="G680" s="26"/>
      <c r="H680" s="24"/>
      <c r="I680" s="24"/>
      <c r="J680" s="24"/>
      <c r="K680" s="24"/>
      <c r="L680" s="26"/>
      <c r="M680" s="26"/>
      <c r="N680" s="22"/>
      <c r="O680" s="21"/>
      <c r="P680" s="22"/>
      <c r="Q680" s="29" t="str">
        <f aca="false">IF(C680="","",IF(O680&lt;&gt;"",O680,IFERROR(INDEX(Produk!$J$2:$J$100,MATCH(C680,Produk!$A$2:$A$100,0)),"PRODUK?")))</f>
        <v/>
      </c>
      <c r="R680" s="29" t="str">
        <f aca="false">IF(A680="","",IF(COUNTIF(Anggota!$A$2:$A$2001,A680)=0,"TIDAK ADA","OK"))</f>
        <v/>
      </c>
      <c r="S680" s="29" t="str">
        <f aca="false">IF(H680="","",IF(OR(J680="",L680=""),"-",IF(ABS(H680-J680*L680)&gt;Info_Koperasi!$C$10,"SELISIH","OK")))</f>
        <v/>
      </c>
    </row>
    <row r="681" customFormat="false" ht="15" hidden="false" customHeight="false" outlineLevel="0" collapsed="false">
      <c r="A681" s="21"/>
      <c r="B681" s="22"/>
      <c r="C681" s="21"/>
      <c r="D681" s="21"/>
      <c r="E681" s="28"/>
      <c r="F681" s="24"/>
      <c r="G681" s="26"/>
      <c r="H681" s="24"/>
      <c r="I681" s="24"/>
      <c r="J681" s="24"/>
      <c r="K681" s="24"/>
      <c r="L681" s="26"/>
      <c r="M681" s="26"/>
      <c r="N681" s="22"/>
      <c r="O681" s="21"/>
      <c r="P681" s="22"/>
      <c r="Q681" s="29" t="str">
        <f aca="false">IF(C681="","",IF(O681&lt;&gt;"",O681,IFERROR(INDEX(Produk!$J$2:$J$100,MATCH(C681,Produk!$A$2:$A$100,0)),"PRODUK?")))</f>
        <v/>
      </c>
      <c r="R681" s="29" t="str">
        <f aca="false">IF(A681="","",IF(COUNTIF(Anggota!$A$2:$A$2001,A681)=0,"TIDAK ADA","OK"))</f>
        <v/>
      </c>
      <c r="S681" s="29" t="str">
        <f aca="false">IF(H681="","",IF(OR(J681="",L681=""),"-",IF(ABS(H681-J681*L681)&gt;Info_Koperasi!$C$10,"SELISIH","OK")))</f>
        <v/>
      </c>
    </row>
    <row r="682" customFormat="false" ht="15" hidden="false" customHeight="false" outlineLevel="0" collapsed="false">
      <c r="A682" s="21"/>
      <c r="B682" s="22"/>
      <c r="C682" s="21"/>
      <c r="D682" s="21"/>
      <c r="E682" s="28"/>
      <c r="F682" s="24"/>
      <c r="G682" s="26"/>
      <c r="H682" s="24"/>
      <c r="I682" s="24"/>
      <c r="J682" s="24"/>
      <c r="K682" s="24"/>
      <c r="L682" s="26"/>
      <c r="M682" s="26"/>
      <c r="N682" s="22"/>
      <c r="O682" s="21"/>
      <c r="P682" s="22"/>
      <c r="Q682" s="29" t="str">
        <f aca="false">IF(C682="","",IF(O682&lt;&gt;"",O682,IFERROR(INDEX(Produk!$J$2:$J$100,MATCH(C682,Produk!$A$2:$A$100,0)),"PRODUK?")))</f>
        <v/>
      </c>
      <c r="R682" s="29" t="str">
        <f aca="false">IF(A682="","",IF(COUNTIF(Anggota!$A$2:$A$2001,A682)=0,"TIDAK ADA","OK"))</f>
        <v/>
      </c>
      <c r="S682" s="29" t="str">
        <f aca="false">IF(H682="","",IF(OR(J682="",L682=""),"-",IF(ABS(H682-J682*L682)&gt;Info_Koperasi!$C$10,"SELISIH","OK")))</f>
        <v/>
      </c>
    </row>
    <row r="683" customFormat="false" ht="15" hidden="false" customHeight="false" outlineLevel="0" collapsed="false">
      <c r="A683" s="21"/>
      <c r="B683" s="22"/>
      <c r="C683" s="21"/>
      <c r="D683" s="21"/>
      <c r="E683" s="28"/>
      <c r="F683" s="24"/>
      <c r="G683" s="26"/>
      <c r="H683" s="24"/>
      <c r="I683" s="24"/>
      <c r="J683" s="24"/>
      <c r="K683" s="24"/>
      <c r="L683" s="26"/>
      <c r="M683" s="26"/>
      <c r="N683" s="22"/>
      <c r="O683" s="21"/>
      <c r="P683" s="22"/>
      <c r="Q683" s="29" t="str">
        <f aca="false">IF(C683="","",IF(O683&lt;&gt;"",O683,IFERROR(INDEX(Produk!$J$2:$J$100,MATCH(C683,Produk!$A$2:$A$100,0)),"PRODUK?")))</f>
        <v/>
      </c>
      <c r="R683" s="29" t="str">
        <f aca="false">IF(A683="","",IF(COUNTIF(Anggota!$A$2:$A$2001,A683)=0,"TIDAK ADA","OK"))</f>
        <v/>
      </c>
      <c r="S683" s="29" t="str">
        <f aca="false">IF(H683="","",IF(OR(J683="",L683=""),"-",IF(ABS(H683-J683*L683)&gt;Info_Koperasi!$C$10,"SELISIH","OK")))</f>
        <v/>
      </c>
    </row>
    <row r="684" customFormat="false" ht="15" hidden="false" customHeight="false" outlineLevel="0" collapsed="false">
      <c r="A684" s="21"/>
      <c r="B684" s="22"/>
      <c r="C684" s="21"/>
      <c r="D684" s="21"/>
      <c r="E684" s="28"/>
      <c r="F684" s="24"/>
      <c r="G684" s="26"/>
      <c r="H684" s="24"/>
      <c r="I684" s="24"/>
      <c r="J684" s="24"/>
      <c r="K684" s="24"/>
      <c r="L684" s="26"/>
      <c r="M684" s="26"/>
      <c r="N684" s="22"/>
      <c r="O684" s="21"/>
      <c r="P684" s="22"/>
      <c r="Q684" s="29" t="str">
        <f aca="false">IF(C684="","",IF(O684&lt;&gt;"",O684,IFERROR(INDEX(Produk!$J$2:$J$100,MATCH(C684,Produk!$A$2:$A$100,0)),"PRODUK?")))</f>
        <v/>
      </c>
      <c r="R684" s="29" t="str">
        <f aca="false">IF(A684="","",IF(COUNTIF(Anggota!$A$2:$A$2001,A684)=0,"TIDAK ADA","OK"))</f>
        <v/>
      </c>
      <c r="S684" s="29" t="str">
        <f aca="false">IF(H684="","",IF(OR(J684="",L684=""),"-",IF(ABS(H684-J684*L684)&gt;Info_Koperasi!$C$10,"SELISIH","OK")))</f>
        <v/>
      </c>
    </row>
    <row r="685" customFormat="false" ht="15" hidden="false" customHeight="false" outlineLevel="0" collapsed="false">
      <c r="A685" s="21"/>
      <c r="B685" s="22"/>
      <c r="C685" s="21"/>
      <c r="D685" s="21"/>
      <c r="E685" s="28"/>
      <c r="F685" s="24"/>
      <c r="G685" s="26"/>
      <c r="H685" s="24"/>
      <c r="I685" s="24"/>
      <c r="J685" s="24"/>
      <c r="K685" s="24"/>
      <c r="L685" s="26"/>
      <c r="M685" s="26"/>
      <c r="N685" s="22"/>
      <c r="O685" s="21"/>
      <c r="P685" s="22"/>
      <c r="Q685" s="29" t="str">
        <f aca="false">IF(C685="","",IF(O685&lt;&gt;"",O685,IFERROR(INDEX(Produk!$J$2:$J$100,MATCH(C685,Produk!$A$2:$A$100,0)),"PRODUK?")))</f>
        <v/>
      </c>
      <c r="R685" s="29" t="str">
        <f aca="false">IF(A685="","",IF(COUNTIF(Anggota!$A$2:$A$2001,A685)=0,"TIDAK ADA","OK"))</f>
        <v/>
      </c>
      <c r="S685" s="29" t="str">
        <f aca="false">IF(H685="","",IF(OR(J685="",L685=""),"-",IF(ABS(H685-J685*L685)&gt;Info_Koperasi!$C$10,"SELISIH","OK")))</f>
        <v/>
      </c>
    </row>
    <row r="686" customFormat="false" ht="15" hidden="false" customHeight="false" outlineLevel="0" collapsed="false">
      <c r="A686" s="21"/>
      <c r="B686" s="22"/>
      <c r="C686" s="21"/>
      <c r="D686" s="21"/>
      <c r="E686" s="28"/>
      <c r="F686" s="24"/>
      <c r="G686" s="26"/>
      <c r="H686" s="24"/>
      <c r="I686" s="24"/>
      <c r="J686" s="24"/>
      <c r="K686" s="24"/>
      <c r="L686" s="26"/>
      <c r="M686" s="26"/>
      <c r="N686" s="22"/>
      <c r="O686" s="21"/>
      <c r="P686" s="22"/>
      <c r="Q686" s="29" t="str">
        <f aca="false">IF(C686="","",IF(O686&lt;&gt;"",O686,IFERROR(INDEX(Produk!$J$2:$J$100,MATCH(C686,Produk!$A$2:$A$100,0)),"PRODUK?")))</f>
        <v/>
      </c>
      <c r="R686" s="29" t="str">
        <f aca="false">IF(A686="","",IF(COUNTIF(Anggota!$A$2:$A$2001,A686)=0,"TIDAK ADA","OK"))</f>
        <v/>
      </c>
      <c r="S686" s="29" t="str">
        <f aca="false">IF(H686="","",IF(OR(J686="",L686=""),"-",IF(ABS(H686-J686*L686)&gt;Info_Koperasi!$C$10,"SELISIH","OK")))</f>
        <v/>
      </c>
    </row>
    <row r="687" customFormat="false" ht="15" hidden="false" customHeight="false" outlineLevel="0" collapsed="false">
      <c r="A687" s="21"/>
      <c r="B687" s="22"/>
      <c r="C687" s="21"/>
      <c r="D687" s="21"/>
      <c r="E687" s="28"/>
      <c r="F687" s="24"/>
      <c r="G687" s="26"/>
      <c r="H687" s="24"/>
      <c r="I687" s="24"/>
      <c r="J687" s="24"/>
      <c r="K687" s="24"/>
      <c r="L687" s="26"/>
      <c r="M687" s="26"/>
      <c r="N687" s="22"/>
      <c r="O687" s="21"/>
      <c r="P687" s="22"/>
      <c r="Q687" s="29" t="str">
        <f aca="false">IF(C687="","",IF(O687&lt;&gt;"",O687,IFERROR(INDEX(Produk!$J$2:$J$100,MATCH(C687,Produk!$A$2:$A$100,0)),"PRODUK?")))</f>
        <v/>
      </c>
      <c r="R687" s="29" t="str">
        <f aca="false">IF(A687="","",IF(COUNTIF(Anggota!$A$2:$A$2001,A687)=0,"TIDAK ADA","OK"))</f>
        <v/>
      </c>
      <c r="S687" s="29" t="str">
        <f aca="false">IF(H687="","",IF(OR(J687="",L687=""),"-",IF(ABS(H687-J687*L687)&gt;Info_Koperasi!$C$10,"SELISIH","OK")))</f>
        <v/>
      </c>
    </row>
    <row r="688" customFormat="false" ht="15" hidden="false" customHeight="false" outlineLevel="0" collapsed="false">
      <c r="A688" s="21"/>
      <c r="B688" s="22"/>
      <c r="C688" s="21"/>
      <c r="D688" s="21"/>
      <c r="E688" s="28"/>
      <c r="F688" s="24"/>
      <c r="G688" s="26"/>
      <c r="H688" s="24"/>
      <c r="I688" s="24"/>
      <c r="J688" s="24"/>
      <c r="K688" s="24"/>
      <c r="L688" s="26"/>
      <c r="M688" s="26"/>
      <c r="N688" s="22"/>
      <c r="O688" s="21"/>
      <c r="P688" s="22"/>
      <c r="Q688" s="29" t="str">
        <f aca="false">IF(C688="","",IF(O688&lt;&gt;"",O688,IFERROR(INDEX(Produk!$J$2:$J$100,MATCH(C688,Produk!$A$2:$A$100,0)),"PRODUK?")))</f>
        <v/>
      </c>
      <c r="R688" s="29" t="str">
        <f aca="false">IF(A688="","",IF(COUNTIF(Anggota!$A$2:$A$2001,A688)=0,"TIDAK ADA","OK"))</f>
        <v/>
      </c>
      <c r="S688" s="29" t="str">
        <f aca="false">IF(H688="","",IF(OR(J688="",L688=""),"-",IF(ABS(H688-J688*L688)&gt;Info_Koperasi!$C$10,"SELISIH","OK")))</f>
        <v/>
      </c>
    </row>
    <row r="689" customFormat="false" ht="15" hidden="false" customHeight="false" outlineLevel="0" collapsed="false">
      <c r="A689" s="21"/>
      <c r="B689" s="22"/>
      <c r="C689" s="21"/>
      <c r="D689" s="21"/>
      <c r="E689" s="28"/>
      <c r="F689" s="24"/>
      <c r="G689" s="26"/>
      <c r="H689" s="24"/>
      <c r="I689" s="24"/>
      <c r="J689" s="24"/>
      <c r="K689" s="24"/>
      <c r="L689" s="26"/>
      <c r="M689" s="26"/>
      <c r="N689" s="22"/>
      <c r="O689" s="21"/>
      <c r="P689" s="22"/>
      <c r="Q689" s="29" t="str">
        <f aca="false">IF(C689="","",IF(O689&lt;&gt;"",O689,IFERROR(INDEX(Produk!$J$2:$J$100,MATCH(C689,Produk!$A$2:$A$100,0)),"PRODUK?")))</f>
        <v/>
      </c>
      <c r="R689" s="29" t="str">
        <f aca="false">IF(A689="","",IF(COUNTIF(Anggota!$A$2:$A$2001,A689)=0,"TIDAK ADA","OK"))</f>
        <v/>
      </c>
      <c r="S689" s="29" t="str">
        <f aca="false">IF(H689="","",IF(OR(J689="",L689=""),"-",IF(ABS(H689-J689*L689)&gt;Info_Koperasi!$C$10,"SELISIH","OK")))</f>
        <v/>
      </c>
    </row>
    <row r="690" customFormat="false" ht="15" hidden="false" customHeight="false" outlineLevel="0" collapsed="false">
      <c r="A690" s="21"/>
      <c r="B690" s="22"/>
      <c r="C690" s="21"/>
      <c r="D690" s="21"/>
      <c r="E690" s="28"/>
      <c r="F690" s="24"/>
      <c r="G690" s="26"/>
      <c r="H690" s="24"/>
      <c r="I690" s="24"/>
      <c r="J690" s="24"/>
      <c r="K690" s="24"/>
      <c r="L690" s="26"/>
      <c r="M690" s="26"/>
      <c r="N690" s="22"/>
      <c r="O690" s="21"/>
      <c r="P690" s="22"/>
      <c r="Q690" s="29" t="str">
        <f aca="false">IF(C690="","",IF(O690&lt;&gt;"",O690,IFERROR(INDEX(Produk!$J$2:$J$100,MATCH(C690,Produk!$A$2:$A$100,0)),"PRODUK?")))</f>
        <v/>
      </c>
      <c r="R690" s="29" t="str">
        <f aca="false">IF(A690="","",IF(COUNTIF(Anggota!$A$2:$A$2001,A690)=0,"TIDAK ADA","OK"))</f>
        <v/>
      </c>
      <c r="S690" s="29" t="str">
        <f aca="false">IF(H690="","",IF(OR(J690="",L690=""),"-",IF(ABS(H690-J690*L690)&gt;Info_Koperasi!$C$10,"SELISIH","OK")))</f>
        <v/>
      </c>
    </row>
    <row r="691" customFormat="false" ht="15" hidden="false" customHeight="false" outlineLevel="0" collapsed="false">
      <c r="A691" s="21"/>
      <c r="B691" s="22"/>
      <c r="C691" s="21"/>
      <c r="D691" s="21"/>
      <c r="E691" s="28"/>
      <c r="F691" s="24"/>
      <c r="G691" s="26"/>
      <c r="H691" s="24"/>
      <c r="I691" s="24"/>
      <c r="J691" s="24"/>
      <c r="K691" s="24"/>
      <c r="L691" s="26"/>
      <c r="M691" s="26"/>
      <c r="N691" s="22"/>
      <c r="O691" s="21"/>
      <c r="P691" s="22"/>
      <c r="Q691" s="29" t="str">
        <f aca="false">IF(C691="","",IF(O691&lt;&gt;"",O691,IFERROR(INDEX(Produk!$J$2:$J$100,MATCH(C691,Produk!$A$2:$A$100,0)),"PRODUK?")))</f>
        <v/>
      </c>
      <c r="R691" s="29" t="str">
        <f aca="false">IF(A691="","",IF(COUNTIF(Anggota!$A$2:$A$2001,A691)=0,"TIDAK ADA","OK"))</f>
        <v/>
      </c>
      <c r="S691" s="29" t="str">
        <f aca="false">IF(H691="","",IF(OR(J691="",L691=""),"-",IF(ABS(H691-J691*L691)&gt;Info_Koperasi!$C$10,"SELISIH","OK")))</f>
        <v/>
      </c>
    </row>
    <row r="692" customFormat="false" ht="15" hidden="false" customHeight="false" outlineLevel="0" collapsed="false">
      <c r="A692" s="21"/>
      <c r="B692" s="22"/>
      <c r="C692" s="21"/>
      <c r="D692" s="21"/>
      <c r="E692" s="28"/>
      <c r="F692" s="24"/>
      <c r="G692" s="26"/>
      <c r="H692" s="24"/>
      <c r="I692" s="24"/>
      <c r="J692" s="24"/>
      <c r="K692" s="24"/>
      <c r="L692" s="26"/>
      <c r="M692" s="26"/>
      <c r="N692" s="22"/>
      <c r="O692" s="21"/>
      <c r="P692" s="22"/>
      <c r="Q692" s="29" t="str">
        <f aca="false">IF(C692="","",IF(O692&lt;&gt;"",O692,IFERROR(INDEX(Produk!$J$2:$J$100,MATCH(C692,Produk!$A$2:$A$100,0)),"PRODUK?")))</f>
        <v/>
      </c>
      <c r="R692" s="29" t="str">
        <f aca="false">IF(A692="","",IF(COUNTIF(Anggota!$A$2:$A$2001,A692)=0,"TIDAK ADA","OK"))</f>
        <v/>
      </c>
      <c r="S692" s="29" t="str">
        <f aca="false">IF(H692="","",IF(OR(J692="",L692=""),"-",IF(ABS(H692-J692*L692)&gt;Info_Koperasi!$C$10,"SELISIH","OK")))</f>
        <v/>
      </c>
    </row>
    <row r="693" customFormat="false" ht="15" hidden="false" customHeight="false" outlineLevel="0" collapsed="false">
      <c r="A693" s="21"/>
      <c r="B693" s="22"/>
      <c r="C693" s="21"/>
      <c r="D693" s="21"/>
      <c r="E693" s="28"/>
      <c r="F693" s="24"/>
      <c r="G693" s="26"/>
      <c r="H693" s="24"/>
      <c r="I693" s="24"/>
      <c r="J693" s="24"/>
      <c r="K693" s="24"/>
      <c r="L693" s="26"/>
      <c r="M693" s="26"/>
      <c r="N693" s="22"/>
      <c r="O693" s="21"/>
      <c r="P693" s="22"/>
      <c r="Q693" s="29" t="str">
        <f aca="false">IF(C693="","",IF(O693&lt;&gt;"",O693,IFERROR(INDEX(Produk!$J$2:$J$100,MATCH(C693,Produk!$A$2:$A$100,0)),"PRODUK?")))</f>
        <v/>
      </c>
      <c r="R693" s="29" t="str">
        <f aca="false">IF(A693="","",IF(COUNTIF(Anggota!$A$2:$A$2001,A693)=0,"TIDAK ADA","OK"))</f>
        <v/>
      </c>
      <c r="S693" s="29" t="str">
        <f aca="false">IF(H693="","",IF(OR(J693="",L693=""),"-",IF(ABS(H693-J693*L693)&gt;Info_Koperasi!$C$10,"SELISIH","OK")))</f>
        <v/>
      </c>
    </row>
    <row r="694" customFormat="false" ht="15" hidden="false" customHeight="false" outlineLevel="0" collapsed="false">
      <c r="A694" s="21"/>
      <c r="B694" s="22"/>
      <c r="C694" s="21"/>
      <c r="D694" s="21"/>
      <c r="E694" s="28"/>
      <c r="F694" s="24"/>
      <c r="G694" s="26"/>
      <c r="H694" s="24"/>
      <c r="I694" s="24"/>
      <c r="J694" s="24"/>
      <c r="K694" s="24"/>
      <c r="L694" s="26"/>
      <c r="M694" s="26"/>
      <c r="N694" s="22"/>
      <c r="O694" s="21"/>
      <c r="P694" s="22"/>
      <c r="Q694" s="29" t="str">
        <f aca="false">IF(C694="","",IF(O694&lt;&gt;"",O694,IFERROR(INDEX(Produk!$J$2:$J$100,MATCH(C694,Produk!$A$2:$A$100,0)),"PRODUK?")))</f>
        <v/>
      </c>
      <c r="R694" s="29" t="str">
        <f aca="false">IF(A694="","",IF(COUNTIF(Anggota!$A$2:$A$2001,A694)=0,"TIDAK ADA","OK"))</f>
        <v/>
      </c>
      <c r="S694" s="29" t="str">
        <f aca="false">IF(H694="","",IF(OR(J694="",L694=""),"-",IF(ABS(H694-J694*L694)&gt;Info_Koperasi!$C$10,"SELISIH","OK")))</f>
        <v/>
      </c>
    </row>
    <row r="695" customFormat="false" ht="15" hidden="false" customHeight="false" outlineLevel="0" collapsed="false">
      <c r="A695" s="21"/>
      <c r="B695" s="22"/>
      <c r="C695" s="21"/>
      <c r="D695" s="21"/>
      <c r="E695" s="28"/>
      <c r="F695" s="24"/>
      <c r="G695" s="26"/>
      <c r="H695" s="24"/>
      <c r="I695" s="24"/>
      <c r="J695" s="24"/>
      <c r="K695" s="24"/>
      <c r="L695" s="26"/>
      <c r="M695" s="26"/>
      <c r="N695" s="22"/>
      <c r="O695" s="21"/>
      <c r="P695" s="22"/>
      <c r="Q695" s="29" t="str">
        <f aca="false">IF(C695="","",IF(O695&lt;&gt;"",O695,IFERROR(INDEX(Produk!$J$2:$J$100,MATCH(C695,Produk!$A$2:$A$100,0)),"PRODUK?")))</f>
        <v/>
      </c>
      <c r="R695" s="29" t="str">
        <f aca="false">IF(A695="","",IF(COUNTIF(Anggota!$A$2:$A$2001,A695)=0,"TIDAK ADA","OK"))</f>
        <v/>
      </c>
      <c r="S695" s="29" t="str">
        <f aca="false">IF(H695="","",IF(OR(J695="",L695=""),"-",IF(ABS(H695-J695*L695)&gt;Info_Koperasi!$C$10,"SELISIH","OK")))</f>
        <v/>
      </c>
    </row>
    <row r="696" customFormat="false" ht="15" hidden="false" customHeight="false" outlineLevel="0" collapsed="false">
      <c r="A696" s="21"/>
      <c r="B696" s="22"/>
      <c r="C696" s="21"/>
      <c r="D696" s="21"/>
      <c r="E696" s="28"/>
      <c r="F696" s="24"/>
      <c r="G696" s="26"/>
      <c r="H696" s="24"/>
      <c r="I696" s="24"/>
      <c r="J696" s="24"/>
      <c r="K696" s="24"/>
      <c r="L696" s="26"/>
      <c r="M696" s="26"/>
      <c r="N696" s="22"/>
      <c r="O696" s="21"/>
      <c r="P696" s="22"/>
      <c r="Q696" s="29" t="str">
        <f aca="false">IF(C696="","",IF(O696&lt;&gt;"",O696,IFERROR(INDEX(Produk!$J$2:$J$100,MATCH(C696,Produk!$A$2:$A$100,0)),"PRODUK?")))</f>
        <v/>
      </c>
      <c r="R696" s="29" t="str">
        <f aca="false">IF(A696="","",IF(COUNTIF(Anggota!$A$2:$A$2001,A696)=0,"TIDAK ADA","OK"))</f>
        <v/>
      </c>
      <c r="S696" s="29" t="str">
        <f aca="false">IF(H696="","",IF(OR(J696="",L696=""),"-",IF(ABS(H696-J696*L696)&gt;Info_Koperasi!$C$10,"SELISIH","OK")))</f>
        <v/>
      </c>
    </row>
    <row r="697" customFormat="false" ht="15" hidden="false" customHeight="false" outlineLevel="0" collapsed="false">
      <c r="A697" s="21"/>
      <c r="B697" s="22"/>
      <c r="C697" s="21"/>
      <c r="D697" s="21"/>
      <c r="E697" s="28"/>
      <c r="F697" s="24"/>
      <c r="G697" s="26"/>
      <c r="H697" s="24"/>
      <c r="I697" s="24"/>
      <c r="J697" s="24"/>
      <c r="K697" s="24"/>
      <c r="L697" s="26"/>
      <c r="M697" s="26"/>
      <c r="N697" s="22"/>
      <c r="O697" s="21"/>
      <c r="P697" s="22"/>
      <c r="Q697" s="29" t="str">
        <f aca="false">IF(C697="","",IF(O697&lt;&gt;"",O697,IFERROR(INDEX(Produk!$J$2:$J$100,MATCH(C697,Produk!$A$2:$A$100,0)),"PRODUK?")))</f>
        <v/>
      </c>
      <c r="R697" s="29" t="str">
        <f aca="false">IF(A697="","",IF(COUNTIF(Anggota!$A$2:$A$2001,A697)=0,"TIDAK ADA","OK"))</f>
        <v/>
      </c>
      <c r="S697" s="29" t="str">
        <f aca="false">IF(H697="","",IF(OR(J697="",L697=""),"-",IF(ABS(H697-J697*L697)&gt;Info_Koperasi!$C$10,"SELISIH","OK")))</f>
        <v/>
      </c>
    </row>
    <row r="698" customFormat="false" ht="15" hidden="false" customHeight="false" outlineLevel="0" collapsed="false">
      <c r="A698" s="21"/>
      <c r="B698" s="22"/>
      <c r="C698" s="21"/>
      <c r="D698" s="21"/>
      <c r="E698" s="28"/>
      <c r="F698" s="24"/>
      <c r="G698" s="26"/>
      <c r="H698" s="24"/>
      <c r="I698" s="24"/>
      <c r="J698" s="24"/>
      <c r="K698" s="24"/>
      <c r="L698" s="26"/>
      <c r="M698" s="26"/>
      <c r="N698" s="22"/>
      <c r="O698" s="21"/>
      <c r="P698" s="22"/>
      <c r="Q698" s="29" t="str">
        <f aca="false">IF(C698="","",IF(O698&lt;&gt;"",O698,IFERROR(INDEX(Produk!$J$2:$J$100,MATCH(C698,Produk!$A$2:$A$100,0)),"PRODUK?")))</f>
        <v/>
      </c>
      <c r="R698" s="29" t="str">
        <f aca="false">IF(A698="","",IF(COUNTIF(Anggota!$A$2:$A$2001,A698)=0,"TIDAK ADA","OK"))</f>
        <v/>
      </c>
      <c r="S698" s="29" t="str">
        <f aca="false">IF(H698="","",IF(OR(J698="",L698=""),"-",IF(ABS(H698-J698*L698)&gt;Info_Koperasi!$C$10,"SELISIH","OK")))</f>
        <v/>
      </c>
    </row>
    <row r="699" customFormat="false" ht="15" hidden="false" customHeight="false" outlineLevel="0" collapsed="false">
      <c r="A699" s="21"/>
      <c r="B699" s="22"/>
      <c r="C699" s="21"/>
      <c r="D699" s="21"/>
      <c r="E699" s="28"/>
      <c r="F699" s="24"/>
      <c r="G699" s="26"/>
      <c r="H699" s="24"/>
      <c r="I699" s="24"/>
      <c r="J699" s="24"/>
      <c r="K699" s="24"/>
      <c r="L699" s="26"/>
      <c r="M699" s="26"/>
      <c r="N699" s="22"/>
      <c r="O699" s="21"/>
      <c r="P699" s="22"/>
      <c r="Q699" s="29" t="str">
        <f aca="false">IF(C699="","",IF(O699&lt;&gt;"",O699,IFERROR(INDEX(Produk!$J$2:$J$100,MATCH(C699,Produk!$A$2:$A$100,0)),"PRODUK?")))</f>
        <v/>
      </c>
      <c r="R699" s="29" t="str">
        <f aca="false">IF(A699="","",IF(COUNTIF(Anggota!$A$2:$A$2001,A699)=0,"TIDAK ADA","OK"))</f>
        <v/>
      </c>
      <c r="S699" s="29" t="str">
        <f aca="false">IF(H699="","",IF(OR(J699="",L699=""),"-",IF(ABS(H699-J699*L699)&gt;Info_Koperasi!$C$10,"SELISIH","OK")))</f>
        <v/>
      </c>
    </row>
    <row r="700" customFormat="false" ht="15" hidden="false" customHeight="false" outlineLevel="0" collapsed="false">
      <c r="A700" s="21"/>
      <c r="B700" s="22"/>
      <c r="C700" s="21"/>
      <c r="D700" s="21"/>
      <c r="E700" s="28"/>
      <c r="F700" s="24"/>
      <c r="G700" s="26"/>
      <c r="H700" s="24"/>
      <c r="I700" s="24"/>
      <c r="J700" s="24"/>
      <c r="K700" s="24"/>
      <c r="L700" s="26"/>
      <c r="M700" s="26"/>
      <c r="N700" s="22"/>
      <c r="O700" s="21"/>
      <c r="P700" s="22"/>
      <c r="Q700" s="29" t="str">
        <f aca="false">IF(C700="","",IF(O700&lt;&gt;"",O700,IFERROR(INDEX(Produk!$J$2:$J$100,MATCH(C700,Produk!$A$2:$A$100,0)),"PRODUK?")))</f>
        <v/>
      </c>
      <c r="R700" s="29" t="str">
        <f aca="false">IF(A700="","",IF(COUNTIF(Anggota!$A$2:$A$2001,A700)=0,"TIDAK ADA","OK"))</f>
        <v/>
      </c>
      <c r="S700" s="29" t="str">
        <f aca="false">IF(H700="","",IF(OR(J700="",L700=""),"-",IF(ABS(H700-J700*L700)&gt;Info_Koperasi!$C$10,"SELISIH","OK")))</f>
        <v/>
      </c>
    </row>
    <row r="701" customFormat="false" ht="15" hidden="false" customHeight="false" outlineLevel="0" collapsed="false">
      <c r="A701" s="21"/>
      <c r="B701" s="22"/>
      <c r="C701" s="21"/>
      <c r="D701" s="21"/>
      <c r="E701" s="28"/>
      <c r="F701" s="24"/>
      <c r="G701" s="26"/>
      <c r="H701" s="24"/>
      <c r="I701" s="24"/>
      <c r="J701" s="24"/>
      <c r="K701" s="24"/>
      <c r="L701" s="26"/>
      <c r="M701" s="26"/>
      <c r="N701" s="22"/>
      <c r="O701" s="21"/>
      <c r="P701" s="22"/>
      <c r="Q701" s="29" t="str">
        <f aca="false">IF(C701="","",IF(O701&lt;&gt;"",O701,IFERROR(INDEX(Produk!$J$2:$J$100,MATCH(C701,Produk!$A$2:$A$100,0)),"PRODUK?")))</f>
        <v/>
      </c>
      <c r="R701" s="29" t="str">
        <f aca="false">IF(A701="","",IF(COUNTIF(Anggota!$A$2:$A$2001,A701)=0,"TIDAK ADA","OK"))</f>
        <v/>
      </c>
      <c r="S701" s="29" t="str">
        <f aca="false">IF(H701="","",IF(OR(J701="",L701=""),"-",IF(ABS(H701-J701*L701)&gt;Info_Koperasi!$C$10,"SELISIH","OK")))</f>
        <v/>
      </c>
    </row>
    <row r="702" customFormat="false" ht="15" hidden="false" customHeight="false" outlineLevel="0" collapsed="false">
      <c r="A702" s="21"/>
      <c r="B702" s="22"/>
      <c r="C702" s="21"/>
      <c r="D702" s="21"/>
      <c r="E702" s="28"/>
      <c r="F702" s="24"/>
      <c r="G702" s="26"/>
      <c r="H702" s="24"/>
      <c r="I702" s="24"/>
      <c r="J702" s="24"/>
      <c r="K702" s="24"/>
      <c r="L702" s="26"/>
      <c r="M702" s="26"/>
      <c r="N702" s="22"/>
      <c r="O702" s="21"/>
      <c r="P702" s="22"/>
      <c r="Q702" s="29" t="str">
        <f aca="false">IF(C702="","",IF(O702&lt;&gt;"",O702,IFERROR(INDEX(Produk!$J$2:$J$100,MATCH(C702,Produk!$A$2:$A$100,0)),"PRODUK?")))</f>
        <v/>
      </c>
      <c r="R702" s="29" t="str">
        <f aca="false">IF(A702="","",IF(COUNTIF(Anggota!$A$2:$A$2001,A702)=0,"TIDAK ADA","OK"))</f>
        <v/>
      </c>
      <c r="S702" s="29" t="str">
        <f aca="false">IF(H702="","",IF(OR(J702="",L702=""),"-",IF(ABS(H702-J702*L702)&gt;Info_Koperasi!$C$10,"SELISIH","OK")))</f>
        <v/>
      </c>
    </row>
    <row r="703" customFormat="false" ht="15" hidden="false" customHeight="false" outlineLevel="0" collapsed="false">
      <c r="A703" s="21"/>
      <c r="B703" s="22"/>
      <c r="C703" s="21"/>
      <c r="D703" s="21"/>
      <c r="E703" s="28"/>
      <c r="F703" s="24"/>
      <c r="G703" s="26"/>
      <c r="H703" s="24"/>
      <c r="I703" s="24"/>
      <c r="J703" s="24"/>
      <c r="K703" s="24"/>
      <c r="L703" s="26"/>
      <c r="M703" s="26"/>
      <c r="N703" s="22"/>
      <c r="O703" s="21"/>
      <c r="P703" s="22"/>
      <c r="Q703" s="29" t="str">
        <f aca="false">IF(C703="","",IF(O703&lt;&gt;"",O703,IFERROR(INDEX(Produk!$J$2:$J$100,MATCH(C703,Produk!$A$2:$A$100,0)),"PRODUK?")))</f>
        <v/>
      </c>
      <c r="R703" s="29" t="str">
        <f aca="false">IF(A703="","",IF(COUNTIF(Anggota!$A$2:$A$2001,A703)=0,"TIDAK ADA","OK"))</f>
        <v/>
      </c>
      <c r="S703" s="29" t="str">
        <f aca="false">IF(H703="","",IF(OR(J703="",L703=""),"-",IF(ABS(H703-J703*L703)&gt;Info_Koperasi!$C$10,"SELISIH","OK")))</f>
        <v/>
      </c>
    </row>
    <row r="704" customFormat="false" ht="15" hidden="false" customHeight="false" outlineLevel="0" collapsed="false">
      <c r="A704" s="21"/>
      <c r="B704" s="22"/>
      <c r="C704" s="21"/>
      <c r="D704" s="21"/>
      <c r="E704" s="28"/>
      <c r="F704" s="24"/>
      <c r="G704" s="26"/>
      <c r="H704" s="24"/>
      <c r="I704" s="24"/>
      <c r="J704" s="24"/>
      <c r="K704" s="24"/>
      <c r="L704" s="26"/>
      <c r="M704" s="26"/>
      <c r="N704" s="22"/>
      <c r="O704" s="21"/>
      <c r="P704" s="22"/>
      <c r="Q704" s="29" t="str">
        <f aca="false">IF(C704="","",IF(O704&lt;&gt;"",O704,IFERROR(INDEX(Produk!$J$2:$J$100,MATCH(C704,Produk!$A$2:$A$100,0)),"PRODUK?")))</f>
        <v/>
      </c>
      <c r="R704" s="29" t="str">
        <f aca="false">IF(A704="","",IF(COUNTIF(Anggota!$A$2:$A$2001,A704)=0,"TIDAK ADA","OK"))</f>
        <v/>
      </c>
      <c r="S704" s="29" t="str">
        <f aca="false">IF(H704="","",IF(OR(J704="",L704=""),"-",IF(ABS(H704-J704*L704)&gt;Info_Koperasi!$C$10,"SELISIH","OK")))</f>
        <v/>
      </c>
    </row>
    <row r="705" customFormat="false" ht="15" hidden="false" customHeight="false" outlineLevel="0" collapsed="false">
      <c r="A705" s="21"/>
      <c r="B705" s="22"/>
      <c r="C705" s="21"/>
      <c r="D705" s="21"/>
      <c r="E705" s="28"/>
      <c r="F705" s="24"/>
      <c r="G705" s="26"/>
      <c r="H705" s="24"/>
      <c r="I705" s="24"/>
      <c r="J705" s="24"/>
      <c r="K705" s="24"/>
      <c r="L705" s="26"/>
      <c r="M705" s="26"/>
      <c r="N705" s="22"/>
      <c r="O705" s="21"/>
      <c r="P705" s="22"/>
      <c r="Q705" s="29" t="str">
        <f aca="false">IF(C705="","",IF(O705&lt;&gt;"",O705,IFERROR(INDEX(Produk!$J$2:$J$100,MATCH(C705,Produk!$A$2:$A$100,0)),"PRODUK?")))</f>
        <v/>
      </c>
      <c r="R705" s="29" t="str">
        <f aca="false">IF(A705="","",IF(COUNTIF(Anggota!$A$2:$A$2001,A705)=0,"TIDAK ADA","OK"))</f>
        <v/>
      </c>
      <c r="S705" s="29" t="str">
        <f aca="false">IF(H705="","",IF(OR(J705="",L705=""),"-",IF(ABS(H705-J705*L705)&gt;Info_Koperasi!$C$10,"SELISIH","OK")))</f>
        <v/>
      </c>
    </row>
    <row r="706" customFormat="false" ht="15" hidden="false" customHeight="false" outlineLevel="0" collapsed="false">
      <c r="A706" s="21"/>
      <c r="B706" s="22"/>
      <c r="C706" s="21"/>
      <c r="D706" s="21"/>
      <c r="E706" s="28"/>
      <c r="F706" s="24"/>
      <c r="G706" s="26"/>
      <c r="H706" s="24"/>
      <c r="I706" s="24"/>
      <c r="J706" s="24"/>
      <c r="K706" s="24"/>
      <c r="L706" s="26"/>
      <c r="M706" s="26"/>
      <c r="N706" s="22"/>
      <c r="O706" s="21"/>
      <c r="P706" s="22"/>
      <c r="Q706" s="29" t="str">
        <f aca="false">IF(C706="","",IF(O706&lt;&gt;"",O706,IFERROR(INDEX(Produk!$J$2:$J$100,MATCH(C706,Produk!$A$2:$A$100,0)),"PRODUK?")))</f>
        <v/>
      </c>
      <c r="R706" s="29" t="str">
        <f aca="false">IF(A706="","",IF(COUNTIF(Anggota!$A$2:$A$2001,A706)=0,"TIDAK ADA","OK"))</f>
        <v/>
      </c>
      <c r="S706" s="29" t="str">
        <f aca="false">IF(H706="","",IF(OR(J706="",L706=""),"-",IF(ABS(H706-J706*L706)&gt;Info_Koperasi!$C$10,"SELISIH","OK")))</f>
        <v/>
      </c>
    </row>
    <row r="707" customFormat="false" ht="15" hidden="false" customHeight="false" outlineLevel="0" collapsed="false">
      <c r="A707" s="21"/>
      <c r="B707" s="22"/>
      <c r="C707" s="21"/>
      <c r="D707" s="21"/>
      <c r="E707" s="28"/>
      <c r="F707" s="24"/>
      <c r="G707" s="26"/>
      <c r="H707" s="24"/>
      <c r="I707" s="24"/>
      <c r="J707" s="24"/>
      <c r="K707" s="24"/>
      <c r="L707" s="26"/>
      <c r="M707" s="26"/>
      <c r="N707" s="22"/>
      <c r="O707" s="21"/>
      <c r="P707" s="22"/>
      <c r="Q707" s="29" t="str">
        <f aca="false">IF(C707="","",IF(O707&lt;&gt;"",O707,IFERROR(INDEX(Produk!$J$2:$J$100,MATCH(C707,Produk!$A$2:$A$100,0)),"PRODUK?")))</f>
        <v/>
      </c>
      <c r="R707" s="29" t="str">
        <f aca="false">IF(A707="","",IF(COUNTIF(Anggota!$A$2:$A$2001,A707)=0,"TIDAK ADA","OK"))</f>
        <v/>
      </c>
      <c r="S707" s="29" t="str">
        <f aca="false">IF(H707="","",IF(OR(J707="",L707=""),"-",IF(ABS(H707-J707*L707)&gt;Info_Koperasi!$C$10,"SELISIH","OK")))</f>
        <v/>
      </c>
    </row>
    <row r="708" customFormat="false" ht="15" hidden="false" customHeight="false" outlineLevel="0" collapsed="false">
      <c r="A708" s="21"/>
      <c r="B708" s="22"/>
      <c r="C708" s="21"/>
      <c r="D708" s="21"/>
      <c r="E708" s="28"/>
      <c r="F708" s="24"/>
      <c r="G708" s="26"/>
      <c r="H708" s="24"/>
      <c r="I708" s="24"/>
      <c r="J708" s="24"/>
      <c r="K708" s="24"/>
      <c r="L708" s="26"/>
      <c r="M708" s="26"/>
      <c r="N708" s="22"/>
      <c r="O708" s="21"/>
      <c r="P708" s="22"/>
      <c r="Q708" s="29" t="str">
        <f aca="false">IF(C708="","",IF(O708&lt;&gt;"",O708,IFERROR(INDEX(Produk!$J$2:$J$100,MATCH(C708,Produk!$A$2:$A$100,0)),"PRODUK?")))</f>
        <v/>
      </c>
      <c r="R708" s="29" t="str">
        <f aca="false">IF(A708="","",IF(COUNTIF(Anggota!$A$2:$A$2001,A708)=0,"TIDAK ADA","OK"))</f>
        <v/>
      </c>
      <c r="S708" s="29" t="str">
        <f aca="false">IF(H708="","",IF(OR(J708="",L708=""),"-",IF(ABS(H708-J708*L708)&gt;Info_Koperasi!$C$10,"SELISIH","OK")))</f>
        <v/>
      </c>
    </row>
    <row r="709" customFormat="false" ht="15" hidden="false" customHeight="false" outlineLevel="0" collapsed="false">
      <c r="A709" s="21"/>
      <c r="B709" s="22"/>
      <c r="C709" s="21"/>
      <c r="D709" s="21"/>
      <c r="E709" s="28"/>
      <c r="F709" s="24"/>
      <c r="G709" s="26"/>
      <c r="H709" s="24"/>
      <c r="I709" s="24"/>
      <c r="J709" s="24"/>
      <c r="K709" s="24"/>
      <c r="L709" s="26"/>
      <c r="M709" s="26"/>
      <c r="N709" s="22"/>
      <c r="O709" s="21"/>
      <c r="P709" s="22"/>
      <c r="Q709" s="29" t="str">
        <f aca="false">IF(C709="","",IF(O709&lt;&gt;"",O709,IFERROR(INDEX(Produk!$J$2:$J$100,MATCH(C709,Produk!$A$2:$A$100,0)),"PRODUK?")))</f>
        <v/>
      </c>
      <c r="R709" s="29" t="str">
        <f aca="false">IF(A709="","",IF(COUNTIF(Anggota!$A$2:$A$2001,A709)=0,"TIDAK ADA","OK"))</f>
        <v/>
      </c>
      <c r="S709" s="29" t="str">
        <f aca="false">IF(H709="","",IF(OR(J709="",L709=""),"-",IF(ABS(H709-J709*L709)&gt;Info_Koperasi!$C$10,"SELISIH","OK")))</f>
        <v/>
      </c>
    </row>
    <row r="710" customFormat="false" ht="15" hidden="false" customHeight="false" outlineLevel="0" collapsed="false">
      <c r="A710" s="21"/>
      <c r="B710" s="22"/>
      <c r="C710" s="21"/>
      <c r="D710" s="21"/>
      <c r="E710" s="28"/>
      <c r="F710" s="24"/>
      <c r="G710" s="26"/>
      <c r="H710" s="24"/>
      <c r="I710" s="24"/>
      <c r="J710" s="24"/>
      <c r="K710" s="24"/>
      <c r="L710" s="26"/>
      <c r="M710" s="26"/>
      <c r="N710" s="22"/>
      <c r="O710" s="21"/>
      <c r="P710" s="22"/>
      <c r="Q710" s="29" t="str">
        <f aca="false">IF(C710="","",IF(O710&lt;&gt;"",O710,IFERROR(INDEX(Produk!$J$2:$J$100,MATCH(C710,Produk!$A$2:$A$100,0)),"PRODUK?")))</f>
        <v/>
      </c>
      <c r="R710" s="29" t="str">
        <f aca="false">IF(A710="","",IF(COUNTIF(Anggota!$A$2:$A$2001,A710)=0,"TIDAK ADA","OK"))</f>
        <v/>
      </c>
      <c r="S710" s="29" t="str">
        <f aca="false">IF(H710="","",IF(OR(J710="",L710=""),"-",IF(ABS(H710-J710*L710)&gt;Info_Koperasi!$C$10,"SELISIH","OK")))</f>
        <v/>
      </c>
    </row>
    <row r="711" customFormat="false" ht="15" hidden="false" customHeight="false" outlineLevel="0" collapsed="false">
      <c r="A711" s="21"/>
      <c r="B711" s="22"/>
      <c r="C711" s="21"/>
      <c r="D711" s="21"/>
      <c r="E711" s="28"/>
      <c r="F711" s="24"/>
      <c r="G711" s="26"/>
      <c r="H711" s="24"/>
      <c r="I711" s="24"/>
      <c r="J711" s="24"/>
      <c r="K711" s="24"/>
      <c r="L711" s="26"/>
      <c r="M711" s="26"/>
      <c r="N711" s="22"/>
      <c r="O711" s="21"/>
      <c r="P711" s="22"/>
      <c r="Q711" s="29" t="str">
        <f aca="false">IF(C711="","",IF(O711&lt;&gt;"",O711,IFERROR(INDEX(Produk!$J$2:$J$100,MATCH(C711,Produk!$A$2:$A$100,0)),"PRODUK?")))</f>
        <v/>
      </c>
      <c r="R711" s="29" t="str">
        <f aca="false">IF(A711="","",IF(COUNTIF(Anggota!$A$2:$A$2001,A711)=0,"TIDAK ADA","OK"))</f>
        <v/>
      </c>
      <c r="S711" s="29" t="str">
        <f aca="false">IF(H711="","",IF(OR(J711="",L711=""),"-",IF(ABS(H711-J711*L711)&gt;Info_Koperasi!$C$10,"SELISIH","OK")))</f>
        <v/>
      </c>
    </row>
    <row r="712" customFormat="false" ht="15" hidden="false" customHeight="false" outlineLevel="0" collapsed="false">
      <c r="A712" s="21"/>
      <c r="B712" s="22"/>
      <c r="C712" s="21"/>
      <c r="D712" s="21"/>
      <c r="E712" s="28"/>
      <c r="F712" s="24"/>
      <c r="G712" s="26"/>
      <c r="H712" s="24"/>
      <c r="I712" s="24"/>
      <c r="J712" s="24"/>
      <c r="K712" s="24"/>
      <c r="L712" s="26"/>
      <c r="M712" s="26"/>
      <c r="N712" s="22"/>
      <c r="O712" s="21"/>
      <c r="P712" s="22"/>
      <c r="Q712" s="29" t="str">
        <f aca="false">IF(C712="","",IF(O712&lt;&gt;"",O712,IFERROR(INDEX(Produk!$J$2:$J$100,MATCH(C712,Produk!$A$2:$A$100,0)),"PRODUK?")))</f>
        <v/>
      </c>
      <c r="R712" s="29" t="str">
        <f aca="false">IF(A712="","",IF(COUNTIF(Anggota!$A$2:$A$2001,A712)=0,"TIDAK ADA","OK"))</f>
        <v/>
      </c>
      <c r="S712" s="29" t="str">
        <f aca="false">IF(H712="","",IF(OR(J712="",L712=""),"-",IF(ABS(H712-J712*L712)&gt;Info_Koperasi!$C$10,"SELISIH","OK")))</f>
        <v/>
      </c>
    </row>
    <row r="713" customFormat="false" ht="15" hidden="false" customHeight="false" outlineLevel="0" collapsed="false">
      <c r="A713" s="21"/>
      <c r="B713" s="22"/>
      <c r="C713" s="21"/>
      <c r="D713" s="21"/>
      <c r="E713" s="28"/>
      <c r="F713" s="24"/>
      <c r="G713" s="26"/>
      <c r="H713" s="24"/>
      <c r="I713" s="24"/>
      <c r="J713" s="24"/>
      <c r="K713" s="24"/>
      <c r="L713" s="26"/>
      <c r="M713" s="26"/>
      <c r="N713" s="22"/>
      <c r="O713" s="21"/>
      <c r="P713" s="22"/>
      <c r="Q713" s="29" t="str">
        <f aca="false">IF(C713="","",IF(O713&lt;&gt;"",O713,IFERROR(INDEX(Produk!$J$2:$J$100,MATCH(C713,Produk!$A$2:$A$100,0)),"PRODUK?")))</f>
        <v/>
      </c>
      <c r="R713" s="29" t="str">
        <f aca="false">IF(A713="","",IF(COUNTIF(Anggota!$A$2:$A$2001,A713)=0,"TIDAK ADA","OK"))</f>
        <v/>
      </c>
      <c r="S713" s="29" t="str">
        <f aca="false">IF(H713="","",IF(OR(J713="",L713=""),"-",IF(ABS(H713-J713*L713)&gt;Info_Koperasi!$C$10,"SELISIH","OK")))</f>
        <v/>
      </c>
    </row>
    <row r="714" customFormat="false" ht="15" hidden="false" customHeight="false" outlineLevel="0" collapsed="false">
      <c r="A714" s="21"/>
      <c r="B714" s="22"/>
      <c r="C714" s="21"/>
      <c r="D714" s="21"/>
      <c r="E714" s="28"/>
      <c r="F714" s="24"/>
      <c r="G714" s="26"/>
      <c r="H714" s="24"/>
      <c r="I714" s="24"/>
      <c r="J714" s="24"/>
      <c r="K714" s="24"/>
      <c r="L714" s="26"/>
      <c r="M714" s="26"/>
      <c r="N714" s="22"/>
      <c r="O714" s="21"/>
      <c r="P714" s="22"/>
      <c r="Q714" s="29" t="str">
        <f aca="false">IF(C714="","",IF(O714&lt;&gt;"",O714,IFERROR(INDEX(Produk!$J$2:$J$100,MATCH(C714,Produk!$A$2:$A$100,0)),"PRODUK?")))</f>
        <v/>
      </c>
      <c r="R714" s="29" t="str">
        <f aca="false">IF(A714="","",IF(COUNTIF(Anggota!$A$2:$A$2001,A714)=0,"TIDAK ADA","OK"))</f>
        <v/>
      </c>
      <c r="S714" s="29" t="str">
        <f aca="false">IF(H714="","",IF(OR(J714="",L714=""),"-",IF(ABS(H714-J714*L714)&gt;Info_Koperasi!$C$10,"SELISIH","OK")))</f>
        <v/>
      </c>
    </row>
    <row r="715" customFormat="false" ht="15" hidden="false" customHeight="false" outlineLevel="0" collapsed="false">
      <c r="A715" s="21"/>
      <c r="B715" s="22"/>
      <c r="C715" s="21"/>
      <c r="D715" s="21"/>
      <c r="E715" s="28"/>
      <c r="F715" s="24"/>
      <c r="G715" s="26"/>
      <c r="H715" s="24"/>
      <c r="I715" s="24"/>
      <c r="J715" s="24"/>
      <c r="K715" s="24"/>
      <c r="L715" s="26"/>
      <c r="M715" s="26"/>
      <c r="N715" s="22"/>
      <c r="O715" s="21"/>
      <c r="P715" s="22"/>
      <c r="Q715" s="29" t="str">
        <f aca="false">IF(C715="","",IF(O715&lt;&gt;"",O715,IFERROR(INDEX(Produk!$J$2:$J$100,MATCH(C715,Produk!$A$2:$A$100,0)),"PRODUK?")))</f>
        <v/>
      </c>
      <c r="R715" s="29" t="str">
        <f aca="false">IF(A715="","",IF(COUNTIF(Anggota!$A$2:$A$2001,A715)=0,"TIDAK ADA","OK"))</f>
        <v/>
      </c>
      <c r="S715" s="29" t="str">
        <f aca="false">IF(H715="","",IF(OR(J715="",L715=""),"-",IF(ABS(H715-J715*L715)&gt;Info_Koperasi!$C$10,"SELISIH","OK")))</f>
        <v/>
      </c>
    </row>
    <row r="716" customFormat="false" ht="15" hidden="false" customHeight="false" outlineLevel="0" collapsed="false">
      <c r="A716" s="21"/>
      <c r="B716" s="22"/>
      <c r="C716" s="21"/>
      <c r="D716" s="21"/>
      <c r="E716" s="28"/>
      <c r="F716" s="24"/>
      <c r="G716" s="26"/>
      <c r="H716" s="24"/>
      <c r="I716" s="24"/>
      <c r="J716" s="24"/>
      <c r="K716" s="24"/>
      <c r="L716" s="26"/>
      <c r="M716" s="26"/>
      <c r="N716" s="22"/>
      <c r="O716" s="21"/>
      <c r="P716" s="22"/>
      <c r="Q716" s="29" t="str">
        <f aca="false">IF(C716="","",IF(O716&lt;&gt;"",O716,IFERROR(INDEX(Produk!$J$2:$J$100,MATCH(C716,Produk!$A$2:$A$100,0)),"PRODUK?")))</f>
        <v/>
      </c>
      <c r="R716" s="29" t="str">
        <f aca="false">IF(A716="","",IF(COUNTIF(Anggota!$A$2:$A$2001,A716)=0,"TIDAK ADA","OK"))</f>
        <v/>
      </c>
      <c r="S716" s="29" t="str">
        <f aca="false">IF(H716="","",IF(OR(J716="",L716=""),"-",IF(ABS(H716-J716*L716)&gt;Info_Koperasi!$C$10,"SELISIH","OK")))</f>
        <v/>
      </c>
    </row>
    <row r="717" customFormat="false" ht="15" hidden="false" customHeight="false" outlineLevel="0" collapsed="false">
      <c r="A717" s="21"/>
      <c r="B717" s="22"/>
      <c r="C717" s="21"/>
      <c r="D717" s="21"/>
      <c r="E717" s="28"/>
      <c r="F717" s="24"/>
      <c r="G717" s="26"/>
      <c r="H717" s="24"/>
      <c r="I717" s="24"/>
      <c r="J717" s="24"/>
      <c r="K717" s="24"/>
      <c r="L717" s="26"/>
      <c r="M717" s="26"/>
      <c r="N717" s="22"/>
      <c r="O717" s="21"/>
      <c r="P717" s="22"/>
      <c r="Q717" s="29" t="str">
        <f aca="false">IF(C717="","",IF(O717&lt;&gt;"",O717,IFERROR(INDEX(Produk!$J$2:$J$100,MATCH(C717,Produk!$A$2:$A$100,0)),"PRODUK?")))</f>
        <v/>
      </c>
      <c r="R717" s="29" t="str">
        <f aca="false">IF(A717="","",IF(COUNTIF(Anggota!$A$2:$A$2001,A717)=0,"TIDAK ADA","OK"))</f>
        <v/>
      </c>
      <c r="S717" s="29" t="str">
        <f aca="false">IF(H717="","",IF(OR(J717="",L717=""),"-",IF(ABS(H717-J717*L717)&gt;Info_Koperasi!$C$10,"SELISIH","OK")))</f>
        <v/>
      </c>
    </row>
    <row r="718" customFormat="false" ht="15" hidden="false" customHeight="false" outlineLevel="0" collapsed="false">
      <c r="A718" s="21"/>
      <c r="B718" s="22"/>
      <c r="C718" s="21"/>
      <c r="D718" s="21"/>
      <c r="E718" s="28"/>
      <c r="F718" s="24"/>
      <c r="G718" s="26"/>
      <c r="H718" s="24"/>
      <c r="I718" s="24"/>
      <c r="J718" s="24"/>
      <c r="K718" s="24"/>
      <c r="L718" s="26"/>
      <c r="M718" s="26"/>
      <c r="N718" s="22"/>
      <c r="O718" s="21"/>
      <c r="P718" s="22"/>
      <c r="Q718" s="29" t="str">
        <f aca="false">IF(C718="","",IF(O718&lt;&gt;"",O718,IFERROR(INDEX(Produk!$J$2:$J$100,MATCH(C718,Produk!$A$2:$A$100,0)),"PRODUK?")))</f>
        <v/>
      </c>
      <c r="R718" s="29" t="str">
        <f aca="false">IF(A718="","",IF(COUNTIF(Anggota!$A$2:$A$2001,A718)=0,"TIDAK ADA","OK"))</f>
        <v/>
      </c>
      <c r="S718" s="29" t="str">
        <f aca="false">IF(H718="","",IF(OR(J718="",L718=""),"-",IF(ABS(H718-J718*L718)&gt;Info_Koperasi!$C$10,"SELISIH","OK")))</f>
        <v/>
      </c>
    </row>
    <row r="719" customFormat="false" ht="15" hidden="false" customHeight="false" outlineLevel="0" collapsed="false">
      <c r="A719" s="21"/>
      <c r="B719" s="22"/>
      <c r="C719" s="21"/>
      <c r="D719" s="21"/>
      <c r="E719" s="28"/>
      <c r="F719" s="24"/>
      <c r="G719" s="26"/>
      <c r="H719" s="24"/>
      <c r="I719" s="24"/>
      <c r="J719" s="24"/>
      <c r="K719" s="24"/>
      <c r="L719" s="26"/>
      <c r="M719" s="26"/>
      <c r="N719" s="22"/>
      <c r="O719" s="21"/>
      <c r="P719" s="22"/>
      <c r="Q719" s="29" t="str">
        <f aca="false">IF(C719="","",IF(O719&lt;&gt;"",O719,IFERROR(INDEX(Produk!$J$2:$J$100,MATCH(C719,Produk!$A$2:$A$100,0)),"PRODUK?")))</f>
        <v/>
      </c>
      <c r="R719" s="29" t="str">
        <f aca="false">IF(A719="","",IF(COUNTIF(Anggota!$A$2:$A$2001,A719)=0,"TIDAK ADA","OK"))</f>
        <v/>
      </c>
      <c r="S719" s="29" t="str">
        <f aca="false">IF(H719="","",IF(OR(J719="",L719=""),"-",IF(ABS(H719-J719*L719)&gt;Info_Koperasi!$C$10,"SELISIH","OK")))</f>
        <v/>
      </c>
    </row>
    <row r="720" customFormat="false" ht="15" hidden="false" customHeight="false" outlineLevel="0" collapsed="false">
      <c r="A720" s="21"/>
      <c r="B720" s="22"/>
      <c r="C720" s="21"/>
      <c r="D720" s="21"/>
      <c r="E720" s="28"/>
      <c r="F720" s="24"/>
      <c r="G720" s="26"/>
      <c r="H720" s="24"/>
      <c r="I720" s="24"/>
      <c r="J720" s="24"/>
      <c r="K720" s="24"/>
      <c r="L720" s="26"/>
      <c r="M720" s="26"/>
      <c r="N720" s="22"/>
      <c r="O720" s="21"/>
      <c r="P720" s="22"/>
      <c r="Q720" s="29" t="str">
        <f aca="false">IF(C720="","",IF(O720&lt;&gt;"",O720,IFERROR(INDEX(Produk!$J$2:$J$100,MATCH(C720,Produk!$A$2:$A$100,0)),"PRODUK?")))</f>
        <v/>
      </c>
      <c r="R720" s="29" t="str">
        <f aca="false">IF(A720="","",IF(COUNTIF(Anggota!$A$2:$A$2001,A720)=0,"TIDAK ADA","OK"))</f>
        <v/>
      </c>
      <c r="S720" s="29" t="str">
        <f aca="false">IF(H720="","",IF(OR(J720="",L720=""),"-",IF(ABS(H720-J720*L720)&gt;Info_Koperasi!$C$10,"SELISIH","OK")))</f>
        <v/>
      </c>
    </row>
    <row r="721" customFormat="false" ht="15" hidden="false" customHeight="false" outlineLevel="0" collapsed="false">
      <c r="A721" s="21"/>
      <c r="B721" s="22"/>
      <c r="C721" s="21"/>
      <c r="D721" s="21"/>
      <c r="E721" s="28"/>
      <c r="F721" s="24"/>
      <c r="G721" s="26"/>
      <c r="H721" s="24"/>
      <c r="I721" s="24"/>
      <c r="J721" s="24"/>
      <c r="K721" s="24"/>
      <c r="L721" s="26"/>
      <c r="M721" s="26"/>
      <c r="N721" s="22"/>
      <c r="O721" s="21"/>
      <c r="P721" s="22"/>
      <c r="Q721" s="29" t="str">
        <f aca="false">IF(C721="","",IF(O721&lt;&gt;"",O721,IFERROR(INDEX(Produk!$J$2:$J$100,MATCH(C721,Produk!$A$2:$A$100,0)),"PRODUK?")))</f>
        <v/>
      </c>
      <c r="R721" s="29" t="str">
        <f aca="false">IF(A721="","",IF(COUNTIF(Anggota!$A$2:$A$2001,A721)=0,"TIDAK ADA","OK"))</f>
        <v/>
      </c>
      <c r="S721" s="29" t="str">
        <f aca="false">IF(H721="","",IF(OR(J721="",L721=""),"-",IF(ABS(H721-J721*L721)&gt;Info_Koperasi!$C$10,"SELISIH","OK")))</f>
        <v/>
      </c>
    </row>
    <row r="722" customFormat="false" ht="15" hidden="false" customHeight="false" outlineLevel="0" collapsed="false">
      <c r="A722" s="21"/>
      <c r="B722" s="22"/>
      <c r="C722" s="21"/>
      <c r="D722" s="21"/>
      <c r="E722" s="28"/>
      <c r="F722" s="24"/>
      <c r="G722" s="26"/>
      <c r="H722" s="24"/>
      <c r="I722" s="24"/>
      <c r="J722" s="24"/>
      <c r="K722" s="24"/>
      <c r="L722" s="26"/>
      <c r="M722" s="26"/>
      <c r="N722" s="22"/>
      <c r="O722" s="21"/>
      <c r="P722" s="22"/>
      <c r="Q722" s="29" t="str">
        <f aca="false">IF(C722="","",IF(O722&lt;&gt;"",O722,IFERROR(INDEX(Produk!$J$2:$J$100,MATCH(C722,Produk!$A$2:$A$100,0)),"PRODUK?")))</f>
        <v/>
      </c>
      <c r="R722" s="29" t="str">
        <f aca="false">IF(A722="","",IF(COUNTIF(Anggota!$A$2:$A$2001,A722)=0,"TIDAK ADA","OK"))</f>
        <v/>
      </c>
      <c r="S722" s="29" t="str">
        <f aca="false">IF(H722="","",IF(OR(J722="",L722=""),"-",IF(ABS(H722-J722*L722)&gt;Info_Koperasi!$C$10,"SELISIH","OK")))</f>
        <v/>
      </c>
    </row>
    <row r="723" customFormat="false" ht="15" hidden="false" customHeight="false" outlineLevel="0" collapsed="false">
      <c r="A723" s="21"/>
      <c r="B723" s="22"/>
      <c r="C723" s="21"/>
      <c r="D723" s="21"/>
      <c r="E723" s="28"/>
      <c r="F723" s="24"/>
      <c r="G723" s="26"/>
      <c r="H723" s="24"/>
      <c r="I723" s="24"/>
      <c r="J723" s="24"/>
      <c r="K723" s="24"/>
      <c r="L723" s="26"/>
      <c r="M723" s="26"/>
      <c r="N723" s="22"/>
      <c r="O723" s="21"/>
      <c r="P723" s="22"/>
      <c r="Q723" s="29" t="str">
        <f aca="false">IF(C723="","",IF(O723&lt;&gt;"",O723,IFERROR(INDEX(Produk!$J$2:$J$100,MATCH(C723,Produk!$A$2:$A$100,0)),"PRODUK?")))</f>
        <v/>
      </c>
      <c r="R723" s="29" t="str">
        <f aca="false">IF(A723="","",IF(COUNTIF(Anggota!$A$2:$A$2001,A723)=0,"TIDAK ADA","OK"))</f>
        <v/>
      </c>
      <c r="S723" s="29" t="str">
        <f aca="false">IF(H723="","",IF(OR(J723="",L723=""),"-",IF(ABS(H723-J723*L723)&gt;Info_Koperasi!$C$10,"SELISIH","OK")))</f>
        <v/>
      </c>
    </row>
    <row r="724" customFormat="false" ht="15" hidden="false" customHeight="false" outlineLevel="0" collapsed="false">
      <c r="A724" s="21"/>
      <c r="B724" s="22"/>
      <c r="C724" s="21"/>
      <c r="D724" s="21"/>
      <c r="E724" s="28"/>
      <c r="F724" s="24"/>
      <c r="G724" s="26"/>
      <c r="H724" s="24"/>
      <c r="I724" s="24"/>
      <c r="J724" s="24"/>
      <c r="K724" s="24"/>
      <c r="L724" s="26"/>
      <c r="M724" s="26"/>
      <c r="N724" s="22"/>
      <c r="O724" s="21"/>
      <c r="P724" s="22"/>
      <c r="Q724" s="29" t="str">
        <f aca="false">IF(C724="","",IF(O724&lt;&gt;"",O724,IFERROR(INDEX(Produk!$J$2:$J$100,MATCH(C724,Produk!$A$2:$A$100,0)),"PRODUK?")))</f>
        <v/>
      </c>
      <c r="R724" s="29" t="str">
        <f aca="false">IF(A724="","",IF(COUNTIF(Anggota!$A$2:$A$2001,A724)=0,"TIDAK ADA","OK"))</f>
        <v/>
      </c>
      <c r="S724" s="29" t="str">
        <f aca="false">IF(H724="","",IF(OR(J724="",L724=""),"-",IF(ABS(H724-J724*L724)&gt;Info_Koperasi!$C$10,"SELISIH","OK")))</f>
        <v/>
      </c>
    </row>
    <row r="725" customFormat="false" ht="15" hidden="false" customHeight="false" outlineLevel="0" collapsed="false">
      <c r="A725" s="21"/>
      <c r="B725" s="22"/>
      <c r="C725" s="21"/>
      <c r="D725" s="21"/>
      <c r="E725" s="28"/>
      <c r="F725" s="24"/>
      <c r="G725" s="26"/>
      <c r="H725" s="24"/>
      <c r="I725" s="24"/>
      <c r="J725" s="24"/>
      <c r="K725" s="24"/>
      <c r="L725" s="26"/>
      <c r="M725" s="26"/>
      <c r="N725" s="22"/>
      <c r="O725" s="21"/>
      <c r="P725" s="22"/>
      <c r="Q725" s="29" t="str">
        <f aca="false">IF(C725="","",IF(O725&lt;&gt;"",O725,IFERROR(INDEX(Produk!$J$2:$J$100,MATCH(C725,Produk!$A$2:$A$100,0)),"PRODUK?")))</f>
        <v/>
      </c>
      <c r="R725" s="29" t="str">
        <f aca="false">IF(A725="","",IF(COUNTIF(Anggota!$A$2:$A$2001,A725)=0,"TIDAK ADA","OK"))</f>
        <v/>
      </c>
      <c r="S725" s="29" t="str">
        <f aca="false">IF(H725="","",IF(OR(J725="",L725=""),"-",IF(ABS(H725-J725*L725)&gt;Info_Koperasi!$C$10,"SELISIH","OK")))</f>
        <v/>
      </c>
    </row>
    <row r="726" customFormat="false" ht="15" hidden="false" customHeight="false" outlineLevel="0" collapsed="false">
      <c r="A726" s="21"/>
      <c r="B726" s="22"/>
      <c r="C726" s="21"/>
      <c r="D726" s="21"/>
      <c r="E726" s="28"/>
      <c r="F726" s="24"/>
      <c r="G726" s="26"/>
      <c r="H726" s="24"/>
      <c r="I726" s="24"/>
      <c r="J726" s="24"/>
      <c r="K726" s="24"/>
      <c r="L726" s="26"/>
      <c r="M726" s="26"/>
      <c r="N726" s="22"/>
      <c r="O726" s="21"/>
      <c r="P726" s="22"/>
      <c r="Q726" s="29" t="str">
        <f aca="false">IF(C726="","",IF(O726&lt;&gt;"",O726,IFERROR(INDEX(Produk!$J$2:$J$100,MATCH(C726,Produk!$A$2:$A$100,0)),"PRODUK?")))</f>
        <v/>
      </c>
      <c r="R726" s="29" t="str">
        <f aca="false">IF(A726="","",IF(COUNTIF(Anggota!$A$2:$A$2001,A726)=0,"TIDAK ADA","OK"))</f>
        <v/>
      </c>
      <c r="S726" s="29" t="str">
        <f aca="false">IF(H726="","",IF(OR(J726="",L726=""),"-",IF(ABS(H726-J726*L726)&gt;Info_Koperasi!$C$10,"SELISIH","OK")))</f>
        <v/>
      </c>
    </row>
    <row r="727" customFormat="false" ht="15" hidden="false" customHeight="false" outlineLevel="0" collapsed="false">
      <c r="A727" s="21"/>
      <c r="B727" s="22"/>
      <c r="C727" s="21"/>
      <c r="D727" s="21"/>
      <c r="E727" s="28"/>
      <c r="F727" s="24"/>
      <c r="G727" s="26"/>
      <c r="H727" s="24"/>
      <c r="I727" s="24"/>
      <c r="J727" s="24"/>
      <c r="K727" s="24"/>
      <c r="L727" s="26"/>
      <c r="M727" s="26"/>
      <c r="N727" s="22"/>
      <c r="O727" s="21"/>
      <c r="P727" s="22"/>
      <c r="Q727" s="29" t="str">
        <f aca="false">IF(C727="","",IF(O727&lt;&gt;"",O727,IFERROR(INDEX(Produk!$J$2:$J$100,MATCH(C727,Produk!$A$2:$A$100,0)),"PRODUK?")))</f>
        <v/>
      </c>
      <c r="R727" s="29" t="str">
        <f aca="false">IF(A727="","",IF(COUNTIF(Anggota!$A$2:$A$2001,A727)=0,"TIDAK ADA","OK"))</f>
        <v/>
      </c>
      <c r="S727" s="29" t="str">
        <f aca="false">IF(H727="","",IF(OR(J727="",L727=""),"-",IF(ABS(H727-J727*L727)&gt;Info_Koperasi!$C$10,"SELISIH","OK")))</f>
        <v/>
      </c>
    </row>
    <row r="728" customFormat="false" ht="15" hidden="false" customHeight="false" outlineLevel="0" collapsed="false">
      <c r="A728" s="21"/>
      <c r="B728" s="22"/>
      <c r="C728" s="21"/>
      <c r="D728" s="21"/>
      <c r="E728" s="28"/>
      <c r="F728" s="24"/>
      <c r="G728" s="26"/>
      <c r="H728" s="24"/>
      <c r="I728" s="24"/>
      <c r="J728" s="24"/>
      <c r="K728" s="24"/>
      <c r="L728" s="26"/>
      <c r="M728" s="26"/>
      <c r="N728" s="22"/>
      <c r="O728" s="21"/>
      <c r="P728" s="22"/>
      <c r="Q728" s="29" t="str">
        <f aca="false">IF(C728="","",IF(O728&lt;&gt;"",O728,IFERROR(INDEX(Produk!$J$2:$J$100,MATCH(C728,Produk!$A$2:$A$100,0)),"PRODUK?")))</f>
        <v/>
      </c>
      <c r="R728" s="29" t="str">
        <f aca="false">IF(A728="","",IF(COUNTIF(Anggota!$A$2:$A$2001,A728)=0,"TIDAK ADA","OK"))</f>
        <v/>
      </c>
      <c r="S728" s="29" t="str">
        <f aca="false">IF(H728="","",IF(OR(J728="",L728=""),"-",IF(ABS(H728-J728*L728)&gt;Info_Koperasi!$C$10,"SELISIH","OK")))</f>
        <v/>
      </c>
    </row>
    <row r="729" customFormat="false" ht="15" hidden="false" customHeight="false" outlineLevel="0" collapsed="false">
      <c r="A729" s="21"/>
      <c r="B729" s="22"/>
      <c r="C729" s="21"/>
      <c r="D729" s="21"/>
      <c r="E729" s="28"/>
      <c r="F729" s="24"/>
      <c r="G729" s="26"/>
      <c r="H729" s="24"/>
      <c r="I729" s="24"/>
      <c r="J729" s="24"/>
      <c r="K729" s="24"/>
      <c r="L729" s="26"/>
      <c r="M729" s="26"/>
      <c r="N729" s="22"/>
      <c r="O729" s="21"/>
      <c r="P729" s="22"/>
      <c r="Q729" s="29" t="str">
        <f aca="false">IF(C729="","",IF(O729&lt;&gt;"",O729,IFERROR(INDEX(Produk!$J$2:$J$100,MATCH(C729,Produk!$A$2:$A$100,0)),"PRODUK?")))</f>
        <v/>
      </c>
      <c r="R729" s="29" t="str">
        <f aca="false">IF(A729="","",IF(COUNTIF(Anggota!$A$2:$A$2001,A729)=0,"TIDAK ADA","OK"))</f>
        <v/>
      </c>
      <c r="S729" s="29" t="str">
        <f aca="false">IF(H729="","",IF(OR(J729="",L729=""),"-",IF(ABS(H729-J729*L729)&gt;Info_Koperasi!$C$10,"SELISIH","OK")))</f>
        <v/>
      </c>
    </row>
    <row r="730" customFormat="false" ht="15" hidden="false" customHeight="false" outlineLevel="0" collapsed="false">
      <c r="A730" s="21"/>
      <c r="B730" s="22"/>
      <c r="C730" s="21"/>
      <c r="D730" s="21"/>
      <c r="E730" s="28"/>
      <c r="F730" s="24"/>
      <c r="G730" s="26"/>
      <c r="H730" s="24"/>
      <c r="I730" s="24"/>
      <c r="J730" s="24"/>
      <c r="K730" s="24"/>
      <c r="L730" s="26"/>
      <c r="M730" s="26"/>
      <c r="N730" s="22"/>
      <c r="O730" s="21"/>
      <c r="P730" s="22"/>
      <c r="Q730" s="29" t="str">
        <f aca="false">IF(C730="","",IF(O730&lt;&gt;"",O730,IFERROR(INDEX(Produk!$J$2:$J$100,MATCH(C730,Produk!$A$2:$A$100,0)),"PRODUK?")))</f>
        <v/>
      </c>
      <c r="R730" s="29" t="str">
        <f aca="false">IF(A730="","",IF(COUNTIF(Anggota!$A$2:$A$2001,A730)=0,"TIDAK ADA","OK"))</f>
        <v/>
      </c>
      <c r="S730" s="29" t="str">
        <f aca="false">IF(H730="","",IF(OR(J730="",L730=""),"-",IF(ABS(H730-J730*L730)&gt;Info_Koperasi!$C$10,"SELISIH","OK")))</f>
        <v/>
      </c>
    </row>
    <row r="731" customFormat="false" ht="15" hidden="false" customHeight="false" outlineLevel="0" collapsed="false">
      <c r="A731" s="21"/>
      <c r="B731" s="22"/>
      <c r="C731" s="21"/>
      <c r="D731" s="21"/>
      <c r="E731" s="28"/>
      <c r="F731" s="24"/>
      <c r="G731" s="26"/>
      <c r="H731" s="24"/>
      <c r="I731" s="24"/>
      <c r="J731" s="24"/>
      <c r="K731" s="24"/>
      <c r="L731" s="26"/>
      <c r="M731" s="26"/>
      <c r="N731" s="22"/>
      <c r="O731" s="21"/>
      <c r="P731" s="22"/>
      <c r="Q731" s="29" t="str">
        <f aca="false">IF(C731="","",IF(O731&lt;&gt;"",O731,IFERROR(INDEX(Produk!$J$2:$J$100,MATCH(C731,Produk!$A$2:$A$100,0)),"PRODUK?")))</f>
        <v/>
      </c>
      <c r="R731" s="29" t="str">
        <f aca="false">IF(A731="","",IF(COUNTIF(Anggota!$A$2:$A$2001,A731)=0,"TIDAK ADA","OK"))</f>
        <v/>
      </c>
      <c r="S731" s="29" t="str">
        <f aca="false">IF(H731="","",IF(OR(J731="",L731=""),"-",IF(ABS(H731-J731*L731)&gt;Info_Koperasi!$C$10,"SELISIH","OK")))</f>
        <v/>
      </c>
    </row>
    <row r="732" customFormat="false" ht="15" hidden="false" customHeight="false" outlineLevel="0" collapsed="false">
      <c r="A732" s="21"/>
      <c r="B732" s="22"/>
      <c r="C732" s="21"/>
      <c r="D732" s="21"/>
      <c r="E732" s="28"/>
      <c r="F732" s="24"/>
      <c r="G732" s="26"/>
      <c r="H732" s="24"/>
      <c r="I732" s="24"/>
      <c r="J732" s="24"/>
      <c r="K732" s="24"/>
      <c r="L732" s="26"/>
      <c r="M732" s="26"/>
      <c r="N732" s="22"/>
      <c r="O732" s="21"/>
      <c r="P732" s="22"/>
      <c r="Q732" s="29" t="str">
        <f aca="false">IF(C732="","",IF(O732&lt;&gt;"",O732,IFERROR(INDEX(Produk!$J$2:$J$100,MATCH(C732,Produk!$A$2:$A$100,0)),"PRODUK?")))</f>
        <v/>
      </c>
      <c r="R732" s="29" t="str">
        <f aca="false">IF(A732="","",IF(COUNTIF(Anggota!$A$2:$A$2001,A732)=0,"TIDAK ADA","OK"))</f>
        <v/>
      </c>
      <c r="S732" s="29" t="str">
        <f aca="false">IF(H732="","",IF(OR(J732="",L732=""),"-",IF(ABS(H732-J732*L732)&gt;Info_Koperasi!$C$10,"SELISIH","OK")))</f>
        <v/>
      </c>
    </row>
    <row r="733" customFormat="false" ht="15" hidden="false" customHeight="false" outlineLevel="0" collapsed="false">
      <c r="A733" s="21"/>
      <c r="B733" s="22"/>
      <c r="C733" s="21"/>
      <c r="D733" s="21"/>
      <c r="E733" s="28"/>
      <c r="F733" s="24"/>
      <c r="G733" s="26"/>
      <c r="H733" s="24"/>
      <c r="I733" s="24"/>
      <c r="J733" s="24"/>
      <c r="K733" s="24"/>
      <c r="L733" s="26"/>
      <c r="M733" s="26"/>
      <c r="N733" s="22"/>
      <c r="O733" s="21"/>
      <c r="P733" s="22"/>
      <c r="Q733" s="29" t="str">
        <f aca="false">IF(C733="","",IF(O733&lt;&gt;"",O733,IFERROR(INDEX(Produk!$J$2:$J$100,MATCH(C733,Produk!$A$2:$A$100,0)),"PRODUK?")))</f>
        <v/>
      </c>
      <c r="R733" s="29" t="str">
        <f aca="false">IF(A733="","",IF(COUNTIF(Anggota!$A$2:$A$2001,A733)=0,"TIDAK ADA","OK"))</f>
        <v/>
      </c>
      <c r="S733" s="29" t="str">
        <f aca="false">IF(H733="","",IF(OR(J733="",L733=""),"-",IF(ABS(H733-J733*L733)&gt;Info_Koperasi!$C$10,"SELISIH","OK")))</f>
        <v/>
      </c>
    </row>
    <row r="734" customFormat="false" ht="15" hidden="false" customHeight="false" outlineLevel="0" collapsed="false">
      <c r="A734" s="21"/>
      <c r="B734" s="22"/>
      <c r="C734" s="21"/>
      <c r="D734" s="21"/>
      <c r="E734" s="28"/>
      <c r="F734" s="24"/>
      <c r="G734" s="26"/>
      <c r="H734" s="24"/>
      <c r="I734" s="24"/>
      <c r="J734" s="24"/>
      <c r="K734" s="24"/>
      <c r="L734" s="26"/>
      <c r="M734" s="26"/>
      <c r="N734" s="22"/>
      <c r="O734" s="21"/>
      <c r="P734" s="22"/>
      <c r="Q734" s="29" t="str">
        <f aca="false">IF(C734="","",IF(O734&lt;&gt;"",O734,IFERROR(INDEX(Produk!$J$2:$J$100,MATCH(C734,Produk!$A$2:$A$100,0)),"PRODUK?")))</f>
        <v/>
      </c>
      <c r="R734" s="29" t="str">
        <f aca="false">IF(A734="","",IF(COUNTIF(Anggota!$A$2:$A$2001,A734)=0,"TIDAK ADA","OK"))</f>
        <v/>
      </c>
      <c r="S734" s="29" t="str">
        <f aca="false">IF(H734="","",IF(OR(J734="",L734=""),"-",IF(ABS(H734-J734*L734)&gt;Info_Koperasi!$C$10,"SELISIH","OK")))</f>
        <v/>
      </c>
    </row>
    <row r="735" customFormat="false" ht="15" hidden="false" customHeight="false" outlineLevel="0" collapsed="false">
      <c r="A735" s="21"/>
      <c r="B735" s="22"/>
      <c r="C735" s="21"/>
      <c r="D735" s="21"/>
      <c r="E735" s="28"/>
      <c r="F735" s="24"/>
      <c r="G735" s="26"/>
      <c r="H735" s="24"/>
      <c r="I735" s="24"/>
      <c r="J735" s="24"/>
      <c r="K735" s="24"/>
      <c r="L735" s="26"/>
      <c r="M735" s="26"/>
      <c r="N735" s="22"/>
      <c r="O735" s="21"/>
      <c r="P735" s="22"/>
      <c r="Q735" s="29" t="str">
        <f aca="false">IF(C735="","",IF(O735&lt;&gt;"",O735,IFERROR(INDEX(Produk!$J$2:$J$100,MATCH(C735,Produk!$A$2:$A$100,0)),"PRODUK?")))</f>
        <v/>
      </c>
      <c r="R735" s="29" t="str">
        <f aca="false">IF(A735="","",IF(COUNTIF(Anggota!$A$2:$A$2001,A735)=0,"TIDAK ADA","OK"))</f>
        <v/>
      </c>
      <c r="S735" s="29" t="str">
        <f aca="false">IF(H735="","",IF(OR(J735="",L735=""),"-",IF(ABS(H735-J735*L735)&gt;Info_Koperasi!$C$10,"SELISIH","OK")))</f>
        <v/>
      </c>
    </row>
    <row r="736" customFormat="false" ht="15" hidden="false" customHeight="false" outlineLevel="0" collapsed="false">
      <c r="A736" s="21"/>
      <c r="B736" s="22"/>
      <c r="C736" s="21"/>
      <c r="D736" s="21"/>
      <c r="E736" s="28"/>
      <c r="F736" s="24"/>
      <c r="G736" s="26"/>
      <c r="H736" s="24"/>
      <c r="I736" s="24"/>
      <c r="J736" s="24"/>
      <c r="K736" s="24"/>
      <c r="L736" s="26"/>
      <c r="M736" s="26"/>
      <c r="N736" s="22"/>
      <c r="O736" s="21"/>
      <c r="P736" s="22"/>
      <c r="Q736" s="29" t="str">
        <f aca="false">IF(C736="","",IF(O736&lt;&gt;"",O736,IFERROR(INDEX(Produk!$J$2:$J$100,MATCH(C736,Produk!$A$2:$A$100,0)),"PRODUK?")))</f>
        <v/>
      </c>
      <c r="R736" s="29" t="str">
        <f aca="false">IF(A736="","",IF(COUNTIF(Anggota!$A$2:$A$2001,A736)=0,"TIDAK ADA","OK"))</f>
        <v/>
      </c>
      <c r="S736" s="29" t="str">
        <f aca="false">IF(H736="","",IF(OR(J736="",L736=""),"-",IF(ABS(H736-J736*L736)&gt;Info_Koperasi!$C$10,"SELISIH","OK")))</f>
        <v/>
      </c>
    </row>
    <row r="737" customFormat="false" ht="15" hidden="false" customHeight="false" outlineLevel="0" collapsed="false">
      <c r="A737" s="21"/>
      <c r="B737" s="22"/>
      <c r="C737" s="21"/>
      <c r="D737" s="21"/>
      <c r="E737" s="28"/>
      <c r="F737" s="24"/>
      <c r="G737" s="26"/>
      <c r="H737" s="24"/>
      <c r="I737" s="24"/>
      <c r="J737" s="24"/>
      <c r="K737" s="24"/>
      <c r="L737" s="26"/>
      <c r="M737" s="26"/>
      <c r="N737" s="22"/>
      <c r="O737" s="21"/>
      <c r="P737" s="22"/>
      <c r="Q737" s="29" t="str">
        <f aca="false">IF(C737="","",IF(O737&lt;&gt;"",O737,IFERROR(INDEX(Produk!$J$2:$J$100,MATCH(C737,Produk!$A$2:$A$100,0)),"PRODUK?")))</f>
        <v/>
      </c>
      <c r="R737" s="29" t="str">
        <f aca="false">IF(A737="","",IF(COUNTIF(Anggota!$A$2:$A$2001,A737)=0,"TIDAK ADA","OK"))</f>
        <v/>
      </c>
      <c r="S737" s="29" t="str">
        <f aca="false">IF(H737="","",IF(OR(J737="",L737=""),"-",IF(ABS(H737-J737*L737)&gt;Info_Koperasi!$C$10,"SELISIH","OK")))</f>
        <v/>
      </c>
    </row>
    <row r="738" customFormat="false" ht="15" hidden="false" customHeight="false" outlineLevel="0" collapsed="false">
      <c r="A738" s="21"/>
      <c r="B738" s="22"/>
      <c r="C738" s="21"/>
      <c r="D738" s="21"/>
      <c r="E738" s="28"/>
      <c r="F738" s="24"/>
      <c r="G738" s="26"/>
      <c r="H738" s="24"/>
      <c r="I738" s="24"/>
      <c r="J738" s="24"/>
      <c r="K738" s="24"/>
      <c r="L738" s="26"/>
      <c r="M738" s="26"/>
      <c r="N738" s="22"/>
      <c r="O738" s="21"/>
      <c r="P738" s="22"/>
      <c r="Q738" s="29" t="str">
        <f aca="false">IF(C738="","",IF(O738&lt;&gt;"",O738,IFERROR(INDEX(Produk!$J$2:$J$100,MATCH(C738,Produk!$A$2:$A$100,0)),"PRODUK?")))</f>
        <v/>
      </c>
      <c r="R738" s="29" t="str">
        <f aca="false">IF(A738="","",IF(COUNTIF(Anggota!$A$2:$A$2001,A738)=0,"TIDAK ADA","OK"))</f>
        <v/>
      </c>
      <c r="S738" s="29" t="str">
        <f aca="false">IF(H738="","",IF(OR(J738="",L738=""),"-",IF(ABS(H738-J738*L738)&gt;Info_Koperasi!$C$10,"SELISIH","OK")))</f>
        <v/>
      </c>
    </row>
    <row r="739" customFormat="false" ht="15" hidden="false" customHeight="false" outlineLevel="0" collapsed="false">
      <c r="A739" s="21"/>
      <c r="B739" s="22"/>
      <c r="C739" s="21"/>
      <c r="D739" s="21"/>
      <c r="E739" s="28"/>
      <c r="F739" s="24"/>
      <c r="G739" s="26"/>
      <c r="H739" s="24"/>
      <c r="I739" s="24"/>
      <c r="J739" s="24"/>
      <c r="K739" s="24"/>
      <c r="L739" s="26"/>
      <c r="M739" s="26"/>
      <c r="N739" s="22"/>
      <c r="O739" s="21"/>
      <c r="P739" s="22"/>
      <c r="Q739" s="29" t="str">
        <f aca="false">IF(C739="","",IF(O739&lt;&gt;"",O739,IFERROR(INDEX(Produk!$J$2:$J$100,MATCH(C739,Produk!$A$2:$A$100,0)),"PRODUK?")))</f>
        <v/>
      </c>
      <c r="R739" s="29" t="str">
        <f aca="false">IF(A739="","",IF(COUNTIF(Anggota!$A$2:$A$2001,A739)=0,"TIDAK ADA","OK"))</f>
        <v/>
      </c>
      <c r="S739" s="29" t="str">
        <f aca="false">IF(H739="","",IF(OR(J739="",L739=""),"-",IF(ABS(H739-J739*L739)&gt;Info_Koperasi!$C$10,"SELISIH","OK")))</f>
        <v/>
      </c>
    </row>
    <row r="740" customFormat="false" ht="15" hidden="false" customHeight="false" outlineLevel="0" collapsed="false">
      <c r="A740" s="21"/>
      <c r="B740" s="22"/>
      <c r="C740" s="21"/>
      <c r="D740" s="21"/>
      <c r="E740" s="28"/>
      <c r="F740" s="24"/>
      <c r="G740" s="26"/>
      <c r="H740" s="24"/>
      <c r="I740" s="24"/>
      <c r="J740" s="24"/>
      <c r="K740" s="24"/>
      <c r="L740" s="26"/>
      <c r="M740" s="26"/>
      <c r="N740" s="22"/>
      <c r="O740" s="21"/>
      <c r="P740" s="22"/>
      <c r="Q740" s="29" t="str">
        <f aca="false">IF(C740="","",IF(O740&lt;&gt;"",O740,IFERROR(INDEX(Produk!$J$2:$J$100,MATCH(C740,Produk!$A$2:$A$100,0)),"PRODUK?")))</f>
        <v/>
      </c>
      <c r="R740" s="29" t="str">
        <f aca="false">IF(A740="","",IF(COUNTIF(Anggota!$A$2:$A$2001,A740)=0,"TIDAK ADA","OK"))</f>
        <v/>
      </c>
      <c r="S740" s="29" t="str">
        <f aca="false">IF(H740="","",IF(OR(J740="",L740=""),"-",IF(ABS(H740-J740*L740)&gt;Info_Koperasi!$C$10,"SELISIH","OK")))</f>
        <v/>
      </c>
    </row>
    <row r="741" customFormat="false" ht="15" hidden="false" customHeight="false" outlineLevel="0" collapsed="false">
      <c r="A741" s="21"/>
      <c r="B741" s="22"/>
      <c r="C741" s="21"/>
      <c r="D741" s="21"/>
      <c r="E741" s="28"/>
      <c r="F741" s="24"/>
      <c r="G741" s="26"/>
      <c r="H741" s="24"/>
      <c r="I741" s="24"/>
      <c r="J741" s="24"/>
      <c r="K741" s="24"/>
      <c r="L741" s="26"/>
      <c r="M741" s="26"/>
      <c r="N741" s="22"/>
      <c r="O741" s="21"/>
      <c r="P741" s="22"/>
      <c r="Q741" s="29" t="str">
        <f aca="false">IF(C741="","",IF(O741&lt;&gt;"",O741,IFERROR(INDEX(Produk!$J$2:$J$100,MATCH(C741,Produk!$A$2:$A$100,0)),"PRODUK?")))</f>
        <v/>
      </c>
      <c r="R741" s="29" t="str">
        <f aca="false">IF(A741="","",IF(COUNTIF(Anggota!$A$2:$A$2001,A741)=0,"TIDAK ADA","OK"))</f>
        <v/>
      </c>
      <c r="S741" s="29" t="str">
        <f aca="false">IF(H741="","",IF(OR(J741="",L741=""),"-",IF(ABS(H741-J741*L741)&gt;Info_Koperasi!$C$10,"SELISIH","OK")))</f>
        <v/>
      </c>
    </row>
    <row r="742" customFormat="false" ht="15" hidden="false" customHeight="false" outlineLevel="0" collapsed="false">
      <c r="A742" s="21"/>
      <c r="B742" s="22"/>
      <c r="C742" s="21"/>
      <c r="D742" s="21"/>
      <c r="E742" s="28"/>
      <c r="F742" s="24"/>
      <c r="G742" s="26"/>
      <c r="H742" s="24"/>
      <c r="I742" s="24"/>
      <c r="J742" s="24"/>
      <c r="K742" s="24"/>
      <c r="L742" s="26"/>
      <c r="M742" s="26"/>
      <c r="N742" s="22"/>
      <c r="O742" s="21"/>
      <c r="P742" s="22"/>
      <c r="Q742" s="29" t="str">
        <f aca="false">IF(C742="","",IF(O742&lt;&gt;"",O742,IFERROR(INDEX(Produk!$J$2:$J$100,MATCH(C742,Produk!$A$2:$A$100,0)),"PRODUK?")))</f>
        <v/>
      </c>
      <c r="R742" s="29" t="str">
        <f aca="false">IF(A742="","",IF(COUNTIF(Anggota!$A$2:$A$2001,A742)=0,"TIDAK ADA","OK"))</f>
        <v/>
      </c>
      <c r="S742" s="29" t="str">
        <f aca="false">IF(H742="","",IF(OR(J742="",L742=""),"-",IF(ABS(H742-J742*L742)&gt;Info_Koperasi!$C$10,"SELISIH","OK")))</f>
        <v/>
      </c>
    </row>
    <row r="743" customFormat="false" ht="15" hidden="false" customHeight="false" outlineLevel="0" collapsed="false">
      <c r="A743" s="21"/>
      <c r="B743" s="22"/>
      <c r="C743" s="21"/>
      <c r="D743" s="21"/>
      <c r="E743" s="28"/>
      <c r="F743" s="24"/>
      <c r="G743" s="26"/>
      <c r="H743" s="24"/>
      <c r="I743" s="24"/>
      <c r="J743" s="24"/>
      <c r="K743" s="24"/>
      <c r="L743" s="26"/>
      <c r="M743" s="26"/>
      <c r="N743" s="22"/>
      <c r="O743" s="21"/>
      <c r="P743" s="22"/>
      <c r="Q743" s="29" t="str">
        <f aca="false">IF(C743="","",IF(O743&lt;&gt;"",O743,IFERROR(INDEX(Produk!$J$2:$J$100,MATCH(C743,Produk!$A$2:$A$100,0)),"PRODUK?")))</f>
        <v/>
      </c>
      <c r="R743" s="29" t="str">
        <f aca="false">IF(A743="","",IF(COUNTIF(Anggota!$A$2:$A$2001,A743)=0,"TIDAK ADA","OK"))</f>
        <v/>
      </c>
      <c r="S743" s="29" t="str">
        <f aca="false">IF(H743="","",IF(OR(J743="",L743=""),"-",IF(ABS(H743-J743*L743)&gt;Info_Koperasi!$C$10,"SELISIH","OK")))</f>
        <v/>
      </c>
    </row>
    <row r="744" customFormat="false" ht="15" hidden="false" customHeight="false" outlineLevel="0" collapsed="false">
      <c r="A744" s="21"/>
      <c r="B744" s="22"/>
      <c r="C744" s="21"/>
      <c r="D744" s="21"/>
      <c r="E744" s="28"/>
      <c r="F744" s="24"/>
      <c r="G744" s="26"/>
      <c r="H744" s="24"/>
      <c r="I744" s="24"/>
      <c r="J744" s="24"/>
      <c r="K744" s="24"/>
      <c r="L744" s="26"/>
      <c r="M744" s="26"/>
      <c r="N744" s="22"/>
      <c r="O744" s="21"/>
      <c r="P744" s="22"/>
      <c r="Q744" s="29" t="str">
        <f aca="false">IF(C744="","",IF(O744&lt;&gt;"",O744,IFERROR(INDEX(Produk!$J$2:$J$100,MATCH(C744,Produk!$A$2:$A$100,0)),"PRODUK?")))</f>
        <v/>
      </c>
      <c r="R744" s="29" t="str">
        <f aca="false">IF(A744="","",IF(COUNTIF(Anggota!$A$2:$A$2001,A744)=0,"TIDAK ADA","OK"))</f>
        <v/>
      </c>
      <c r="S744" s="29" t="str">
        <f aca="false">IF(H744="","",IF(OR(J744="",L744=""),"-",IF(ABS(H744-J744*L744)&gt;Info_Koperasi!$C$10,"SELISIH","OK")))</f>
        <v/>
      </c>
    </row>
    <row r="745" customFormat="false" ht="15" hidden="false" customHeight="false" outlineLevel="0" collapsed="false">
      <c r="A745" s="21"/>
      <c r="B745" s="22"/>
      <c r="C745" s="21"/>
      <c r="D745" s="21"/>
      <c r="E745" s="28"/>
      <c r="F745" s="24"/>
      <c r="G745" s="26"/>
      <c r="H745" s="24"/>
      <c r="I745" s="24"/>
      <c r="J745" s="24"/>
      <c r="K745" s="24"/>
      <c r="L745" s="26"/>
      <c r="M745" s="26"/>
      <c r="N745" s="22"/>
      <c r="O745" s="21"/>
      <c r="P745" s="22"/>
      <c r="Q745" s="29" t="str">
        <f aca="false">IF(C745="","",IF(O745&lt;&gt;"",O745,IFERROR(INDEX(Produk!$J$2:$J$100,MATCH(C745,Produk!$A$2:$A$100,0)),"PRODUK?")))</f>
        <v/>
      </c>
      <c r="R745" s="29" t="str">
        <f aca="false">IF(A745="","",IF(COUNTIF(Anggota!$A$2:$A$2001,A745)=0,"TIDAK ADA","OK"))</f>
        <v/>
      </c>
      <c r="S745" s="29" t="str">
        <f aca="false">IF(H745="","",IF(OR(J745="",L745=""),"-",IF(ABS(H745-J745*L745)&gt;Info_Koperasi!$C$10,"SELISIH","OK")))</f>
        <v/>
      </c>
    </row>
    <row r="746" customFormat="false" ht="15" hidden="false" customHeight="false" outlineLevel="0" collapsed="false">
      <c r="A746" s="21"/>
      <c r="B746" s="22"/>
      <c r="C746" s="21"/>
      <c r="D746" s="21"/>
      <c r="E746" s="28"/>
      <c r="F746" s="24"/>
      <c r="G746" s="26"/>
      <c r="H746" s="24"/>
      <c r="I746" s="24"/>
      <c r="J746" s="24"/>
      <c r="K746" s="24"/>
      <c r="L746" s="26"/>
      <c r="M746" s="26"/>
      <c r="N746" s="22"/>
      <c r="O746" s="21"/>
      <c r="P746" s="22"/>
      <c r="Q746" s="29" t="str">
        <f aca="false">IF(C746="","",IF(O746&lt;&gt;"",O746,IFERROR(INDEX(Produk!$J$2:$J$100,MATCH(C746,Produk!$A$2:$A$100,0)),"PRODUK?")))</f>
        <v/>
      </c>
      <c r="R746" s="29" t="str">
        <f aca="false">IF(A746="","",IF(COUNTIF(Anggota!$A$2:$A$2001,A746)=0,"TIDAK ADA","OK"))</f>
        <v/>
      </c>
      <c r="S746" s="29" t="str">
        <f aca="false">IF(H746="","",IF(OR(J746="",L746=""),"-",IF(ABS(H746-J746*L746)&gt;Info_Koperasi!$C$10,"SELISIH","OK")))</f>
        <v/>
      </c>
    </row>
    <row r="747" customFormat="false" ht="15" hidden="false" customHeight="false" outlineLevel="0" collapsed="false">
      <c r="A747" s="21"/>
      <c r="B747" s="22"/>
      <c r="C747" s="21"/>
      <c r="D747" s="21"/>
      <c r="E747" s="28"/>
      <c r="F747" s="24"/>
      <c r="G747" s="26"/>
      <c r="H747" s="24"/>
      <c r="I747" s="24"/>
      <c r="J747" s="24"/>
      <c r="K747" s="24"/>
      <c r="L747" s="26"/>
      <c r="M747" s="26"/>
      <c r="N747" s="22"/>
      <c r="O747" s="21"/>
      <c r="P747" s="22"/>
      <c r="Q747" s="29" t="str">
        <f aca="false">IF(C747="","",IF(O747&lt;&gt;"",O747,IFERROR(INDEX(Produk!$J$2:$J$100,MATCH(C747,Produk!$A$2:$A$100,0)),"PRODUK?")))</f>
        <v/>
      </c>
      <c r="R747" s="29" t="str">
        <f aca="false">IF(A747="","",IF(COUNTIF(Anggota!$A$2:$A$2001,A747)=0,"TIDAK ADA","OK"))</f>
        <v/>
      </c>
      <c r="S747" s="29" t="str">
        <f aca="false">IF(H747="","",IF(OR(J747="",L747=""),"-",IF(ABS(H747-J747*L747)&gt;Info_Koperasi!$C$10,"SELISIH","OK")))</f>
        <v/>
      </c>
    </row>
    <row r="748" customFormat="false" ht="15" hidden="false" customHeight="false" outlineLevel="0" collapsed="false">
      <c r="A748" s="21"/>
      <c r="B748" s="22"/>
      <c r="C748" s="21"/>
      <c r="D748" s="21"/>
      <c r="E748" s="28"/>
      <c r="F748" s="24"/>
      <c r="G748" s="26"/>
      <c r="H748" s="24"/>
      <c r="I748" s="24"/>
      <c r="J748" s="24"/>
      <c r="K748" s="24"/>
      <c r="L748" s="26"/>
      <c r="M748" s="26"/>
      <c r="N748" s="22"/>
      <c r="O748" s="21"/>
      <c r="P748" s="22"/>
      <c r="Q748" s="29" t="str">
        <f aca="false">IF(C748="","",IF(O748&lt;&gt;"",O748,IFERROR(INDEX(Produk!$J$2:$J$100,MATCH(C748,Produk!$A$2:$A$100,0)),"PRODUK?")))</f>
        <v/>
      </c>
      <c r="R748" s="29" t="str">
        <f aca="false">IF(A748="","",IF(COUNTIF(Anggota!$A$2:$A$2001,A748)=0,"TIDAK ADA","OK"))</f>
        <v/>
      </c>
      <c r="S748" s="29" t="str">
        <f aca="false">IF(H748="","",IF(OR(J748="",L748=""),"-",IF(ABS(H748-J748*L748)&gt;Info_Koperasi!$C$10,"SELISIH","OK")))</f>
        <v/>
      </c>
    </row>
    <row r="749" customFormat="false" ht="15" hidden="false" customHeight="false" outlineLevel="0" collapsed="false">
      <c r="A749" s="21"/>
      <c r="B749" s="22"/>
      <c r="C749" s="21"/>
      <c r="D749" s="21"/>
      <c r="E749" s="28"/>
      <c r="F749" s="24"/>
      <c r="G749" s="26"/>
      <c r="H749" s="24"/>
      <c r="I749" s="24"/>
      <c r="J749" s="24"/>
      <c r="K749" s="24"/>
      <c r="L749" s="26"/>
      <c r="M749" s="26"/>
      <c r="N749" s="22"/>
      <c r="O749" s="21"/>
      <c r="P749" s="22"/>
      <c r="Q749" s="29" t="str">
        <f aca="false">IF(C749="","",IF(O749&lt;&gt;"",O749,IFERROR(INDEX(Produk!$J$2:$J$100,MATCH(C749,Produk!$A$2:$A$100,0)),"PRODUK?")))</f>
        <v/>
      </c>
      <c r="R749" s="29" t="str">
        <f aca="false">IF(A749="","",IF(COUNTIF(Anggota!$A$2:$A$2001,A749)=0,"TIDAK ADA","OK"))</f>
        <v/>
      </c>
      <c r="S749" s="29" t="str">
        <f aca="false">IF(H749="","",IF(OR(J749="",L749=""),"-",IF(ABS(H749-J749*L749)&gt;Info_Koperasi!$C$10,"SELISIH","OK")))</f>
        <v/>
      </c>
    </row>
    <row r="750" customFormat="false" ht="15" hidden="false" customHeight="false" outlineLevel="0" collapsed="false">
      <c r="A750" s="21"/>
      <c r="B750" s="22"/>
      <c r="C750" s="21"/>
      <c r="D750" s="21"/>
      <c r="E750" s="28"/>
      <c r="F750" s="24"/>
      <c r="G750" s="26"/>
      <c r="H750" s="24"/>
      <c r="I750" s="24"/>
      <c r="J750" s="24"/>
      <c r="K750" s="24"/>
      <c r="L750" s="26"/>
      <c r="M750" s="26"/>
      <c r="N750" s="22"/>
      <c r="O750" s="21"/>
      <c r="P750" s="22"/>
      <c r="Q750" s="29" t="str">
        <f aca="false">IF(C750="","",IF(O750&lt;&gt;"",O750,IFERROR(INDEX(Produk!$J$2:$J$100,MATCH(C750,Produk!$A$2:$A$100,0)),"PRODUK?")))</f>
        <v/>
      </c>
      <c r="R750" s="29" t="str">
        <f aca="false">IF(A750="","",IF(COUNTIF(Anggota!$A$2:$A$2001,A750)=0,"TIDAK ADA","OK"))</f>
        <v/>
      </c>
      <c r="S750" s="29" t="str">
        <f aca="false">IF(H750="","",IF(OR(J750="",L750=""),"-",IF(ABS(H750-J750*L750)&gt;Info_Koperasi!$C$10,"SELISIH","OK")))</f>
        <v/>
      </c>
    </row>
    <row r="751" customFormat="false" ht="15" hidden="false" customHeight="false" outlineLevel="0" collapsed="false">
      <c r="A751" s="21"/>
      <c r="B751" s="22"/>
      <c r="C751" s="21"/>
      <c r="D751" s="21"/>
      <c r="E751" s="28"/>
      <c r="F751" s="24"/>
      <c r="G751" s="26"/>
      <c r="H751" s="24"/>
      <c r="I751" s="24"/>
      <c r="J751" s="24"/>
      <c r="K751" s="24"/>
      <c r="L751" s="26"/>
      <c r="M751" s="26"/>
      <c r="N751" s="22"/>
      <c r="O751" s="21"/>
      <c r="P751" s="22"/>
      <c r="Q751" s="29" t="str">
        <f aca="false">IF(C751="","",IF(O751&lt;&gt;"",O751,IFERROR(INDEX(Produk!$J$2:$J$100,MATCH(C751,Produk!$A$2:$A$100,0)),"PRODUK?")))</f>
        <v/>
      </c>
      <c r="R751" s="29" t="str">
        <f aca="false">IF(A751="","",IF(COUNTIF(Anggota!$A$2:$A$2001,A751)=0,"TIDAK ADA","OK"))</f>
        <v/>
      </c>
      <c r="S751" s="29" t="str">
        <f aca="false">IF(H751="","",IF(OR(J751="",L751=""),"-",IF(ABS(H751-J751*L751)&gt;Info_Koperasi!$C$10,"SELISIH","OK")))</f>
        <v/>
      </c>
    </row>
    <row r="752" customFormat="false" ht="15" hidden="false" customHeight="false" outlineLevel="0" collapsed="false">
      <c r="A752" s="21"/>
      <c r="B752" s="22"/>
      <c r="C752" s="21"/>
      <c r="D752" s="21"/>
      <c r="E752" s="28"/>
      <c r="F752" s="24"/>
      <c r="G752" s="26"/>
      <c r="H752" s="24"/>
      <c r="I752" s="24"/>
      <c r="J752" s="24"/>
      <c r="K752" s="24"/>
      <c r="L752" s="26"/>
      <c r="M752" s="26"/>
      <c r="N752" s="22"/>
      <c r="O752" s="21"/>
      <c r="P752" s="22"/>
      <c r="Q752" s="29" t="str">
        <f aca="false">IF(C752="","",IF(O752&lt;&gt;"",O752,IFERROR(INDEX(Produk!$J$2:$J$100,MATCH(C752,Produk!$A$2:$A$100,0)),"PRODUK?")))</f>
        <v/>
      </c>
      <c r="R752" s="29" t="str">
        <f aca="false">IF(A752="","",IF(COUNTIF(Anggota!$A$2:$A$2001,A752)=0,"TIDAK ADA","OK"))</f>
        <v/>
      </c>
      <c r="S752" s="29" t="str">
        <f aca="false">IF(H752="","",IF(OR(J752="",L752=""),"-",IF(ABS(H752-J752*L752)&gt;Info_Koperasi!$C$10,"SELISIH","OK")))</f>
        <v/>
      </c>
    </row>
    <row r="753" customFormat="false" ht="15" hidden="false" customHeight="false" outlineLevel="0" collapsed="false">
      <c r="A753" s="21"/>
      <c r="B753" s="22"/>
      <c r="C753" s="21"/>
      <c r="D753" s="21"/>
      <c r="E753" s="28"/>
      <c r="F753" s="24"/>
      <c r="G753" s="26"/>
      <c r="H753" s="24"/>
      <c r="I753" s="24"/>
      <c r="J753" s="24"/>
      <c r="K753" s="24"/>
      <c r="L753" s="26"/>
      <c r="M753" s="26"/>
      <c r="N753" s="22"/>
      <c r="O753" s="21"/>
      <c r="P753" s="22"/>
      <c r="Q753" s="29" t="str">
        <f aca="false">IF(C753="","",IF(O753&lt;&gt;"",O753,IFERROR(INDEX(Produk!$J$2:$J$100,MATCH(C753,Produk!$A$2:$A$100,0)),"PRODUK?")))</f>
        <v/>
      </c>
      <c r="R753" s="29" t="str">
        <f aca="false">IF(A753="","",IF(COUNTIF(Anggota!$A$2:$A$2001,A753)=0,"TIDAK ADA","OK"))</f>
        <v/>
      </c>
      <c r="S753" s="29" t="str">
        <f aca="false">IF(H753="","",IF(OR(J753="",L753=""),"-",IF(ABS(H753-J753*L753)&gt;Info_Koperasi!$C$10,"SELISIH","OK")))</f>
        <v/>
      </c>
    </row>
    <row r="754" customFormat="false" ht="15" hidden="false" customHeight="false" outlineLevel="0" collapsed="false">
      <c r="A754" s="21"/>
      <c r="B754" s="22"/>
      <c r="C754" s="21"/>
      <c r="D754" s="21"/>
      <c r="E754" s="28"/>
      <c r="F754" s="24"/>
      <c r="G754" s="26"/>
      <c r="H754" s="24"/>
      <c r="I754" s="24"/>
      <c r="J754" s="24"/>
      <c r="K754" s="24"/>
      <c r="L754" s="26"/>
      <c r="M754" s="26"/>
      <c r="N754" s="22"/>
      <c r="O754" s="21"/>
      <c r="P754" s="22"/>
      <c r="Q754" s="29" t="str">
        <f aca="false">IF(C754="","",IF(O754&lt;&gt;"",O754,IFERROR(INDEX(Produk!$J$2:$J$100,MATCH(C754,Produk!$A$2:$A$100,0)),"PRODUK?")))</f>
        <v/>
      </c>
      <c r="R754" s="29" t="str">
        <f aca="false">IF(A754="","",IF(COUNTIF(Anggota!$A$2:$A$2001,A754)=0,"TIDAK ADA","OK"))</f>
        <v/>
      </c>
      <c r="S754" s="29" t="str">
        <f aca="false">IF(H754="","",IF(OR(J754="",L754=""),"-",IF(ABS(H754-J754*L754)&gt;Info_Koperasi!$C$10,"SELISIH","OK")))</f>
        <v/>
      </c>
    </row>
    <row r="755" customFormat="false" ht="15" hidden="false" customHeight="false" outlineLevel="0" collapsed="false">
      <c r="A755" s="21"/>
      <c r="B755" s="22"/>
      <c r="C755" s="21"/>
      <c r="D755" s="21"/>
      <c r="E755" s="28"/>
      <c r="F755" s="24"/>
      <c r="G755" s="26"/>
      <c r="H755" s="24"/>
      <c r="I755" s="24"/>
      <c r="J755" s="24"/>
      <c r="K755" s="24"/>
      <c r="L755" s="26"/>
      <c r="M755" s="26"/>
      <c r="N755" s="22"/>
      <c r="O755" s="21"/>
      <c r="P755" s="22"/>
      <c r="Q755" s="29" t="str">
        <f aca="false">IF(C755="","",IF(O755&lt;&gt;"",O755,IFERROR(INDEX(Produk!$J$2:$J$100,MATCH(C755,Produk!$A$2:$A$100,0)),"PRODUK?")))</f>
        <v/>
      </c>
      <c r="R755" s="29" t="str">
        <f aca="false">IF(A755="","",IF(COUNTIF(Anggota!$A$2:$A$2001,A755)=0,"TIDAK ADA","OK"))</f>
        <v/>
      </c>
      <c r="S755" s="29" t="str">
        <f aca="false">IF(H755="","",IF(OR(J755="",L755=""),"-",IF(ABS(H755-J755*L755)&gt;Info_Koperasi!$C$10,"SELISIH","OK")))</f>
        <v/>
      </c>
    </row>
    <row r="756" customFormat="false" ht="15" hidden="false" customHeight="false" outlineLevel="0" collapsed="false">
      <c r="A756" s="21"/>
      <c r="B756" s="22"/>
      <c r="C756" s="21"/>
      <c r="D756" s="21"/>
      <c r="E756" s="28"/>
      <c r="F756" s="24"/>
      <c r="G756" s="26"/>
      <c r="H756" s="24"/>
      <c r="I756" s="24"/>
      <c r="J756" s="24"/>
      <c r="K756" s="24"/>
      <c r="L756" s="26"/>
      <c r="M756" s="26"/>
      <c r="N756" s="22"/>
      <c r="O756" s="21"/>
      <c r="P756" s="22"/>
      <c r="Q756" s="29" t="str">
        <f aca="false">IF(C756="","",IF(O756&lt;&gt;"",O756,IFERROR(INDEX(Produk!$J$2:$J$100,MATCH(C756,Produk!$A$2:$A$100,0)),"PRODUK?")))</f>
        <v/>
      </c>
      <c r="R756" s="29" t="str">
        <f aca="false">IF(A756="","",IF(COUNTIF(Anggota!$A$2:$A$2001,A756)=0,"TIDAK ADA","OK"))</f>
        <v/>
      </c>
      <c r="S756" s="29" t="str">
        <f aca="false">IF(H756="","",IF(OR(J756="",L756=""),"-",IF(ABS(H756-J756*L756)&gt;Info_Koperasi!$C$10,"SELISIH","OK")))</f>
        <v/>
      </c>
    </row>
    <row r="757" customFormat="false" ht="15" hidden="false" customHeight="false" outlineLevel="0" collapsed="false">
      <c r="A757" s="21"/>
      <c r="B757" s="22"/>
      <c r="C757" s="21"/>
      <c r="D757" s="21"/>
      <c r="E757" s="28"/>
      <c r="F757" s="24"/>
      <c r="G757" s="26"/>
      <c r="H757" s="24"/>
      <c r="I757" s="24"/>
      <c r="J757" s="24"/>
      <c r="K757" s="24"/>
      <c r="L757" s="26"/>
      <c r="M757" s="26"/>
      <c r="N757" s="22"/>
      <c r="O757" s="21"/>
      <c r="P757" s="22"/>
      <c r="Q757" s="29" t="str">
        <f aca="false">IF(C757="","",IF(O757&lt;&gt;"",O757,IFERROR(INDEX(Produk!$J$2:$J$100,MATCH(C757,Produk!$A$2:$A$100,0)),"PRODUK?")))</f>
        <v/>
      </c>
      <c r="R757" s="29" t="str">
        <f aca="false">IF(A757="","",IF(COUNTIF(Anggota!$A$2:$A$2001,A757)=0,"TIDAK ADA","OK"))</f>
        <v/>
      </c>
      <c r="S757" s="29" t="str">
        <f aca="false">IF(H757="","",IF(OR(J757="",L757=""),"-",IF(ABS(H757-J757*L757)&gt;Info_Koperasi!$C$10,"SELISIH","OK")))</f>
        <v/>
      </c>
    </row>
    <row r="758" customFormat="false" ht="15" hidden="false" customHeight="false" outlineLevel="0" collapsed="false">
      <c r="A758" s="21"/>
      <c r="B758" s="22"/>
      <c r="C758" s="21"/>
      <c r="D758" s="21"/>
      <c r="E758" s="28"/>
      <c r="F758" s="24"/>
      <c r="G758" s="26"/>
      <c r="H758" s="24"/>
      <c r="I758" s="24"/>
      <c r="J758" s="24"/>
      <c r="K758" s="24"/>
      <c r="L758" s="26"/>
      <c r="M758" s="26"/>
      <c r="N758" s="22"/>
      <c r="O758" s="21"/>
      <c r="P758" s="22"/>
      <c r="Q758" s="29" t="str">
        <f aca="false">IF(C758="","",IF(O758&lt;&gt;"",O758,IFERROR(INDEX(Produk!$J$2:$J$100,MATCH(C758,Produk!$A$2:$A$100,0)),"PRODUK?")))</f>
        <v/>
      </c>
      <c r="R758" s="29" t="str">
        <f aca="false">IF(A758="","",IF(COUNTIF(Anggota!$A$2:$A$2001,A758)=0,"TIDAK ADA","OK"))</f>
        <v/>
      </c>
      <c r="S758" s="29" t="str">
        <f aca="false">IF(H758="","",IF(OR(J758="",L758=""),"-",IF(ABS(H758-J758*L758)&gt;Info_Koperasi!$C$10,"SELISIH","OK")))</f>
        <v/>
      </c>
    </row>
    <row r="759" customFormat="false" ht="15" hidden="false" customHeight="false" outlineLevel="0" collapsed="false">
      <c r="A759" s="21"/>
      <c r="B759" s="22"/>
      <c r="C759" s="21"/>
      <c r="D759" s="21"/>
      <c r="E759" s="28"/>
      <c r="F759" s="24"/>
      <c r="G759" s="26"/>
      <c r="H759" s="24"/>
      <c r="I759" s="24"/>
      <c r="J759" s="24"/>
      <c r="K759" s="24"/>
      <c r="L759" s="26"/>
      <c r="M759" s="26"/>
      <c r="N759" s="22"/>
      <c r="O759" s="21"/>
      <c r="P759" s="22"/>
      <c r="Q759" s="29" t="str">
        <f aca="false">IF(C759="","",IF(O759&lt;&gt;"",O759,IFERROR(INDEX(Produk!$J$2:$J$100,MATCH(C759,Produk!$A$2:$A$100,0)),"PRODUK?")))</f>
        <v/>
      </c>
      <c r="R759" s="29" t="str">
        <f aca="false">IF(A759="","",IF(COUNTIF(Anggota!$A$2:$A$2001,A759)=0,"TIDAK ADA","OK"))</f>
        <v/>
      </c>
      <c r="S759" s="29" t="str">
        <f aca="false">IF(H759="","",IF(OR(J759="",L759=""),"-",IF(ABS(H759-J759*L759)&gt;Info_Koperasi!$C$10,"SELISIH","OK")))</f>
        <v/>
      </c>
    </row>
    <row r="760" customFormat="false" ht="15" hidden="false" customHeight="false" outlineLevel="0" collapsed="false">
      <c r="A760" s="21"/>
      <c r="B760" s="22"/>
      <c r="C760" s="21"/>
      <c r="D760" s="21"/>
      <c r="E760" s="28"/>
      <c r="F760" s="24"/>
      <c r="G760" s="26"/>
      <c r="H760" s="24"/>
      <c r="I760" s="24"/>
      <c r="J760" s="24"/>
      <c r="K760" s="24"/>
      <c r="L760" s="26"/>
      <c r="M760" s="26"/>
      <c r="N760" s="22"/>
      <c r="O760" s="21"/>
      <c r="P760" s="22"/>
      <c r="Q760" s="29" t="str">
        <f aca="false">IF(C760="","",IF(O760&lt;&gt;"",O760,IFERROR(INDEX(Produk!$J$2:$J$100,MATCH(C760,Produk!$A$2:$A$100,0)),"PRODUK?")))</f>
        <v/>
      </c>
      <c r="R760" s="29" t="str">
        <f aca="false">IF(A760="","",IF(COUNTIF(Anggota!$A$2:$A$2001,A760)=0,"TIDAK ADA","OK"))</f>
        <v/>
      </c>
      <c r="S760" s="29" t="str">
        <f aca="false">IF(H760="","",IF(OR(J760="",L760=""),"-",IF(ABS(H760-J760*L760)&gt;Info_Koperasi!$C$10,"SELISIH","OK")))</f>
        <v/>
      </c>
    </row>
    <row r="761" customFormat="false" ht="15" hidden="false" customHeight="false" outlineLevel="0" collapsed="false">
      <c r="A761" s="21"/>
      <c r="B761" s="22"/>
      <c r="C761" s="21"/>
      <c r="D761" s="21"/>
      <c r="E761" s="28"/>
      <c r="F761" s="24"/>
      <c r="G761" s="26"/>
      <c r="H761" s="24"/>
      <c r="I761" s="24"/>
      <c r="J761" s="24"/>
      <c r="K761" s="24"/>
      <c r="L761" s="26"/>
      <c r="M761" s="26"/>
      <c r="N761" s="22"/>
      <c r="O761" s="21"/>
      <c r="P761" s="22"/>
      <c r="Q761" s="29" t="str">
        <f aca="false">IF(C761="","",IF(O761&lt;&gt;"",O761,IFERROR(INDEX(Produk!$J$2:$J$100,MATCH(C761,Produk!$A$2:$A$100,0)),"PRODUK?")))</f>
        <v/>
      </c>
      <c r="R761" s="29" t="str">
        <f aca="false">IF(A761="","",IF(COUNTIF(Anggota!$A$2:$A$2001,A761)=0,"TIDAK ADA","OK"))</f>
        <v/>
      </c>
      <c r="S761" s="29" t="str">
        <f aca="false">IF(H761="","",IF(OR(J761="",L761=""),"-",IF(ABS(H761-J761*L761)&gt;Info_Koperasi!$C$10,"SELISIH","OK")))</f>
        <v/>
      </c>
    </row>
    <row r="762" customFormat="false" ht="15" hidden="false" customHeight="false" outlineLevel="0" collapsed="false">
      <c r="A762" s="21"/>
      <c r="B762" s="22"/>
      <c r="C762" s="21"/>
      <c r="D762" s="21"/>
      <c r="E762" s="28"/>
      <c r="F762" s="24"/>
      <c r="G762" s="26"/>
      <c r="H762" s="24"/>
      <c r="I762" s="24"/>
      <c r="J762" s="24"/>
      <c r="K762" s="24"/>
      <c r="L762" s="26"/>
      <c r="M762" s="26"/>
      <c r="N762" s="22"/>
      <c r="O762" s="21"/>
      <c r="P762" s="22"/>
      <c r="Q762" s="29" t="str">
        <f aca="false">IF(C762="","",IF(O762&lt;&gt;"",O762,IFERROR(INDEX(Produk!$J$2:$J$100,MATCH(C762,Produk!$A$2:$A$100,0)),"PRODUK?")))</f>
        <v/>
      </c>
      <c r="R762" s="29" t="str">
        <f aca="false">IF(A762="","",IF(COUNTIF(Anggota!$A$2:$A$2001,A762)=0,"TIDAK ADA","OK"))</f>
        <v/>
      </c>
      <c r="S762" s="29" t="str">
        <f aca="false">IF(H762="","",IF(OR(J762="",L762=""),"-",IF(ABS(H762-J762*L762)&gt;Info_Koperasi!$C$10,"SELISIH","OK")))</f>
        <v/>
      </c>
    </row>
    <row r="763" customFormat="false" ht="15" hidden="false" customHeight="false" outlineLevel="0" collapsed="false">
      <c r="A763" s="21"/>
      <c r="B763" s="22"/>
      <c r="C763" s="21"/>
      <c r="D763" s="21"/>
      <c r="E763" s="28"/>
      <c r="F763" s="24"/>
      <c r="G763" s="26"/>
      <c r="H763" s="24"/>
      <c r="I763" s="24"/>
      <c r="J763" s="24"/>
      <c r="K763" s="24"/>
      <c r="L763" s="26"/>
      <c r="M763" s="26"/>
      <c r="N763" s="22"/>
      <c r="O763" s="21"/>
      <c r="P763" s="22"/>
      <c r="Q763" s="29" t="str">
        <f aca="false">IF(C763="","",IF(O763&lt;&gt;"",O763,IFERROR(INDEX(Produk!$J$2:$J$100,MATCH(C763,Produk!$A$2:$A$100,0)),"PRODUK?")))</f>
        <v/>
      </c>
      <c r="R763" s="29" t="str">
        <f aca="false">IF(A763="","",IF(COUNTIF(Anggota!$A$2:$A$2001,A763)=0,"TIDAK ADA","OK"))</f>
        <v/>
      </c>
      <c r="S763" s="29" t="str">
        <f aca="false">IF(H763="","",IF(OR(J763="",L763=""),"-",IF(ABS(H763-J763*L763)&gt;Info_Koperasi!$C$10,"SELISIH","OK")))</f>
        <v/>
      </c>
    </row>
    <row r="764" customFormat="false" ht="15" hidden="false" customHeight="false" outlineLevel="0" collapsed="false">
      <c r="A764" s="21"/>
      <c r="B764" s="22"/>
      <c r="C764" s="21"/>
      <c r="D764" s="21"/>
      <c r="E764" s="28"/>
      <c r="F764" s="24"/>
      <c r="G764" s="26"/>
      <c r="H764" s="24"/>
      <c r="I764" s="24"/>
      <c r="J764" s="24"/>
      <c r="K764" s="24"/>
      <c r="L764" s="26"/>
      <c r="M764" s="26"/>
      <c r="N764" s="22"/>
      <c r="O764" s="21"/>
      <c r="P764" s="22"/>
      <c r="Q764" s="29" t="str">
        <f aca="false">IF(C764="","",IF(O764&lt;&gt;"",O764,IFERROR(INDEX(Produk!$J$2:$J$100,MATCH(C764,Produk!$A$2:$A$100,0)),"PRODUK?")))</f>
        <v/>
      </c>
      <c r="R764" s="29" t="str">
        <f aca="false">IF(A764="","",IF(COUNTIF(Anggota!$A$2:$A$2001,A764)=0,"TIDAK ADA","OK"))</f>
        <v/>
      </c>
      <c r="S764" s="29" t="str">
        <f aca="false">IF(H764="","",IF(OR(J764="",L764=""),"-",IF(ABS(H764-J764*L764)&gt;Info_Koperasi!$C$10,"SELISIH","OK")))</f>
        <v/>
      </c>
    </row>
    <row r="765" customFormat="false" ht="15" hidden="false" customHeight="false" outlineLevel="0" collapsed="false">
      <c r="A765" s="21"/>
      <c r="B765" s="22"/>
      <c r="C765" s="21"/>
      <c r="D765" s="21"/>
      <c r="E765" s="28"/>
      <c r="F765" s="24"/>
      <c r="G765" s="26"/>
      <c r="H765" s="24"/>
      <c r="I765" s="24"/>
      <c r="J765" s="24"/>
      <c r="K765" s="24"/>
      <c r="L765" s="26"/>
      <c r="M765" s="26"/>
      <c r="N765" s="22"/>
      <c r="O765" s="21"/>
      <c r="P765" s="22"/>
      <c r="Q765" s="29" t="str">
        <f aca="false">IF(C765="","",IF(O765&lt;&gt;"",O765,IFERROR(INDEX(Produk!$J$2:$J$100,MATCH(C765,Produk!$A$2:$A$100,0)),"PRODUK?")))</f>
        <v/>
      </c>
      <c r="R765" s="29" t="str">
        <f aca="false">IF(A765="","",IF(COUNTIF(Anggota!$A$2:$A$2001,A765)=0,"TIDAK ADA","OK"))</f>
        <v/>
      </c>
      <c r="S765" s="29" t="str">
        <f aca="false">IF(H765="","",IF(OR(J765="",L765=""),"-",IF(ABS(H765-J765*L765)&gt;Info_Koperasi!$C$10,"SELISIH","OK")))</f>
        <v/>
      </c>
    </row>
    <row r="766" customFormat="false" ht="15" hidden="false" customHeight="false" outlineLevel="0" collapsed="false">
      <c r="A766" s="21"/>
      <c r="B766" s="22"/>
      <c r="C766" s="21"/>
      <c r="D766" s="21"/>
      <c r="E766" s="28"/>
      <c r="F766" s="24"/>
      <c r="G766" s="26"/>
      <c r="H766" s="24"/>
      <c r="I766" s="24"/>
      <c r="J766" s="24"/>
      <c r="K766" s="24"/>
      <c r="L766" s="26"/>
      <c r="M766" s="26"/>
      <c r="N766" s="22"/>
      <c r="O766" s="21"/>
      <c r="P766" s="22"/>
      <c r="Q766" s="29" t="str">
        <f aca="false">IF(C766="","",IF(O766&lt;&gt;"",O766,IFERROR(INDEX(Produk!$J$2:$J$100,MATCH(C766,Produk!$A$2:$A$100,0)),"PRODUK?")))</f>
        <v/>
      </c>
      <c r="R766" s="29" t="str">
        <f aca="false">IF(A766="","",IF(COUNTIF(Anggota!$A$2:$A$2001,A766)=0,"TIDAK ADA","OK"))</f>
        <v/>
      </c>
      <c r="S766" s="29" t="str">
        <f aca="false">IF(H766="","",IF(OR(J766="",L766=""),"-",IF(ABS(H766-J766*L766)&gt;Info_Koperasi!$C$10,"SELISIH","OK")))</f>
        <v/>
      </c>
    </row>
    <row r="767" customFormat="false" ht="15" hidden="false" customHeight="false" outlineLevel="0" collapsed="false">
      <c r="A767" s="21"/>
      <c r="B767" s="22"/>
      <c r="C767" s="21"/>
      <c r="D767" s="21"/>
      <c r="E767" s="28"/>
      <c r="F767" s="24"/>
      <c r="G767" s="26"/>
      <c r="H767" s="24"/>
      <c r="I767" s="24"/>
      <c r="J767" s="24"/>
      <c r="K767" s="24"/>
      <c r="L767" s="26"/>
      <c r="M767" s="26"/>
      <c r="N767" s="22"/>
      <c r="O767" s="21"/>
      <c r="P767" s="22"/>
      <c r="Q767" s="29" t="str">
        <f aca="false">IF(C767="","",IF(O767&lt;&gt;"",O767,IFERROR(INDEX(Produk!$J$2:$J$100,MATCH(C767,Produk!$A$2:$A$100,0)),"PRODUK?")))</f>
        <v/>
      </c>
      <c r="R767" s="29" t="str">
        <f aca="false">IF(A767="","",IF(COUNTIF(Anggota!$A$2:$A$2001,A767)=0,"TIDAK ADA","OK"))</f>
        <v/>
      </c>
      <c r="S767" s="29" t="str">
        <f aca="false">IF(H767="","",IF(OR(J767="",L767=""),"-",IF(ABS(H767-J767*L767)&gt;Info_Koperasi!$C$10,"SELISIH","OK")))</f>
        <v/>
      </c>
    </row>
    <row r="768" customFormat="false" ht="15" hidden="false" customHeight="false" outlineLevel="0" collapsed="false">
      <c r="A768" s="21"/>
      <c r="B768" s="22"/>
      <c r="C768" s="21"/>
      <c r="D768" s="21"/>
      <c r="E768" s="28"/>
      <c r="F768" s="24"/>
      <c r="G768" s="26"/>
      <c r="H768" s="24"/>
      <c r="I768" s="24"/>
      <c r="J768" s="24"/>
      <c r="K768" s="24"/>
      <c r="L768" s="26"/>
      <c r="M768" s="26"/>
      <c r="N768" s="22"/>
      <c r="O768" s="21"/>
      <c r="P768" s="22"/>
      <c r="Q768" s="29" t="str">
        <f aca="false">IF(C768="","",IF(O768&lt;&gt;"",O768,IFERROR(INDEX(Produk!$J$2:$J$100,MATCH(C768,Produk!$A$2:$A$100,0)),"PRODUK?")))</f>
        <v/>
      </c>
      <c r="R768" s="29" t="str">
        <f aca="false">IF(A768="","",IF(COUNTIF(Anggota!$A$2:$A$2001,A768)=0,"TIDAK ADA","OK"))</f>
        <v/>
      </c>
      <c r="S768" s="29" t="str">
        <f aca="false">IF(H768="","",IF(OR(J768="",L768=""),"-",IF(ABS(H768-J768*L768)&gt;Info_Koperasi!$C$10,"SELISIH","OK")))</f>
        <v/>
      </c>
    </row>
    <row r="769" customFormat="false" ht="15" hidden="false" customHeight="false" outlineLevel="0" collapsed="false">
      <c r="A769" s="21"/>
      <c r="B769" s="22"/>
      <c r="C769" s="21"/>
      <c r="D769" s="21"/>
      <c r="E769" s="28"/>
      <c r="F769" s="24"/>
      <c r="G769" s="26"/>
      <c r="H769" s="24"/>
      <c r="I769" s="24"/>
      <c r="J769" s="24"/>
      <c r="K769" s="24"/>
      <c r="L769" s="26"/>
      <c r="M769" s="26"/>
      <c r="N769" s="22"/>
      <c r="O769" s="21"/>
      <c r="P769" s="22"/>
      <c r="Q769" s="29" t="str">
        <f aca="false">IF(C769="","",IF(O769&lt;&gt;"",O769,IFERROR(INDEX(Produk!$J$2:$J$100,MATCH(C769,Produk!$A$2:$A$100,0)),"PRODUK?")))</f>
        <v/>
      </c>
      <c r="R769" s="29" t="str">
        <f aca="false">IF(A769="","",IF(COUNTIF(Anggota!$A$2:$A$2001,A769)=0,"TIDAK ADA","OK"))</f>
        <v/>
      </c>
      <c r="S769" s="29" t="str">
        <f aca="false">IF(H769="","",IF(OR(J769="",L769=""),"-",IF(ABS(H769-J769*L769)&gt;Info_Koperasi!$C$10,"SELISIH","OK")))</f>
        <v/>
      </c>
    </row>
    <row r="770" customFormat="false" ht="15" hidden="false" customHeight="false" outlineLevel="0" collapsed="false">
      <c r="A770" s="21"/>
      <c r="B770" s="22"/>
      <c r="C770" s="21"/>
      <c r="D770" s="21"/>
      <c r="E770" s="28"/>
      <c r="F770" s="24"/>
      <c r="G770" s="26"/>
      <c r="H770" s="24"/>
      <c r="I770" s="24"/>
      <c r="J770" s="24"/>
      <c r="K770" s="24"/>
      <c r="L770" s="26"/>
      <c r="M770" s="26"/>
      <c r="N770" s="22"/>
      <c r="O770" s="21"/>
      <c r="P770" s="22"/>
      <c r="Q770" s="29" t="str">
        <f aca="false">IF(C770="","",IF(O770&lt;&gt;"",O770,IFERROR(INDEX(Produk!$J$2:$J$100,MATCH(C770,Produk!$A$2:$A$100,0)),"PRODUK?")))</f>
        <v/>
      </c>
      <c r="R770" s="29" t="str">
        <f aca="false">IF(A770="","",IF(COUNTIF(Anggota!$A$2:$A$2001,A770)=0,"TIDAK ADA","OK"))</f>
        <v/>
      </c>
      <c r="S770" s="29" t="str">
        <f aca="false">IF(H770="","",IF(OR(J770="",L770=""),"-",IF(ABS(H770-J770*L770)&gt;Info_Koperasi!$C$10,"SELISIH","OK")))</f>
        <v/>
      </c>
    </row>
    <row r="771" customFormat="false" ht="15" hidden="false" customHeight="false" outlineLevel="0" collapsed="false">
      <c r="A771" s="21"/>
      <c r="B771" s="22"/>
      <c r="C771" s="21"/>
      <c r="D771" s="21"/>
      <c r="E771" s="28"/>
      <c r="F771" s="24"/>
      <c r="G771" s="26"/>
      <c r="H771" s="24"/>
      <c r="I771" s="24"/>
      <c r="J771" s="24"/>
      <c r="K771" s="24"/>
      <c r="L771" s="26"/>
      <c r="M771" s="26"/>
      <c r="N771" s="22"/>
      <c r="O771" s="21"/>
      <c r="P771" s="22"/>
      <c r="Q771" s="29" t="str">
        <f aca="false">IF(C771="","",IF(O771&lt;&gt;"",O771,IFERROR(INDEX(Produk!$J$2:$J$100,MATCH(C771,Produk!$A$2:$A$100,0)),"PRODUK?")))</f>
        <v/>
      </c>
      <c r="R771" s="29" t="str">
        <f aca="false">IF(A771="","",IF(COUNTIF(Anggota!$A$2:$A$2001,A771)=0,"TIDAK ADA","OK"))</f>
        <v/>
      </c>
      <c r="S771" s="29" t="str">
        <f aca="false">IF(H771="","",IF(OR(J771="",L771=""),"-",IF(ABS(H771-J771*L771)&gt;Info_Koperasi!$C$10,"SELISIH","OK")))</f>
        <v/>
      </c>
    </row>
    <row r="772" customFormat="false" ht="15" hidden="false" customHeight="false" outlineLevel="0" collapsed="false">
      <c r="A772" s="21"/>
      <c r="B772" s="22"/>
      <c r="C772" s="21"/>
      <c r="D772" s="21"/>
      <c r="E772" s="28"/>
      <c r="F772" s="24"/>
      <c r="G772" s="26"/>
      <c r="H772" s="24"/>
      <c r="I772" s="24"/>
      <c r="J772" s="24"/>
      <c r="K772" s="24"/>
      <c r="L772" s="26"/>
      <c r="M772" s="26"/>
      <c r="N772" s="22"/>
      <c r="O772" s="21"/>
      <c r="P772" s="22"/>
      <c r="Q772" s="29" t="str">
        <f aca="false">IF(C772="","",IF(O772&lt;&gt;"",O772,IFERROR(INDEX(Produk!$J$2:$J$100,MATCH(C772,Produk!$A$2:$A$100,0)),"PRODUK?")))</f>
        <v/>
      </c>
      <c r="R772" s="29" t="str">
        <f aca="false">IF(A772="","",IF(COUNTIF(Anggota!$A$2:$A$2001,A772)=0,"TIDAK ADA","OK"))</f>
        <v/>
      </c>
      <c r="S772" s="29" t="str">
        <f aca="false">IF(H772="","",IF(OR(J772="",L772=""),"-",IF(ABS(H772-J772*L772)&gt;Info_Koperasi!$C$10,"SELISIH","OK")))</f>
        <v/>
      </c>
    </row>
    <row r="773" customFormat="false" ht="15" hidden="false" customHeight="false" outlineLevel="0" collapsed="false">
      <c r="A773" s="21"/>
      <c r="B773" s="22"/>
      <c r="C773" s="21"/>
      <c r="D773" s="21"/>
      <c r="E773" s="28"/>
      <c r="F773" s="24"/>
      <c r="G773" s="26"/>
      <c r="H773" s="24"/>
      <c r="I773" s="24"/>
      <c r="J773" s="24"/>
      <c r="K773" s="24"/>
      <c r="L773" s="26"/>
      <c r="M773" s="26"/>
      <c r="N773" s="22"/>
      <c r="O773" s="21"/>
      <c r="P773" s="22"/>
      <c r="Q773" s="29" t="str">
        <f aca="false">IF(C773="","",IF(O773&lt;&gt;"",O773,IFERROR(INDEX(Produk!$J$2:$J$100,MATCH(C773,Produk!$A$2:$A$100,0)),"PRODUK?")))</f>
        <v/>
      </c>
      <c r="R773" s="29" t="str">
        <f aca="false">IF(A773="","",IF(COUNTIF(Anggota!$A$2:$A$2001,A773)=0,"TIDAK ADA","OK"))</f>
        <v/>
      </c>
      <c r="S773" s="29" t="str">
        <f aca="false">IF(H773="","",IF(OR(J773="",L773=""),"-",IF(ABS(H773-J773*L773)&gt;Info_Koperasi!$C$10,"SELISIH","OK")))</f>
        <v/>
      </c>
    </row>
    <row r="774" customFormat="false" ht="15" hidden="false" customHeight="false" outlineLevel="0" collapsed="false">
      <c r="A774" s="21"/>
      <c r="B774" s="22"/>
      <c r="C774" s="21"/>
      <c r="D774" s="21"/>
      <c r="E774" s="28"/>
      <c r="F774" s="24"/>
      <c r="G774" s="26"/>
      <c r="H774" s="24"/>
      <c r="I774" s="24"/>
      <c r="J774" s="24"/>
      <c r="K774" s="24"/>
      <c r="L774" s="26"/>
      <c r="M774" s="26"/>
      <c r="N774" s="22"/>
      <c r="O774" s="21"/>
      <c r="P774" s="22"/>
      <c r="Q774" s="29" t="str">
        <f aca="false">IF(C774="","",IF(O774&lt;&gt;"",O774,IFERROR(INDEX(Produk!$J$2:$J$100,MATCH(C774,Produk!$A$2:$A$100,0)),"PRODUK?")))</f>
        <v/>
      </c>
      <c r="R774" s="29" t="str">
        <f aca="false">IF(A774="","",IF(COUNTIF(Anggota!$A$2:$A$2001,A774)=0,"TIDAK ADA","OK"))</f>
        <v/>
      </c>
      <c r="S774" s="29" t="str">
        <f aca="false">IF(H774="","",IF(OR(J774="",L774=""),"-",IF(ABS(H774-J774*L774)&gt;Info_Koperasi!$C$10,"SELISIH","OK")))</f>
        <v/>
      </c>
    </row>
    <row r="775" customFormat="false" ht="15" hidden="false" customHeight="false" outlineLevel="0" collapsed="false">
      <c r="A775" s="21"/>
      <c r="B775" s="22"/>
      <c r="C775" s="21"/>
      <c r="D775" s="21"/>
      <c r="E775" s="28"/>
      <c r="F775" s="24"/>
      <c r="G775" s="26"/>
      <c r="H775" s="24"/>
      <c r="I775" s="24"/>
      <c r="J775" s="24"/>
      <c r="K775" s="24"/>
      <c r="L775" s="26"/>
      <c r="M775" s="26"/>
      <c r="N775" s="22"/>
      <c r="O775" s="21"/>
      <c r="P775" s="22"/>
      <c r="Q775" s="29" t="str">
        <f aca="false">IF(C775="","",IF(O775&lt;&gt;"",O775,IFERROR(INDEX(Produk!$J$2:$J$100,MATCH(C775,Produk!$A$2:$A$100,0)),"PRODUK?")))</f>
        <v/>
      </c>
      <c r="R775" s="29" t="str">
        <f aca="false">IF(A775="","",IF(COUNTIF(Anggota!$A$2:$A$2001,A775)=0,"TIDAK ADA","OK"))</f>
        <v/>
      </c>
      <c r="S775" s="29" t="str">
        <f aca="false">IF(H775="","",IF(OR(J775="",L775=""),"-",IF(ABS(H775-J775*L775)&gt;Info_Koperasi!$C$10,"SELISIH","OK")))</f>
        <v/>
      </c>
    </row>
    <row r="776" customFormat="false" ht="15" hidden="false" customHeight="false" outlineLevel="0" collapsed="false">
      <c r="A776" s="21"/>
      <c r="B776" s="22"/>
      <c r="C776" s="21"/>
      <c r="D776" s="21"/>
      <c r="E776" s="28"/>
      <c r="F776" s="24"/>
      <c r="G776" s="26"/>
      <c r="H776" s="24"/>
      <c r="I776" s="24"/>
      <c r="J776" s="24"/>
      <c r="K776" s="24"/>
      <c r="L776" s="26"/>
      <c r="M776" s="26"/>
      <c r="N776" s="22"/>
      <c r="O776" s="21"/>
      <c r="P776" s="22"/>
      <c r="Q776" s="29" t="str">
        <f aca="false">IF(C776="","",IF(O776&lt;&gt;"",O776,IFERROR(INDEX(Produk!$J$2:$J$100,MATCH(C776,Produk!$A$2:$A$100,0)),"PRODUK?")))</f>
        <v/>
      </c>
      <c r="R776" s="29" t="str">
        <f aca="false">IF(A776="","",IF(COUNTIF(Anggota!$A$2:$A$2001,A776)=0,"TIDAK ADA","OK"))</f>
        <v/>
      </c>
      <c r="S776" s="29" t="str">
        <f aca="false">IF(H776="","",IF(OR(J776="",L776=""),"-",IF(ABS(H776-J776*L776)&gt;Info_Koperasi!$C$10,"SELISIH","OK")))</f>
        <v/>
      </c>
    </row>
    <row r="777" customFormat="false" ht="15" hidden="false" customHeight="false" outlineLevel="0" collapsed="false">
      <c r="A777" s="21"/>
      <c r="B777" s="22"/>
      <c r="C777" s="21"/>
      <c r="D777" s="21"/>
      <c r="E777" s="28"/>
      <c r="F777" s="24"/>
      <c r="G777" s="26"/>
      <c r="H777" s="24"/>
      <c r="I777" s="24"/>
      <c r="J777" s="24"/>
      <c r="K777" s="24"/>
      <c r="L777" s="26"/>
      <c r="M777" s="26"/>
      <c r="N777" s="22"/>
      <c r="O777" s="21"/>
      <c r="P777" s="22"/>
      <c r="Q777" s="29" t="str">
        <f aca="false">IF(C777="","",IF(O777&lt;&gt;"",O777,IFERROR(INDEX(Produk!$J$2:$J$100,MATCH(C777,Produk!$A$2:$A$100,0)),"PRODUK?")))</f>
        <v/>
      </c>
      <c r="R777" s="29" t="str">
        <f aca="false">IF(A777="","",IF(COUNTIF(Anggota!$A$2:$A$2001,A777)=0,"TIDAK ADA","OK"))</f>
        <v/>
      </c>
      <c r="S777" s="29" t="str">
        <f aca="false">IF(H777="","",IF(OR(J777="",L777=""),"-",IF(ABS(H777-J777*L777)&gt;Info_Koperasi!$C$10,"SELISIH","OK")))</f>
        <v/>
      </c>
    </row>
    <row r="778" customFormat="false" ht="15" hidden="false" customHeight="false" outlineLevel="0" collapsed="false">
      <c r="A778" s="21"/>
      <c r="B778" s="22"/>
      <c r="C778" s="21"/>
      <c r="D778" s="21"/>
      <c r="E778" s="28"/>
      <c r="F778" s="24"/>
      <c r="G778" s="26"/>
      <c r="H778" s="24"/>
      <c r="I778" s="24"/>
      <c r="J778" s="24"/>
      <c r="K778" s="24"/>
      <c r="L778" s="26"/>
      <c r="M778" s="26"/>
      <c r="N778" s="22"/>
      <c r="O778" s="21"/>
      <c r="P778" s="22"/>
      <c r="Q778" s="29" t="str">
        <f aca="false">IF(C778="","",IF(O778&lt;&gt;"",O778,IFERROR(INDEX(Produk!$J$2:$J$100,MATCH(C778,Produk!$A$2:$A$100,0)),"PRODUK?")))</f>
        <v/>
      </c>
      <c r="R778" s="29" t="str">
        <f aca="false">IF(A778="","",IF(COUNTIF(Anggota!$A$2:$A$2001,A778)=0,"TIDAK ADA","OK"))</f>
        <v/>
      </c>
      <c r="S778" s="29" t="str">
        <f aca="false">IF(H778="","",IF(OR(J778="",L778=""),"-",IF(ABS(H778-J778*L778)&gt;Info_Koperasi!$C$10,"SELISIH","OK")))</f>
        <v/>
      </c>
    </row>
    <row r="779" customFormat="false" ht="15" hidden="false" customHeight="false" outlineLevel="0" collapsed="false">
      <c r="A779" s="21"/>
      <c r="B779" s="22"/>
      <c r="C779" s="21"/>
      <c r="D779" s="21"/>
      <c r="E779" s="28"/>
      <c r="F779" s="24"/>
      <c r="G779" s="26"/>
      <c r="H779" s="24"/>
      <c r="I779" s="24"/>
      <c r="J779" s="24"/>
      <c r="K779" s="24"/>
      <c r="L779" s="26"/>
      <c r="M779" s="26"/>
      <c r="N779" s="22"/>
      <c r="O779" s="21"/>
      <c r="P779" s="22"/>
      <c r="Q779" s="29" t="str">
        <f aca="false">IF(C779="","",IF(O779&lt;&gt;"",O779,IFERROR(INDEX(Produk!$J$2:$J$100,MATCH(C779,Produk!$A$2:$A$100,0)),"PRODUK?")))</f>
        <v/>
      </c>
      <c r="R779" s="29" t="str">
        <f aca="false">IF(A779="","",IF(COUNTIF(Anggota!$A$2:$A$2001,A779)=0,"TIDAK ADA","OK"))</f>
        <v/>
      </c>
      <c r="S779" s="29" t="str">
        <f aca="false">IF(H779="","",IF(OR(J779="",L779=""),"-",IF(ABS(H779-J779*L779)&gt;Info_Koperasi!$C$10,"SELISIH","OK")))</f>
        <v/>
      </c>
    </row>
    <row r="780" customFormat="false" ht="15" hidden="false" customHeight="false" outlineLevel="0" collapsed="false">
      <c r="A780" s="21"/>
      <c r="B780" s="22"/>
      <c r="C780" s="21"/>
      <c r="D780" s="21"/>
      <c r="E780" s="28"/>
      <c r="F780" s="24"/>
      <c r="G780" s="26"/>
      <c r="H780" s="24"/>
      <c r="I780" s="24"/>
      <c r="J780" s="24"/>
      <c r="K780" s="24"/>
      <c r="L780" s="26"/>
      <c r="M780" s="26"/>
      <c r="N780" s="22"/>
      <c r="O780" s="21"/>
      <c r="P780" s="22"/>
      <c r="Q780" s="29" t="str">
        <f aca="false">IF(C780="","",IF(O780&lt;&gt;"",O780,IFERROR(INDEX(Produk!$J$2:$J$100,MATCH(C780,Produk!$A$2:$A$100,0)),"PRODUK?")))</f>
        <v/>
      </c>
      <c r="R780" s="29" t="str">
        <f aca="false">IF(A780="","",IF(COUNTIF(Anggota!$A$2:$A$2001,A780)=0,"TIDAK ADA","OK"))</f>
        <v/>
      </c>
      <c r="S780" s="29" t="str">
        <f aca="false">IF(H780="","",IF(OR(J780="",L780=""),"-",IF(ABS(H780-J780*L780)&gt;Info_Koperasi!$C$10,"SELISIH","OK")))</f>
        <v/>
      </c>
    </row>
    <row r="781" customFormat="false" ht="15" hidden="false" customHeight="false" outlineLevel="0" collapsed="false">
      <c r="A781" s="21"/>
      <c r="B781" s="22"/>
      <c r="C781" s="21"/>
      <c r="D781" s="21"/>
      <c r="E781" s="28"/>
      <c r="F781" s="24"/>
      <c r="G781" s="26"/>
      <c r="H781" s="24"/>
      <c r="I781" s="24"/>
      <c r="J781" s="24"/>
      <c r="K781" s="24"/>
      <c r="L781" s="26"/>
      <c r="M781" s="26"/>
      <c r="N781" s="22"/>
      <c r="O781" s="21"/>
      <c r="P781" s="22"/>
      <c r="Q781" s="29" t="str">
        <f aca="false">IF(C781="","",IF(O781&lt;&gt;"",O781,IFERROR(INDEX(Produk!$J$2:$J$100,MATCH(C781,Produk!$A$2:$A$100,0)),"PRODUK?")))</f>
        <v/>
      </c>
      <c r="R781" s="29" t="str">
        <f aca="false">IF(A781="","",IF(COUNTIF(Anggota!$A$2:$A$2001,A781)=0,"TIDAK ADA","OK"))</f>
        <v/>
      </c>
      <c r="S781" s="29" t="str">
        <f aca="false">IF(H781="","",IF(OR(J781="",L781=""),"-",IF(ABS(H781-J781*L781)&gt;Info_Koperasi!$C$10,"SELISIH","OK")))</f>
        <v/>
      </c>
    </row>
    <row r="782" customFormat="false" ht="15" hidden="false" customHeight="false" outlineLevel="0" collapsed="false">
      <c r="A782" s="21"/>
      <c r="B782" s="22"/>
      <c r="C782" s="21"/>
      <c r="D782" s="21"/>
      <c r="E782" s="28"/>
      <c r="F782" s="24"/>
      <c r="G782" s="26"/>
      <c r="H782" s="24"/>
      <c r="I782" s="24"/>
      <c r="J782" s="24"/>
      <c r="K782" s="24"/>
      <c r="L782" s="26"/>
      <c r="M782" s="26"/>
      <c r="N782" s="22"/>
      <c r="O782" s="21"/>
      <c r="P782" s="22"/>
      <c r="Q782" s="29" t="str">
        <f aca="false">IF(C782="","",IF(O782&lt;&gt;"",O782,IFERROR(INDEX(Produk!$J$2:$J$100,MATCH(C782,Produk!$A$2:$A$100,0)),"PRODUK?")))</f>
        <v/>
      </c>
      <c r="R782" s="29" t="str">
        <f aca="false">IF(A782="","",IF(COUNTIF(Anggota!$A$2:$A$2001,A782)=0,"TIDAK ADA","OK"))</f>
        <v/>
      </c>
      <c r="S782" s="29" t="str">
        <f aca="false">IF(H782="","",IF(OR(J782="",L782=""),"-",IF(ABS(H782-J782*L782)&gt;Info_Koperasi!$C$10,"SELISIH","OK")))</f>
        <v/>
      </c>
    </row>
    <row r="783" customFormat="false" ht="15" hidden="false" customHeight="false" outlineLevel="0" collapsed="false">
      <c r="A783" s="21"/>
      <c r="B783" s="22"/>
      <c r="C783" s="21"/>
      <c r="D783" s="21"/>
      <c r="E783" s="28"/>
      <c r="F783" s="24"/>
      <c r="G783" s="26"/>
      <c r="H783" s="24"/>
      <c r="I783" s="24"/>
      <c r="J783" s="24"/>
      <c r="K783" s="24"/>
      <c r="L783" s="26"/>
      <c r="M783" s="26"/>
      <c r="N783" s="22"/>
      <c r="O783" s="21"/>
      <c r="P783" s="22"/>
      <c r="Q783" s="29" t="str">
        <f aca="false">IF(C783="","",IF(O783&lt;&gt;"",O783,IFERROR(INDEX(Produk!$J$2:$J$100,MATCH(C783,Produk!$A$2:$A$100,0)),"PRODUK?")))</f>
        <v/>
      </c>
      <c r="R783" s="29" t="str">
        <f aca="false">IF(A783="","",IF(COUNTIF(Anggota!$A$2:$A$2001,A783)=0,"TIDAK ADA","OK"))</f>
        <v/>
      </c>
      <c r="S783" s="29" t="str">
        <f aca="false">IF(H783="","",IF(OR(J783="",L783=""),"-",IF(ABS(H783-J783*L783)&gt;Info_Koperasi!$C$10,"SELISIH","OK")))</f>
        <v/>
      </c>
    </row>
    <row r="784" customFormat="false" ht="15" hidden="false" customHeight="false" outlineLevel="0" collapsed="false">
      <c r="A784" s="21"/>
      <c r="B784" s="22"/>
      <c r="C784" s="21"/>
      <c r="D784" s="21"/>
      <c r="E784" s="28"/>
      <c r="F784" s="24"/>
      <c r="G784" s="26"/>
      <c r="H784" s="24"/>
      <c r="I784" s="24"/>
      <c r="J784" s="24"/>
      <c r="K784" s="24"/>
      <c r="L784" s="26"/>
      <c r="M784" s="26"/>
      <c r="N784" s="22"/>
      <c r="O784" s="21"/>
      <c r="P784" s="22"/>
      <c r="Q784" s="29" t="str">
        <f aca="false">IF(C784="","",IF(O784&lt;&gt;"",O784,IFERROR(INDEX(Produk!$J$2:$J$100,MATCH(C784,Produk!$A$2:$A$100,0)),"PRODUK?")))</f>
        <v/>
      </c>
      <c r="R784" s="29" t="str">
        <f aca="false">IF(A784="","",IF(COUNTIF(Anggota!$A$2:$A$2001,A784)=0,"TIDAK ADA","OK"))</f>
        <v/>
      </c>
      <c r="S784" s="29" t="str">
        <f aca="false">IF(H784="","",IF(OR(J784="",L784=""),"-",IF(ABS(H784-J784*L784)&gt;Info_Koperasi!$C$10,"SELISIH","OK")))</f>
        <v/>
      </c>
    </row>
    <row r="785" customFormat="false" ht="15" hidden="false" customHeight="false" outlineLevel="0" collapsed="false">
      <c r="A785" s="21"/>
      <c r="B785" s="22"/>
      <c r="C785" s="21"/>
      <c r="D785" s="21"/>
      <c r="E785" s="28"/>
      <c r="F785" s="24"/>
      <c r="G785" s="26"/>
      <c r="H785" s="24"/>
      <c r="I785" s="24"/>
      <c r="J785" s="24"/>
      <c r="K785" s="24"/>
      <c r="L785" s="26"/>
      <c r="M785" s="26"/>
      <c r="N785" s="22"/>
      <c r="O785" s="21"/>
      <c r="P785" s="22"/>
      <c r="Q785" s="29" t="str">
        <f aca="false">IF(C785="","",IF(O785&lt;&gt;"",O785,IFERROR(INDEX(Produk!$J$2:$J$100,MATCH(C785,Produk!$A$2:$A$100,0)),"PRODUK?")))</f>
        <v/>
      </c>
      <c r="R785" s="29" t="str">
        <f aca="false">IF(A785="","",IF(COUNTIF(Anggota!$A$2:$A$2001,A785)=0,"TIDAK ADA","OK"))</f>
        <v/>
      </c>
      <c r="S785" s="29" t="str">
        <f aca="false">IF(H785="","",IF(OR(J785="",L785=""),"-",IF(ABS(H785-J785*L785)&gt;Info_Koperasi!$C$10,"SELISIH","OK")))</f>
        <v/>
      </c>
    </row>
    <row r="786" customFormat="false" ht="15" hidden="false" customHeight="false" outlineLevel="0" collapsed="false">
      <c r="A786" s="21"/>
      <c r="B786" s="22"/>
      <c r="C786" s="21"/>
      <c r="D786" s="21"/>
      <c r="E786" s="28"/>
      <c r="F786" s="24"/>
      <c r="G786" s="26"/>
      <c r="H786" s="24"/>
      <c r="I786" s="24"/>
      <c r="J786" s="24"/>
      <c r="K786" s="24"/>
      <c r="L786" s="26"/>
      <c r="M786" s="26"/>
      <c r="N786" s="22"/>
      <c r="O786" s="21"/>
      <c r="P786" s="22"/>
      <c r="Q786" s="29" t="str">
        <f aca="false">IF(C786="","",IF(O786&lt;&gt;"",O786,IFERROR(INDEX(Produk!$J$2:$J$100,MATCH(C786,Produk!$A$2:$A$100,0)),"PRODUK?")))</f>
        <v/>
      </c>
      <c r="R786" s="29" t="str">
        <f aca="false">IF(A786="","",IF(COUNTIF(Anggota!$A$2:$A$2001,A786)=0,"TIDAK ADA","OK"))</f>
        <v/>
      </c>
      <c r="S786" s="29" t="str">
        <f aca="false">IF(H786="","",IF(OR(J786="",L786=""),"-",IF(ABS(H786-J786*L786)&gt;Info_Koperasi!$C$10,"SELISIH","OK")))</f>
        <v/>
      </c>
    </row>
    <row r="787" customFormat="false" ht="15" hidden="false" customHeight="false" outlineLevel="0" collapsed="false">
      <c r="A787" s="21"/>
      <c r="B787" s="22"/>
      <c r="C787" s="21"/>
      <c r="D787" s="21"/>
      <c r="E787" s="28"/>
      <c r="F787" s="24"/>
      <c r="G787" s="26"/>
      <c r="H787" s="24"/>
      <c r="I787" s="24"/>
      <c r="J787" s="24"/>
      <c r="K787" s="24"/>
      <c r="L787" s="26"/>
      <c r="M787" s="26"/>
      <c r="N787" s="22"/>
      <c r="O787" s="21"/>
      <c r="P787" s="22"/>
      <c r="Q787" s="29" t="str">
        <f aca="false">IF(C787="","",IF(O787&lt;&gt;"",O787,IFERROR(INDEX(Produk!$J$2:$J$100,MATCH(C787,Produk!$A$2:$A$100,0)),"PRODUK?")))</f>
        <v/>
      </c>
      <c r="R787" s="29" t="str">
        <f aca="false">IF(A787="","",IF(COUNTIF(Anggota!$A$2:$A$2001,A787)=0,"TIDAK ADA","OK"))</f>
        <v/>
      </c>
      <c r="S787" s="29" t="str">
        <f aca="false">IF(H787="","",IF(OR(J787="",L787=""),"-",IF(ABS(H787-J787*L787)&gt;Info_Koperasi!$C$10,"SELISIH","OK")))</f>
        <v/>
      </c>
    </row>
    <row r="788" customFormat="false" ht="15" hidden="false" customHeight="false" outlineLevel="0" collapsed="false">
      <c r="A788" s="21"/>
      <c r="B788" s="22"/>
      <c r="C788" s="21"/>
      <c r="D788" s="21"/>
      <c r="E788" s="28"/>
      <c r="F788" s="24"/>
      <c r="G788" s="26"/>
      <c r="H788" s="24"/>
      <c r="I788" s="24"/>
      <c r="J788" s="24"/>
      <c r="K788" s="24"/>
      <c r="L788" s="26"/>
      <c r="M788" s="26"/>
      <c r="N788" s="22"/>
      <c r="O788" s="21"/>
      <c r="P788" s="22"/>
      <c r="Q788" s="29" t="str">
        <f aca="false">IF(C788="","",IF(O788&lt;&gt;"",O788,IFERROR(INDEX(Produk!$J$2:$J$100,MATCH(C788,Produk!$A$2:$A$100,0)),"PRODUK?")))</f>
        <v/>
      </c>
      <c r="R788" s="29" t="str">
        <f aca="false">IF(A788="","",IF(COUNTIF(Anggota!$A$2:$A$2001,A788)=0,"TIDAK ADA","OK"))</f>
        <v/>
      </c>
      <c r="S788" s="29" t="str">
        <f aca="false">IF(H788="","",IF(OR(J788="",L788=""),"-",IF(ABS(H788-J788*L788)&gt;Info_Koperasi!$C$10,"SELISIH","OK")))</f>
        <v/>
      </c>
    </row>
    <row r="789" customFormat="false" ht="15" hidden="false" customHeight="false" outlineLevel="0" collapsed="false">
      <c r="A789" s="21"/>
      <c r="B789" s="22"/>
      <c r="C789" s="21"/>
      <c r="D789" s="21"/>
      <c r="E789" s="28"/>
      <c r="F789" s="24"/>
      <c r="G789" s="26"/>
      <c r="H789" s="24"/>
      <c r="I789" s="24"/>
      <c r="J789" s="24"/>
      <c r="K789" s="24"/>
      <c r="L789" s="26"/>
      <c r="M789" s="26"/>
      <c r="N789" s="22"/>
      <c r="O789" s="21"/>
      <c r="P789" s="22"/>
      <c r="Q789" s="29" t="str">
        <f aca="false">IF(C789="","",IF(O789&lt;&gt;"",O789,IFERROR(INDEX(Produk!$J$2:$J$100,MATCH(C789,Produk!$A$2:$A$100,0)),"PRODUK?")))</f>
        <v/>
      </c>
      <c r="R789" s="29" t="str">
        <f aca="false">IF(A789="","",IF(COUNTIF(Anggota!$A$2:$A$2001,A789)=0,"TIDAK ADA","OK"))</f>
        <v/>
      </c>
      <c r="S789" s="29" t="str">
        <f aca="false">IF(H789="","",IF(OR(J789="",L789=""),"-",IF(ABS(H789-J789*L789)&gt;Info_Koperasi!$C$10,"SELISIH","OK")))</f>
        <v/>
      </c>
    </row>
    <row r="790" customFormat="false" ht="15" hidden="false" customHeight="false" outlineLevel="0" collapsed="false">
      <c r="A790" s="21"/>
      <c r="B790" s="22"/>
      <c r="C790" s="21"/>
      <c r="D790" s="21"/>
      <c r="E790" s="28"/>
      <c r="F790" s="24"/>
      <c r="G790" s="26"/>
      <c r="H790" s="24"/>
      <c r="I790" s="24"/>
      <c r="J790" s="24"/>
      <c r="K790" s="24"/>
      <c r="L790" s="26"/>
      <c r="M790" s="26"/>
      <c r="N790" s="22"/>
      <c r="O790" s="21"/>
      <c r="P790" s="22"/>
      <c r="Q790" s="29" t="str">
        <f aca="false">IF(C790="","",IF(O790&lt;&gt;"",O790,IFERROR(INDEX(Produk!$J$2:$J$100,MATCH(C790,Produk!$A$2:$A$100,0)),"PRODUK?")))</f>
        <v/>
      </c>
      <c r="R790" s="29" t="str">
        <f aca="false">IF(A790="","",IF(COUNTIF(Anggota!$A$2:$A$2001,A790)=0,"TIDAK ADA","OK"))</f>
        <v/>
      </c>
      <c r="S790" s="29" t="str">
        <f aca="false">IF(H790="","",IF(OR(J790="",L790=""),"-",IF(ABS(H790-J790*L790)&gt;Info_Koperasi!$C$10,"SELISIH","OK")))</f>
        <v/>
      </c>
    </row>
    <row r="791" customFormat="false" ht="15" hidden="false" customHeight="false" outlineLevel="0" collapsed="false">
      <c r="A791" s="21"/>
      <c r="B791" s="22"/>
      <c r="C791" s="21"/>
      <c r="D791" s="21"/>
      <c r="E791" s="28"/>
      <c r="F791" s="24"/>
      <c r="G791" s="26"/>
      <c r="H791" s="24"/>
      <c r="I791" s="24"/>
      <c r="J791" s="24"/>
      <c r="K791" s="24"/>
      <c r="L791" s="26"/>
      <c r="M791" s="26"/>
      <c r="N791" s="22"/>
      <c r="O791" s="21"/>
      <c r="P791" s="22"/>
      <c r="Q791" s="29" t="str">
        <f aca="false">IF(C791="","",IF(O791&lt;&gt;"",O791,IFERROR(INDEX(Produk!$J$2:$J$100,MATCH(C791,Produk!$A$2:$A$100,0)),"PRODUK?")))</f>
        <v/>
      </c>
      <c r="R791" s="29" t="str">
        <f aca="false">IF(A791="","",IF(COUNTIF(Anggota!$A$2:$A$2001,A791)=0,"TIDAK ADA","OK"))</f>
        <v/>
      </c>
      <c r="S791" s="29" t="str">
        <f aca="false">IF(H791="","",IF(OR(J791="",L791=""),"-",IF(ABS(H791-J791*L791)&gt;Info_Koperasi!$C$10,"SELISIH","OK")))</f>
        <v/>
      </c>
    </row>
    <row r="792" customFormat="false" ht="15" hidden="false" customHeight="false" outlineLevel="0" collapsed="false">
      <c r="A792" s="21"/>
      <c r="B792" s="22"/>
      <c r="C792" s="21"/>
      <c r="D792" s="21"/>
      <c r="E792" s="28"/>
      <c r="F792" s="24"/>
      <c r="G792" s="26"/>
      <c r="H792" s="24"/>
      <c r="I792" s="24"/>
      <c r="J792" s="24"/>
      <c r="K792" s="24"/>
      <c r="L792" s="26"/>
      <c r="M792" s="26"/>
      <c r="N792" s="22"/>
      <c r="O792" s="21"/>
      <c r="P792" s="22"/>
      <c r="Q792" s="29" t="str">
        <f aca="false">IF(C792="","",IF(O792&lt;&gt;"",O792,IFERROR(INDEX(Produk!$J$2:$J$100,MATCH(C792,Produk!$A$2:$A$100,0)),"PRODUK?")))</f>
        <v/>
      </c>
      <c r="R792" s="29" t="str">
        <f aca="false">IF(A792="","",IF(COUNTIF(Anggota!$A$2:$A$2001,A792)=0,"TIDAK ADA","OK"))</f>
        <v/>
      </c>
      <c r="S792" s="29" t="str">
        <f aca="false">IF(H792="","",IF(OR(J792="",L792=""),"-",IF(ABS(H792-J792*L792)&gt;Info_Koperasi!$C$10,"SELISIH","OK")))</f>
        <v/>
      </c>
    </row>
    <row r="793" customFormat="false" ht="15" hidden="false" customHeight="false" outlineLevel="0" collapsed="false">
      <c r="A793" s="21"/>
      <c r="B793" s="22"/>
      <c r="C793" s="21"/>
      <c r="D793" s="21"/>
      <c r="E793" s="28"/>
      <c r="F793" s="24"/>
      <c r="G793" s="26"/>
      <c r="H793" s="24"/>
      <c r="I793" s="24"/>
      <c r="J793" s="24"/>
      <c r="K793" s="24"/>
      <c r="L793" s="26"/>
      <c r="M793" s="26"/>
      <c r="N793" s="22"/>
      <c r="O793" s="21"/>
      <c r="P793" s="22"/>
      <c r="Q793" s="29" t="str">
        <f aca="false">IF(C793="","",IF(O793&lt;&gt;"",O793,IFERROR(INDEX(Produk!$J$2:$J$100,MATCH(C793,Produk!$A$2:$A$100,0)),"PRODUK?")))</f>
        <v/>
      </c>
      <c r="R793" s="29" t="str">
        <f aca="false">IF(A793="","",IF(COUNTIF(Anggota!$A$2:$A$2001,A793)=0,"TIDAK ADA","OK"))</f>
        <v/>
      </c>
      <c r="S793" s="29" t="str">
        <f aca="false">IF(H793="","",IF(OR(J793="",L793=""),"-",IF(ABS(H793-J793*L793)&gt;Info_Koperasi!$C$10,"SELISIH","OK")))</f>
        <v/>
      </c>
    </row>
    <row r="794" customFormat="false" ht="15" hidden="false" customHeight="false" outlineLevel="0" collapsed="false">
      <c r="A794" s="21"/>
      <c r="B794" s="22"/>
      <c r="C794" s="21"/>
      <c r="D794" s="21"/>
      <c r="E794" s="28"/>
      <c r="F794" s="24"/>
      <c r="G794" s="26"/>
      <c r="H794" s="24"/>
      <c r="I794" s="24"/>
      <c r="J794" s="24"/>
      <c r="K794" s="24"/>
      <c r="L794" s="26"/>
      <c r="M794" s="26"/>
      <c r="N794" s="22"/>
      <c r="O794" s="21"/>
      <c r="P794" s="22"/>
      <c r="Q794" s="29" t="str">
        <f aca="false">IF(C794="","",IF(O794&lt;&gt;"",O794,IFERROR(INDEX(Produk!$J$2:$J$100,MATCH(C794,Produk!$A$2:$A$100,0)),"PRODUK?")))</f>
        <v/>
      </c>
      <c r="R794" s="29" t="str">
        <f aca="false">IF(A794="","",IF(COUNTIF(Anggota!$A$2:$A$2001,A794)=0,"TIDAK ADA","OK"))</f>
        <v/>
      </c>
      <c r="S794" s="29" t="str">
        <f aca="false">IF(H794="","",IF(OR(J794="",L794=""),"-",IF(ABS(H794-J794*L794)&gt;Info_Koperasi!$C$10,"SELISIH","OK")))</f>
        <v/>
      </c>
    </row>
    <row r="795" customFormat="false" ht="15" hidden="false" customHeight="false" outlineLevel="0" collapsed="false">
      <c r="A795" s="21"/>
      <c r="B795" s="22"/>
      <c r="C795" s="21"/>
      <c r="D795" s="21"/>
      <c r="E795" s="28"/>
      <c r="F795" s="24"/>
      <c r="G795" s="26"/>
      <c r="H795" s="24"/>
      <c r="I795" s="24"/>
      <c r="J795" s="24"/>
      <c r="K795" s="24"/>
      <c r="L795" s="26"/>
      <c r="M795" s="26"/>
      <c r="N795" s="22"/>
      <c r="O795" s="21"/>
      <c r="P795" s="22"/>
      <c r="Q795" s="29" t="str">
        <f aca="false">IF(C795="","",IF(O795&lt;&gt;"",O795,IFERROR(INDEX(Produk!$J$2:$J$100,MATCH(C795,Produk!$A$2:$A$100,0)),"PRODUK?")))</f>
        <v/>
      </c>
      <c r="R795" s="29" t="str">
        <f aca="false">IF(A795="","",IF(COUNTIF(Anggota!$A$2:$A$2001,A795)=0,"TIDAK ADA","OK"))</f>
        <v/>
      </c>
      <c r="S795" s="29" t="str">
        <f aca="false">IF(H795="","",IF(OR(J795="",L795=""),"-",IF(ABS(H795-J795*L795)&gt;Info_Koperasi!$C$10,"SELISIH","OK")))</f>
        <v/>
      </c>
    </row>
    <row r="796" customFormat="false" ht="15" hidden="false" customHeight="false" outlineLevel="0" collapsed="false">
      <c r="A796" s="21"/>
      <c r="B796" s="22"/>
      <c r="C796" s="21"/>
      <c r="D796" s="21"/>
      <c r="E796" s="28"/>
      <c r="F796" s="24"/>
      <c r="G796" s="26"/>
      <c r="H796" s="24"/>
      <c r="I796" s="24"/>
      <c r="J796" s="24"/>
      <c r="K796" s="24"/>
      <c r="L796" s="26"/>
      <c r="M796" s="26"/>
      <c r="N796" s="22"/>
      <c r="O796" s="21"/>
      <c r="P796" s="22"/>
      <c r="Q796" s="29" t="str">
        <f aca="false">IF(C796="","",IF(O796&lt;&gt;"",O796,IFERROR(INDEX(Produk!$J$2:$J$100,MATCH(C796,Produk!$A$2:$A$100,0)),"PRODUK?")))</f>
        <v/>
      </c>
      <c r="R796" s="29" t="str">
        <f aca="false">IF(A796="","",IF(COUNTIF(Anggota!$A$2:$A$2001,A796)=0,"TIDAK ADA","OK"))</f>
        <v/>
      </c>
      <c r="S796" s="29" t="str">
        <f aca="false">IF(H796="","",IF(OR(J796="",L796=""),"-",IF(ABS(H796-J796*L796)&gt;Info_Koperasi!$C$10,"SELISIH","OK")))</f>
        <v/>
      </c>
    </row>
    <row r="797" customFormat="false" ht="15" hidden="false" customHeight="false" outlineLevel="0" collapsed="false">
      <c r="A797" s="21"/>
      <c r="B797" s="22"/>
      <c r="C797" s="21"/>
      <c r="D797" s="21"/>
      <c r="E797" s="28"/>
      <c r="F797" s="24"/>
      <c r="G797" s="26"/>
      <c r="H797" s="24"/>
      <c r="I797" s="24"/>
      <c r="J797" s="24"/>
      <c r="K797" s="24"/>
      <c r="L797" s="26"/>
      <c r="M797" s="26"/>
      <c r="N797" s="22"/>
      <c r="O797" s="21"/>
      <c r="P797" s="22"/>
      <c r="Q797" s="29" t="str">
        <f aca="false">IF(C797="","",IF(O797&lt;&gt;"",O797,IFERROR(INDEX(Produk!$J$2:$J$100,MATCH(C797,Produk!$A$2:$A$100,0)),"PRODUK?")))</f>
        <v/>
      </c>
      <c r="R797" s="29" t="str">
        <f aca="false">IF(A797="","",IF(COUNTIF(Anggota!$A$2:$A$2001,A797)=0,"TIDAK ADA","OK"))</f>
        <v/>
      </c>
      <c r="S797" s="29" t="str">
        <f aca="false">IF(H797="","",IF(OR(J797="",L797=""),"-",IF(ABS(H797-J797*L797)&gt;Info_Koperasi!$C$10,"SELISIH","OK")))</f>
        <v/>
      </c>
    </row>
    <row r="798" customFormat="false" ht="15" hidden="false" customHeight="false" outlineLevel="0" collapsed="false">
      <c r="A798" s="21"/>
      <c r="B798" s="22"/>
      <c r="C798" s="21"/>
      <c r="D798" s="21"/>
      <c r="E798" s="28"/>
      <c r="F798" s="24"/>
      <c r="G798" s="26"/>
      <c r="H798" s="24"/>
      <c r="I798" s="24"/>
      <c r="J798" s="24"/>
      <c r="K798" s="24"/>
      <c r="L798" s="26"/>
      <c r="M798" s="26"/>
      <c r="N798" s="22"/>
      <c r="O798" s="21"/>
      <c r="P798" s="22"/>
      <c r="Q798" s="29" t="str">
        <f aca="false">IF(C798="","",IF(O798&lt;&gt;"",O798,IFERROR(INDEX(Produk!$J$2:$J$100,MATCH(C798,Produk!$A$2:$A$100,0)),"PRODUK?")))</f>
        <v/>
      </c>
      <c r="R798" s="29" t="str">
        <f aca="false">IF(A798="","",IF(COUNTIF(Anggota!$A$2:$A$2001,A798)=0,"TIDAK ADA","OK"))</f>
        <v/>
      </c>
      <c r="S798" s="29" t="str">
        <f aca="false">IF(H798="","",IF(OR(J798="",L798=""),"-",IF(ABS(H798-J798*L798)&gt;Info_Koperasi!$C$10,"SELISIH","OK")))</f>
        <v/>
      </c>
    </row>
    <row r="799" customFormat="false" ht="15" hidden="false" customHeight="false" outlineLevel="0" collapsed="false">
      <c r="A799" s="21"/>
      <c r="B799" s="22"/>
      <c r="C799" s="21"/>
      <c r="D799" s="21"/>
      <c r="E799" s="28"/>
      <c r="F799" s="24"/>
      <c r="G799" s="26"/>
      <c r="H799" s="24"/>
      <c r="I799" s="24"/>
      <c r="J799" s="24"/>
      <c r="K799" s="24"/>
      <c r="L799" s="26"/>
      <c r="M799" s="26"/>
      <c r="N799" s="22"/>
      <c r="O799" s="21"/>
      <c r="P799" s="22"/>
      <c r="Q799" s="29" t="str">
        <f aca="false">IF(C799="","",IF(O799&lt;&gt;"",O799,IFERROR(INDEX(Produk!$J$2:$J$100,MATCH(C799,Produk!$A$2:$A$100,0)),"PRODUK?")))</f>
        <v/>
      </c>
      <c r="R799" s="29" t="str">
        <f aca="false">IF(A799="","",IF(COUNTIF(Anggota!$A$2:$A$2001,A799)=0,"TIDAK ADA","OK"))</f>
        <v/>
      </c>
      <c r="S799" s="29" t="str">
        <f aca="false">IF(H799="","",IF(OR(J799="",L799=""),"-",IF(ABS(H799-J799*L799)&gt;Info_Koperasi!$C$10,"SELISIH","OK")))</f>
        <v/>
      </c>
    </row>
    <row r="800" customFormat="false" ht="15" hidden="false" customHeight="false" outlineLevel="0" collapsed="false">
      <c r="A800" s="21"/>
      <c r="B800" s="22"/>
      <c r="C800" s="21"/>
      <c r="D800" s="21"/>
      <c r="E800" s="28"/>
      <c r="F800" s="24"/>
      <c r="G800" s="26"/>
      <c r="H800" s="24"/>
      <c r="I800" s="24"/>
      <c r="J800" s="24"/>
      <c r="K800" s="24"/>
      <c r="L800" s="26"/>
      <c r="M800" s="26"/>
      <c r="N800" s="22"/>
      <c r="O800" s="21"/>
      <c r="P800" s="22"/>
      <c r="Q800" s="29" t="str">
        <f aca="false">IF(C800="","",IF(O800&lt;&gt;"",O800,IFERROR(INDEX(Produk!$J$2:$J$100,MATCH(C800,Produk!$A$2:$A$100,0)),"PRODUK?")))</f>
        <v/>
      </c>
      <c r="R800" s="29" t="str">
        <f aca="false">IF(A800="","",IF(COUNTIF(Anggota!$A$2:$A$2001,A800)=0,"TIDAK ADA","OK"))</f>
        <v/>
      </c>
      <c r="S800" s="29" t="str">
        <f aca="false">IF(H800="","",IF(OR(J800="",L800=""),"-",IF(ABS(H800-J800*L800)&gt;Info_Koperasi!$C$10,"SELISIH","OK")))</f>
        <v/>
      </c>
    </row>
    <row r="801" customFormat="false" ht="15" hidden="false" customHeight="false" outlineLevel="0" collapsed="false">
      <c r="A801" s="21"/>
      <c r="B801" s="22"/>
      <c r="C801" s="21"/>
      <c r="D801" s="21"/>
      <c r="E801" s="28"/>
      <c r="F801" s="24"/>
      <c r="G801" s="26"/>
      <c r="H801" s="24"/>
      <c r="I801" s="24"/>
      <c r="J801" s="24"/>
      <c r="K801" s="24"/>
      <c r="L801" s="26"/>
      <c r="M801" s="26"/>
      <c r="N801" s="22"/>
      <c r="O801" s="21"/>
      <c r="P801" s="22"/>
      <c r="Q801" s="29" t="str">
        <f aca="false">IF(C801="","",IF(O801&lt;&gt;"",O801,IFERROR(INDEX(Produk!$J$2:$J$100,MATCH(C801,Produk!$A$2:$A$100,0)),"PRODUK?")))</f>
        <v/>
      </c>
      <c r="R801" s="29" t="str">
        <f aca="false">IF(A801="","",IF(COUNTIF(Anggota!$A$2:$A$2001,A801)=0,"TIDAK ADA","OK"))</f>
        <v/>
      </c>
      <c r="S801" s="29" t="str">
        <f aca="false">IF(H801="","",IF(OR(J801="",L801=""),"-",IF(ABS(H801-J801*L801)&gt;Info_Koperasi!$C$10,"SELISIH","OK")))</f>
        <v/>
      </c>
    </row>
    <row r="802" customFormat="false" ht="15" hidden="false" customHeight="false" outlineLevel="0" collapsed="false">
      <c r="A802" s="21"/>
      <c r="B802" s="22"/>
      <c r="C802" s="21"/>
      <c r="D802" s="21"/>
      <c r="E802" s="28"/>
      <c r="F802" s="24"/>
      <c r="G802" s="26"/>
      <c r="H802" s="24"/>
      <c r="I802" s="24"/>
      <c r="J802" s="24"/>
      <c r="K802" s="24"/>
      <c r="L802" s="26"/>
      <c r="M802" s="26"/>
      <c r="N802" s="22"/>
      <c r="O802" s="21"/>
      <c r="P802" s="22"/>
      <c r="Q802" s="29" t="str">
        <f aca="false">IF(C802="","",IF(O802&lt;&gt;"",O802,IFERROR(INDEX(Produk!$J$2:$J$100,MATCH(C802,Produk!$A$2:$A$100,0)),"PRODUK?")))</f>
        <v/>
      </c>
      <c r="R802" s="29" t="str">
        <f aca="false">IF(A802="","",IF(COUNTIF(Anggota!$A$2:$A$2001,A802)=0,"TIDAK ADA","OK"))</f>
        <v/>
      </c>
      <c r="S802" s="29" t="str">
        <f aca="false">IF(H802="","",IF(OR(J802="",L802=""),"-",IF(ABS(H802-J802*L802)&gt;Info_Koperasi!$C$10,"SELISIH","OK")))</f>
        <v/>
      </c>
    </row>
    <row r="803" customFormat="false" ht="15" hidden="false" customHeight="false" outlineLevel="0" collapsed="false">
      <c r="A803" s="21"/>
      <c r="B803" s="22"/>
      <c r="C803" s="21"/>
      <c r="D803" s="21"/>
      <c r="E803" s="28"/>
      <c r="F803" s="24"/>
      <c r="G803" s="26"/>
      <c r="H803" s="24"/>
      <c r="I803" s="24"/>
      <c r="J803" s="24"/>
      <c r="K803" s="24"/>
      <c r="L803" s="26"/>
      <c r="M803" s="26"/>
      <c r="N803" s="22"/>
      <c r="O803" s="21"/>
      <c r="P803" s="22"/>
      <c r="Q803" s="29" t="str">
        <f aca="false">IF(C803="","",IF(O803&lt;&gt;"",O803,IFERROR(INDEX(Produk!$J$2:$J$100,MATCH(C803,Produk!$A$2:$A$100,0)),"PRODUK?")))</f>
        <v/>
      </c>
      <c r="R803" s="29" t="str">
        <f aca="false">IF(A803="","",IF(COUNTIF(Anggota!$A$2:$A$2001,A803)=0,"TIDAK ADA","OK"))</f>
        <v/>
      </c>
      <c r="S803" s="29" t="str">
        <f aca="false">IF(H803="","",IF(OR(J803="",L803=""),"-",IF(ABS(H803-J803*L803)&gt;Info_Koperasi!$C$10,"SELISIH","OK")))</f>
        <v/>
      </c>
    </row>
    <row r="804" customFormat="false" ht="15" hidden="false" customHeight="false" outlineLevel="0" collapsed="false">
      <c r="A804" s="21"/>
      <c r="B804" s="22"/>
      <c r="C804" s="21"/>
      <c r="D804" s="21"/>
      <c r="E804" s="28"/>
      <c r="F804" s="24"/>
      <c r="G804" s="26"/>
      <c r="H804" s="24"/>
      <c r="I804" s="24"/>
      <c r="J804" s="24"/>
      <c r="K804" s="24"/>
      <c r="L804" s="26"/>
      <c r="M804" s="26"/>
      <c r="N804" s="22"/>
      <c r="O804" s="21"/>
      <c r="P804" s="22"/>
      <c r="Q804" s="29" t="str">
        <f aca="false">IF(C804="","",IF(O804&lt;&gt;"",O804,IFERROR(INDEX(Produk!$J$2:$J$100,MATCH(C804,Produk!$A$2:$A$100,0)),"PRODUK?")))</f>
        <v/>
      </c>
      <c r="R804" s="29" t="str">
        <f aca="false">IF(A804="","",IF(COUNTIF(Anggota!$A$2:$A$2001,A804)=0,"TIDAK ADA","OK"))</f>
        <v/>
      </c>
      <c r="S804" s="29" t="str">
        <f aca="false">IF(H804="","",IF(OR(J804="",L804=""),"-",IF(ABS(H804-J804*L804)&gt;Info_Koperasi!$C$10,"SELISIH","OK")))</f>
        <v/>
      </c>
    </row>
    <row r="805" customFormat="false" ht="15" hidden="false" customHeight="false" outlineLevel="0" collapsed="false">
      <c r="A805" s="21"/>
      <c r="B805" s="22"/>
      <c r="C805" s="21"/>
      <c r="D805" s="21"/>
      <c r="E805" s="28"/>
      <c r="F805" s="24"/>
      <c r="G805" s="26"/>
      <c r="H805" s="24"/>
      <c r="I805" s="24"/>
      <c r="J805" s="24"/>
      <c r="K805" s="24"/>
      <c r="L805" s="26"/>
      <c r="M805" s="26"/>
      <c r="N805" s="22"/>
      <c r="O805" s="21"/>
      <c r="P805" s="22"/>
      <c r="Q805" s="29" t="str">
        <f aca="false">IF(C805="","",IF(O805&lt;&gt;"",O805,IFERROR(INDEX(Produk!$J$2:$J$100,MATCH(C805,Produk!$A$2:$A$100,0)),"PRODUK?")))</f>
        <v/>
      </c>
      <c r="R805" s="29" t="str">
        <f aca="false">IF(A805="","",IF(COUNTIF(Anggota!$A$2:$A$2001,A805)=0,"TIDAK ADA","OK"))</f>
        <v/>
      </c>
      <c r="S805" s="29" t="str">
        <f aca="false">IF(H805="","",IF(OR(J805="",L805=""),"-",IF(ABS(H805-J805*L805)&gt;Info_Koperasi!$C$10,"SELISIH","OK")))</f>
        <v/>
      </c>
    </row>
    <row r="806" customFormat="false" ht="15" hidden="false" customHeight="false" outlineLevel="0" collapsed="false">
      <c r="A806" s="21"/>
      <c r="B806" s="22"/>
      <c r="C806" s="21"/>
      <c r="D806" s="21"/>
      <c r="E806" s="28"/>
      <c r="F806" s="24"/>
      <c r="G806" s="26"/>
      <c r="H806" s="24"/>
      <c r="I806" s="24"/>
      <c r="J806" s="24"/>
      <c r="K806" s="24"/>
      <c r="L806" s="26"/>
      <c r="M806" s="26"/>
      <c r="N806" s="22"/>
      <c r="O806" s="21"/>
      <c r="P806" s="22"/>
      <c r="Q806" s="29" t="str">
        <f aca="false">IF(C806="","",IF(O806&lt;&gt;"",O806,IFERROR(INDEX(Produk!$J$2:$J$100,MATCH(C806,Produk!$A$2:$A$100,0)),"PRODUK?")))</f>
        <v/>
      </c>
      <c r="R806" s="29" t="str">
        <f aca="false">IF(A806="","",IF(COUNTIF(Anggota!$A$2:$A$2001,A806)=0,"TIDAK ADA","OK"))</f>
        <v/>
      </c>
      <c r="S806" s="29" t="str">
        <f aca="false">IF(H806="","",IF(OR(J806="",L806=""),"-",IF(ABS(H806-J806*L806)&gt;Info_Koperasi!$C$10,"SELISIH","OK")))</f>
        <v/>
      </c>
    </row>
    <row r="807" customFormat="false" ht="15" hidden="false" customHeight="false" outlineLevel="0" collapsed="false">
      <c r="A807" s="21"/>
      <c r="B807" s="22"/>
      <c r="C807" s="21"/>
      <c r="D807" s="21"/>
      <c r="E807" s="28"/>
      <c r="F807" s="24"/>
      <c r="G807" s="26"/>
      <c r="H807" s="24"/>
      <c r="I807" s="24"/>
      <c r="J807" s="24"/>
      <c r="K807" s="24"/>
      <c r="L807" s="26"/>
      <c r="M807" s="26"/>
      <c r="N807" s="22"/>
      <c r="O807" s="21"/>
      <c r="P807" s="22"/>
      <c r="Q807" s="29" t="str">
        <f aca="false">IF(C807="","",IF(O807&lt;&gt;"",O807,IFERROR(INDEX(Produk!$J$2:$J$100,MATCH(C807,Produk!$A$2:$A$100,0)),"PRODUK?")))</f>
        <v/>
      </c>
      <c r="R807" s="29" t="str">
        <f aca="false">IF(A807="","",IF(COUNTIF(Anggota!$A$2:$A$2001,A807)=0,"TIDAK ADA","OK"))</f>
        <v/>
      </c>
      <c r="S807" s="29" t="str">
        <f aca="false">IF(H807="","",IF(OR(J807="",L807=""),"-",IF(ABS(H807-J807*L807)&gt;Info_Koperasi!$C$10,"SELISIH","OK")))</f>
        <v/>
      </c>
    </row>
    <row r="808" customFormat="false" ht="15" hidden="false" customHeight="false" outlineLevel="0" collapsed="false">
      <c r="A808" s="21"/>
      <c r="B808" s="22"/>
      <c r="C808" s="21"/>
      <c r="D808" s="21"/>
      <c r="E808" s="28"/>
      <c r="F808" s="24"/>
      <c r="G808" s="26"/>
      <c r="H808" s="24"/>
      <c r="I808" s="24"/>
      <c r="J808" s="24"/>
      <c r="K808" s="24"/>
      <c r="L808" s="26"/>
      <c r="M808" s="26"/>
      <c r="N808" s="22"/>
      <c r="O808" s="21"/>
      <c r="P808" s="22"/>
      <c r="Q808" s="29" t="str">
        <f aca="false">IF(C808="","",IF(O808&lt;&gt;"",O808,IFERROR(INDEX(Produk!$J$2:$J$100,MATCH(C808,Produk!$A$2:$A$100,0)),"PRODUK?")))</f>
        <v/>
      </c>
      <c r="R808" s="29" t="str">
        <f aca="false">IF(A808="","",IF(COUNTIF(Anggota!$A$2:$A$2001,A808)=0,"TIDAK ADA","OK"))</f>
        <v/>
      </c>
      <c r="S808" s="29" t="str">
        <f aca="false">IF(H808="","",IF(OR(J808="",L808=""),"-",IF(ABS(H808-J808*L808)&gt;Info_Koperasi!$C$10,"SELISIH","OK")))</f>
        <v/>
      </c>
    </row>
    <row r="809" customFormat="false" ht="15" hidden="false" customHeight="false" outlineLevel="0" collapsed="false">
      <c r="A809" s="21"/>
      <c r="B809" s="22"/>
      <c r="C809" s="21"/>
      <c r="D809" s="21"/>
      <c r="E809" s="28"/>
      <c r="F809" s="24"/>
      <c r="G809" s="26"/>
      <c r="H809" s="24"/>
      <c r="I809" s="24"/>
      <c r="J809" s="24"/>
      <c r="K809" s="24"/>
      <c r="L809" s="26"/>
      <c r="M809" s="26"/>
      <c r="N809" s="22"/>
      <c r="O809" s="21"/>
      <c r="P809" s="22"/>
      <c r="Q809" s="29" t="str">
        <f aca="false">IF(C809="","",IF(O809&lt;&gt;"",O809,IFERROR(INDEX(Produk!$J$2:$J$100,MATCH(C809,Produk!$A$2:$A$100,0)),"PRODUK?")))</f>
        <v/>
      </c>
      <c r="R809" s="29" t="str">
        <f aca="false">IF(A809="","",IF(COUNTIF(Anggota!$A$2:$A$2001,A809)=0,"TIDAK ADA","OK"))</f>
        <v/>
      </c>
      <c r="S809" s="29" t="str">
        <f aca="false">IF(H809="","",IF(OR(J809="",L809=""),"-",IF(ABS(H809-J809*L809)&gt;Info_Koperasi!$C$10,"SELISIH","OK")))</f>
        <v/>
      </c>
    </row>
    <row r="810" customFormat="false" ht="15" hidden="false" customHeight="false" outlineLevel="0" collapsed="false">
      <c r="A810" s="21"/>
      <c r="B810" s="22"/>
      <c r="C810" s="21"/>
      <c r="D810" s="21"/>
      <c r="E810" s="28"/>
      <c r="F810" s="24"/>
      <c r="G810" s="26"/>
      <c r="H810" s="24"/>
      <c r="I810" s="24"/>
      <c r="J810" s="24"/>
      <c r="K810" s="24"/>
      <c r="L810" s="26"/>
      <c r="M810" s="26"/>
      <c r="N810" s="22"/>
      <c r="O810" s="21"/>
      <c r="P810" s="22"/>
      <c r="Q810" s="29" t="str">
        <f aca="false">IF(C810="","",IF(O810&lt;&gt;"",O810,IFERROR(INDEX(Produk!$J$2:$J$100,MATCH(C810,Produk!$A$2:$A$100,0)),"PRODUK?")))</f>
        <v/>
      </c>
      <c r="R810" s="29" t="str">
        <f aca="false">IF(A810="","",IF(COUNTIF(Anggota!$A$2:$A$2001,A810)=0,"TIDAK ADA","OK"))</f>
        <v/>
      </c>
      <c r="S810" s="29" t="str">
        <f aca="false">IF(H810="","",IF(OR(J810="",L810=""),"-",IF(ABS(H810-J810*L810)&gt;Info_Koperasi!$C$10,"SELISIH","OK")))</f>
        <v/>
      </c>
    </row>
    <row r="811" customFormat="false" ht="15" hidden="false" customHeight="false" outlineLevel="0" collapsed="false">
      <c r="A811" s="21"/>
      <c r="B811" s="22"/>
      <c r="C811" s="21"/>
      <c r="D811" s="21"/>
      <c r="E811" s="28"/>
      <c r="F811" s="24"/>
      <c r="G811" s="26"/>
      <c r="H811" s="24"/>
      <c r="I811" s="24"/>
      <c r="J811" s="24"/>
      <c r="K811" s="24"/>
      <c r="L811" s="26"/>
      <c r="M811" s="26"/>
      <c r="N811" s="22"/>
      <c r="O811" s="21"/>
      <c r="P811" s="22"/>
      <c r="Q811" s="29" t="str">
        <f aca="false">IF(C811="","",IF(O811&lt;&gt;"",O811,IFERROR(INDEX(Produk!$J$2:$J$100,MATCH(C811,Produk!$A$2:$A$100,0)),"PRODUK?")))</f>
        <v/>
      </c>
      <c r="R811" s="29" t="str">
        <f aca="false">IF(A811="","",IF(COUNTIF(Anggota!$A$2:$A$2001,A811)=0,"TIDAK ADA","OK"))</f>
        <v/>
      </c>
      <c r="S811" s="29" t="str">
        <f aca="false">IF(H811="","",IF(OR(J811="",L811=""),"-",IF(ABS(H811-J811*L811)&gt;Info_Koperasi!$C$10,"SELISIH","OK")))</f>
        <v/>
      </c>
    </row>
    <row r="812" customFormat="false" ht="15" hidden="false" customHeight="false" outlineLevel="0" collapsed="false">
      <c r="A812" s="21"/>
      <c r="B812" s="22"/>
      <c r="C812" s="21"/>
      <c r="D812" s="21"/>
      <c r="E812" s="28"/>
      <c r="F812" s="24"/>
      <c r="G812" s="26"/>
      <c r="H812" s="24"/>
      <c r="I812" s="24"/>
      <c r="J812" s="24"/>
      <c r="K812" s="24"/>
      <c r="L812" s="26"/>
      <c r="M812" s="26"/>
      <c r="N812" s="22"/>
      <c r="O812" s="21"/>
      <c r="P812" s="22"/>
      <c r="Q812" s="29" t="str">
        <f aca="false">IF(C812="","",IF(O812&lt;&gt;"",O812,IFERROR(INDEX(Produk!$J$2:$J$100,MATCH(C812,Produk!$A$2:$A$100,0)),"PRODUK?")))</f>
        <v/>
      </c>
      <c r="R812" s="29" t="str">
        <f aca="false">IF(A812="","",IF(COUNTIF(Anggota!$A$2:$A$2001,A812)=0,"TIDAK ADA","OK"))</f>
        <v/>
      </c>
      <c r="S812" s="29" t="str">
        <f aca="false">IF(H812="","",IF(OR(J812="",L812=""),"-",IF(ABS(H812-J812*L812)&gt;Info_Koperasi!$C$10,"SELISIH","OK")))</f>
        <v/>
      </c>
    </row>
    <row r="813" customFormat="false" ht="15" hidden="false" customHeight="false" outlineLevel="0" collapsed="false">
      <c r="A813" s="21"/>
      <c r="B813" s="22"/>
      <c r="C813" s="21"/>
      <c r="D813" s="21"/>
      <c r="E813" s="28"/>
      <c r="F813" s="24"/>
      <c r="G813" s="26"/>
      <c r="H813" s="24"/>
      <c r="I813" s="24"/>
      <c r="J813" s="24"/>
      <c r="K813" s="24"/>
      <c r="L813" s="26"/>
      <c r="M813" s="26"/>
      <c r="N813" s="22"/>
      <c r="O813" s="21"/>
      <c r="P813" s="22"/>
      <c r="Q813" s="29" t="str">
        <f aca="false">IF(C813="","",IF(O813&lt;&gt;"",O813,IFERROR(INDEX(Produk!$J$2:$J$100,MATCH(C813,Produk!$A$2:$A$100,0)),"PRODUK?")))</f>
        <v/>
      </c>
      <c r="R813" s="29" t="str">
        <f aca="false">IF(A813="","",IF(COUNTIF(Anggota!$A$2:$A$2001,A813)=0,"TIDAK ADA","OK"))</f>
        <v/>
      </c>
      <c r="S813" s="29" t="str">
        <f aca="false">IF(H813="","",IF(OR(J813="",L813=""),"-",IF(ABS(H813-J813*L813)&gt;Info_Koperasi!$C$10,"SELISIH","OK")))</f>
        <v/>
      </c>
    </row>
    <row r="814" customFormat="false" ht="15" hidden="false" customHeight="false" outlineLevel="0" collapsed="false">
      <c r="A814" s="21"/>
      <c r="B814" s="22"/>
      <c r="C814" s="21"/>
      <c r="D814" s="21"/>
      <c r="E814" s="28"/>
      <c r="F814" s="24"/>
      <c r="G814" s="26"/>
      <c r="H814" s="24"/>
      <c r="I814" s="24"/>
      <c r="J814" s="24"/>
      <c r="K814" s="24"/>
      <c r="L814" s="26"/>
      <c r="M814" s="26"/>
      <c r="N814" s="22"/>
      <c r="O814" s="21"/>
      <c r="P814" s="22"/>
      <c r="Q814" s="29" t="str">
        <f aca="false">IF(C814="","",IF(O814&lt;&gt;"",O814,IFERROR(INDEX(Produk!$J$2:$J$100,MATCH(C814,Produk!$A$2:$A$100,0)),"PRODUK?")))</f>
        <v/>
      </c>
      <c r="R814" s="29" t="str">
        <f aca="false">IF(A814="","",IF(COUNTIF(Anggota!$A$2:$A$2001,A814)=0,"TIDAK ADA","OK"))</f>
        <v/>
      </c>
      <c r="S814" s="29" t="str">
        <f aca="false">IF(H814="","",IF(OR(J814="",L814=""),"-",IF(ABS(H814-J814*L814)&gt;Info_Koperasi!$C$10,"SELISIH","OK")))</f>
        <v/>
      </c>
    </row>
    <row r="815" customFormat="false" ht="15" hidden="false" customHeight="false" outlineLevel="0" collapsed="false">
      <c r="A815" s="21"/>
      <c r="B815" s="22"/>
      <c r="C815" s="21"/>
      <c r="D815" s="21"/>
      <c r="E815" s="28"/>
      <c r="F815" s="24"/>
      <c r="G815" s="26"/>
      <c r="H815" s="24"/>
      <c r="I815" s="24"/>
      <c r="J815" s="24"/>
      <c r="K815" s="24"/>
      <c r="L815" s="26"/>
      <c r="M815" s="26"/>
      <c r="N815" s="22"/>
      <c r="O815" s="21"/>
      <c r="P815" s="22"/>
      <c r="Q815" s="29" t="str">
        <f aca="false">IF(C815="","",IF(O815&lt;&gt;"",O815,IFERROR(INDEX(Produk!$J$2:$J$100,MATCH(C815,Produk!$A$2:$A$100,0)),"PRODUK?")))</f>
        <v/>
      </c>
      <c r="R815" s="29" t="str">
        <f aca="false">IF(A815="","",IF(COUNTIF(Anggota!$A$2:$A$2001,A815)=0,"TIDAK ADA","OK"))</f>
        <v/>
      </c>
      <c r="S815" s="29" t="str">
        <f aca="false">IF(H815="","",IF(OR(J815="",L815=""),"-",IF(ABS(H815-J815*L815)&gt;Info_Koperasi!$C$10,"SELISIH","OK")))</f>
        <v/>
      </c>
    </row>
    <row r="816" customFormat="false" ht="15" hidden="false" customHeight="false" outlineLevel="0" collapsed="false">
      <c r="A816" s="21"/>
      <c r="B816" s="22"/>
      <c r="C816" s="21"/>
      <c r="D816" s="21"/>
      <c r="E816" s="28"/>
      <c r="F816" s="24"/>
      <c r="G816" s="26"/>
      <c r="H816" s="24"/>
      <c r="I816" s="24"/>
      <c r="J816" s="24"/>
      <c r="K816" s="24"/>
      <c r="L816" s="26"/>
      <c r="M816" s="26"/>
      <c r="N816" s="22"/>
      <c r="O816" s="21"/>
      <c r="P816" s="22"/>
      <c r="Q816" s="29" t="str">
        <f aca="false">IF(C816="","",IF(O816&lt;&gt;"",O816,IFERROR(INDEX(Produk!$J$2:$J$100,MATCH(C816,Produk!$A$2:$A$100,0)),"PRODUK?")))</f>
        <v/>
      </c>
      <c r="R816" s="29" t="str">
        <f aca="false">IF(A816="","",IF(COUNTIF(Anggota!$A$2:$A$2001,A816)=0,"TIDAK ADA","OK"))</f>
        <v/>
      </c>
      <c r="S816" s="29" t="str">
        <f aca="false">IF(H816="","",IF(OR(J816="",L816=""),"-",IF(ABS(H816-J816*L816)&gt;Info_Koperasi!$C$10,"SELISIH","OK")))</f>
        <v/>
      </c>
    </row>
    <row r="817" customFormat="false" ht="15" hidden="false" customHeight="false" outlineLevel="0" collapsed="false">
      <c r="A817" s="21"/>
      <c r="B817" s="22"/>
      <c r="C817" s="21"/>
      <c r="D817" s="21"/>
      <c r="E817" s="28"/>
      <c r="F817" s="24"/>
      <c r="G817" s="26"/>
      <c r="H817" s="24"/>
      <c r="I817" s="24"/>
      <c r="J817" s="24"/>
      <c r="K817" s="24"/>
      <c r="L817" s="26"/>
      <c r="M817" s="26"/>
      <c r="N817" s="22"/>
      <c r="O817" s="21"/>
      <c r="P817" s="22"/>
      <c r="Q817" s="29" t="str">
        <f aca="false">IF(C817="","",IF(O817&lt;&gt;"",O817,IFERROR(INDEX(Produk!$J$2:$J$100,MATCH(C817,Produk!$A$2:$A$100,0)),"PRODUK?")))</f>
        <v/>
      </c>
      <c r="R817" s="29" t="str">
        <f aca="false">IF(A817="","",IF(COUNTIF(Anggota!$A$2:$A$2001,A817)=0,"TIDAK ADA","OK"))</f>
        <v/>
      </c>
      <c r="S817" s="29" t="str">
        <f aca="false">IF(H817="","",IF(OR(J817="",L817=""),"-",IF(ABS(H817-J817*L817)&gt;Info_Koperasi!$C$10,"SELISIH","OK")))</f>
        <v/>
      </c>
    </row>
    <row r="818" customFormat="false" ht="15" hidden="false" customHeight="false" outlineLevel="0" collapsed="false">
      <c r="A818" s="21"/>
      <c r="B818" s="22"/>
      <c r="C818" s="21"/>
      <c r="D818" s="21"/>
      <c r="E818" s="28"/>
      <c r="F818" s="24"/>
      <c r="G818" s="26"/>
      <c r="H818" s="24"/>
      <c r="I818" s="24"/>
      <c r="J818" s="24"/>
      <c r="K818" s="24"/>
      <c r="L818" s="26"/>
      <c r="M818" s="26"/>
      <c r="N818" s="22"/>
      <c r="O818" s="21"/>
      <c r="P818" s="22"/>
      <c r="Q818" s="29" t="str">
        <f aca="false">IF(C818="","",IF(O818&lt;&gt;"",O818,IFERROR(INDEX(Produk!$J$2:$J$100,MATCH(C818,Produk!$A$2:$A$100,0)),"PRODUK?")))</f>
        <v/>
      </c>
      <c r="R818" s="29" t="str">
        <f aca="false">IF(A818="","",IF(COUNTIF(Anggota!$A$2:$A$2001,A818)=0,"TIDAK ADA","OK"))</f>
        <v/>
      </c>
      <c r="S818" s="29" t="str">
        <f aca="false">IF(H818="","",IF(OR(J818="",L818=""),"-",IF(ABS(H818-J818*L818)&gt;Info_Koperasi!$C$10,"SELISIH","OK")))</f>
        <v/>
      </c>
    </row>
    <row r="819" customFormat="false" ht="15" hidden="false" customHeight="false" outlineLevel="0" collapsed="false">
      <c r="A819" s="21"/>
      <c r="B819" s="22"/>
      <c r="C819" s="21"/>
      <c r="D819" s="21"/>
      <c r="E819" s="28"/>
      <c r="F819" s="24"/>
      <c r="G819" s="26"/>
      <c r="H819" s="24"/>
      <c r="I819" s="24"/>
      <c r="J819" s="24"/>
      <c r="K819" s="24"/>
      <c r="L819" s="26"/>
      <c r="M819" s="26"/>
      <c r="N819" s="22"/>
      <c r="O819" s="21"/>
      <c r="P819" s="22"/>
      <c r="Q819" s="29" t="str">
        <f aca="false">IF(C819="","",IF(O819&lt;&gt;"",O819,IFERROR(INDEX(Produk!$J$2:$J$100,MATCH(C819,Produk!$A$2:$A$100,0)),"PRODUK?")))</f>
        <v/>
      </c>
      <c r="R819" s="29" t="str">
        <f aca="false">IF(A819="","",IF(COUNTIF(Anggota!$A$2:$A$2001,A819)=0,"TIDAK ADA","OK"))</f>
        <v/>
      </c>
      <c r="S819" s="29" t="str">
        <f aca="false">IF(H819="","",IF(OR(J819="",L819=""),"-",IF(ABS(H819-J819*L819)&gt;Info_Koperasi!$C$10,"SELISIH","OK")))</f>
        <v/>
      </c>
    </row>
    <row r="820" customFormat="false" ht="15" hidden="false" customHeight="false" outlineLevel="0" collapsed="false">
      <c r="A820" s="21"/>
      <c r="B820" s="22"/>
      <c r="C820" s="21"/>
      <c r="D820" s="21"/>
      <c r="E820" s="28"/>
      <c r="F820" s="24"/>
      <c r="G820" s="26"/>
      <c r="H820" s="24"/>
      <c r="I820" s="24"/>
      <c r="J820" s="24"/>
      <c r="K820" s="24"/>
      <c r="L820" s="26"/>
      <c r="M820" s="26"/>
      <c r="N820" s="22"/>
      <c r="O820" s="21"/>
      <c r="P820" s="22"/>
      <c r="Q820" s="29" t="str">
        <f aca="false">IF(C820="","",IF(O820&lt;&gt;"",O820,IFERROR(INDEX(Produk!$J$2:$J$100,MATCH(C820,Produk!$A$2:$A$100,0)),"PRODUK?")))</f>
        <v/>
      </c>
      <c r="R820" s="29" t="str">
        <f aca="false">IF(A820="","",IF(COUNTIF(Anggota!$A$2:$A$2001,A820)=0,"TIDAK ADA","OK"))</f>
        <v/>
      </c>
      <c r="S820" s="29" t="str">
        <f aca="false">IF(H820="","",IF(OR(J820="",L820=""),"-",IF(ABS(H820-J820*L820)&gt;Info_Koperasi!$C$10,"SELISIH","OK")))</f>
        <v/>
      </c>
    </row>
    <row r="821" customFormat="false" ht="15" hidden="false" customHeight="false" outlineLevel="0" collapsed="false">
      <c r="A821" s="21"/>
      <c r="B821" s="22"/>
      <c r="C821" s="21"/>
      <c r="D821" s="21"/>
      <c r="E821" s="28"/>
      <c r="F821" s="24"/>
      <c r="G821" s="26"/>
      <c r="H821" s="24"/>
      <c r="I821" s="24"/>
      <c r="J821" s="24"/>
      <c r="K821" s="24"/>
      <c r="L821" s="26"/>
      <c r="M821" s="26"/>
      <c r="N821" s="22"/>
      <c r="O821" s="21"/>
      <c r="P821" s="22"/>
      <c r="Q821" s="29" t="str">
        <f aca="false">IF(C821="","",IF(O821&lt;&gt;"",O821,IFERROR(INDEX(Produk!$J$2:$J$100,MATCH(C821,Produk!$A$2:$A$100,0)),"PRODUK?")))</f>
        <v/>
      </c>
      <c r="R821" s="29" t="str">
        <f aca="false">IF(A821="","",IF(COUNTIF(Anggota!$A$2:$A$2001,A821)=0,"TIDAK ADA","OK"))</f>
        <v/>
      </c>
      <c r="S821" s="29" t="str">
        <f aca="false">IF(H821="","",IF(OR(J821="",L821=""),"-",IF(ABS(H821-J821*L821)&gt;Info_Koperasi!$C$10,"SELISIH","OK")))</f>
        <v/>
      </c>
    </row>
    <row r="822" customFormat="false" ht="15" hidden="false" customHeight="false" outlineLevel="0" collapsed="false">
      <c r="A822" s="21"/>
      <c r="B822" s="22"/>
      <c r="C822" s="21"/>
      <c r="D822" s="21"/>
      <c r="E822" s="28"/>
      <c r="F822" s="24"/>
      <c r="G822" s="26"/>
      <c r="H822" s="24"/>
      <c r="I822" s="24"/>
      <c r="J822" s="24"/>
      <c r="K822" s="24"/>
      <c r="L822" s="26"/>
      <c r="M822" s="26"/>
      <c r="N822" s="22"/>
      <c r="O822" s="21"/>
      <c r="P822" s="22"/>
      <c r="Q822" s="29" t="str">
        <f aca="false">IF(C822="","",IF(O822&lt;&gt;"",O822,IFERROR(INDEX(Produk!$J$2:$J$100,MATCH(C822,Produk!$A$2:$A$100,0)),"PRODUK?")))</f>
        <v/>
      </c>
      <c r="R822" s="29" t="str">
        <f aca="false">IF(A822="","",IF(COUNTIF(Anggota!$A$2:$A$2001,A822)=0,"TIDAK ADA","OK"))</f>
        <v/>
      </c>
      <c r="S822" s="29" t="str">
        <f aca="false">IF(H822="","",IF(OR(J822="",L822=""),"-",IF(ABS(H822-J822*L822)&gt;Info_Koperasi!$C$10,"SELISIH","OK")))</f>
        <v/>
      </c>
    </row>
    <row r="823" customFormat="false" ht="15" hidden="false" customHeight="false" outlineLevel="0" collapsed="false">
      <c r="A823" s="21"/>
      <c r="B823" s="22"/>
      <c r="C823" s="21"/>
      <c r="D823" s="21"/>
      <c r="E823" s="28"/>
      <c r="F823" s="24"/>
      <c r="G823" s="26"/>
      <c r="H823" s="24"/>
      <c r="I823" s="24"/>
      <c r="J823" s="24"/>
      <c r="K823" s="24"/>
      <c r="L823" s="26"/>
      <c r="M823" s="26"/>
      <c r="N823" s="22"/>
      <c r="O823" s="21"/>
      <c r="P823" s="22"/>
      <c r="Q823" s="29" t="str">
        <f aca="false">IF(C823="","",IF(O823&lt;&gt;"",O823,IFERROR(INDEX(Produk!$J$2:$J$100,MATCH(C823,Produk!$A$2:$A$100,0)),"PRODUK?")))</f>
        <v/>
      </c>
      <c r="R823" s="29" t="str">
        <f aca="false">IF(A823="","",IF(COUNTIF(Anggota!$A$2:$A$2001,A823)=0,"TIDAK ADA","OK"))</f>
        <v/>
      </c>
      <c r="S823" s="29" t="str">
        <f aca="false">IF(H823="","",IF(OR(J823="",L823=""),"-",IF(ABS(H823-J823*L823)&gt;Info_Koperasi!$C$10,"SELISIH","OK")))</f>
        <v/>
      </c>
    </row>
    <row r="824" customFormat="false" ht="15" hidden="false" customHeight="false" outlineLevel="0" collapsed="false">
      <c r="A824" s="21"/>
      <c r="B824" s="22"/>
      <c r="C824" s="21"/>
      <c r="D824" s="21"/>
      <c r="E824" s="28"/>
      <c r="F824" s="24"/>
      <c r="G824" s="26"/>
      <c r="H824" s="24"/>
      <c r="I824" s="24"/>
      <c r="J824" s="24"/>
      <c r="K824" s="24"/>
      <c r="L824" s="26"/>
      <c r="M824" s="26"/>
      <c r="N824" s="22"/>
      <c r="O824" s="21"/>
      <c r="P824" s="22"/>
      <c r="Q824" s="29" t="str">
        <f aca="false">IF(C824="","",IF(O824&lt;&gt;"",O824,IFERROR(INDEX(Produk!$J$2:$J$100,MATCH(C824,Produk!$A$2:$A$100,0)),"PRODUK?")))</f>
        <v/>
      </c>
      <c r="R824" s="29" t="str">
        <f aca="false">IF(A824="","",IF(COUNTIF(Anggota!$A$2:$A$2001,A824)=0,"TIDAK ADA","OK"))</f>
        <v/>
      </c>
      <c r="S824" s="29" t="str">
        <f aca="false">IF(H824="","",IF(OR(J824="",L824=""),"-",IF(ABS(H824-J824*L824)&gt;Info_Koperasi!$C$10,"SELISIH","OK")))</f>
        <v/>
      </c>
    </row>
    <row r="825" customFormat="false" ht="15" hidden="false" customHeight="false" outlineLevel="0" collapsed="false">
      <c r="A825" s="21"/>
      <c r="B825" s="22"/>
      <c r="C825" s="21"/>
      <c r="D825" s="21"/>
      <c r="E825" s="28"/>
      <c r="F825" s="24"/>
      <c r="G825" s="26"/>
      <c r="H825" s="24"/>
      <c r="I825" s="24"/>
      <c r="J825" s="24"/>
      <c r="K825" s="24"/>
      <c r="L825" s="26"/>
      <c r="M825" s="26"/>
      <c r="N825" s="22"/>
      <c r="O825" s="21"/>
      <c r="P825" s="22"/>
      <c r="Q825" s="29" t="str">
        <f aca="false">IF(C825="","",IF(O825&lt;&gt;"",O825,IFERROR(INDEX(Produk!$J$2:$J$100,MATCH(C825,Produk!$A$2:$A$100,0)),"PRODUK?")))</f>
        <v/>
      </c>
      <c r="R825" s="29" t="str">
        <f aca="false">IF(A825="","",IF(COUNTIF(Anggota!$A$2:$A$2001,A825)=0,"TIDAK ADA","OK"))</f>
        <v/>
      </c>
      <c r="S825" s="29" t="str">
        <f aca="false">IF(H825="","",IF(OR(J825="",L825=""),"-",IF(ABS(H825-J825*L825)&gt;Info_Koperasi!$C$10,"SELISIH","OK")))</f>
        <v/>
      </c>
    </row>
    <row r="826" customFormat="false" ht="15" hidden="false" customHeight="false" outlineLevel="0" collapsed="false">
      <c r="A826" s="21"/>
      <c r="B826" s="22"/>
      <c r="C826" s="21"/>
      <c r="D826" s="21"/>
      <c r="E826" s="28"/>
      <c r="F826" s="24"/>
      <c r="G826" s="26"/>
      <c r="H826" s="24"/>
      <c r="I826" s="24"/>
      <c r="J826" s="24"/>
      <c r="K826" s="24"/>
      <c r="L826" s="26"/>
      <c r="M826" s="26"/>
      <c r="N826" s="22"/>
      <c r="O826" s="21"/>
      <c r="P826" s="22"/>
      <c r="Q826" s="29" t="str">
        <f aca="false">IF(C826="","",IF(O826&lt;&gt;"",O826,IFERROR(INDEX(Produk!$J$2:$J$100,MATCH(C826,Produk!$A$2:$A$100,0)),"PRODUK?")))</f>
        <v/>
      </c>
      <c r="R826" s="29" t="str">
        <f aca="false">IF(A826="","",IF(COUNTIF(Anggota!$A$2:$A$2001,A826)=0,"TIDAK ADA","OK"))</f>
        <v/>
      </c>
      <c r="S826" s="29" t="str">
        <f aca="false">IF(H826="","",IF(OR(J826="",L826=""),"-",IF(ABS(H826-J826*L826)&gt;Info_Koperasi!$C$10,"SELISIH","OK")))</f>
        <v/>
      </c>
    </row>
    <row r="827" customFormat="false" ht="15" hidden="false" customHeight="false" outlineLevel="0" collapsed="false">
      <c r="A827" s="21"/>
      <c r="B827" s="22"/>
      <c r="C827" s="21"/>
      <c r="D827" s="21"/>
      <c r="E827" s="28"/>
      <c r="F827" s="24"/>
      <c r="G827" s="26"/>
      <c r="H827" s="24"/>
      <c r="I827" s="24"/>
      <c r="J827" s="24"/>
      <c r="K827" s="24"/>
      <c r="L827" s="26"/>
      <c r="M827" s="26"/>
      <c r="N827" s="22"/>
      <c r="O827" s="21"/>
      <c r="P827" s="22"/>
      <c r="Q827" s="29" t="str">
        <f aca="false">IF(C827="","",IF(O827&lt;&gt;"",O827,IFERROR(INDEX(Produk!$J$2:$J$100,MATCH(C827,Produk!$A$2:$A$100,0)),"PRODUK?")))</f>
        <v/>
      </c>
      <c r="R827" s="29" t="str">
        <f aca="false">IF(A827="","",IF(COUNTIF(Anggota!$A$2:$A$2001,A827)=0,"TIDAK ADA","OK"))</f>
        <v/>
      </c>
      <c r="S827" s="29" t="str">
        <f aca="false">IF(H827="","",IF(OR(J827="",L827=""),"-",IF(ABS(H827-J827*L827)&gt;Info_Koperasi!$C$10,"SELISIH","OK")))</f>
        <v/>
      </c>
    </row>
    <row r="828" customFormat="false" ht="15" hidden="false" customHeight="false" outlineLevel="0" collapsed="false">
      <c r="A828" s="21"/>
      <c r="B828" s="22"/>
      <c r="C828" s="21"/>
      <c r="D828" s="21"/>
      <c r="E828" s="28"/>
      <c r="F828" s="24"/>
      <c r="G828" s="26"/>
      <c r="H828" s="24"/>
      <c r="I828" s="24"/>
      <c r="J828" s="24"/>
      <c r="K828" s="24"/>
      <c r="L828" s="26"/>
      <c r="M828" s="26"/>
      <c r="N828" s="22"/>
      <c r="O828" s="21"/>
      <c r="P828" s="22"/>
      <c r="Q828" s="29" t="str">
        <f aca="false">IF(C828="","",IF(O828&lt;&gt;"",O828,IFERROR(INDEX(Produk!$J$2:$J$100,MATCH(C828,Produk!$A$2:$A$100,0)),"PRODUK?")))</f>
        <v/>
      </c>
      <c r="R828" s="29" t="str">
        <f aca="false">IF(A828="","",IF(COUNTIF(Anggota!$A$2:$A$2001,A828)=0,"TIDAK ADA","OK"))</f>
        <v/>
      </c>
      <c r="S828" s="29" t="str">
        <f aca="false">IF(H828="","",IF(OR(J828="",L828=""),"-",IF(ABS(H828-J828*L828)&gt;Info_Koperasi!$C$10,"SELISIH","OK")))</f>
        <v/>
      </c>
    </row>
    <row r="829" customFormat="false" ht="15" hidden="false" customHeight="false" outlineLevel="0" collapsed="false">
      <c r="A829" s="21"/>
      <c r="B829" s="22"/>
      <c r="C829" s="21"/>
      <c r="D829" s="21"/>
      <c r="E829" s="28"/>
      <c r="F829" s="24"/>
      <c r="G829" s="26"/>
      <c r="H829" s="24"/>
      <c r="I829" s="24"/>
      <c r="J829" s="24"/>
      <c r="K829" s="24"/>
      <c r="L829" s="26"/>
      <c r="M829" s="26"/>
      <c r="N829" s="22"/>
      <c r="O829" s="21"/>
      <c r="P829" s="22"/>
      <c r="Q829" s="29" t="str">
        <f aca="false">IF(C829="","",IF(O829&lt;&gt;"",O829,IFERROR(INDEX(Produk!$J$2:$J$100,MATCH(C829,Produk!$A$2:$A$100,0)),"PRODUK?")))</f>
        <v/>
      </c>
      <c r="R829" s="29" t="str">
        <f aca="false">IF(A829="","",IF(COUNTIF(Anggota!$A$2:$A$2001,A829)=0,"TIDAK ADA","OK"))</f>
        <v/>
      </c>
      <c r="S829" s="29" t="str">
        <f aca="false">IF(H829="","",IF(OR(J829="",L829=""),"-",IF(ABS(H829-J829*L829)&gt;Info_Koperasi!$C$10,"SELISIH","OK")))</f>
        <v/>
      </c>
    </row>
    <row r="830" customFormat="false" ht="15" hidden="false" customHeight="false" outlineLevel="0" collapsed="false">
      <c r="A830" s="21"/>
      <c r="B830" s="22"/>
      <c r="C830" s="21"/>
      <c r="D830" s="21"/>
      <c r="E830" s="28"/>
      <c r="F830" s="24"/>
      <c r="G830" s="26"/>
      <c r="H830" s="24"/>
      <c r="I830" s="24"/>
      <c r="J830" s="24"/>
      <c r="K830" s="24"/>
      <c r="L830" s="26"/>
      <c r="M830" s="26"/>
      <c r="N830" s="22"/>
      <c r="O830" s="21"/>
      <c r="P830" s="22"/>
      <c r="Q830" s="29" t="str">
        <f aca="false">IF(C830="","",IF(O830&lt;&gt;"",O830,IFERROR(INDEX(Produk!$J$2:$J$100,MATCH(C830,Produk!$A$2:$A$100,0)),"PRODUK?")))</f>
        <v/>
      </c>
      <c r="R830" s="29" t="str">
        <f aca="false">IF(A830="","",IF(COUNTIF(Anggota!$A$2:$A$2001,A830)=0,"TIDAK ADA","OK"))</f>
        <v/>
      </c>
      <c r="S830" s="29" t="str">
        <f aca="false">IF(H830="","",IF(OR(J830="",L830=""),"-",IF(ABS(H830-J830*L830)&gt;Info_Koperasi!$C$10,"SELISIH","OK")))</f>
        <v/>
      </c>
    </row>
    <row r="831" customFormat="false" ht="15" hidden="false" customHeight="false" outlineLevel="0" collapsed="false">
      <c r="A831" s="21"/>
      <c r="B831" s="22"/>
      <c r="C831" s="21"/>
      <c r="D831" s="21"/>
      <c r="E831" s="28"/>
      <c r="F831" s="24"/>
      <c r="G831" s="26"/>
      <c r="H831" s="24"/>
      <c r="I831" s="24"/>
      <c r="J831" s="24"/>
      <c r="K831" s="24"/>
      <c r="L831" s="26"/>
      <c r="M831" s="26"/>
      <c r="N831" s="22"/>
      <c r="O831" s="21"/>
      <c r="P831" s="22"/>
      <c r="Q831" s="29" t="str">
        <f aca="false">IF(C831="","",IF(O831&lt;&gt;"",O831,IFERROR(INDEX(Produk!$J$2:$J$100,MATCH(C831,Produk!$A$2:$A$100,0)),"PRODUK?")))</f>
        <v/>
      </c>
      <c r="R831" s="29" t="str">
        <f aca="false">IF(A831="","",IF(COUNTIF(Anggota!$A$2:$A$2001,A831)=0,"TIDAK ADA","OK"))</f>
        <v/>
      </c>
      <c r="S831" s="29" t="str">
        <f aca="false">IF(H831="","",IF(OR(J831="",L831=""),"-",IF(ABS(H831-J831*L831)&gt;Info_Koperasi!$C$10,"SELISIH","OK")))</f>
        <v/>
      </c>
    </row>
    <row r="832" customFormat="false" ht="15" hidden="false" customHeight="false" outlineLevel="0" collapsed="false">
      <c r="A832" s="21"/>
      <c r="B832" s="22"/>
      <c r="C832" s="21"/>
      <c r="D832" s="21"/>
      <c r="E832" s="28"/>
      <c r="F832" s="24"/>
      <c r="G832" s="26"/>
      <c r="H832" s="24"/>
      <c r="I832" s="24"/>
      <c r="J832" s="24"/>
      <c r="K832" s="24"/>
      <c r="L832" s="26"/>
      <c r="M832" s="26"/>
      <c r="N832" s="22"/>
      <c r="O832" s="21"/>
      <c r="P832" s="22"/>
      <c r="Q832" s="29" t="str">
        <f aca="false">IF(C832="","",IF(O832&lt;&gt;"",O832,IFERROR(INDEX(Produk!$J$2:$J$100,MATCH(C832,Produk!$A$2:$A$100,0)),"PRODUK?")))</f>
        <v/>
      </c>
      <c r="R832" s="29" t="str">
        <f aca="false">IF(A832="","",IF(COUNTIF(Anggota!$A$2:$A$2001,A832)=0,"TIDAK ADA","OK"))</f>
        <v/>
      </c>
      <c r="S832" s="29" t="str">
        <f aca="false">IF(H832="","",IF(OR(J832="",L832=""),"-",IF(ABS(H832-J832*L832)&gt;Info_Koperasi!$C$10,"SELISIH","OK")))</f>
        <v/>
      </c>
    </row>
    <row r="833" customFormat="false" ht="15" hidden="false" customHeight="false" outlineLevel="0" collapsed="false">
      <c r="A833" s="21"/>
      <c r="B833" s="22"/>
      <c r="C833" s="21"/>
      <c r="D833" s="21"/>
      <c r="E833" s="28"/>
      <c r="F833" s="24"/>
      <c r="G833" s="26"/>
      <c r="H833" s="24"/>
      <c r="I833" s="24"/>
      <c r="J833" s="24"/>
      <c r="K833" s="24"/>
      <c r="L833" s="26"/>
      <c r="M833" s="26"/>
      <c r="N833" s="22"/>
      <c r="O833" s="21"/>
      <c r="P833" s="22"/>
      <c r="Q833" s="29" t="str">
        <f aca="false">IF(C833="","",IF(O833&lt;&gt;"",O833,IFERROR(INDEX(Produk!$J$2:$J$100,MATCH(C833,Produk!$A$2:$A$100,0)),"PRODUK?")))</f>
        <v/>
      </c>
      <c r="R833" s="29" t="str">
        <f aca="false">IF(A833="","",IF(COUNTIF(Anggota!$A$2:$A$2001,A833)=0,"TIDAK ADA","OK"))</f>
        <v/>
      </c>
      <c r="S833" s="29" t="str">
        <f aca="false">IF(H833="","",IF(OR(J833="",L833=""),"-",IF(ABS(H833-J833*L833)&gt;Info_Koperasi!$C$10,"SELISIH","OK")))</f>
        <v/>
      </c>
    </row>
    <row r="834" customFormat="false" ht="15" hidden="false" customHeight="false" outlineLevel="0" collapsed="false">
      <c r="A834" s="21"/>
      <c r="B834" s="22"/>
      <c r="C834" s="21"/>
      <c r="D834" s="21"/>
      <c r="E834" s="28"/>
      <c r="F834" s="24"/>
      <c r="G834" s="26"/>
      <c r="H834" s="24"/>
      <c r="I834" s="24"/>
      <c r="J834" s="24"/>
      <c r="K834" s="24"/>
      <c r="L834" s="26"/>
      <c r="M834" s="26"/>
      <c r="N834" s="22"/>
      <c r="O834" s="21"/>
      <c r="P834" s="22"/>
      <c r="Q834" s="29" t="str">
        <f aca="false">IF(C834="","",IF(O834&lt;&gt;"",O834,IFERROR(INDEX(Produk!$J$2:$J$100,MATCH(C834,Produk!$A$2:$A$100,0)),"PRODUK?")))</f>
        <v/>
      </c>
      <c r="R834" s="29" t="str">
        <f aca="false">IF(A834="","",IF(COUNTIF(Anggota!$A$2:$A$2001,A834)=0,"TIDAK ADA","OK"))</f>
        <v/>
      </c>
      <c r="S834" s="29" t="str">
        <f aca="false">IF(H834="","",IF(OR(J834="",L834=""),"-",IF(ABS(H834-J834*L834)&gt;Info_Koperasi!$C$10,"SELISIH","OK")))</f>
        <v/>
      </c>
    </row>
    <row r="835" customFormat="false" ht="15" hidden="false" customHeight="false" outlineLevel="0" collapsed="false">
      <c r="A835" s="21"/>
      <c r="B835" s="22"/>
      <c r="C835" s="21"/>
      <c r="D835" s="21"/>
      <c r="E835" s="28"/>
      <c r="F835" s="24"/>
      <c r="G835" s="26"/>
      <c r="H835" s="24"/>
      <c r="I835" s="24"/>
      <c r="J835" s="24"/>
      <c r="K835" s="24"/>
      <c r="L835" s="26"/>
      <c r="M835" s="26"/>
      <c r="N835" s="22"/>
      <c r="O835" s="21"/>
      <c r="P835" s="22"/>
      <c r="Q835" s="29" t="str">
        <f aca="false">IF(C835="","",IF(O835&lt;&gt;"",O835,IFERROR(INDEX(Produk!$J$2:$J$100,MATCH(C835,Produk!$A$2:$A$100,0)),"PRODUK?")))</f>
        <v/>
      </c>
      <c r="R835" s="29" t="str">
        <f aca="false">IF(A835="","",IF(COUNTIF(Anggota!$A$2:$A$2001,A835)=0,"TIDAK ADA","OK"))</f>
        <v/>
      </c>
      <c r="S835" s="29" t="str">
        <f aca="false">IF(H835="","",IF(OR(J835="",L835=""),"-",IF(ABS(H835-J835*L835)&gt;Info_Koperasi!$C$10,"SELISIH","OK")))</f>
        <v/>
      </c>
    </row>
    <row r="836" customFormat="false" ht="15" hidden="false" customHeight="false" outlineLevel="0" collapsed="false">
      <c r="A836" s="21"/>
      <c r="B836" s="22"/>
      <c r="C836" s="21"/>
      <c r="D836" s="21"/>
      <c r="E836" s="28"/>
      <c r="F836" s="24"/>
      <c r="G836" s="26"/>
      <c r="H836" s="24"/>
      <c r="I836" s="24"/>
      <c r="J836" s="24"/>
      <c r="K836" s="24"/>
      <c r="L836" s="26"/>
      <c r="M836" s="26"/>
      <c r="N836" s="22"/>
      <c r="O836" s="21"/>
      <c r="P836" s="22"/>
      <c r="Q836" s="29" t="str">
        <f aca="false">IF(C836="","",IF(O836&lt;&gt;"",O836,IFERROR(INDEX(Produk!$J$2:$J$100,MATCH(C836,Produk!$A$2:$A$100,0)),"PRODUK?")))</f>
        <v/>
      </c>
      <c r="R836" s="29" t="str">
        <f aca="false">IF(A836="","",IF(COUNTIF(Anggota!$A$2:$A$2001,A836)=0,"TIDAK ADA","OK"))</f>
        <v/>
      </c>
      <c r="S836" s="29" t="str">
        <f aca="false">IF(H836="","",IF(OR(J836="",L836=""),"-",IF(ABS(H836-J836*L836)&gt;Info_Koperasi!$C$10,"SELISIH","OK")))</f>
        <v/>
      </c>
    </row>
    <row r="837" customFormat="false" ht="15" hidden="false" customHeight="false" outlineLevel="0" collapsed="false">
      <c r="A837" s="21"/>
      <c r="B837" s="22"/>
      <c r="C837" s="21"/>
      <c r="D837" s="21"/>
      <c r="E837" s="28"/>
      <c r="F837" s="24"/>
      <c r="G837" s="26"/>
      <c r="H837" s="24"/>
      <c r="I837" s="24"/>
      <c r="J837" s="24"/>
      <c r="K837" s="24"/>
      <c r="L837" s="26"/>
      <c r="M837" s="26"/>
      <c r="N837" s="22"/>
      <c r="O837" s="21"/>
      <c r="P837" s="22"/>
      <c r="Q837" s="29" t="str">
        <f aca="false">IF(C837="","",IF(O837&lt;&gt;"",O837,IFERROR(INDEX(Produk!$J$2:$J$100,MATCH(C837,Produk!$A$2:$A$100,0)),"PRODUK?")))</f>
        <v/>
      </c>
      <c r="R837" s="29" t="str">
        <f aca="false">IF(A837="","",IF(COUNTIF(Anggota!$A$2:$A$2001,A837)=0,"TIDAK ADA","OK"))</f>
        <v/>
      </c>
      <c r="S837" s="29" t="str">
        <f aca="false">IF(H837="","",IF(OR(J837="",L837=""),"-",IF(ABS(H837-J837*L837)&gt;Info_Koperasi!$C$10,"SELISIH","OK")))</f>
        <v/>
      </c>
    </row>
    <row r="838" customFormat="false" ht="15" hidden="false" customHeight="false" outlineLevel="0" collapsed="false">
      <c r="A838" s="21"/>
      <c r="B838" s="22"/>
      <c r="C838" s="21"/>
      <c r="D838" s="21"/>
      <c r="E838" s="28"/>
      <c r="F838" s="24"/>
      <c r="G838" s="26"/>
      <c r="H838" s="24"/>
      <c r="I838" s="24"/>
      <c r="J838" s="24"/>
      <c r="K838" s="24"/>
      <c r="L838" s="26"/>
      <c r="M838" s="26"/>
      <c r="N838" s="22"/>
      <c r="O838" s="21"/>
      <c r="P838" s="22"/>
      <c r="Q838" s="29" t="str">
        <f aca="false">IF(C838="","",IF(O838&lt;&gt;"",O838,IFERROR(INDEX(Produk!$J$2:$J$100,MATCH(C838,Produk!$A$2:$A$100,0)),"PRODUK?")))</f>
        <v/>
      </c>
      <c r="R838" s="29" t="str">
        <f aca="false">IF(A838="","",IF(COUNTIF(Anggota!$A$2:$A$2001,A838)=0,"TIDAK ADA","OK"))</f>
        <v/>
      </c>
      <c r="S838" s="29" t="str">
        <f aca="false">IF(H838="","",IF(OR(J838="",L838=""),"-",IF(ABS(H838-J838*L838)&gt;Info_Koperasi!$C$10,"SELISIH","OK")))</f>
        <v/>
      </c>
    </row>
    <row r="839" customFormat="false" ht="15" hidden="false" customHeight="false" outlineLevel="0" collapsed="false">
      <c r="A839" s="21"/>
      <c r="B839" s="22"/>
      <c r="C839" s="21"/>
      <c r="D839" s="21"/>
      <c r="E839" s="28"/>
      <c r="F839" s="24"/>
      <c r="G839" s="26"/>
      <c r="H839" s="24"/>
      <c r="I839" s="24"/>
      <c r="J839" s="24"/>
      <c r="K839" s="24"/>
      <c r="L839" s="26"/>
      <c r="M839" s="26"/>
      <c r="N839" s="22"/>
      <c r="O839" s="21"/>
      <c r="P839" s="22"/>
      <c r="Q839" s="29" t="str">
        <f aca="false">IF(C839="","",IF(O839&lt;&gt;"",O839,IFERROR(INDEX(Produk!$J$2:$J$100,MATCH(C839,Produk!$A$2:$A$100,0)),"PRODUK?")))</f>
        <v/>
      </c>
      <c r="R839" s="29" t="str">
        <f aca="false">IF(A839="","",IF(COUNTIF(Anggota!$A$2:$A$2001,A839)=0,"TIDAK ADA","OK"))</f>
        <v/>
      </c>
      <c r="S839" s="29" t="str">
        <f aca="false">IF(H839="","",IF(OR(J839="",L839=""),"-",IF(ABS(H839-J839*L839)&gt;Info_Koperasi!$C$10,"SELISIH","OK")))</f>
        <v/>
      </c>
    </row>
    <row r="840" customFormat="false" ht="15" hidden="false" customHeight="false" outlineLevel="0" collapsed="false">
      <c r="A840" s="21"/>
      <c r="B840" s="22"/>
      <c r="C840" s="21"/>
      <c r="D840" s="21"/>
      <c r="E840" s="28"/>
      <c r="F840" s="24"/>
      <c r="G840" s="26"/>
      <c r="H840" s="24"/>
      <c r="I840" s="24"/>
      <c r="J840" s="24"/>
      <c r="K840" s="24"/>
      <c r="L840" s="26"/>
      <c r="M840" s="26"/>
      <c r="N840" s="22"/>
      <c r="O840" s="21"/>
      <c r="P840" s="22"/>
      <c r="Q840" s="29" t="str">
        <f aca="false">IF(C840="","",IF(O840&lt;&gt;"",O840,IFERROR(INDEX(Produk!$J$2:$J$100,MATCH(C840,Produk!$A$2:$A$100,0)),"PRODUK?")))</f>
        <v/>
      </c>
      <c r="R840" s="29" t="str">
        <f aca="false">IF(A840="","",IF(COUNTIF(Anggota!$A$2:$A$2001,A840)=0,"TIDAK ADA","OK"))</f>
        <v/>
      </c>
      <c r="S840" s="29" t="str">
        <f aca="false">IF(H840="","",IF(OR(J840="",L840=""),"-",IF(ABS(H840-J840*L840)&gt;Info_Koperasi!$C$10,"SELISIH","OK")))</f>
        <v/>
      </c>
    </row>
    <row r="841" customFormat="false" ht="15" hidden="false" customHeight="false" outlineLevel="0" collapsed="false">
      <c r="A841" s="21"/>
      <c r="B841" s="22"/>
      <c r="C841" s="21"/>
      <c r="D841" s="21"/>
      <c r="E841" s="28"/>
      <c r="F841" s="24"/>
      <c r="G841" s="26"/>
      <c r="H841" s="24"/>
      <c r="I841" s="24"/>
      <c r="J841" s="24"/>
      <c r="K841" s="24"/>
      <c r="L841" s="26"/>
      <c r="M841" s="26"/>
      <c r="N841" s="22"/>
      <c r="O841" s="21"/>
      <c r="P841" s="22"/>
      <c r="Q841" s="29" t="str">
        <f aca="false">IF(C841="","",IF(O841&lt;&gt;"",O841,IFERROR(INDEX(Produk!$J$2:$J$100,MATCH(C841,Produk!$A$2:$A$100,0)),"PRODUK?")))</f>
        <v/>
      </c>
      <c r="R841" s="29" t="str">
        <f aca="false">IF(A841="","",IF(COUNTIF(Anggota!$A$2:$A$2001,A841)=0,"TIDAK ADA","OK"))</f>
        <v/>
      </c>
      <c r="S841" s="29" t="str">
        <f aca="false">IF(H841="","",IF(OR(J841="",L841=""),"-",IF(ABS(H841-J841*L841)&gt;Info_Koperasi!$C$10,"SELISIH","OK")))</f>
        <v/>
      </c>
    </row>
    <row r="842" customFormat="false" ht="15" hidden="false" customHeight="false" outlineLevel="0" collapsed="false">
      <c r="A842" s="21"/>
      <c r="B842" s="22"/>
      <c r="C842" s="21"/>
      <c r="D842" s="21"/>
      <c r="E842" s="28"/>
      <c r="F842" s="24"/>
      <c r="G842" s="26"/>
      <c r="H842" s="24"/>
      <c r="I842" s="24"/>
      <c r="J842" s="24"/>
      <c r="K842" s="24"/>
      <c r="L842" s="26"/>
      <c r="M842" s="26"/>
      <c r="N842" s="22"/>
      <c r="O842" s="21"/>
      <c r="P842" s="22"/>
      <c r="Q842" s="29" t="str">
        <f aca="false">IF(C842="","",IF(O842&lt;&gt;"",O842,IFERROR(INDEX(Produk!$J$2:$J$100,MATCH(C842,Produk!$A$2:$A$100,0)),"PRODUK?")))</f>
        <v/>
      </c>
      <c r="R842" s="29" t="str">
        <f aca="false">IF(A842="","",IF(COUNTIF(Anggota!$A$2:$A$2001,A842)=0,"TIDAK ADA","OK"))</f>
        <v/>
      </c>
      <c r="S842" s="29" t="str">
        <f aca="false">IF(H842="","",IF(OR(J842="",L842=""),"-",IF(ABS(H842-J842*L842)&gt;Info_Koperasi!$C$10,"SELISIH","OK")))</f>
        <v/>
      </c>
    </row>
    <row r="843" customFormat="false" ht="15" hidden="false" customHeight="false" outlineLevel="0" collapsed="false">
      <c r="A843" s="21"/>
      <c r="B843" s="22"/>
      <c r="C843" s="21"/>
      <c r="D843" s="21"/>
      <c r="E843" s="28"/>
      <c r="F843" s="24"/>
      <c r="G843" s="26"/>
      <c r="H843" s="24"/>
      <c r="I843" s="24"/>
      <c r="J843" s="24"/>
      <c r="K843" s="24"/>
      <c r="L843" s="26"/>
      <c r="M843" s="26"/>
      <c r="N843" s="22"/>
      <c r="O843" s="21"/>
      <c r="P843" s="22"/>
      <c r="Q843" s="29" t="str">
        <f aca="false">IF(C843="","",IF(O843&lt;&gt;"",O843,IFERROR(INDEX(Produk!$J$2:$J$100,MATCH(C843,Produk!$A$2:$A$100,0)),"PRODUK?")))</f>
        <v/>
      </c>
      <c r="R843" s="29" t="str">
        <f aca="false">IF(A843="","",IF(COUNTIF(Anggota!$A$2:$A$2001,A843)=0,"TIDAK ADA","OK"))</f>
        <v/>
      </c>
      <c r="S843" s="29" t="str">
        <f aca="false">IF(H843="","",IF(OR(J843="",L843=""),"-",IF(ABS(H843-J843*L843)&gt;Info_Koperasi!$C$10,"SELISIH","OK")))</f>
        <v/>
      </c>
    </row>
    <row r="844" customFormat="false" ht="15" hidden="false" customHeight="false" outlineLevel="0" collapsed="false">
      <c r="A844" s="21"/>
      <c r="B844" s="22"/>
      <c r="C844" s="21"/>
      <c r="D844" s="21"/>
      <c r="E844" s="28"/>
      <c r="F844" s="24"/>
      <c r="G844" s="26"/>
      <c r="H844" s="24"/>
      <c r="I844" s="24"/>
      <c r="J844" s="24"/>
      <c r="K844" s="24"/>
      <c r="L844" s="26"/>
      <c r="M844" s="26"/>
      <c r="N844" s="22"/>
      <c r="O844" s="21"/>
      <c r="P844" s="22"/>
      <c r="Q844" s="29" t="str">
        <f aca="false">IF(C844="","",IF(O844&lt;&gt;"",O844,IFERROR(INDEX(Produk!$J$2:$J$100,MATCH(C844,Produk!$A$2:$A$100,0)),"PRODUK?")))</f>
        <v/>
      </c>
      <c r="R844" s="29" t="str">
        <f aca="false">IF(A844="","",IF(COUNTIF(Anggota!$A$2:$A$2001,A844)=0,"TIDAK ADA","OK"))</f>
        <v/>
      </c>
      <c r="S844" s="29" t="str">
        <f aca="false">IF(H844="","",IF(OR(J844="",L844=""),"-",IF(ABS(H844-J844*L844)&gt;Info_Koperasi!$C$10,"SELISIH","OK")))</f>
        <v/>
      </c>
    </row>
    <row r="845" customFormat="false" ht="15" hidden="false" customHeight="false" outlineLevel="0" collapsed="false">
      <c r="A845" s="21"/>
      <c r="B845" s="22"/>
      <c r="C845" s="21"/>
      <c r="D845" s="21"/>
      <c r="E845" s="28"/>
      <c r="F845" s="24"/>
      <c r="G845" s="26"/>
      <c r="H845" s="24"/>
      <c r="I845" s="24"/>
      <c r="J845" s="24"/>
      <c r="K845" s="24"/>
      <c r="L845" s="26"/>
      <c r="M845" s="26"/>
      <c r="N845" s="22"/>
      <c r="O845" s="21"/>
      <c r="P845" s="22"/>
      <c r="Q845" s="29" t="str">
        <f aca="false">IF(C845="","",IF(O845&lt;&gt;"",O845,IFERROR(INDEX(Produk!$J$2:$J$100,MATCH(C845,Produk!$A$2:$A$100,0)),"PRODUK?")))</f>
        <v/>
      </c>
      <c r="R845" s="29" t="str">
        <f aca="false">IF(A845="","",IF(COUNTIF(Anggota!$A$2:$A$2001,A845)=0,"TIDAK ADA","OK"))</f>
        <v/>
      </c>
      <c r="S845" s="29" t="str">
        <f aca="false">IF(H845="","",IF(OR(J845="",L845=""),"-",IF(ABS(H845-J845*L845)&gt;Info_Koperasi!$C$10,"SELISIH","OK")))</f>
        <v/>
      </c>
    </row>
    <row r="846" customFormat="false" ht="15" hidden="false" customHeight="false" outlineLevel="0" collapsed="false">
      <c r="A846" s="21"/>
      <c r="B846" s="22"/>
      <c r="C846" s="21"/>
      <c r="D846" s="21"/>
      <c r="E846" s="28"/>
      <c r="F846" s="24"/>
      <c r="G846" s="26"/>
      <c r="H846" s="24"/>
      <c r="I846" s="24"/>
      <c r="J846" s="24"/>
      <c r="K846" s="24"/>
      <c r="L846" s="26"/>
      <c r="M846" s="26"/>
      <c r="N846" s="22"/>
      <c r="O846" s="21"/>
      <c r="P846" s="22"/>
      <c r="Q846" s="29" t="str">
        <f aca="false">IF(C846="","",IF(O846&lt;&gt;"",O846,IFERROR(INDEX(Produk!$J$2:$J$100,MATCH(C846,Produk!$A$2:$A$100,0)),"PRODUK?")))</f>
        <v/>
      </c>
      <c r="R846" s="29" t="str">
        <f aca="false">IF(A846="","",IF(COUNTIF(Anggota!$A$2:$A$2001,A846)=0,"TIDAK ADA","OK"))</f>
        <v/>
      </c>
      <c r="S846" s="29" t="str">
        <f aca="false">IF(H846="","",IF(OR(J846="",L846=""),"-",IF(ABS(H846-J846*L846)&gt;Info_Koperasi!$C$10,"SELISIH","OK")))</f>
        <v/>
      </c>
    </row>
    <row r="847" customFormat="false" ht="15" hidden="false" customHeight="false" outlineLevel="0" collapsed="false">
      <c r="A847" s="21"/>
      <c r="B847" s="22"/>
      <c r="C847" s="21"/>
      <c r="D847" s="21"/>
      <c r="E847" s="28"/>
      <c r="F847" s="24"/>
      <c r="G847" s="26"/>
      <c r="H847" s="24"/>
      <c r="I847" s="24"/>
      <c r="J847" s="24"/>
      <c r="K847" s="24"/>
      <c r="L847" s="26"/>
      <c r="M847" s="26"/>
      <c r="N847" s="22"/>
      <c r="O847" s="21"/>
      <c r="P847" s="22"/>
      <c r="Q847" s="29" t="str">
        <f aca="false">IF(C847="","",IF(O847&lt;&gt;"",O847,IFERROR(INDEX(Produk!$J$2:$J$100,MATCH(C847,Produk!$A$2:$A$100,0)),"PRODUK?")))</f>
        <v/>
      </c>
      <c r="R847" s="29" t="str">
        <f aca="false">IF(A847="","",IF(COUNTIF(Anggota!$A$2:$A$2001,A847)=0,"TIDAK ADA","OK"))</f>
        <v/>
      </c>
      <c r="S847" s="29" t="str">
        <f aca="false">IF(H847="","",IF(OR(J847="",L847=""),"-",IF(ABS(H847-J847*L847)&gt;Info_Koperasi!$C$10,"SELISIH","OK")))</f>
        <v/>
      </c>
    </row>
    <row r="848" customFormat="false" ht="15" hidden="false" customHeight="false" outlineLevel="0" collapsed="false">
      <c r="A848" s="21"/>
      <c r="B848" s="22"/>
      <c r="C848" s="21"/>
      <c r="D848" s="21"/>
      <c r="E848" s="28"/>
      <c r="F848" s="24"/>
      <c r="G848" s="26"/>
      <c r="H848" s="24"/>
      <c r="I848" s="24"/>
      <c r="J848" s="24"/>
      <c r="K848" s="24"/>
      <c r="L848" s="26"/>
      <c r="M848" s="26"/>
      <c r="N848" s="22"/>
      <c r="O848" s="21"/>
      <c r="P848" s="22"/>
      <c r="Q848" s="29" t="str">
        <f aca="false">IF(C848="","",IF(O848&lt;&gt;"",O848,IFERROR(INDEX(Produk!$J$2:$J$100,MATCH(C848,Produk!$A$2:$A$100,0)),"PRODUK?")))</f>
        <v/>
      </c>
      <c r="R848" s="29" t="str">
        <f aca="false">IF(A848="","",IF(COUNTIF(Anggota!$A$2:$A$2001,A848)=0,"TIDAK ADA","OK"))</f>
        <v/>
      </c>
      <c r="S848" s="29" t="str">
        <f aca="false">IF(H848="","",IF(OR(J848="",L848=""),"-",IF(ABS(H848-J848*L848)&gt;Info_Koperasi!$C$10,"SELISIH","OK")))</f>
        <v/>
      </c>
    </row>
    <row r="849" customFormat="false" ht="15" hidden="false" customHeight="false" outlineLevel="0" collapsed="false">
      <c r="A849" s="21"/>
      <c r="B849" s="22"/>
      <c r="C849" s="21"/>
      <c r="D849" s="21"/>
      <c r="E849" s="28"/>
      <c r="F849" s="24"/>
      <c r="G849" s="26"/>
      <c r="H849" s="24"/>
      <c r="I849" s="24"/>
      <c r="J849" s="24"/>
      <c r="K849" s="24"/>
      <c r="L849" s="26"/>
      <c r="M849" s="26"/>
      <c r="N849" s="22"/>
      <c r="O849" s="21"/>
      <c r="P849" s="22"/>
      <c r="Q849" s="29" t="str">
        <f aca="false">IF(C849="","",IF(O849&lt;&gt;"",O849,IFERROR(INDEX(Produk!$J$2:$J$100,MATCH(C849,Produk!$A$2:$A$100,0)),"PRODUK?")))</f>
        <v/>
      </c>
      <c r="R849" s="29" t="str">
        <f aca="false">IF(A849="","",IF(COUNTIF(Anggota!$A$2:$A$2001,A849)=0,"TIDAK ADA","OK"))</f>
        <v/>
      </c>
      <c r="S849" s="29" t="str">
        <f aca="false">IF(H849="","",IF(OR(J849="",L849=""),"-",IF(ABS(H849-J849*L849)&gt;Info_Koperasi!$C$10,"SELISIH","OK")))</f>
        <v/>
      </c>
    </row>
    <row r="850" customFormat="false" ht="15" hidden="false" customHeight="false" outlineLevel="0" collapsed="false">
      <c r="A850" s="21"/>
      <c r="B850" s="22"/>
      <c r="C850" s="21"/>
      <c r="D850" s="21"/>
      <c r="E850" s="28"/>
      <c r="F850" s="24"/>
      <c r="G850" s="26"/>
      <c r="H850" s="24"/>
      <c r="I850" s="24"/>
      <c r="J850" s="24"/>
      <c r="K850" s="24"/>
      <c r="L850" s="26"/>
      <c r="M850" s="26"/>
      <c r="N850" s="22"/>
      <c r="O850" s="21"/>
      <c r="P850" s="22"/>
      <c r="Q850" s="29" t="str">
        <f aca="false">IF(C850="","",IF(O850&lt;&gt;"",O850,IFERROR(INDEX(Produk!$J$2:$J$100,MATCH(C850,Produk!$A$2:$A$100,0)),"PRODUK?")))</f>
        <v/>
      </c>
      <c r="R850" s="29" t="str">
        <f aca="false">IF(A850="","",IF(COUNTIF(Anggota!$A$2:$A$2001,A850)=0,"TIDAK ADA","OK"))</f>
        <v/>
      </c>
      <c r="S850" s="29" t="str">
        <f aca="false">IF(H850="","",IF(OR(J850="",L850=""),"-",IF(ABS(H850-J850*L850)&gt;Info_Koperasi!$C$10,"SELISIH","OK")))</f>
        <v/>
      </c>
    </row>
    <row r="851" customFormat="false" ht="15" hidden="false" customHeight="false" outlineLevel="0" collapsed="false">
      <c r="A851" s="21"/>
      <c r="B851" s="22"/>
      <c r="C851" s="21"/>
      <c r="D851" s="21"/>
      <c r="E851" s="28"/>
      <c r="F851" s="24"/>
      <c r="G851" s="26"/>
      <c r="H851" s="24"/>
      <c r="I851" s="24"/>
      <c r="J851" s="24"/>
      <c r="K851" s="24"/>
      <c r="L851" s="26"/>
      <c r="M851" s="26"/>
      <c r="N851" s="22"/>
      <c r="O851" s="21"/>
      <c r="P851" s="22"/>
      <c r="Q851" s="29" t="str">
        <f aca="false">IF(C851="","",IF(O851&lt;&gt;"",O851,IFERROR(INDEX(Produk!$J$2:$J$100,MATCH(C851,Produk!$A$2:$A$100,0)),"PRODUK?")))</f>
        <v/>
      </c>
      <c r="R851" s="29" t="str">
        <f aca="false">IF(A851="","",IF(COUNTIF(Anggota!$A$2:$A$2001,A851)=0,"TIDAK ADA","OK"))</f>
        <v/>
      </c>
      <c r="S851" s="29" t="str">
        <f aca="false">IF(H851="","",IF(OR(J851="",L851=""),"-",IF(ABS(H851-J851*L851)&gt;Info_Koperasi!$C$10,"SELISIH","OK")))</f>
        <v/>
      </c>
    </row>
    <row r="852" customFormat="false" ht="15" hidden="false" customHeight="false" outlineLevel="0" collapsed="false">
      <c r="A852" s="21"/>
      <c r="B852" s="22"/>
      <c r="C852" s="21"/>
      <c r="D852" s="21"/>
      <c r="E852" s="28"/>
      <c r="F852" s="24"/>
      <c r="G852" s="26"/>
      <c r="H852" s="24"/>
      <c r="I852" s="24"/>
      <c r="J852" s="24"/>
      <c r="K852" s="24"/>
      <c r="L852" s="26"/>
      <c r="M852" s="26"/>
      <c r="N852" s="22"/>
      <c r="O852" s="21"/>
      <c r="P852" s="22"/>
      <c r="Q852" s="29" t="str">
        <f aca="false">IF(C852="","",IF(O852&lt;&gt;"",O852,IFERROR(INDEX(Produk!$J$2:$J$100,MATCH(C852,Produk!$A$2:$A$100,0)),"PRODUK?")))</f>
        <v/>
      </c>
      <c r="R852" s="29" t="str">
        <f aca="false">IF(A852="","",IF(COUNTIF(Anggota!$A$2:$A$2001,A852)=0,"TIDAK ADA","OK"))</f>
        <v/>
      </c>
      <c r="S852" s="29" t="str">
        <f aca="false">IF(H852="","",IF(OR(J852="",L852=""),"-",IF(ABS(H852-J852*L852)&gt;Info_Koperasi!$C$10,"SELISIH","OK")))</f>
        <v/>
      </c>
    </row>
    <row r="853" customFormat="false" ht="15" hidden="false" customHeight="false" outlineLevel="0" collapsed="false">
      <c r="A853" s="21"/>
      <c r="B853" s="22"/>
      <c r="C853" s="21"/>
      <c r="D853" s="21"/>
      <c r="E853" s="28"/>
      <c r="F853" s="24"/>
      <c r="G853" s="26"/>
      <c r="H853" s="24"/>
      <c r="I853" s="24"/>
      <c r="J853" s="24"/>
      <c r="K853" s="24"/>
      <c r="L853" s="26"/>
      <c r="M853" s="26"/>
      <c r="N853" s="22"/>
      <c r="O853" s="21"/>
      <c r="P853" s="22"/>
      <c r="Q853" s="29" t="str">
        <f aca="false">IF(C853="","",IF(O853&lt;&gt;"",O853,IFERROR(INDEX(Produk!$J$2:$J$100,MATCH(C853,Produk!$A$2:$A$100,0)),"PRODUK?")))</f>
        <v/>
      </c>
      <c r="R853" s="29" t="str">
        <f aca="false">IF(A853="","",IF(COUNTIF(Anggota!$A$2:$A$2001,A853)=0,"TIDAK ADA","OK"))</f>
        <v/>
      </c>
      <c r="S853" s="29" t="str">
        <f aca="false">IF(H853="","",IF(OR(J853="",L853=""),"-",IF(ABS(H853-J853*L853)&gt;Info_Koperasi!$C$10,"SELISIH","OK")))</f>
        <v/>
      </c>
    </row>
    <row r="854" customFormat="false" ht="15" hidden="false" customHeight="false" outlineLevel="0" collapsed="false">
      <c r="A854" s="21"/>
      <c r="B854" s="22"/>
      <c r="C854" s="21"/>
      <c r="D854" s="21"/>
      <c r="E854" s="28"/>
      <c r="F854" s="24"/>
      <c r="G854" s="26"/>
      <c r="H854" s="24"/>
      <c r="I854" s="24"/>
      <c r="J854" s="24"/>
      <c r="K854" s="24"/>
      <c r="L854" s="26"/>
      <c r="M854" s="26"/>
      <c r="N854" s="22"/>
      <c r="O854" s="21"/>
      <c r="P854" s="22"/>
      <c r="Q854" s="29" t="str">
        <f aca="false">IF(C854="","",IF(O854&lt;&gt;"",O854,IFERROR(INDEX(Produk!$J$2:$J$100,MATCH(C854,Produk!$A$2:$A$100,0)),"PRODUK?")))</f>
        <v/>
      </c>
      <c r="R854" s="29" t="str">
        <f aca="false">IF(A854="","",IF(COUNTIF(Anggota!$A$2:$A$2001,A854)=0,"TIDAK ADA","OK"))</f>
        <v/>
      </c>
      <c r="S854" s="29" t="str">
        <f aca="false">IF(H854="","",IF(OR(J854="",L854=""),"-",IF(ABS(H854-J854*L854)&gt;Info_Koperasi!$C$10,"SELISIH","OK")))</f>
        <v/>
      </c>
    </row>
    <row r="855" customFormat="false" ht="15" hidden="false" customHeight="false" outlineLevel="0" collapsed="false">
      <c r="A855" s="21"/>
      <c r="B855" s="22"/>
      <c r="C855" s="21"/>
      <c r="D855" s="21"/>
      <c r="E855" s="28"/>
      <c r="F855" s="24"/>
      <c r="G855" s="26"/>
      <c r="H855" s="24"/>
      <c r="I855" s="24"/>
      <c r="J855" s="24"/>
      <c r="K855" s="24"/>
      <c r="L855" s="26"/>
      <c r="M855" s="26"/>
      <c r="N855" s="22"/>
      <c r="O855" s="21"/>
      <c r="P855" s="22"/>
      <c r="Q855" s="29" t="str">
        <f aca="false">IF(C855="","",IF(O855&lt;&gt;"",O855,IFERROR(INDEX(Produk!$J$2:$J$100,MATCH(C855,Produk!$A$2:$A$100,0)),"PRODUK?")))</f>
        <v/>
      </c>
      <c r="R855" s="29" t="str">
        <f aca="false">IF(A855="","",IF(COUNTIF(Anggota!$A$2:$A$2001,A855)=0,"TIDAK ADA","OK"))</f>
        <v/>
      </c>
      <c r="S855" s="29" t="str">
        <f aca="false">IF(H855="","",IF(OR(J855="",L855=""),"-",IF(ABS(H855-J855*L855)&gt;Info_Koperasi!$C$10,"SELISIH","OK")))</f>
        <v/>
      </c>
    </row>
    <row r="856" customFormat="false" ht="15" hidden="false" customHeight="false" outlineLevel="0" collapsed="false">
      <c r="A856" s="21"/>
      <c r="B856" s="22"/>
      <c r="C856" s="21"/>
      <c r="D856" s="21"/>
      <c r="E856" s="28"/>
      <c r="F856" s="24"/>
      <c r="G856" s="26"/>
      <c r="H856" s="24"/>
      <c r="I856" s="24"/>
      <c r="J856" s="24"/>
      <c r="K856" s="24"/>
      <c r="L856" s="26"/>
      <c r="M856" s="26"/>
      <c r="N856" s="22"/>
      <c r="O856" s="21"/>
      <c r="P856" s="22"/>
      <c r="Q856" s="29" t="str">
        <f aca="false">IF(C856="","",IF(O856&lt;&gt;"",O856,IFERROR(INDEX(Produk!$J$2:$J$100,MATCH(C856,Produk!$A$2:$A$100,0)),"PRODUK?")))</f>
        <v/>
      </c>
      <c r="R856" s="29" t="str">
        <f aca="false">IF(A856="","",IF(COUNTIF(Anggota!$A$2:$A$2001,A856)=0,"TIDAK ADA","OK"))</f>
        <v/>
      </c>
      <c r="S856" s="29" t="str">
        <f aca="false">IF(H856="","",IF(OR(J856="",L856=""),"-",IF(ABS(H856-J856*L856)&gt;Info_Koperasi!$C$10,"SELISIH","OK")))</f>
        <v/>
      </c>
    </row>
    <row r="857" customFormat="false" ht="15" hidden="false" customHeight="false" outlineLevel="0" collapsed="false">
      <c r="A857" s="21"/>
      <c r="B857" s="22"/>
      <c r="C857" s="21"/>
      <c r="D857" s="21"/>
      <c r="E857" s="28"/>
      <c r="F857" s="24"/>
      <c r="G857" s="26"/>
      <c r="H857" s="24"/>
      <c r="I857" s="24"/>
      <c r="J857" s="24"/>
      <c r="K857" s="24"/>
      <c r="L857" s="26"/>
      <c r="M857" s="26"/>
      <c r="N857" s="22"/>
      <c r="O857" s="21"/>
      <c r="P857" s="22"/>
      <c r="Q857" s="29" t="str">
        <f aca="false">IF(C857="","",IF(O857&lt;&gt;"",O857,IFERROR(INDEX(Produk!$J$2:$J$100,MATCH(C857,Produk!$A$2:$A$100,0)),"PRODUK?")))</f>
        <v/>
      </c>
      <c r="R857" s="29" t="str">
        <f aca="false">IF(A857="","",IF(COUNTIF(Anggota!$A$2:$A$2001,A857)=0,"TIDAK ADA","OK"))</f>
        <v/>
      </c>
      <c r="S857" s="29" t="str">
        <f aca="false">IF(H857="","",IF(OR(J857="",L857=""),"-",IF(ABS(H857-J857*L857)&gt;Info_Koperasi!$C$10,"SELISIH","OK")))</f>
        <v/>
      </c>
    </row>
    <row r="858" customFormat="false" ht="15" hidden="false" customHeight="false" outlineLevel="0" collapsed="false">
      <c r="A858" s="21"/>
      <c r="B858" s="22"/>
      <c r="C858" s="21"/>
      <c r="D858" s="21"/>
      <c r="E858" s="28"/>
      <c r="F858" s="24"/>
      <c r="G858" s="26"/>
      <c r="H858" s="24"/>
      <c r="I858" s="24"/>
      <c r="J858" s="24"/>
      <c r="K858" s="24"/>
      <c r="L858" s="26"/>
      <c r="M858" s="26"/>
      <c r="N858" s="22"/>
      <c r="O858" s="21"/>
      <c r="P858" s="22"/>
      <c r="Q858" s="29" t="str">
        <f aca="false">IF(C858="","",IF(O858&lt;&gt;"",O858,IFERROR(INDEX(Produk!$J$2:$J$100,MATCH(C858,Produk!$A$2:$A$100,0)),"PRODUK?")))</f>
        <v/>
      </c>
      <c r="R858" s="29" t="str">
        <f aca="false">IF(A858="","",IF(COUNTIF(Anggota!$A$2:$A$2001,A858)=0,"TIDAK ADA","OK"))</f>
        <v/>
      </c>
      <c r="S858" s="29" t="str">
        <f aca="false">IF(H858="","",IF(OR(J858="",L858=""),"-",IF(ABS(H858-J858*L858)&gt;Info_Koperasi!$C$10,"SELISIH","OK")))</f>
        <v/>
      </c>
    </row>
    <row r="859" customFormat="false" ht="15" hidden="false" customHeight="false" outlineLevel="0" collapsed="false">
      <c r="A859" s="21"/>
      <c r="B859" s="22"/>
      <c r="C859" s="21"/>
      <c r="D859" s="21"/>
      <c r="E859" s="28"/>
      <c r="F859" s="24"/>
      <c r="G859" s="26"/>
      <c r="H859" s="24"/>
      <c r="I859" s="24"/>
      <c r="J859" s="24"/>
      <c r="K859" s="24"/>
      <c r="L859" s="26"/>
      <c r="M859" s="26"/>
      <c r="N859" s="22"/>
      <c r="O859" s="21"/>
      <c r="P859" s="22"/>
      <c r="Q859" s="29" t="str">
        <f aca="false">IF(C859="","",IF(O859&lt;&gt;"",O859,IFERROR(INDEX(Produk!$J$2:$J$100,MATCH(C859,Produk!$A$2:$A$100,0)),"PRODUK?")))</f>
        <v/>
      </c>
      <c r="R859" s="29" t="str">
        <f aca="false">IF(A859="","",IF(COUNTIF(Anggota!$A$2:$A$2001,A859)=0,"TIDAK ADA","OK"))</f>
        <v/>
      </c>
      <c r="S859" s="29" t="str">
        <f aca="false">IF(H859="","",IF(OR(J859="",L859=""),"-",IF(ABS(H859-J859*L859)&gt;Info_Koperasi!$C$10,"SELISIH","OK")))</f>
        <v/>
      </c>
    </row>
    <row r="860" customFormat="false" ht="15" hidden="false" customHeight="false" outlineLevel="0" collapsed="false">
      <c r="A860" s="21"/>
      <c r="B860" s="22"/>
      <c r="C860" s="21"/>
      <c r="D860" s="21"/>
      <c r="E860" s="28"/>
      <c r="F860" s="24"/>
      <c r="G860" s="26"/>
      <c r="H860" s="24"/>
      <c r="I860" s="24"/>
      <c r="J860" s="24"/>
      <c r="K860" s="24"/>
      <c r="L860" s="26"/>
      <c r="M860" s="26"/>
      <c r="N860" s="22"/>
      <c r="O860" s="21"/>
      <c r="P860" s="22"/>
      <c r="Q860" s="29" t="str">
        <f aca="false">IF(C860="","",IF(O860&lt;&gt;"",O860,IFERROR(INDEX(Produk!$J$2:$J$100,MATCH(C860,Produk!$A$2:$A$100,0)),"PRODUK?")))</f>
        <v/>
      </c>
      <c r="R860" s="29" t="str">
        <f aca="false">IF(A860="","",IF(COUNTIF(Anggota!$A$2:$A$2001,A860)=0,"TIDAK ADA","OK"))</f>
        <v/>
      </c>
      <c r="S860" s="29" t="str">
        <f aca="false">IF(H860="","",IF(OR(J860="",L860=""),"-",IF(ABS(H860-J860*L860)&gt;Info_Koperasi!$C$10,"SELISIH","OK")))</f>
        <v/>
      </c>
    </row>
    <row r="861" customFormat="false" ht="15" hidden="false" customHeight="false" outlineLevel="0" collapsed="false">
      <c r="A861" s="21"/>
      <c r="B861" s="22"/>
      <c r="C861" s="21"/>
      <c r="D861" s="21"/>
      <c r="E861" s="28"/>
      <c r="F861" s="24"/>
      <c r="G861" s="26"/>
      <c r="H861" s="24"/>
      <c r="I861" s="24"/>
      <c r="J861" s="24"/>
      <c r="K861" s="24"/>
      <c r="L861" s="26"/>
      <c r="M861" s="26"/>
      <c r="N861" s="22"/>
      <c r="O861" s="21"/>
      <c r="P861" s="22"/>
      <c r="Q861" s="29" t="str">
        <f aca="false">IF(C861="","",IF(O861&lt;&gt;"",O861,IFERROR(INDEX(Produk!$J$2:$J$100,MATCH(C861,Produk!$A$2:$A$100,0)),"PRODUK?")))</f>
        <v/>
      </c>
      <c r="R861" s="29" t="str">
        <f aca="false">IF(A861="","",IF(COUNTIF(Anggota!$A$2:$A$2001,A861)=0,"TIDAK ADA","OK"))</f>
        <v/>
      </c>
      <c r="S861" s="29" t="str">
        <f aca="false">IF(H861="","",IF(OR(J861="",L861=""),"-",IF(ABS(H861-J861*L861)&gt;Info_Koperasi!$C$10,"SELISIH","OK")))</f>
        <v/>
      </c>
    </row>
    <row r="862" customFormat="false" ht="15" hidden="false" customHeight="false" outlineLevel="0" collapsed="false">
      <c r="A862" s="21"/>
      <c r="B862" s="22"/>
      <c r="C862" s="21"/>
      <c r="D862" s="21"/>
      <c r="E862" s="28"/>
      <c r="F862" s="24"/>
      <c r="G862" s="26"/>
      <c r="H862" s="24"/>
      <c r="I862" s="24"/>
      <c r="J862" s="24"/>
      <c r="K862" s="24"/>
      <c r="L862" s="26"/>
      <c r="M862" s="26"/>
      <c r="N862" s="22"/>
      <c r="O862" s="21"/>
      <c r="P862" s="22"/>
      <c r="Q862" s="29" t="str">
        <f aca="false">IF(C862="","",IF(O862&lt;&gt;"",O862,IFERROR(INDEX(Produk!$J$2:$J$100,MATCH(C862,Produk!$A$2:$A$100,0)),"PRODUK?")))</f>
        <v/>
      </c>
      <c r="R862" s="29" t="str">
        <f aca="false">IF(A862="","",IF(COUNTIF(Anggota!$A$2:$A$2001,A862)=0,"TIDAK ADA","OK"))</f>
        <v/>
      </c>
      <c r="S862" s="29" t="str">
        <f aca="false">IF(H862="","",IF(OR(J862="",L862=""),"-",IF(ABS(H862-J862*L862)&gt;Info_Koperasi!$C$10,"SELISIH","OK")))</f>
        <v/>
      </c>
    </row>
    <row r="863" customFormat="false" ht="15" hidden="false" customHeight="false" outlineLevel="0" collapsed="false">
      <c r="A863" s="21"/>
      <c r="B863" s="22"/>
      <c r="C863" s="21"/>
      <c r="D863" s="21"/>
      <c r="E863" s="28"/>
      <c r="F863" s="24"/>
      <c r="G863" s="26"/>
      <c r="H863" s="24"/>
      <c r="I863" s="24"/>
      <c r="J863" s="24"/>
      <c r="K863" s="24"/>
      <c r="L863" s="26"/>
      <c r="M863" s="26"/>
      <c r="N863" s="22"/>
      <c r="O863" s="21"/>
      <c r="P863" s="22"/>
      <c r="Q863" s="29" t="str">
        <f aca="false">IF(C863="","",IF(O863&lt;&gt;"",O863,IFERROR(INDEX(Produk!$J$2:$J$100,MATCH(C863,Produk!$A$2:$A$100,0)),"PRODUK?")))</f>
        <v/>
      </c>
      <c r="R863" s="29" t="str">
        <f aca="false">IF(A863="","",IF(COUNTIF(Anggota!$A$2:$A$2001,A863)=0,"TIDAK ADA","OK"))</f>
        <v/>
      </c>
      <c r="S863" s="29" t="str">
        <f aca="false">IF(H863="","",IF(OR(J863="",L863=""),"-",IF(ABS(H863-J863*L863)&gt;Info_Koperasi!$C$10,"SELISIH","OK")))</f>
        <v/>
      </c>
    </row>
    <row r="864" customFormat="false" ht="15" hidden="false" customHeight="false" outlineLevel="0" collapsed="false">
      <c r="A864" s="21"/>
      <c r="B864" s="22"/>
      <c r="C864" s="21"/>
      <c r="D864" s="21"/>
      <c r="E864" s="28"/>
      <c r="F864" s="24"/>
      <c r="G864" s="26"/>
      <c r="H864" s="24"/>
      <c r="I864" s="24"/>
      <c r="J864" s="24"/>
      <c r="K864" s="24"/>
      <c r="L864" s="26"/>
      <c r="M864" s="26"/>
      <c r="N864" s="22"/>
      <c r="O864" s="21"/>
      <c r="P864" s="22"/>
      <c r="Q864" s="29" t="str">
        <f aca="false">IF(C864="","",IF(O864&lt;&gt;"",O864,IFERROR(INDEX(Produk!$J$2:$J$100,MATCH(C864,Produk!$A$2:$A$100,0)),"PRODUK?")))</f>
        <v/>
      </c>
      <c r="R864" s="29" t="str">
        <f aca="false">IF(A864="","",IF(COUNTIF(Anggota!$A$2:$A$2001,A864)=0,"TIDAK ADA","OK"))</f>
        <v/>
      </c>
      <c r="S864" s="29" t="str">
        <f aca="false">IF(H864="","",IF(OR(J864="",L864=""),"-",IF(ABS(H864-J864*L864)&gt;Info_Koperasi!$C$10,"SELISIH","OK")))</f>
        <v/>
      </c>
    </row>
    <row r="865" customFormat="false" ht="15" hidden="false" customHeight="false" outlineLevel="0" collapsed="false">
      <c r="A865" s="21"/>
      <c r="B865" s="22"/>
      <c r="C865" s="21"/>
      <c r="D865" s="21"/>
      <c r="E865" s="28"/>
      <c r="F865" s="24"/>
      <c r="G865" s="26"/>
      <c r="H865" s="24"/>
      <c r="I865" s="24"/>
      <c r="J865" s="24"/>
      <c r="K865" s="24"/>
      <c r="L865" s="26"/>
      <c r="M865" s="26"/>
      <c r="N865" s="22"/>
      <c r="O865" s="21"/>
      <c r="P865" s="22"/>
      <c r="Q865" s="29" t="str">
        <f aca="false">IF(C865="","",IF(O865&lt;&gt;"",O865,IFERROR(INDEX(Produk!$J$2:$J$100,MATCH(C865,Produk!$A$2:$A$100,0)),"PRODUK?")))</f>
        <v/>
      </c>
      <c r="R865" s="29" t="str">
        <f aca="false">IF(A865="","",IF(COUNTIF(Anggota!$A$2:$A$2001,A865)=0,"TIDAK ADA","OK"))</f>
        <v/>
      </c>
      <c r="S865" s="29" t="str">
        <f aca="false">IF(H865="","",IF(OR(J865="",L865=""),"-",IF(ABS(H865-J865*L865)&gt;Info_Koperasi!$C$10,"SELISIH","OK")))</f>
        <v/>
      </c>
    </row>
    <row r="866" customFormat="false" ht="15" hidden="false" customHeight="false" outlineLevel="0" collapsed="false">
      <c r="A866" s="21"/>
      <c r="B866" s="22"/>
      <c r="C866" s="21"/>
      <c r="D866" s="21"/>
      <c r="E866" s="28"/>
      <c r="F866" s="24"/>
      <c r="G866" s="26"/>
      <c r="H866" s="24"/>
      <c r="I866" s="24"/>
      <c r="J866" s="24"/>
      <c r="K866" s="24"/>
      <c r="L866" s="26"/>
      <c r="M866" s="26"/>
      <c r="N866" s="22"/>
      <c r="O866" s="21"/>
      <c r="P866" s="22"/>
      <c r="Q866" s="29" t="str">
        <f aca="false">IF(C866="","",IF(O866&lt;&gt;"",O866,IFERROR(INDEX(Produk!$J$2:$J$100,MATCH(C866,Produk!$A$2:$A$100,0)),"PRODUK?")))</f>
        <v/>
      </c>
      <c r="R866" s="29" t="str">
        <f aca="false">IF(A866="","",IF(COUNTIF(Anggota!$A$2:$A$2001,A866)=0,"TIDAK ADA","OK"))</f>
        <v/>
      </c>
      <c r="S866" s="29" t="str">
        <f aca="false">IF(H866="","",IF(OR(J866="",L866=""),"-",IF(ABS(H866-J866*L866)&gt;Info_Koperasi!$C$10,"SELISIH","OK")))</f>
        <v/>
      </c>
    </row>
    <row r="867" customFormat="false" ht="15" hidden="false" customHeight="false" outlineLevel="0" collapsed="false">
      <c r="A867" s="21"/>
      <c r="B867" s="22"/>
      <c r="C867" s="21"/>
      <c r="D867" s="21"/>
      <c r="E867" s="28"/>
      <c r="F867" s="24"/>
      <c r="G867" s="26"/>
      <c r="H867" s="24"/>
      <c r="I867" s="24"/>
      <c r="J867" s="24"/>
      <c r="K867" s="24"/>
      <c r="L867" s="26"/>
      <c r="M867" s="26"/>
      <c r="N867" s="22"/>
      <c r="O867" s="21"/>
      <c r="P867" s="22"/>
      <c r="Q867" s="29" t="str">
        <f aca="false">IF(C867="","",IF(O867&lt;&gt;"",O867,IFERROR(INDEX(Produk!$J$2:$J$100,MATCH(C867,Produk!$A$2:$A$100,0)),"PRODUK?")))</f>
        <v/>
      </c>
      <c r="R867" s="29" t="str">
        <f aca="false">IF(A867="","",IF(COUNTIF(Anggota!$A$2:$A$2001,A867)=0,"TIDAK ADA","OK"))</f>
        <v/>
      </c>
      <c r="S867" s="29" t="str">
        <f aca="false">IF(H867="","",IF(OR(J867="",L867=""),"-",IF(ABS(H867-J867*L867)&gt;Info_Koperasi!$C$10,"SELISIH","OK")))</f>
        <v/>
      </c>
    </row>
    <row r="868" customFormat="false" ht="15" hidden="false" customHeight="false" outlineLevel="0" collapsed="false">
      <c r="A868" s="21"/>
      <c r="B868" s="22"/>
      <c r="C868" s="21"/>
      <c r="D868" s="21"/>
      <c r="E868" s="28"/>
      <c r="F868" s="24"/>
      <c r="G868" s="26"/>
      <c r="H868" s="24"/>
      <c r="I868" s="24"/>
      <c r="J868" s="24"/>
      <c r="K868" s="24"/>
      <c r="L868" s="26"/>
      <c r="M868" s="26"/>
      <c r="N868" s="22"/>
      <c r="O868" s="21"/>
      <c r="P868" s="22"/>
      <c r="Q868" s="29" t="str">
        <f aca="false">IF(C868="","",IF(O868&lt;&gt;"",O868,IFERROR(INDEX(Produk!$J$2:$J$100,MATCH(C868,Produk!$A$2:$A$100,0)),"PRODUK?")))</f>
        <v/>
      </c>
      <c r="R868" s="29" t="str">
        <f aca="false">IF(A868="","",IF(COUNTIF(Anggota!$A$2:$A$2001,A868)=0,"TIDAK ADA","OK"))</f>
        <v/>
      </c>
      <c r="S868" s="29" t="str">
        <f aca="false">IF(H868="","",IF(OR(J868="",L868=""),"-",IF(ABS(H868-J868*L868)&gt;Info_Koperasi!$C$10,"SELISIH","OK")))</f>
        <v/>
      </c>
    </row>
    <row r="869" customFormat="false" ht="15" hidden="false" customHeight="false" outlineLevel="0" collapsed="false">
      <c r="A869" s="21"/>
      <c r="B869" s="22"/>
      <c r="C869" s="21"/>
      <c r="D869" s="21"/>
      <c r="E869" s="28"/>
      <c r="F869" s="24"/>
      <c r="G869" s="26"/>
      <c r="H869" s="24"/>
      <c r="I869" s="24"/>
      <c r="J869" s="24"/>
      <c r="K869" s="24"/>
      <c r="L869" s="26"/>
      <c r="M869" s="26"/>
      <c r="N869" s="22"/>
      <c r="O869" s="21"/>
      <c r="P869" s="22"/>
      <c r="Q869" s="29" t="str">
        <f aca="false">IF(C869="","",IF(O869&lt;&gt;"",O869,IFERROR(INDEX(Produk!$J$2:$J$100,MATCH(C869,Produk!$A$2:$A$100,0)),"PRODUK?")))</f>
        <v/>
      </c>
      <c r="R869" s="29" t="str">
        <f aca="false">IF(A869="","",IF(COUNTIF(Anggota!$A$2:$A$2001,A869)=0,"TIDAK ADA","OK"))</f>
        <v/>
      </c>
      <c r="S869" s="29" t="str">
        <f aca="false">IF(H869="","",IF(OR(J869="",L869=""),"-",IF(ABS(H869-J869*L869)&gt;Info_Koperasi!$C$10,"SELISIH","OK")))</f>
        <v/>
      </c>
    </row>
    <row r="870" customFormat="false" ht="15" hidden="false" customHeight="false" outlineLevel="0" collapsed="false">
      <c r="A870" s="21"/>
      <c r="B870" s="22"/>
      <c r="C870" s="21"/>
      <c r="D870" s="21"/>
      <c r="E870" s="28"/>
      <c r="F870" s="24"/>
      <c r="G870" s="26"/>
      <c r="H870" s="24"/>
      <c r="I870" s="24"/>
      <c r="J870" s="24"/>
      <c r="K870" s="24"/>
      <c r="L870" s="26"/>
      <c r="M870" s="26"/>
      <c r="N870" s="22"/>
      <c r="O870" s="21"/>
      <c r="P870" s="22"/>
      <c r="Q870" s="29" t="str">
        <f aca="false">IF(C870="","",IF(O870&lt;&gt;"",O870,IFERROR(INDEX(Produk!$J$2:$J$100,MATCH(C870,Produk!$A$2:$A$100,0)),"PRODUK?")))</f>
        <v/>
      </c>
      <c r="R870" s="29" t="str">
        <f aca="false">IF(A870="","",IF(COUNTIF(Anggota!$A$2:$A$2001,A870)=0,"TIDAK ADA","OK"))</f>
        <v/>
      </c>
      <c r="S870" s="29" t="str">
        <f aca="false">IF(H870="","",IF(OR(J870="",L870=""),"-",IF(ABS(H870-J870*L870)&gt;Info_Koperasi!$C$10,"SELISIH","OK")))</f>
        <v/>
      </c>
    </row>
    <row r="871" customFormat="false" ht="15" hidden="false" customHeight="false" outlineLevel="0" collapsed="false">
      <c r="A871" s="21"/>
      <c r="B871" s="22"/>
      <c r="C871" s="21"/>
      <c r="D871" s="21"/>
      <c r="E871" s="28"/>
      <c r="F871" s="24"/>
      <c r="G871" s="26"/>
      <c r="H871" s="24"/>
      <c r="I871" s="24"/>
      <c r="J871" s="24"/>
      <c r="K871" s="24"/>
      <c r="L871" s="26"/>
      <c r="M871" s="26"/>
      <c r="N871" s="22"/>
      <c r="O871" s="21"/>
      <c r="P871" s="22"/>
      <c r="Q871" s="29" t="str">
        <f aca="false">IF(C871="","",IF(O871&lt;&gt;"",O871,IFERROR(INDEX(Produk!$J$2:$J$100,MATCH(C871,Produk!$A$2:$A$100,0)),"PRODUK?")))</f>
        <v/>
      </c>
      <c r="R871" s="29" t="str">
        <f aca="false">IF(A871="","",IF(COUNTIF(Anggota!$A$2:$A$2001,A871)=0,"TIDAK ADA","OK"))</f>
        <v/>
      </c>
      <c r="S871" s="29" t="str">
        <f aca="false">IF(H871="","",IF(OR(J871="",L871=""),"-",IF(ABS(H871-J871*L871)&gt;Info_Koperasi!$C$10,"SELISIH","OK")))</f>
        <v/>
      </c>
    </row>
    <row r="872" customFormat="false" ht="15" hidden="false" customHeight="false" outlineLevel="0" collapsed="false">
      <c r="A872" s="21"/>
      <c r="B872" s="22"/>
      <c r="C872" s="21"/>
      <c r="D872" s="21"/>
      <c r="E872" s="28"/>
      <c r="F872" s="24"/>
      <c r="G872" s="26"/>
      <c r="H872" s="24"/>
      <c r="I872" s="24"/>
      <c r="J872" s="24"/>
      <c r="K872" s="24"/>
      <c r="L872" s="26"/>
      <c r="M872" s="26"/>
      <c r="N872" s="22"/>
      <c r="O872" s="21"/>
      <c r="P872" s="22"/>
      <c r="Q872" s="29" t="str">
        <f aca="false">IF(C872="","",IF(O872&lt;&gt;"",O872,IFERROR(INDEX(Produk!$J$2:$J$100,MATCH(C872,Produk!$A$2:$A$100,0)),"PRODUK?")))</f>
        <v/>
      </c>
      <c r="R872" s="29" t="str">
        <f aca="false">IF(A872="","",IF(COUNTIF(Anggota!$A$2:$A$2001,A872)=0,"TIDAK ADA","OK"))</f>
        <v/>
      </c>
      <c r="S872" s="29" t="str">
        <f aca="false">IF(H872="","",IF(OR(J872="",L872=""),"-",IF(ABS(H872-J872*L872)&gt;Info_Koperasi!$C$10,"SELISIH","OK")))</f>
        <v/>
      </c>
    </row>
    <row r="873" customFormat="false" ht="15" hidden="false" customHeight="false" outlineLevel="0" collapsed="false">
      <c r="A873" s="21"/>
      <c r="B873" s="22"/>
      <c r="C873" s="21"/>
      <c r="D873" s="21"/>
      <c r="E873" s="28"/>
      <c r="F873" s="24"/>
      <c r="G873" s="26"/>
      <c r="H873" s="24"/>
      <c r="I873" s="24"/>
      <c r="J873" s="24"/>
      <c r="K873" s="24"/>
      <c r="L873" s="26"/>
      <c r="M873" s="26"/>
      <c r="N873" s="22"/>
      <c r="O873" s="21"/>
      <c r="P873" s="22"/>
      <c r="Q873" s="29" t="str">
        <f aca="false">IF(C873="","",IF(O873&lt;&gt;"",O873,IFERROR(INDEX(Produk!$J$2:$J$100,MATCH(C873,Produk!$A$2:$A$100,0)),"PRODUK?")))</f>
        <v/>
      </c>
      <c r="R873" s="29" t="str">
        <f aca="false">IF(A873="","",IF(COUNTIF(Anggota!$A$2:$A$2001,A873)=0,"TIDAK ADA","OK"))</f>
        <v/>
      </c>
      <c r="S873" s="29" t="str">
        <f aca="false">IF(H873="","",IF(OR(J873="",L873=""),"-",IF(ABS(H873-J873*L873)&gt;Info_Koperasi!$C$10,"SELISIH","OK")))</f>
        <v/>
      </c>
    </row>
    <row r="874" customFormat="false" ht="15" hidden="false" customHeight="false" outlineLevel="0" collapsed="false">
      <c r="A874" s="21"/>
      <c r="B874" s="22"/>
      <c r="C874" s="21"/>
      <c r="D874" s="21"/>
      <c r="E874" s="28"/>
      <c r="F874" s="24"/>
      <c r="G874" s="26"/>
      <c r="H874" s="24"/>
      <c r="I874" s="24"/>
      <c r="J874" s="24"/>
      <c r="K874" s="24"/>
      <c r="L874" s="26"/>
      <c r="M874" s="26"/>
      <c r="N874" s="22"/>
      <c r="O874" s="21"/>
      <c r="P874" s="22"/>
      <c r="Q874" s="29" t="str">
        <f aca="false">IF(C874="","",IF(O874&lt;&gt;"",O874,IFERROR(INDEX(Produk!$J$2:$J$100,MATCH(C874,Produk!$A$2:$A$100,0)),"PRODUK?")))</f>
        <v/>
      </c>
      <c r="R874" s="29" t="str">
        <f aca="false">IF(A874="","",IF(COUNTIF(Anggota!$A$2:$A$2001,A874)=0,"TIDAK ADA","OK"))</f>
        <v/>
      </c>
      <c r="S874" s="29" t="str">
        <f aca="false">IF(H874="","",IF(OR(J874="",L874=""),"-",IF(ABS(H874-J874*L874)&gt;Info_Koperasi!$C$10,"SELISIH","OK")))</f>
        <v/>
      </c>
    </row>
    <row r="875" customFormat="false" ht="15" hidden="false" customHeight="false" outlineLevel="0" collapsed="false">
      <c r="A875" s="21"/>
      <c r="B875" s="22"/>
      <c r="C875" s="21"/>
      <c r="D875" s="21"/>
      <c r="E875" s="28"/>
      <c r="F875" s="24"/>
      <c r="G875" s="26"/>
      <c r="H875" s="24"/>
      <c r="I875" s="24"/>
      <c r="J875" s="24"/>
      <c r="K875" s="24"/>
      <c r="L875" s="26"/>
      <c r="M875" s="26"/>
      <c r="N875" s="22"/>
      <c r="O875" s="21"/>
      <c r="P875" s="22"/>
      <c r="Q875" s="29" t="str">
        <f aca="false">IF(C875="","",IF(O875&lt;&gt;"",O875,IFERROR(INDEX(Produk!$J$2:$J$100,MATCH(C875,Produk!$A$2:$A$100,0)),"PRODUK?")))</f>
        <v/>
      </c>
      <c r="R875" s="29" t="str">
        <f aca="false">IF(A875="","",IF(COUNTIF(Anggota!$A$2:$A$2001,A875)=0,"TIDAK ADA","OK"))</f>
        <v/>
      </c>
      <c r="S875" s="29" t="str">
        <f aca="false">IF(H875="","",IF(OR(J875="",L875=""),"-",IF(ABS(H875-J875*L875)&gt;Info_Koperasi!$C$10,"SELISIH","OK")))</f>
        <v/>
      </c>
    </row>
    <row r="876" customFormat="false" ht="15" hidden="false" customHeight="false" outlineLevel="0" collapsed="false">
      <c r="A876" s="21"/>
      <c r="B876" s="22"/>
      <c r="C876" s="21"/>
      <c r="D876" s="21"/>
      <c r="E876" s="28"/>
      <c r="F876" s="24"/>
      <c r="G876" s="26"/>
      <c r="H876" s="24"/>
      <c r="I876" s="24"/>
      <c r="J876" s="24"/>
      <c r="K876" s="24"/>
      <c r="L876" s="26"/>
      <c r="M876" s="26"/>
      <c r="N876" s="22"/>
      <c r="O876" s="21"/>
      <c r="P876" s="22"/>
      <c r="Q876" s="29" t="str">
        <f aca="false">IF(C876="","",IF(O876&lt;&gt;"",O876,IFERROR(INDEX(Produk!$J$2:$J$100,MATCH(C876,Produk!$A$2:$A$100,0)),"PRODUK?")))</f>
        <v/>
      </c>
      <c r="R876" s="29" t="str">
        <f aca="false">IF(A876="","",IF(COUNTIF(Anggota!$A$2:$A$2001,A876)=0,"TIDAK ADA","OK"))</f>
        <v/>
      </c>
      <c r="S876" s="29" t="str">
        <f aca="false">IF(H876="","",IF(OR(J876="",L876=""),"-",IF(ABS(H876-J876*L876)&gt;Info_Koperasi!$C$10,"SELISIH","OK")))</f>
        <v/>
      </c>
    </row>
    <row r="877" customFormat="false" ht="15" hidden="false" customHeight="false" outlineLevel="0" collapsed="false">
      <c r="A877" s="21"/>
      <c r="B877" s="22"/>
      <c r="C877" s="21"/>
      <c r="D877" s="21"/>
      <c r="E877" s="28"/>
      <c r="F877" s="24"/>
      <c r="G877" s="26"/>
      <c r="H877" s="24"/>
      <c r="I877" s="24"/>
      <c r="J877" s="24"/>
      <c r="K877" s="24"/>
      <c r="L877" s="26"/>
      <c r="M877" s="26"/>
      <c r="N877" s="22"/>
      <c r="O877" s="21"/>
      <c r="P877" s="22"/>
      <c r="Q877" s="29" t="str">
        <f aca="false">IF(C877="","",IF(O877&lt;&gt;"",O877,IFERROR(INDEX(Produk!$J$2:$J$100,MATCH(C877,Produk!$A$2:$A$100,0)),"PRODUK?")))</f>
        <v/>
      </c>
      <c r="R877" s="29" t="str">
        <f aca="false">IF(A877="","",IF(COUNTIF(Anggota!$A$2:$A$2001,A877)=0,"TIDAK ADA","OK"))</f>
        <v/>
      </c>
      <c r="S877" s="29" t="str">
        <f aca="false">IF(H877="","",IF(OR(J877="",L877=""),"-",IF(ABS(H877-J877*L877)&gt;Info_Koperasi!$C$10,"SELISIH","OK")))</f>
        <v/>
      </c>
    </row>
    <row r="878" customFormat="false" ht="15" hidden="false" customHeight="false" outlineLevel="0" collapsed="false">
      <c r="A878" s="21"/>
      <c r="B878" s="22"/>
      <c r="C878" s="21"/>
      <c r="D878" s="21"/>
      <c r="E878" s="28"/>
      <c r="F878" s="24"/>
      <c r="G878" s="26"/>
      <c r="H878" s="24"/>
      <c r="I878" s="24"/>
      <c r="J878" s="24"/>
      <c r="K878" s="24"/>
      <c r="L878" s="26"/>
      <c r="M878" s="26"/>
      <c r="N878" s="22"/>
      <c r="O878" s="21"/>
      <c r="P878" s="22"/>
      <c r="Q878" s="29" t="str">
        <f aca="false">IF(C878="","",IF(O878&lt;&gt;"",O878,IFERROR(INDEX(Produk!$J$2:$J$100,MATCH(C878,Produk!$A$2:$A$100,0)),"PRODUK?")))</f>
        <v/>
      </c>
      <c r="R878" s="29" t="str">
        <f aca="false">IF(A878="","",IF(COUNTIF(Anggota!$A$2:$A$2001,A878)=0,"TIDAK ADA","OK"))</f>
        <v/>
      </c>
      <c r="S878" s="29" t="str">
        <f aca="false">IF(H878="","",IF(OR(J878="",L878=""),"-",IF(ABS(H878-J878*L878)&gt;Info_Koperasi!$C$10,"SELISIH","OK")))</f>
        <v/>
      </c>
    </row>
    <row r="879" customFormat="false" ht="15" hidden="false" customHeight="false" outlineLevel="0" collapsed="false">
      <c r="A879" s="21"/>
      <c r="B879" s="22"/>
      <c r="C879" s="21"/>
      <c r="D879" s="21"/>
      <c r="E879" s="28"/>
      <c r="F879" s="24"/>
      <c r="G879" s="26"/>
      <c r="H879" s="24"/>
      <c r="I879" s="24"/>
      <c r="J879" s="24"/>
      <c r="K879" s="24"/>
      <c r="L879" s="26"/>
      <c r="M879" s="26"/>
      <c r="N879" s="22"/>
      <c r="O879" s="21"/>
      <c r="P879" s="22"/>
      <c r="Q879" s="29" t="str">
        <f aca="false">IF(C879="","",IF(O879&lt;&gt;"",O879,IFERROR(INDEX(Produk!$J$2:$J$100,MATCH(C879,Produk!$A$2:$A$100,0)),"PRODUK?")))</f>
        <v/>
      </c>
      <c r="R879" s="29" t="str">
        <f aca="false">IF(A879="","",IF(COUNTIF(Anggota!$A$2:$A$2001,A879)=0,"TIDAK ADA","OK"))</f>
        <v/>
      </c>
      <c r="S879" s="29" t="str">
        <f aca="false">IF(H879="","",IF(OR(J879="",L879=""),"-",IF(ABS(H879-J879*L879)&gt;Info_Koperasi!$C$10,"SELISIH","OK")))</f>
        <v/>
      </c>
    </row>
    <row r="880" customFormat="false" ht="15" hidden="false" customHeight="false" outlineLevel="0" collapsed="false">
      <c r="A880" s="21"/>
      <c r="B880" s="22"/>
      <c r="C880" s="21"/>
      <c r="D880" s="21"/>
      <c r="E880" s="28"/>
      <c r="F880" s="24"/>
      <c r="G880" s="26"/>
      <c r="H880" s="24"/>
      <c r="I880" s="24"/>
      <c r="J880" s="24"/>
      <c r="K880" s="24"/>
      <c r="L880" s="26"/>
      <c r="M880" s="26"/>
      <c r="N880" s="22"/>
      <c r="O880" s="21"/>
      <c r="P880" s="22"/>
      <c r="Q880" s="29" t="str">
        <f aca="false">IF(C880="","",IF(O880&lt;&gt;"",O880,IFERROR(INDEX(Produk!$J$2:$J$100,MATCH(C880,Produk!$A$2:$A$100,0)),"PRODUK?")))</f>
        <v/>
      </c>
      <c r="R880" s="29" t="str">
        <f aca="false">IF(A880="","",IF(COUNTIF(Anggota!$A$2:$A$2001,A880)=0,"TIDAK ADA","OK"))</f>
        <v/>
      </c>
      <c r="S880" s="29" t="str">
        <f aca="false">IF(H880="","",IF(OR(J880="",L880=""),"-",IF(ABS(H880-J880*L880)&gt;Info_Koperasi!$C$10,"SELISIH","OK")))</f>
        <v/>
      </c>
    </row>
    <row r="881" customFormat="false" ht="15" hidden="false" customHeight="false" outlineLevel="0" collapsed="false">
      <c r="A881" s="21"/>
      <c r="B881" s="22"/>
      <c r="C881" s="21"/>
      <c r="D881" s="21"/>
      <c r="E881" s="28"/>
      <c r="F881" s="24"/>
      <c r="G881" s="26"/>
      <c r="H881" s="24"/>
      <c r="I881" s="24"/>
      <c r="J881" s="24"/>
      <c r="K881" s="24"/>
      <c r="L881" s="26"/>
      <c r="M881" s="26"/>
      <c r="N881" s="22"/>
      <c r="O881" s="21"/>
      <c r="P881" s="22"/>
      <c r="Q881" s="29" t="str">
        <f aca="false">IF(C881="","",IF(O881&lt;&gt;"",O881,IFERROR(INDEX(Produk!$J$2:$J$100,MATCH(C881,Produk!$A$2:$A$100,0)),"PRODUK?")))</f>
        <v/>
      </c>
      <c r="R881" s="29" t="str">
        <f aca="false">IF(A881="","",IF(COUNTIF(Anggota!$A$2:$A$2001,A881)=0,"TIDAK ADA","OK"))</f>
        <v/>
      </c>
      <c r="S881" s="29" t="str">
        <f aca="false">IF(H881="","",IF(OR(J881="",L881=""),"-",IF(ABS(H881-J881*L881)&gt;Info_Koperasi!$C$10,"SELISIH","OK")))</f>
        <v/>
      </c>
    </row>
    <row r="882" customFormat="false" ht="15" hidden="false" customHeight="false" outlineLevel="0" collapsed="false">
      <c r="A882" s="21"/>
      <c r="B882" s="22"/>
      <c r="C882" s="21"/>
      <c r="D882" s="21"/>
      <c r="E882" s="28"/>
      <c r="F882" s="24"/>
      <c r="G882" s="26"/>
      <c r="H882" s="24"/>
      <c r="I882" s="24"/>
      <c r="J882" s="24"/>
      <c r="K882" s="24"/>
      <c r="L882" s="26"/>
      <c r="M882" s="26"/>
      <c r="N882" s="22"/>
      <c r="O882" s="21"/>
      <c r="P882" s="22"/>
      <c r="Q882" s="29" t="str">
        <f aca="false">IF(C882="","",IF(O882&lt;&gt;"",O882,IFERROR(INDEX(Produk!$J$2:$J$100,MATCH(C882,Produk!$A$2:$A$100,0)),"PRODUK?")))</f>
        <v/>
      </c>
      <c r="R882" s="29" t="str">
        <f aca="false">IF(A882="","",IF(COUNTIF(Anggota!$A$2:$A$2001,A882)=0,"TIDAK ADA","OK"))</f>
        <v/>
      </c>
      <c r="S882" s="29" t="str">
        <f aca="false">IF(H882="","",IF(OR(J882="",L882=""),"-",IF(ABS(H882-J882*L882)&gt;Info_Koperasi!$C$10,"SELISIH","OK")))</f>
        <v/>
      </c>
    </row>
    <row r="883" customFormat="false" ht="15" hidden="false" customHeight="false" outlineLevel="0" collapsed="false">
      <c r="A883" s="21"/>
      <c r="B883" s="22"/>
      <c r="C883" s="21"/>
      <c r="D883" s="21"/>
      <c r="E883" s="28"/>
      <c r="F883" s="24"/>
      <c r="G883" s="26"/>
      <c r="H883" s="24"/>
      <c r="I883" s="24"/>
      <c r="J883" s="24"/>
      <c r="K883" s="24"/>
      <c r="L883" s="26"/>
      <c r="M883" s="26"/>
      <c r="N883" s="22"/>
      <c r="O883" s="21"/>
      <c r="P883" s="22"/>
      <c r="Q883" s="29" t="str">
        <f aca="false">IF(C883="","",IF(O883&lt;&gt;"",O883,IFERROR(INDEX(Produk!$J$2:$J$100,MATCH(C883,Produk!$A$2:$A$100,0)),"PRODUK?")))</f>
        <v/>
      </c>
      <c r="R883" s="29" t="str">
        <f aca="false">IF(A883="","",IF(COUNTIF(Anggota!$A$2:$A$2001,A883)=0,"TIDAK ADA","OK"))</f>
        <v/>
      </c>
      <c r="S883" s="29" t="str">
        <f aca="false">IF(H883="","",IF(OR(J883="",L883=""),"-",IF(ABS(H883-J883*L883)&gt;Info_Koperasi!$C$10,"SELISIH","OK")))</f>
        <v/>
      </c>
    </row>
    <row r="884" customFormat="false" ht="15" hidden="false" customHeight="false" outlineLevel="0" collapsed="false">
      <c r="A884" s="21"/>
      <c r="B884" s="22"/>
      <c r="C884" s="21"/>
      <c r="D884" s="21"/>
      <c r="E884" s="28"/>
      <c r="F884" s="24"/>
      <c r="G884" s="26"/>
      <c r="H884" s="24"/>
      <c r="I884" s="24"/>
      <c r="J884" s="24"/>
      <c r="K884" s="24"/>
      <c r="L884" s="26"/>
      <c r="M884" s="26"/>
      <c r="N884" s="22"/>
      <c r="O884" s="21"/>
      <c r="P884" s="22"/>
      <c r="Q884" s="29" t="str">
        <f aca="false">IF(C884="","",IF(O884&lt;&gt;"",O884,IFERROR(INDEX(Produk!$J$2:$J$100,MATCH(C884,Produk!$A$2:$A$100,0)),"PRODUK?")))</f>
        <v/>
      </c>
      <c r="R884" s="29" t="str">
        <f aca="false">IF(A884="","",IF(COUNTIF(Anggota!$A$2:$A$2001,A884)=0,"TIDAK ADA","OK"))</f>
        <v/>
      </c>
      <c r="S884" s="29" t="str">
        <f aca="false">IF(H884="","",IF(OR(J884="",L884=""),"-",IF(ABS(H884-J884*L884)&gt;Info_Koperasi!$C$10,"SELISIH","OK")))</f>
        <v/>
      </c>
    </row>
    <row r="885" customFormat="false" ht="15" hidden="false" customHeight="false" outlineLevel="0" collapsed="false">
      <c r="A885" s="21"/>
      <c r="B885" s="22"/>
      <c r="C885" s="21"/>
      <c r="D885" s="21"/>
      <c r="E885" s="28"/>
      <c r="F885" s="24"/>
      <c r="G885" s="26"/>
      <c r="H885" s="24"/>
      <c r="I885" s="24"/>
      <c r="J885" s="24"/>
      <c r="K885" s="24"/>
      <c r="L885" s="26"/>
      <c r="M885" s="26"/>
      <c r="N885" s="22"/>
      <c r="O885" s="21"/>
      <c r="P885" s="22"/>
      <c r="Q885" s="29" t="str">
        <f aca="false">IF(C885="","",IF(O885&lt;&gt;"",O885,IFERROR(INDEX(Produk!$J$2:$J$100,MATCH(C885,Produk!$A$2:$A$100,0)),"PRODUK?")))</f>
        <v/>
      </c>
      <c r="R885" s="29" t="str">
        <f aca="false">IF(A885="","",IF(COUNTIF(Anggota!$A$2:$A$2001,A885)=0,"TIDAK ADA","OK"))</f>
        <v/>
      </c>
      <c r="S885" s="29" t="str">
        <f aca="false">IF(H885="","",IF(OR(J885="",L885=""),"-",IF(ABS(H885-J885*L885)&gt;Info_Koperasi!$C$10,"SELISIH","OK")))</f>
        <v/>
      </c>
    </row>
    <row r="886" customFormat="false" ht="15" hidden="false" customHeight="false" outlineLevel="0" collapsed="false">
      <c r="A886" s="21"/>
      <c r="B886" s="22"/>
      <c r="C886" s="21"/>
      <c r="D886" s="21"/>
      <c r="E886" s="28"/>
      <c r="F886" s="24"/>
      <c r="G886" s="26"/>
      <c r="H886" s="24"/>
      <c r="I886" s="24"/>
      <c r="J886" s="24"/>
      <c r="K886" s="24"/>
      <c r="L886" s="26"/>
      <c r="M886" s="26"/>
      <c r="N886" s="22"/>
      <c r="O886" s="21"/>
      <c r="P886" s="22"/>
      <c r="Q886" s="29" t="str">
        <f aca="false">IF(C886="","",IF(O886&lt;&gt;"",O886,IFERROR(INDEX(Produk!$J$2:$J$100,MATCH(C886,Produk!$A$2:$A$100,0)),"PRODUK?")))</f>
        <v/>
      </c>
      <c r="R886" s="29" t="str">
        <f aca="false">IF(A886="","",IF(COUNTIF(Anggota!$A$2:$A$2001,A886)=0,"TIDAK ADA","OK"))</f>
        <v/>
      </c>
      <c r="S886" s="29" t="str">
        <f aca="false">IF(H886="","",IF(OR(J886="",L886=""),"-",IF(ABS(H886-J886*L886)&gt;Info_Koperasi!$C$10,"SELISIH","OK")))</f>
        <v/>
      </c>
    </row>
    <row r="887" customFormat="false" ht="15" hidden="false" customHeight="false" outlineLevel="0" collapsed="false">
      <c r="A887" s="21"/>
      <c r="B887" s="22"/>
      <c r="C887" s="21"/>
      <c r="D887" s="21"/>
      <c r="E887" s="28"/>
      <c r="F887" s="24"/>
      <c r="G887" s="26"/>
      <c r="H887" s="24"/>
      <c r="I887" s="24"/>
      <c r="J887" s="24"/>
      <c r="K887" s="24"/>
      <c r="L887" s="26"/>
      <c r="M887" s="26"/>
      <c r="N887" s="22"/>
      <c r="O887" s="21"/>
      <c r="P887" s="22"/>
      <c r="Q887" s="29" t="str">
        <f aca="false">IF(C887="","",IF(O887&lt;&gt;"",O887,IFERROR(INDEX(Produk!$J$2:$J$100,MATCH(C887,Produk!$A$2:$A$100,0)),"PRODUK?")))</f>
        <v/>
      </c>
      <c r="R887" s="29" t="str">
        <f aca="false">IF(A887="","",IF(COUNTIF(Anggota!$A$2:$A$2001,A887)=0,"TIDAK ADA","OK"))</f>
        <v/>
      </c>
      <c r="S887" s="29" t="str">
        <f aca="false">IF(H887="","",IF(OR(J887="",L887=""),"-",IF(ABS(H887-J887*L887)&gt;Info_Koperasi!$C$10,"SELISIH","OK")))</f>
        <v/>
      </c>
    </row>
    <row r="888" customFormat="false" ht="15" hidden="false" customHeight="false" outlineLevel="0" collapsed="false">
      <c r="A888" s="21"/>
      <c r="B888" s="22"/>
      <c r="C888" s="21"/>
      <c r="D888" s="21"/>
      <c r="E888" s="28"/>
      <c r="F888" s="24"/>
      <c r="G888" s="26"/>
      <c r="H888" s="24"/>
      <c r="I888" s="24"/>
      <c r="J888" s="24"/>
      <c r="K888" s="24"/>
      <c r="L888" s="26"/>
      <c r="M888" s="26"/>
      <c r="N888" s="22"/>
      <c r="O888" s="21"/>
      <c r="P888" s="22"/>
      <c r="Q888" s="29" t="str">
        <f aca="false">IF(C888="","",IF(O888&lt;&gt;"",O888,IFERROR(INDEX(Produk!$J$2:$J$100,MATCH(C888,Produk!$A$2:$A$100,0)),"PRODUK?")))</f>
        <v/>
      </c>
      <c r="R888" s="29" t="str">
        <f aca="false">IF(A888="","",IF(COUNTIF(Anggota!$A$2:$A$2001,A888)=0,"TIDAK ADA","OK"))</f>
        <v/>
      </c>
      <c r="S888" s="29" t="str">
        <f aca="false">IF(H888="","",IF(OR(J888="",L888=""),"-",IF(ABS(H888-J888*L888)&gt;Info_Koperasi!$C$10,"SELISIH","OK")))</f>
        <v/>
      </c>
    </row>
    <row r="889" customFormat="false" ht="15" hidden="false" customHeight="false" outlineLevel="0" collapsed="false">
      <c r="A889" s="21"/>
      <c r="B889" s="22"/>
      <c r="C889" s="21"/>
      <c r="D889" s="21"/>
      <c r="E889" s="28"/>
      <c r="F889" s="24"/>
      <c r="G889" s="26"/>
      <c r="H889" s="24"/>
      <c r="I889" s="24"/>
      <c r="J889" s="24"/>
      <c r="K889" s="24"/>
      <c r="L889" s="26"/>
      <c r="M889" s="26"/>
      <c r="N889" s="22"/>
      <c r="O889" s="21"/>
      <c r="P889" s="22"/>
      <c r="Q889" s="29" t="str">
        <f aca="false">IF(C889="","",IF(O889&lt;&gt;"",O889,IFERROR(INDEX(Produk!$J$2:$J$100,MATCH(C889,Produk!$A$2:$A$100,0)),"PRODUK?")))</f>
        <v/>
      </c>
      <c r="R889" s="29" t="str">
        <f aca="false">IF(A889="","",IF(COUNTIF(Anggota!$A$2:$A$2001,A889)=0,"TIDAK ADA","OK"))</f>
        <v/>
      </c>
      <c r="S889" s="29" t="str">
        <f aca="false">IF(H889="","",IF(OR(J889="",L889=""),"-",IF(ABS(H889-J889*L889)&gt;Info_Koperasi!$C$10,"SELISIH","OK")))</f>
        <v/>
      </c>
    </row>
    <row r="890" customFormat="false" ht="15" hidden="false" customHeight="false" outlineLevel="0" collapsed="false">
      <c r="A890" s="21"/>
      <c r="B890" s="22"/>
      <c r="C890" s="21"/>
      <c r="D890" s="21"/>
      <c r="E890" s="28"/>
      <c r="F890" s="24"/>
      <c r="G890" s="26"/>
      <c r="H890" s="24"/>
      <c r="I890" s="24"/>
      <c r="J890" s="24"/>
      <c r="K890" s="24"/>
      <c r="L890" s="26"/>
      <c r="M890" s="26"/>
      <c r="N890" s="22"/>
      <c r="O890" s="21"/>
      <c r="P890" s="22"/>
      <c r="Q890" s="29" t="str">
        <f aca="false">IF(C890="","",IF(O890&lt;&gt;"",O890,IFERROR(INDEX(Produk!$J$2:$J$100,MATCH(C890,Produk!$A$2:$A$100,0)),"PRODUK?")))</f>
        <v/>
      </c>
      <c r="R890" s="29" t="str">
        <f aca="false">IF(A890="","",IF(COUNTIF(Anggota!$A$2:$A$2001,A890)=0,"TIDAK ADA","OK"))</f>
        <v/>
      </c>
      <c r="S890" s="29" t="str">
        <f aca="false">IF(H890="","",IF(OR(J890="",L890=""),"-",IF(ABS(H890-J890*L890)&gt;Info_Koperasi!$C$10,"SELISIH","OK")))</f>
        <v/>
      </c>
    </row>
    <row r="891" customFormat="false" ht="15" hidden="false" customHeight="false" outlineLevel="0" collapsed="false">
      <c r="A891" s="21"/>
      <c r="B891" s="22"/>
      <c r="C891" s="21"/>
      <c r="D891" s="21"/>
      <c r="E891" s="28"/>
      <c r="F891" s="24"/>
      <c r="G891" s="26"/>
      <c r="H891" s="24"/>
      <c r="I891" s="24"/>
      <c r="J891" s="24"/>
      <c r="K891" s="24"/>
      <c r="L891" s="26"/>
      <c r="M891" s="26"/>
      <c r="N891" s="22"/>
      <c r="O891" s="21"/>
      <c r="P891" s="22"/>
      <c r="Q891" s="29" t="str">
        <f aca="false">IF(C891="","",IF(O891&lt;&gt;"",O891,IFERROR(INDEX(Produk!$J$2:$J$100,MATCH(C891,Produk!$A$2:$A$100,0)),"PRODUK?")))</f>
        <v/>
      </c>
      <c r="R891" s="29" t="str">
        <f aca="false">IF(A891="","",IF(COUNTIF(Anggota!$A$2:$A$2001,A891)=0,"TIDAK ADA","OK"))</f>
        <v/>
      </c>
      <c r="S891" s="29" t="str">
        <f aca="false">IF(H891="","",IF(OR(J891="",L891=""),"-",IF(ABS(H891-J891*L891)&gt;Info_Koperasi!$C$10,"SELISIH","OK")))</f>
        <v/>
      </c>
    </row>
    <row r="892" customFormat="false" ht="15" hidden="false" customHeight="false" outlineLevel="0" collapsed="false">
      <c r="A892" s="21"/>
      <c r="B892" s="22"/>
      <c r="C892" s="21"/>
      <c r="D892" s="21"/>
      <c r="E892" s="28"/>
      <c r="F892" s="24"/>
      <c r="G892" s="26"/>
      <c r="H892" s="24"/>
      <c r="I892" s="24"/>
      <c r="J892" s="24"/>
      <c r="K892" s="24"/>
      <c r="L892" s="26"/>
      <c r="M892" s="26"/>
      <c r="N892" s="22"/>
      <c r="O892" s="21"/>
      <c r="P892" s="22"/>
      <c r="Q892" s="29" t="str">
        <f aca="false">IF(C892="","",IF(O892&lt;&gt;"",O892,IFERROR(INDEX(Produk!$J$2:$J$100,MATCH(C892,Produk!$A$2:$A$100,0)),"PRODUK?")))</f>
        <v/>
      </c>
      <c r="R892" s="29" t="str">
        <f aca="false">IF(A892="","",IF(COUNTIF(Anggota!$A$2:$A$2001,A892)=0,"TIDAK ADA","OK"))</f>
        <v/>
      </c>
      <c r="S892" s="29" t="str">
        <f aca="false">IF(H892="","",IF(OR(J892="",L892=""),"-",IF(ABS(H892-J892*L892)&gt;Info_Koperasi!$C$10,"SELISIH","OK")))</f>
        <v/>
      </c>
    </row>
    <row r="893" customFormat="false" ht="15" hidden="false" customHeight="false" outlineLevel="0" collapsed="false">
      <c r="A893" s="21"/>
      <c r="B893" s="22"/>
      <c r="C893" s="21"/>
      <c r="D893" s="21"/>
      <c r="E893" s="28"/>
      <c r="F893" s="24"/>
      <c r="G893" s="26"/>
      <c r="H893" s="24"/>
      <c r="I893" s="24"/>
      <c r="J893" s="24"/>
      <c r="K893" s="24"/>
      <c r="L893" s="26"/>
      <c r="M893" s="26"/>
      <c r="N893" s="22"/>
      <c r="O893" s="21"/>
      <c r="P893" s="22"/>
      <c r="Q893" s="29" t="str">
        <f aca="false">IF(C893="","",IF(O893&lt;&gt;"",O893,IFERROR(INDEX(Produk!$J$2:$J$100,MATCH(C893,Produk!$A$2:$A$100,0)),"PRODUK?")))</f>
        <v/>
      </c>
      <c r="R893" s="29" t="str">
        <f aca="false">IF(A893="","",IF(COUNTIF(Anggota!$A$2:$A$2001,A893)=0,"TIDAK ADA","OK"))</f>
        <v/>
      </c>
      <c r="S893" s="29" t="str">
        <f aca="false">IF(H893="","",IF(OR(J893="",L893=""),"-",IF(ABS(H893-J893*L893)&gt;Info_Koperasi!$C$10,"SELISIH","OK")))</f>
        <v/>
      </c>
    </row>
    <row r="894" customFormat="false" ht="15" hidden="false" customHeight="false" outlineLevel="0" collapsed="false">
      <c r="A894" s="21"/>
      <c r="B894" s="22"/>
      <c r="C894" s="21"/>
      <c r="D894" s="21"/>
      <c r="E894" s="28"/>
      <c r="F894" s="24"/>
      <c r="G894" s="26"/>
      <c r="H894" s="24"/>
      <c r="I894" s="24"/>
      <c r="J894" s="24"/>
      <c r="K894" s="24"/>
      <c r="L894" s="26"/>
      <c r="M894" s="26"/>
      <c r="N894" s="22"/>
      <c r="O894" s="21"/>
      <c r="P894" s="22"/>
      <c r="Q894" s="29" t="str">
        <f aca="false">IF(C894="","",IF(O894&lt;&gt;"",O894,IFERROR(INDEX(Produk!$J$2:$J$100,MATCH(C894,Produk!$A$2:$A$100,0)),"PRODUK?")))</f>
        <v/>
      </c>
      <c r="R894" s="29" t="str">
        <f aca="false">IF(A894="","",IF(COUNTIF(Anggota!$A$2:$A$2001,A894)=0,"TIDAK ADA","OK"))</f>
        <v/>
      </c>
      <c r="S894" s="29" t="str">
        <f aca="false">IF(H894="","",IF(OR(J894="",L894=""),"-",IF(ABS(H894-J894*L894)&gt;Info_Koperasi!$C$10,"SELISIH","OK")))</f>
        <v/>
      </c>
    </row>
    <row r="895" customFormat="false" ht="15" hidden="false" customHeight="false" outlineLevel="0" collapsed="false">
      <c r="A895" s="21"/>
      <c r="B895" s="22"/>
      <c r="C895" s="21"/>
      <c r="D895" s="21"/>
      <c r="E895" s="28"/>
      <c r="F895" s="24"/>
      <c r="G895" s="26"/>
      <c r="H895" s="24"/>
      <c r="I895" s="24"/>
      <c r="J895" s="24"/>
      <c r="K895" s="24"/>
      <c r="L895" s="26"/>
      <c r="M895" s="26"/>
      <c r="N895" s="22"/>
      <c r="O895" s="21"/>
      <c r="P895" s="22"/>
      <c r="Q895" s="29" t="str">
        <f aca="false">IF(C895="","",IF(O895&lt;&gt;"",O895,IFERROR(INDEX(Produk!$J$2:$J$100,MATCH(C895,Produk!$A$2:$A$100,0)),"PRODUK?")))</f>
        <v/>
      </c>
      <c r="R895" s="29" t="str">
        <f aca="false">IF(A895="","",IF(COUNTIF(Anggota!$A$2:$A$2001,A895)=0,"TIDAK ADA","OK"))</f>
        <v/>
      </c>
      <c r="S895" s="29" t="str">
        <f aca="false">IF(H895="","",IF(OR(J895="",L895=""),"-",IF(ABS(H895-J895*L895)&gt;Info_Koperasi!$C$10,"SELISIH","OK")))</f>
        <v/>
      </c>
    </row>
    <row r="896" customFormat="false" ht="15" hidden="false" customHeight="false" outlineLevel="0" collapsed="false">
      <c r="A896" s="21"/>
      <c r="B896" s="22"/>
      <c r="C896" s="21"/>
      <c r="D896" s="21"/>
      <c r="E896" s="28"/>
      <c r="F896" s="24"/>
      <c r="G896" s="26"/>
      <c r="H896" s="24"/>
      <c r="I896" s="24"/>
      <c r="J896" s="24"/>
      <c r="K896" s="24"/>
      <c r="L896" s="26"/>
      <c r="M896" s="26"/>
      <c r="N896" s="22"/>
      <c r="O896" s="21"/>
      <c r="P896" s="22"/>
      <c r="Q896" s="29" t="str">
        <f aca="false">IF(C896="","",IF(O896&lt;&gt;"",O896,IFERROR(INDEX(Produk!$J$2:$J$100,MATCH(C896,Produk!$A$2:$A$100,0)),"PRODUK?")))</f>
        <v/>
      </c>
      <c r="R896" s="29" t="str">
        <f aca="false">IF(A896="","",IF(COUNTIF(Anggota!$A$2:$A$2001,A896)=0,"TIDAK ADA","OK"))</f>
        <v/>
      </c>
      <c r="S896" s="29" t="str">
        <f aca="false">IF(H896="","",IF(OR(J896="",L896=""),"-",IF(ABS(H896-J896*L896)&gt;Info_Koperasi!$C$10,"SELISIH","OK")))</f>
        <v/>
      </c>
    </row>
    <row r="897" customFormat="false" ht="15" hidden="false" customHeight="false" outlineLevel="0" collapsed="false">
      <c r="A897" s="21"/>
      <c r="B897" s="22"/>
      <c r="C897" s="21"/>
      <c r="D897" s="21"/>
      <c r="E897" s="28"/>
      <c r="F897" s="24"/>
      <c r="G897" s="26"/>
      <c r="H897" s="24"/>
      <c r="I897" s="24"/>
      <c r="J897" s="24"/>
      <c r="K897" s="24"/>
      <c r="L897" s="26"/>
      <c r="M897" s="26"/>
      <c r="N897" s="22"/>
      <c r="O897" s="21"/>
      <c r="P897" s="22"/>
      <c r="Q897" s="29" t="str">
        <f aca="false">IF(C897="","",IF(O897&lt;&gt;"",O897,IFERROR(INDEX(Produk!$J$2:$J$100,MATCH(C897,Produk!$A$2:$A$100,0)),"PRODUK?")))</f>
        <v/>
      </c>
      <c r="R897" s="29" t="str">
        <f aca="false">IF(A897="","",IF(COUNTIF(Anggota!$A$2:$A$2001,A897)=0,"TIDAK ADA","OK"))</f>
        <v/>
      </c>
      <c r="S897" s="29" t="str">
        <f aca="false">IF(H897="","",IF(OR(J897="",L897=""),"-",IF(ABS(H897-J897*L897)&gt;Info_Koperasi!$C$10,"SELISIH","OK")))</f>
        <v/>
      </c>
    </row>
    <row r="898" customFormat="false" ht="15" hidden="false" customHeight="false" outlineLevel="0" collapsed="false">
      <c r="A898" s="21"/>
      <c r="B898" s="22"/>
      <c r="C898" s="21"/>
      <c r="D898" s="21"/>
      <c r="E898" s="28"/>
      <c r="F898" s="24"/>
      <c r="G898" s="26"/>
      <c r="H898" s="24"/>
      <c r="I898" s="24"/>
      <c r="J898" s="24"/>
      <c r="K898" s="24"/>
      <c r="L898" s="26"/>
      <c r="M898" s="26"/>
      <c r="N898" s="22"/>
      <c r="O898" s="21"/>
      <c r="P898" s="22"/>
      <c r="Q898" s="29" t="str">
        <f aca="false">IF(C898="","",IF(O898&lt;&gt;"",O898,IFERROR(INDEX(Produk!$J$2:$J$100,MATCH(C898,Produk!$A$2:$A$100,0)),"PRODUK?")))</f>
        <v/>
      </c>
      <c r="R898" s="29" t="str">
        <f aca="false">IF(A898="","",IF(COUNTIF(Anggota!$A$2:$A$2001,A898)=0,"TIDAK ADA","OK"))</f>
        <v/>
      </c>
      <c r="S898" s="29" t="str">
        <f aca="false">IF(H898="","",IF(OR(J898="",L898=""),"-",IF(ABS(H898-J898*L898)&gt;Info_Koperasi!$C$10,"SELISIH","OK")))</f>
        <v/>
      </c>
    </row>
    <row r="899" customFormat="false" ht="15" hidden="false" customHeight="false" outlineLevel="0" collapsed="false">
      <c r="A899" s="21"/>
      <c r="B899" s="22"/>
      <c r="C899" s="21"/>
      <c r="D899" s="21"/>
      <c r="E899" s="28"/>
      <c r="F899" s="24"/>
      <c r="G899" s="26"/>
      <c r="H899" s="24"/>
      <c r="I899" s="24"/>
      <c r="J899" s="24"/>
      <c r="K899" s="24"/>
      <c r="L899" s="26"/>
      <c r="M899" s="26"/>
      <c r="N899" s="22"/>
      <c r="O899" s="21"/>
      <c r="P899" s="22"/>
      <c r="Q899" s="29" t="str">
        <f aca="false">IF(C899="","",IF(O899&lt;&gt;"",O899,IFERROR(INDEX(Produk!$J$2:$J$100,MATCH(C899,Produk!$A$2:$A$100,0)),"PRODUK?")))</f>
        <v/>
      </c>
      <c r="R899" s="29" t="str">
        <f aca="false">IF(A899="","",IF(COUNTIF(Anggota!$A$2:$A$2001,A899)=0,"TIDAK ADA","OK"))</f>
        <v/>
      </c>
      <c r="S899" s="29" t="str">
        <f aca="false">IF(H899="","",IF(OR(J899="",L899=""),"-",IF(ABS(H899-J899*L899)&gt;Info_Koperasi!$C$10,"SELISIH","OK")))</f>
        <v/>
      </c>
    </row>
    <row r="900" customFormat="false" ht="15" hidden="false" customHeight="false" outlineLevel="0" collapsed="false">
      <c r="A900" s="21"/>
      <c r="B900" s="22"/>
      <c r="C900" s="21"/>
      <c r="D900" s="21"/>
      <c r="E900" s="28"/>
      <c r="F900" s="24"/>
      <c r="G900" s="26"/>
      <c r="H900" s="24"/>
      <c r="I900" s="24"/>
      <c r="J900" s="24"/>
      <c r="K900" s="24"/>
      <c r="L900" s="26"/>
      <c r="M900" s="26"/>
      <c r="N900" s="22"/>
      <c r="O900" s="21"/>
      <c r="P900" s="22"/>
      <c r="Q900" s="29" t="str">
        <f aca="false">IF(C900="","",IF(O900&lt;&gt;"",O900,IFERROR(INDEX(Produk!$J$2:$J$100,MATCH(C900,Produk!$A$2:$A$100,0)),"PRODUK?")))</f>
        <v/>
      </c>
      <c r="R900" s="29" t="str">
        <f aca="false">IF(A900="","",IF(COUNTIF(Anggota!$A$2:$A$2001,A900)=0,"TIDAK ADA","OK"))</f>
        <v/>
      </c>
      <c r="S900" s="29" t="str">
        <f aca="false">IF(H900="","",IF(OR(J900="",L900=""),"-",IF(ABS(H900-J900*L900)&gt;Info_Koperasi!$C$10,"SELISIH","OK")))</f>
        <v/>
      </c>
    </row>
    <row r="901" customFormat="false" ht="15" hidden="false" customHeight="false" outlineLevel="0" collapsed="false">
      <c r="A901" s="21"/>
      <c r="B901" s="22"/>
      <c r="C901" s="21"/>
      <c r="D901" s="21"/>
      <c r="E901" s="28"/>
      <c r="F901" s="24"/>
      <c r="G901" s="26"/>
      <c r="H901" s="24"/>
      <c r="I901" s="24"/>
      <c r="J901" s="24"/>
      <c r="K901" s="24"/>
      <c r="L901" s="26"/>
      <c r="M901" s="26"/>
      <c r="N901" s="22"/>
      <c r="O901" s="21"/>
      <c r="P901" s="22"/>
      <c r="Q901" s="29" t="str">
        <f aca="false">IF(C901="","",IF(O901&lt;&gt;"",O901,IFERROR(INDEX(Produk!$J$2:$J$100,MATCH(C901,Produk!$A$2:$A$100,0)),"PRODUK?")))</f>
        <v/>
      </c>
      <c r="R901" s="29" t="str">
        <f aca="false">IF(A901="","",IF(COUNTIF(Anggota!$A$2:$A$2001,A901)=0,"TIDAK ADA","OK"))</f>
        <v/>
      </c>
      <c r="S901" s="29" t="str">
        <f aca="false">IF(H901="","",IF(OR(J901="",L901=""),"-",IF(ABS(H901-J901*L901)&gt;Info_Koperasi!$C$10,"SELISIH","OK")))</f>
        <v/>
      </c>
    </row>
    <row r="902" customFormat="false" ht="15" hidden="false" customHeight="false" outlineLevel="0" collapsed="false">
      <c r="A902" s="21"/>
      <c r="B902" s="22"/>
      <c r="C902" s="21"/>
      <c r="D902" s="21"/>
      <c r="E902" s="28"/>
      <c r="F902" s="24"/>
      <c r="G902" s="26"/>
      <c r="H902" s="24"/>
      <c r="I902" s="24"/>
      <c r="J902" s="24"/>
      <c r="K902" s="24"/>
      <c r="L902" s="26"/>
      <c r="M902" s="26"/>
      <c r="N902" s="22"/>
      <c r="O902" s="21"/>
      <c r="P902" s="22"/>
      <c r="Q902" s="29" t="str">
        <f aca="false">IF(C902="","",IF(O902&lt;&gt;"",O902,IFERROR(INDEX(Produk!$J$2:$J$100,MATCH(C902,Produk!$A$2:$A$100,0)),"PRODUK?")))</f>
        <v/>
      </c>
      <c r="R902" s="29" t="str">
        <f aca="false">IF(A902="","",IF(COUNTIF(Anggota!$A$2:$A$2001,A902)=0,"TIDAK ADA","OK"))</f>
        <v/>
      </c>
      <c r="S902" s="29" t="str">
        <f aca="false">IF(H902="","",IF(OR(J902="",L902=""),"-",IF(ABS(H902-J902*L902)&gt;Info_Koperasi!$C$10,"SELISIH","OK")))</f>
        <v/>
      </c>
    </row>
    <row r="903" customFormat="false" ht="15" hidden="false" customHeight="false" outlineLevel="0" collapsed="false">
      <c r="A903" s="21"/>
      <c r="B903" s="22"/>
      <c r="C903" s="21"/>
      <c r="D903" s="21"/>
      <c r="E903" s="28"/>
      <c r="F903" s="24"/>
      <c r="G903" s="26"/>
      <c r="H903" s="24"/>
      <c r="I903" s="24"/>
      <c r="J903" s="24"/>
      <c r="K903" s="24"/>
      <c r="L903" s="26"/>
      <c r="M903" s="26"/>
      <c r="N903" s="22"/>
      <c r="O903" s="21"/>
      <c r="P903" s="22"/>
      <c r="Q903" s="29" t="str">
        <f aca="false">IF(C903="","",IF(O903&lt;&gt;"",O903,IFERROR(INDEX(Produk!$J$2:$J$100,MATCH(C903,Produk!$A$2:$A$100,0)),"PRODUK?")))</f>
        <v/>
      </c>
      <c r="R903" s="29" t="str">
        <f aca="false">IF(A903="","",IF(COUNTIF(Anggota!$A$2:$A$2001,A903)=0,"TIDAK ADA","OK"))</f>
        <v/>
      </c>
      <c r="S903" s="29" t="str">
        <f aca="false">IF(H903="","",IF(OR(J903="",L903=""),"-",IF(ABS(H903-J903*L903)&gt;Info_Koperasi!$C$10,"SELISIH","OK")))</f>
        <v/>
      </c>
    </row>
    <row r="904" customFormat="false" ht="15" hidden="false" customHeight="false" outlineLevel="0" collapsed="false">
      <c r="A904" s="21"/>
      <c r="B904" s="22"/>
      <c r="C904" s="21"/>
      <c r="D904" s="21"/>
      <c r="E904" s="28"/>
      <c r="F904" s="24"/>
      <c r="G904" s="26"/>
      <c r="H904" s="24"/>
      <c r="I904" s="24"/>
      <c r="J904" s="24"/>
      <c r="K904" s="24"/>
      <c r="L904" s="26"/>
      <c r="M904" s="26"/>
      <c r="N904" s="22"/>
      <c r="O904" s="21"/>
      <c r="P904" s="22"/>
      <c r="Q904" s="29" t="str">
        <f aca="false">IF(C904="","",IF(O904&lt;&gt;"",O904,IFERROR(INDEX(Produk!$J$2:$J$100,MATCH(C904,Produk!$A$2:$A$100,0)),"PRODUK?")))</f>
        <v/>
      </c>
      <c r="R904" s="29" t="str">
        <f aca="false">IF(A904="","",IF(COUNTIF(Anggota!$A$2:$A$2001,A904)=0,"TIDAK ADA","OK"))</f>
        <v/>
      </c>
      <c r="S904" s="29" t="str">
        <f aca="false">IF(H904="","",IF(OR(J904="",L904=""),"-",IF(ABS(H904-J904*L904)&gt;Info_Koperasi!$C$10,"SELISIH","OK")))</f>
        <v/>
      </c>
    </row>
    <row r="905" customFormat="false" ht="15" hidden="false" customHeight="false" outlineLevel="0" collapsed="false">
      <c r="A905" s="21"/>
      <c r="B905" s="22"/>
      <c r="C905" s="21"/>
      <c r="D905" s="21"/>
      <c r="E905" s="28"/>
      <c r="F905" s="24"/>
      <c r="G905" s="26"/>
      <c r="H905" s="24"/>
      <c r="I905" s="24"/>
      <c r="J905" s="24"/>
      <c r="K905" s="24"/>
      <c r="L905" s="26"/>
      <c r="M905" s="26"/>
      <c r="N905" s="22"/>
      <c r="O905" s="21"/>
      <c r="P905" s="22"/>
      <c r="Q905" s="29" t="str">
        <f aca="false">IF(C905="","",IF(O905&lt;&gt;"",O905,IFERROR(INDEX(Produk!$J$2:$J$100,MATCH(C905,Produk!$A$2:$A$100,0)),"PRODUK?")))</f>
        <v/>
      </c>
      <c r="R905" s="29" t="str">
        <f aca="false">IF(A905="","",IF(COUNTIF(Anggota!$A$2:$A$2001,A905)=0,"TIDAK ADA","OK"))</f>
        <v/>
      </c>
      <c r="S905" s="29" t="str">
        <f aca="false">IF(H905="","",IF(OR(J905="",L905=""),"-",IF(ABS(H905-J905*L905)&gt;Info_Koperasi!$C$10,"SELISIH","OK")))</f>
        <v/>
      </c>
    </row>
    <row r="906" customFormat="false" ht="15" hidden="false" customHeight="false" outlineLevel="0" collapsed="false">
      <c r="A906" s="21"/>
      <c r="B906" s="22"/>
      <c r="C906" s="21"/>
      <c r="D906" s="21"/>
      <c r="E906" s="28"/>
      <c r="F906" s="24"/>
      <c r="G906" s="26"/>
      <c r="H906" s="24"/>
      <c r="I906" s="24"/>
      <c r="J906" s="24"/>
      <c r="K906" s="24"/>
      <c r="L906" s="26"/>
      <c r="M906" s="26"/>
      <c r="N906" s="22"/>
      <c r="O906" s="21"/>
      <c r="P906" s="22"/>
      <c r="Q906" s="29" t="str">
        <f aca="false">IF(C906="","",IF(O906&lt;&gt;"",O906,IFERROR(INDEX(Produk!$J$2:$J$100,MATCH(C906,Produk!$A$2:$A$100,0)),"PRODUK?")))</f>
        <v/>
      </c>
      <c r="R906" s="29" t="str">
        <f aca="false">IF(A906="","",IF(COUNTIF(Anggota!$A$2:$A$2001,A906)=0,"TIDAK ADA","OK"))</f>
        <v/>
      </c>
      <c r="S906" s="29" t="str">
        <f aca="false">IF(H906="","",IF(OR(J906="",L906=""),"-",IF(ABS(H906-J906*L906)&gt;Info_Koperasi!$C$10,"SELISIH","OK")))</f>
        <v/>
      </c>
    </row>
    <row r="907" customFormat="false" ht="15" hidden="false" customHeight="false" outlineLevel="0" collapsed="false">
      <c r="A907" s="21"/>
      <c r="B907" s="22"/>
      <c r="C907" s="21"/>
      <c r="D907" s="21"/>
      <c r="E907" s="28"/>
      <c r="F907" s="24"/>
      <c r="G907" s="26"/>
      <c r="H907" s="24"/>
      <c r="I907" s="24"/>
      <c r="J907" s="24"/>
      <c r="K907" s="24"/>
      <c r="L907" s="26"/>
      <c r="M907" s="26"/>
      <c r="N907" s="22"/>
      <c r="O907" s="21"/>
      <c r="P907" s="22"/>
      <c r="Q907" s="29" t="str">
        <f aca="false">IF(C907="","",IF(O907&lt;&gt;"",O907,IFERROR(INDEX(Produk!$J$2:$J$100,MATCH(C907,Produk!$A$2:$A$100,0)),"PRODUK?")))</f>
        <v/>
      </c>
      <c r="R907" s="29" t="str">
        <f aca="false">IF(A907="","",IF(COUNTIF(Anggota!$A$2:$A$2001,A907)=0,"TIDAK ADA","OK"))</f>
        <v/>
      </c>
      <c r="S907" s="29" t="str">
        <f aca="false">IF(H907="","",IF(OR(J907="",L907=""),"-",IF(ABS(H907-J907*L907)&gt;Info_Koperasi!$C$10,"SELISIH","OK")))</f>
        <v/>
      </c>
    </row>
    <row r="908" customFormat="false" ht="15" hidden="false" customHeight="false" outlineLevel="0" collapsed="false">
      <c r="A908" s="21"/>
      <c r="B908" s="22"/>
      <c r="C908" s="21"/>
      <c r="D908" s="21"/>
      <c r="E908" s="28"/>
      <c r="F908" s="24"/>
      <c r="G908" s="26"/>
      <c r="H908" s="24"/>
      <c r="I908" s="24"/>
      <c r="J908" s="24"/>
      <c r="K908" s="24"/>
      <c r="L908" s="26"/>
      <c r="M908" s="26"/>
      <c r="N908" s="22"/>
      <c r="O908" s="21"/>
      <c r="P908" s="22"/>
      <c r="Q908" s="29" t="str">
        <f aca="false">IF(C908="","",IF(O908&lt;&gt;"",O908,IFERROR(INDEX(Produk!$J$2:$J$100,MATCH(C908,Produk!$A$2:$A$100,0)),"PRODUK?")))</f>
        <v/>
      </c>
      <c r="R908" s="29" t="str">
        <f aca="false">IF(A908="","",IF(COUNTIF(Anggota!$A$2:$A$2001,A908)=0,"TIDAK ADA","OK"))</f>
        <v/>
      </c>
      <c r="S908" s="29" t="str">
        <f aca="false">IF(H908="","",IF(OR(J908="",L908=""),"-",IF(ABS(H908-J908*L908)&gt;Info_Koperasi!$C$10,"SELISIH","OK")))</f>
        <v/>
      </c>
    </row>
    <row r="909" customFormat="false" ht="15" hidden="false" customHeight="false" outlineLevel="0" collapsed="false">
      <c r="A909" s="21"/>
      <c r="B909" s="22"/>
      <c r="C909" s="21"/>
      <c r="D909" s="21"/>
      <c r="E909" s="28"/>
      <c r="F909" s="24"/>
      <c r="G909" s="26"/>
      <c r="H909" s="24"/>
      <c r="I909" s="24"/>
      <c r="J909" s="24"/>
      <c r="K909" s="24"/>
      <c r="L909" s="26"/>
      <c r="M909" s="26"/>
      <c r="N909" s="22"/>
      <c r="O909" s="21"/>
      <c r="P909" s="22"/>
      <c r="Q909" s="29" t="str">
        <f aca="false">IF(C909="","",IF(O909&lt;&gt;"",O909,IFERROR(INDEX(Produk!$J$2:$J$100,MATCH(C909,Produk!$A$2:$A$100,0)),"PRODUK?")))</f>
        <v/>
      </c>
      <c r="R909" s="29" t="str">
        <f aca="false">IF(A909="","",IF(COUNTIF(Anggota!$A$2:$A$2001,A909)=0,"TIDAK ADA","OK"))</f>
        <v/>
      </c>
      <c r="S909" s="29" t="str">
        <f aca="false">IF(H909="","",IF(OR(J909="",L909=""),"-",IF(ABS(H909-J909*L909)&gt;Info_Koperasi!$C$10,"SELISIH","OK")))</f>
        <v/>
      </c>
    </row>
    <row r="910" customFormat="false" ht="15" hidden="false" customHeight="false" outlineLevel="0" collapsed="false">
      <c r="A910" s="21"/>
      <c r="B910" s="22"/>
      <c r="C910" s="21"/>
      <c r="D910" s="21"/>
      <c r="E910" s="28"/>
      <c r="F910" s="24"/>
      <c r="G910" s="26"/>
      <c r="H910" s="24"/>
      <c r="I910" s="24"/>
      <c r="J910" s="24"/>
      <c r="K910" s="24"/>
      <c r="L910" s="26"/>
      <c r="M910" s="26"/>
      <c r="N910" s="22"/>
      <c r="O910" s="21"/>
      <c r="P910" s="22"/>
      <c r="Q910" s="29" t="str">
        <f aca="false">IF(C910="","",IF(O910&lt;&gt;"",O910,IFERROR(INDEX(Produk!$J$2:$J$100,MATCH(C910,Produk!$A$2:$A$100,0)),"PRODUK?")))</f>
        <v/>
      </c>
      <c r="R910" s="29" t="str">
        <f aca="false">IF(A910="","",IF(COUNTIF(Anggota!$A$2:$A$2001,A910)=0,"TIDAK ADA","OK"))</f>
        <v/>
      </c>
      <c r="S910" s="29" t="str">
        <f aca="false">IF(H910="","",IF(OR(J910="",L910=""),"-",IF(ABS(H910-J910*L910)&gt;Info_Koperasi!$C$10,"SELISIH","OK")))</f>
        <v/>
      </c>
    </row>
    <row r="911" customFormat="false" ht="15" hidden="false" customHeight="false" outlineLevel="0" collapsed="false">
      <c r="A911" s="21"/>
      <c r="B911" s="22"/>
      <c r="C911" s="21"/>
      <c r="D911" s="21"/>
      <c r="E911" s="28"/>
      <c r="F911" s="24"/>
      <c r="G911" s="26"/>
      <c r="H911" s="24"/>
      <c r="I911" s="24"/>
      <c r="J911" s="24"/>
      <c r="K911" s="24"/>
      <c r="L911" s="26"/>
      <c r="M911" s="26"/>
      <c r="N911" s="22"/>
      <c r="O911" s="21"/>
      <c r="P911" s="22"/>
      <c r="Q911" s="29" t="str">
        <f aca="false">IF(C911="","",IF(O911&lt;&gt;"",O911,IFERROR(INDEX(Produk!$J$2:$J$100,MATCH(C911,Produk!$A$2:$A$100,0)),"PRODUK?")))</f>
        <v/>
      </c>
      <c r="R911" s="29" t="str">
        <f aca="false">IF(A911="","",IF(COUNTIF(Anggota!$A$2:$A$2001,A911)=0,"TIDAK ADA","OK"))</f>
        <v/>
      </c>
      <c r="S911" s="29" t="str">
        <f aca="false">IF(H911="","",IF(OR(J911="",L911=""),"-",IF(ABS(H911-J911*L911)&gt;Info_Koperasi!$C$10,"SELISIH","OK")))</f>
        <v/>
      </c>
    </row>
    <row r="912" customFormat="false" ht="15" hidden="false" customHeight="false" outlineLevel="0" collapsed="false">
      <c r="A912" s="21"/>
      <c r="B912" s="22"/>
      <c r="C912" s="21"/>
      <c r="D912" s="21"/>
      <c r="E912" s="28"/>
      <c r="F912" s="24"/>
      <c r="G912" s="26"/>
      <c r="H912" s="24"/>
      <c r="I912" s="24"/>
      <c r="J912" s="24"/>
      <c r="K912" s="24"/>
      <c r="L912" s="26"/>
      <c r="M912" s="26"/>
      <c r="N912" s="22"/>
      <c r="O912" s="21"/>
      <c r="P912" s="22"/>
      <c r="Q912" s="29" t="str">
        <f aca="false">IF(C912="","",IF(O912&lt;&gt;"",O912,IFERROR(INDEX(Produk!$J$2:$J$100,MATCH(C912,Produk!$A$2:$A$100,0)),"PRODUK?")))</f>
        <v/>
      </c>
      <c r="R912" s="29" t="str">
        <f aca="false">IF(A912="","",IF(COUNTIF(Anggota!$A$2:$A$2001,A912)=0,"TIDAK ADA","OK"))</f>
        <v/>
      </c>
      <c r="S912" s="29" t="str">
        <f aca="false">IF(H912="","",IF(OR(J912="",L912=""),"-",IF(ABS(H912-J912*L912)&gt;Info_Koperasi!$C$10,"SELISIH","OK")))</f>
        <v/>
      </c>
    </row>
    <row r="913" customFormat="false" ht="15" hidden="false" customHeight="false" outlineLevel="0" collapsed="false">
      <c r="A913" s="21"/>
      <c r="B913" s="22"/>
      <c r="C913" s="21"/>
      <c r="D913" s="21"/>
      <c r="E913" s="28"/>
      <c r="F913" s="24"/>
      <c r="G913" s="26"/>
      <c r="H913" s="24"/>
      <c r="I913" s="24"/>
      <c r="J913" s="24"/>
      <c r="K913" s="24"/>
      <c r="L913" s="26"/>
      <c r="M913" s="26"/>
      <c r="N913" s="22"/>
      <c r="O913" s="21"/>
      <c r="P913" s="22"/>
      <c r="Q913" s="29" t="str">
        <f aca="false">IF(C913="","",IF(O913&lt;&gt;"",O913,IFERROR(INDEX(Produk!$J$2:$J$100,MATCH(C913,Produk!$A$2:$A$100,0)),"PRODUK?")))</f>
        <v/>
      </c>
      <c r="R913" s="29" t="str">
        <f aca="false">IF(A913="","",IF(COUNTIF(Anggota!$A$2:$A$2001,A913)=0,"TIDAK ADA","OK"))</f>
        <v/>
      </c>
      <c r="S913" s="29" t="str">
        <f aca="false">IF(H913="","",IF(OR(J913="",L913=""),"-",IF(ABS(H913-J913*L913)&gt;Info_Koperasi!$C$10,"SELISIH","OK")))</f>
        <v/>
      </c>
    </row>
    <row r="914" customFormat="false" ht="15" hidden="false" customHeight="false" outlineLevel="0" collapsed="false">
      <c r="A914" s="21"/>
      <c r="B914" s="22"/>
      <c r="C914" s="21"/>
      <c r="D914" s="21"/>
      <c r="E914" s="28"/>
      <c r="F914" s="24"/>
      <c r="G914" s="26"/>
      <c r="H914" s="24"/>
      <c r="I914" s="24"/>
      <c r="J914" s="24"/>
      <c r="K914" s="24"/>
      <c r="L914" s="26"/>
      <c r="M914" s="26"/>
      <c r="N914" s="22"/>
      <c r="O914" s="21"/>
      <c r="P914" s="22"/>
      <c r="Q914" s="29" t="str">
        <f aca="false">IF(C914="","",IF(O914&lt;&gt;"",O914,IFERROR(INDEX(Produk!$J$2:$J$100,MATCH(C914,Produk!$A$2:$A$100,0)),"PRODUK?")))</f>
        <v/>
      </c>
      <c r="R914" s="29" t="str">
        <f aca="false">IF(A914="","",IF(COUNTIF(Anggota!$A$2:$A$2001,A914)=0,"TIDAK ADA","OK"))</f>
        <v/>
      </c>
      <c r="S914" s="29" t="str">
        <f aca="false">IF(H914="","",IF(OR(J914="",L914=""),"-",IF(ABS(H914-J914*L914)&gt;Info_Koperasi!$C$10,"SELISIH","OK")))</f>
        <v/>
      </c>
    </row>
    <row r="915" customFormat="false" ht="15" hidden="false" customHeight="false" outlineLevel="0" collapsed="false">
      <c r="A915" s="21"/>
      <c r="B915" s="22"/>
      <c r="C915" s="21"/>
      <c r="D915" s="21"/>
      <c r="E915" s="28"/>
      <c r="F915" s="24"/>
      <c r="G915" s="26"/>
      <c r="H915" s="24"/>
      <c r="I915" s="24"/>
      <c r="J915" s="24"/>
      <c r="K915" s="24"/>
      <c r="L915" s="26"/>
      <c r="M915" s="26"/>
      <c r="N915" s="22"/>
      <c r="O915" s="21"/>
      <c r="P915" s="22"/>
      <c r="Q915" s="29" t="str">
        <f aca="false">IF(C915="","",IF(O915&lt;&gt;"",O915,IFERROR(INDEX(Produk!$J$2:$J$100,MATCH(C915,Produk!$A$2:$A$100,0)),"PRODUK?")))</f>
        <v/>
      </c>
      <c r="R915" s="29" t="str">
        <f aca="false">IF(A915="","",IF(COUNTIF(Anggota!$A$2:$A$2001,A915)=0,"TIDAK ADA","OK"))</f>
        <v/>
      </c>
      <c r="S915" s="29" t="str">
        <f aca="false">IF(H915="","",IF(OR(J915="",L915=""),"-",IF(ABS(H915-J915*L915)&gt;Info_Koperasi!$C$10,"SELISIH","OK")))</f>
        <v/>
      </c>
    </row>
    <row r="916" customFormat="false" ht="15" hidden="false" customHeight="false" outlineLevel="0" collapsed="false">
      <c r="A916" s="21"/>
      <c r="B916" s="22"/>
      <c r="C916" s="21"/>
      <c r="D916" s="21"/>
      <c r="E916" s="28"/>
      <c r="F916" s="24"/>
      <c r="G916" s="26"/>
      <c r="H916" s="24"/>
      <c r="I916" s="24"/>
      <c r="J916" s="24"/>
      <c r="K916" s="24"/>
      <c r="L916" s="26"/>
      <c r="M916" s="26"/>
      <c r="N916" s="22"/>
      <c r="O916" s="21"/>
      <c r="P916" s="22"/>
      <c r="Q916" s="29" t="str">
        <f aca="false">IF(C916="","",IF(O916&lt;&gt;"",O916,IFERROR(INDEX(Produk!$J$2:$J$100,MATCH(C916,Produk!$A$2:$A$100,0)),"PRODUK?")))</f>
        <v/>
      </c>
      <c r="R916" s="29" t="str">
        <f aca="false">IF(A916="","",IF(COUNTIF(Anggota!$A$2:$A$2001,A916)=0,"TIDAK ADA","OK"))</f>
        <v/>
      </c>
      <c r="S916" s="29" t="str">
        <f aca="false">IF(H916="","",IF(OR(J916="",L916=""),"-",IF(ABS(H916-J916*L916)&gt;Info_Koperasi!$C$10,"SELISIH","OK")))</f>
        <v/>
      </c>
    </row>
    <row r="917" customFormat="false" ht="15" hidden="false" customHeight="false" outlineLevel="0" collapsed="false">
      <c r="A917" s="21"/>
      <c r="B917" s="22"/>
      <c r="C917" s="21"/>
      <c r="D917" s="21"/>
      <c r="E917" s="28"/>
      <c r="F917" s="24"/>
      <c r="G917" s="26"/>
      <c r="H917" s="24"/>
      <c r="I917" s="24"/>
      <c r="J917" s="24"/>
      <c r="K917" s="24"/>
      <c r="L917" s="26"/>
      <c r="M917" s="26"/>
      <c r="N917" s="22"/>
      <c r="O917" s="21"/>
      <c r="P917" s="22"/>
      <c r="Q917" s="29" t="str">
        <f aca="false">IF(C917="","",IF(O917&lt;&gt;"",O917,IFERROR(INDEX(Produk!$J$2:$J$100,MATCH(C917,Produk!$A$2:$A$100,0)),"PRODUK?")))</f>
        <v/>
      </c>
      <c r="R917" s="29" t="str">
        <f aca="false">IF(A917="","",IF(COUNTIF(Anggota!$A$2:$A$2001,A917)=0,"TIDAK ADA","OK"))</f>
        <v/>
      </c>
      <c r="S917" s="29" t="str">
        <f aca="false">IF(H917="","",IF(OR(J917="",L917=""),"-",IF(ABS(H917-J917*L917)&gt;Info_Koperasi!$C$10,"SELISIH","OK")))</f>
        <v/>
      </c>
    </row>
    <row r="918" customFormat="false" ht="15" hidden="false" customHeight="false" outlineLevel="0" collapsed="false">
      <c r="A918" s="21"/>
      <c r="B918" s="22"/>
      <c r="C918" s="21"/>
      <c r="D918" s="21"/>
      <c r="E918" s="28"/>
      <c r="F918" s="24"/>
      <c r="G918" s="26"/>
      <c r="H918" s="24"/>
      <c r="I918" s="24"/>
      <c r="J918" s="24"/>
      <c r="K918" s="24"/>
      <c r="L918" s="26"/>
      <c r="M918" s="26"/>
      <c r="N918" s="22"/>
      <c r="O918" s="21"/>
      <c r="P918" s="22"/>
      <c r="Q918" s="29" t="str">
        <f aca="false">IF(C918="","",IF(O918&lt;&gt;"",O918,IFERROR(INDEX(Produk!$J$2:$J$100,MATCH(C918,Produk!$A$2:$A$100,0)),"PRODUK?")))</f>
        <v/>
      </c>
      <c r="R918" s="29" t="str">
        <f aca="false">IF(A918="","",IF(COUNTIF(Anggota!$A$2:$A$2001,A918)=0,"TIDAK ADA","OK"))</f>
        <v/>
      </c>
      <c r="S918" s="29" t="str">
        <f aca="false">IF(H918="","",IF(OR(J918="",L918=""),"-",IF(ABS(H918-J918*L918)&gt;Info_Koperasi!$C$10,"SELISIH","OK")))</f>
        <v/>
      </c>
    </row>
    <row r="919" customFormat="false" ht="15" hidden="false" customHeight="false" outlineLevel="0" collapsed="false">
      <c r="A919" s="21"/>
      <c r="B919" s="22"/>
      <c r="C919" s="21"/>
      <c r="D919" s="21"/>
      <c r="E919" s="28"/>
      <c r="F919" s="24"/>
      <c r="G919" s="26"/>
      <c r="H919" s="24"/>
      <c r="I919" s="24"/>
      <c r="J919" s="24"/>
      <c r="K919" s="24"/>
      <c r="L919" s="26"/>
      <c r="M919" s="26"/>
      <c r="N919" s="22"/>
      <c r="O919" s="21"/>
      <c r="P919" s="22"/>
      <c r="Q919" s="29" t="str">
        <f aca="false">IF(C919="","",IF(O919&lt;&gt;"",O919,IFERROR(INDEX(Produk!$J$2:$J$100,MATCH(C919,Produk!$A$2:$A$100,0)),"PRODUK?")))</f>
        <v/>
      </c>
      <c r="R919" s="29" t="str">
        <f aca="false">IF(A919="","",IF(COUNTIF(Anggota!$A$2:$A$2001,A919)=0,"TIDAK ADA","OK"))</f>
        <v/>
      </c>
      <c r="S919" s="29" t="str">
        <f aca="false">IF(H919="","",IF(OR(J919="",L919=""),"-",IF(ABS(H919-J919*L919)&gt;Info_Koperasi!$C$10,"SELISIH","OK")))</f>
        <v/>
      </c>
    </row>
    <row r="920" customFormat="false" ht="15" hidden="false" customHeight="false" outlineLevel="0" collapsed="false">
      <c r="A920" s="21"/>
      <c r="B920" s="22"/>
      <c r="C920" s="21"/>
      <c r="D920" s="21"/>
      <c r="E920" s="28"/>
      <c r="F920" s="24"/>
      <c r="G920" s="26"/>
      <c r="H920" s="24"/>
      <c r="I920" s="24"/>
      <c r="J920" s="24"/>
      <c r="K920" s="24"/>
      <c r="L920" s="26"/>
      <c r="M920" s="26"/>
      <c r="N920" s="22"/>
      <c r="O920" s="21"/>
      <c r="P920" s="22"/>
      <c r="Q920" s="29" t="str">
        <f aca="false">IF(C920="","",IF(O920&lt;&gt;"",O920,IFERROR(INDEX(Produk!$J$2:$J$100,MATCH(C920,Produk!$A$2:$A$100,0)),"PRODUK?")))</f>
        <v/>
      </c>
      <c r="R920" s="29" t="str">
        <f aca="false">IF(A920="","",IF(COUNTIF(Anggota!$A$2:$A$2001,A920)=0,"TIDAK ADA","OK"))</f>
        <v/>
      </c>
      <c r="S920" s="29" t="str">
        <f aca="false">IF(H920="","",IF(OR(J920="",L920=""),"-",IF(ABS(H920-J920*L920)&gt;Info_Koperasi!$C$10,"SELISIH","OK")))</f>
        <v/>
      </c>
    </row>
    <row r="921" customFormat="false" ht="15" hidden="false" customHeight="false" outlineLevel="0" collapsed="false">
      <c r="A921" s="21"/>
      <c r="B921" s="22"/>
      <c r="C921" s="21"/>
      <c r="D921" s="21"/>
      <c r="E921" s="28"/>
      <c r="F921" s="24"/>
      <c r="G921" s="26"/>
      <c r="H921" s="24"/>
      <c r="I921" s="24"/>
      <c r="J921" s="24"/>
      <c r="K921" s="24"/>
      <c r="L921" s="26"/>
      <c r="M921" s="26"/>
      <c r="N921" s="22"/>
      <c r="O921" s="21"/>
      <c r="P921" s="22"/>
      <c r="Q921" s="29" t="str">
        <f aca="false">IF(C921="","",IF(O921&lt;&gt;"",O921,IFERROR(INDEX(Produk!$J$2:$J$100,MATCH(C921,Produk!$A$2:$A$100,0)),"PRODUK?")))</f>
        <v/>
      </c>
      <c r="R921" s="29" t="str">
        <f aca="false">IF(A921="","",IF(COUNTIF(Anggota!$A$2:$A$2001,A921)=0,"TIDAK ADA","OK"))</f>
        <v/>
      </c>
      <c r="S921" s="29" t="str">
        <f aca="false">IF(H921="","",IF(OR(J921="",L921=""),"-",IF(ABS(H921-J921*L921)&gt;Info_Koperasi!$C$10,"SELISIH","OK")))</f>
        <v/>
      </c>
    </row>
    <row r="922" customFormat="false" ht="15" hidden="false" customHeight="false" outlineLevel="0" collapsed="false">
      <c r="A922" s="21"/>
      <c r="B922" s="22"/>
      <c r="C922" s="21"/>
      <c r="D922" s="21"/>
      <c r="E922" s="28"/>
      <c r="F922" s="24"/>
      <c r="G922" s="26"/>
      <c r="H922" s="24"/>
      <c r="I922" s="24"/>
      <c r="J922" s="24"/>
      <c r="K922" s="24"/>
      <c r="L922" s="26"/>
      <c r="M922" s="26"/>
      <c r="N922" s="22"/>
      <c r="O922" s="21"/>
      <c r="P922" s="22"/>
      <c r="Q922" s="29" t="str">
        <f aca="false">IF(C922="","",IF(O922&lt;&gt;"",O922,IFERROR(INDEX(Produk!$J$2:$J$100,MATCH(C922,Produk!$A$2:$A$100,0)),"PRODUK?")))</f>
        <v/>
      </c>
      <c r="R922" s="29" t="str">
        <f aca="false">IF(A922="","",IF(COUNTIF(Anggota!$A$2:$A$2001,A922)=0,"TIDAK ADA","OK"))</f>
        <v/>
      </c>
      <c r="S922" s="29" t="str">
        <f aca="false">IF(H922="","",IF(OR(J922="",L922=""),"-",IF(ABS(H922-J922*L922)&gt;Info_Koperasi!$C$10,"SELISIH","OK")))</f>
        <v/>
      </c>
    </row>
    <row r="923" customFormat="false" ht="15" hidden="false" customHeight="false" outlineLevel="0" collapsed="false">
      <c r="A923" s="21"/>
      <c r="B923" s="22"/>
      <c r="C923" s="21"/>
      <c r="D923" s="21"/>
      <c r="E923" s="28"/>
      <c r="F923" s="24"/>
      <c r="G923" s="26"/>
      <c r="H923" s="24"/>
      <c r="I923" s="24"/>
      <c r="J923" s="24"/>
      <c r="K923" s="24"/>
      <c r="L923" s="26"/>
      <c r="M923" s="26"/>
      <c r="N923" s="22"/>
      <c r="O923" s="21"/>
      <c r="P923" s="22"/>
      <c r="Q923" s="29" t="str">
        <f aca="false">IF(C923="","",IF(O923&lt;&gt;"",O923,IFERROR(INDEX(Produk!$J$2:$J$100,MATCH(C923,Produk!$A$2:$A$100,0)),"PRODUK?")))</f>
        <v/>
      </c>
      <c r="R923" s="29" t="str">
        <f aca="false">IF(A923="","",IF(COUNTIF(Anggota!$A$2:$A$2001,A923)=0,"TIDAK ADA","OK"))</f>
        <v/>
      </c>
      <c r="S923" s="29" t="str">
        <f aca="false">IF(H923="","",IF(OR(J923="",L923=""),"-",IF(ABS(H923-J923*L923)&gt;Info_Koperasi!$C$10,"SELISIH","OK")))</f>
        <v/>
      </c>
    </row>
    <row r="924" customFormat="false" ht="15" hidden="false" customHeight="false" outlineLevel="0" collapsed="false">
      <c r="A924" s="21"/>
      <c r="B924" s="22"/>
      <c r="C924" s="21"/>
      <c r="D924" s="21"/>
      <c r="E924" s="28"/>
      <c r="F924" s="24"/>
      <c r="G924" s="26"/>
      <c r="H924" s="24"/>
      <c r="I924" s="24"/>
      <c r="J924" s="24"/>
      <c r="K924" s="24"/>
      <c r="L924" s="26"/>
      <c r="M924" s="26"/>
      <c r="N924" s="22"/>
      <c r="O924" s="21"/>
      <c r="P924" s="22"/>
      <c r="Q924" s="29" t="str">
        <f aca="false">IF(C924="","",IF(O924&lt;&gt;"",O924,IFERROR(INDEX(Produk!$J$2:$J$100,MATCH(C924,Produk!$A$2:$A$100,0)),"PRODUK?")))</f>
        <v/>
      </c>
      <c r="R924" s="29" t="str">
        <f aca="false">IF(A924="","",IF(COUNTIF(Anggota!$A$2:$A$2001,A924)=0,"TIDAK ADA","OK"))</f>
        <v/>
      </c>
      <c r="S924" s="29" t="str">
        <f aca="false">IF(H924="","",IF(OR(J924="",L924=""),"-",IF(ABS(H924-J924*L924)&gt;Info_Koperasi!$C$10,"SELISIH","OK")))</f>
        <v/>
      </c>
    </row>
    <row r="925" customFormat="false" ht="15" hidden="false" customHeight="false" outlineLevel="0" collapsed="false">
      <c r="A925" s="21"/>
      <c r="B925" s="22"/>
      <c r="C925" s="21"/>
      <c r="D925" s="21"/>
      <c r="E925" s="28"/>
      <c r="F925" s="24"/>
      <c r="G925" s="26"/>
      <c r="H925" s="24"/>
      <c r="I925" s="24"/>
      <c r="J925" s="24"/>
      <c r="K925" s="24"/>
      <c r="L925" s="26"/>
      <c r="M925" s="26"/>
      <c r="N925" s="22"/>
      <c r="O925" s="21"/>
      <c r="P925" s="22"/>
      <c r="Q925" s="29" t="str">
        <f aca="false">IF(C925="","",IF(O925&lt;&gt;"",O925,IFERROR(INDEX(Produk!$J$2:$J$100,MATCH(C925,Produk!$A$2:$A$100,0)),"PRODUK?")))</f>
        <v/>
      </c>
      <c r="R925" s="29" t="str">
        <f aca="false">IF(A925="","",IF(COUNTIF(Anggota!$A$2:$A$2001,A925)=0,"TIDAK ADA","OK"))</f>
        <v/>
      </c>
      <c r="S925" s="29" t="str">
        <f aca="false">IF(H925="","",IF(OR(J925="",L925=""),"-",IF(ABS(H925-J925*L925)&gt;Info_Koperasi!$C$10,"SELISIH","OK")))</f>
        <v/>
      </c>
    </row>
    <row r="926" customFormat="false" ht="15" hidden="false" customHeight="false" outlineLevel="0" collapsed="false">
      <c r="A926" s="21"/>
      <c r="B926" s="22"/>
      <c r="C926" s="21"/>
      <c r="D926" s="21"/>
      <c r="E926" s="28"/>
      <c r="F926" s="24"/>
      <c r="G926" s="26"/>
      <c r="H926" s="24"/>
      <c r="I926" s="24"/>
      <c r="J926" s="24"/>
      <c r="K926" s="24"/>
      <c r="L926" s="26"/>
      <c r="M926" s="26"/>
      <c r="N926" s="22"/>
      <c r="O926" s="21"/>
      <c r="P926" s="22"/>
      <c r="Q926" s="29" t="str">
        <f aca="false">IF(C926="","",IF(O926&lt;&gt;"",O926,IFERROR(INDEX(Produk!$J$2:$J$100,MATCH(C926,Produk!$A$2:$A$100,0)),"PRODUK?")))</f>
        <v/>
      </c>
      <c r="R926" s="29" t="str">
        <f aca="false">IF(A926="","",IF(COUNTIF(Anggota!$A$2:$A$2001,A926)=0,"TIDAK ADA","OK"))</f>
        <v/>
      </c>
      <c r="S926" s="29" t="str">
        <f aca="false">IF(H926="","",IF(OR(J926="",L926=""),"-",IF(ABS(H926-J926*L926)&gt;Info_Koperasi!$C$10,"SELISIH","OK")))</f>
        <v/>
      </c>
    </row>
    <row r="927" customFormat="false" ht="15" hidden="false" customHeight="false" outlineLevel="0" collapsed="false">
      <c r="A927" s="21"/>
      <c r="B927" s="22"/>
      <c r="C927" s="21"/>
      <c r="D927" s="21"/>
      <c r="E927" s="28"/>
      <c r="F927" s="24"/>
      <c r="G927" s="26"/>
      <c r="H927" s="24"/>
      <c r="I927" s="24"/>
      <c r="J927" s="24"/>
      <c r="K927" s="24"/>
      <c r="L927" s="26"/>
      <c r="M927" s="26"/>
      <c r="N927" s="22"/>
      <c r="O927" s="21"/>
      <c r="P927" s="22"/>
      <c r="Q927" s="29" t="str">
        <f aca="false">IF(C927="","",IF(O927&lt;&gt;"",O927,IFERROR(INDEX(Produk!$J$2:$J$100,MATCH(C927,Produk!$A$2:$A$100,0)),"PRODUK?")))</f>
        <v/>
      </c>
      <c r="R927" s="29" t="str">
        <f aca="false">IF(A927="","",IF(COUNTIF(Anggota!$A$2:$A$2001,A927)=0,"TIDAK ADA","OK"))</f>
        <v/>
      </c>
      <c r="S927" s="29" t="str">
        <f aca="false">IF(H927="","",IF(OR(J927="",L927=""),"-",IF(ABS(H927-J927*L927)&gt;Info_Koperasi!$C$10,"SELISIH","OK")))</f>
        <v/>
      </c>
    </row>
    <row r="928" customFormat="false" ht="15" hidden="false" customHeight="false" outlineLevel="0" collapsed="false">
      <c r="A928" s="21"/>
      <c r="B928" s="22"/>
      <c r="C928" s="21"/>
      <c r="D928" s="21"/>
      <c r="E928" s="28"/>
      <c r="F928" s="24"/>
      <c r="G928" s="26"/>
      <c r="H928" s="24"/>
      <c r="I928" s="24"/>
      <c r="J928" s="24"/>
      <c r="K928" s="24"/>
      <c r="L928" s="26"/>
      <c r="M928" s="26"/>
      <c r="N928" s="22"/>
      <c r="O928" s="21"/>
      <c r="P928" s="22"/>
      <c r="Q928" s="29" t="str">
        <f aca="false">IF(C928="","",IF(O928&lt;&gt;"",O928,IFERROR(INDEX(Produk!$J$2:$J$100,MATCH(C928,Produk!$A$2:$A$100,0)),"PRODUK?")))</f>
        <v/>
      </c>
      <c r="R928" s="29" t="str">
        <f aca="false">IF(A928="","",IF(COUNTIF(Anggota!$A$2:$A$2001,A928)=0,"TIDAK ADA","OK"))</f>
        <v/>
      </c>
      <c r="S928" s="29" t="str">
        <f aca="false">IF(H928="","",IF(OR(J928="",L928=""),"-",IF(ABS(H928-J928*L928)&gt;Info_Koperasi!$C$10,"SELISIH","OK")))</f>
        <v/>
      </c>
    </row>
    <row r="929" customFormat="false" ht="15" hidden="false" customHeight="false" outlineLevel="0" collapsed="false">
      <c r="A929" s="21"/>
      <c r="B929" s="22"/>
      <c r="C929" s="21"/>
      <c r="D929" s="21"/>
      <c r="E929" s="28"/>
      <c r="F929" s="24"/>
      <c r="G929" s="26"/>
      <c r="H929" s="24"/>
      <c r="I929" s="24"/>
      <c r="J929" s="24"/>
      <c r="K929" s="24"/>
      <c r="L929" s="26"/>
      <c r="M929" s="26"/>
      <c r="N929" s="22"/>
      <c r="O929" s="21"/>
      <c r="P929" s="22"/>
      <c r="Q929" s="29" t="str">
        <f aca="false">IF(C929="","",IF(O929&lt;&gt;"",O929,IFERROR(INDEX(Produk!$J$2:$J$100,MATCH(C929,Produk!$A$2:$A$100,0)),"PRODUK?")))</f>
        <v/>
      </c>
      <c r="R929" s="29" t="str">
        <f aca="false">IF(A929="","",IF(COUNTIF(Anggota!$A$2:$A$2001,A929)=0,"TIDAK ADA","OK"))</f>
        <v/>
      </c>
      <c r="S929" s="29" t="str">
        <f aca="false">IF(H929="","",IF(OR(J929="",L929=""),"-",IF(ABS(H929-J929*L929)&gt;Info_Koperasi!$C$10,"SELISIH","OK")))</f>
        <v/>
      </c>
    </row>
    <row r="930" customFormat="false" ht="15" hidden="false" customHeight="false" outlineLevel="0" collapsed="false">
      <c r="A930" s="21"/>
      <c r="B930" s="22"/>
      <c r="C930" s="21"/>
      <c r="D930" s="21"/>
      <c r="E930" s="28"/>
      <c r="F930" s="24"/>
      <c r="G930" s="26"/>
      <c r="H930" s="24"/>
      <c r="I930" s="24"/>
      <c r="J930" s="24"/>
      <c r="K930" s="24"/>
      <c r="L930" s="26"/>
      <c r="M930" s="26"/>
      <c r="N930" s="22"/>
      <c r="O930" s="21"/>
      <c r="P930" s="22"/>
      <c r="Q930" s="29" t="str">
        <f aca="false">IF(C930="","",IF(O930&lt;&gt;"",O930,IFERROR(INDEX(Produk!$J$2:$J$100,MATCH(C930,Produk!$A$2:$A$100,0)),"PRODUK?")))</f>
        <v/>
      </c>
      <c r="R930" s="29" t="str">
        <f aca="false">IF(A930="","",IF(COUNTIF(Anggota!$A$2:$A$2001,A930)=0,"TIDAK ADA","OK"))</f>
        <v/>
      </c>
      <c r="S930" s="29" t="str">
        <f aca="false">IF(H930="","",IF(OR(J930="",L930=""),"-",IF(ABS(H930-J930*L930)&gt;Info_Koperasi!$C$10,"SELISIH","OK")))</f>
        <v/>
      </c>
    </row>
    <row r="931" customFormat="false" ht="15" hidden="false" customHeight="false" outlineLevel="0" collapsed="false">
      <c r="A931" s="21"/>
      <c r="B931" s="22"/>
      <c r="C931" s="21"/>
      <c r="D931" s="21"/>
      <c r="E931" s="28"/>
      <c r="F931" s="24"/>
      <c r="G931" s="26"/>
      <c r="H931" s="24"/>
      <c r="I931" s="24"/>
      <c r="J931" s="24"/>
      <c r="K931" s="24"/>
      <c r="L931" s="26"/>
      <c r="M931" s="26"/>
      <c r="N931" s="22"/>
      <c r="O931" s="21"/>
      <c r="P931" s="22"/>
      <c r="Q931" s="29" t="str">
        <f aca="false">IF(C931="","",IF(O931&lt;&gt;"",O931,IFERROR(INDEX(Produk!$J$2:$J$100,MATCH(C931,Produk!$A$2:$A$100,0)),"PRODUK?")))</f>
        <v/>
      </c>
      <c r="R931" s="29" t="str">
        <f aca="false">IF(A931="","",IF(COUNTIF(Anggota!$A$2:$A$2001,A931)=0,"TIDAK ADA","OK"))</f>
        <v/>
      </c>
      <c r="S931" s="29" t="str">
        <f aca="false">IF(H931="","",IF(OR(J931="",L931=""),"-",IF(ABS(H931-J931*L931)&gt;Info_Koperasi!$C$10,"SELISIH","OK")))</f>
        <v/>
      </c>
    </row>
    <row r="932" customFormat="false" ht="15" hidden="false" customHeight="false" outlineLevel="0" collapsed="false">
      <c r="A932" s="21"/>
      <c r="B932" s="22"/>
      <c r="C932" s="21"/>
      <c r="D932" s="21"/>
      <c r="E932" s="28"/>
      <c r="F932" s="24"/>
      <c r="G932" s="26"/>
      <c r="H932" s="24"/>
      <c r="I932" s="24"/>
      <c r="J932" s="24"/>
      <c r="K932" s="24"/>
      <c r="L932" s="26"/>
      <c r="M932" s="26"/>
      <c r="N932" s="22"/>
      <c r="O932" s="21"/>
      <c r="P932" s="22"/>
      <c r="Q932" s="29" t="str">
        <f aca="false">IF(C932="","",IF(O932&lt;&gt;"",O932,IFERROR(INDEX(Produk!$J$2:$J$100,MATCH(C932,Produk!$A$2:$A$100,0)),"PRODUK?")))</f>
        <v/>
      </c>
      <c r="R932" s="29" t="str">
        <f aca="false">IF(A932="","",IF(COUNTIF(Anggota!$A$2:$A$2001,A932)=0,"TIDAK ADA","OK"))</f>
        <v/>
      </c>
      <c r="S932" s="29" t="str">
        <f aca="false">IF(H932="","",IF(OR(J932="",L932=""),"-",IF(ABS(H932-J932*L932)&gt;Info_Koperasi!$C$10,"SELISIH","OK")))</f>
        <v/>
      </c>
    </row>
    <row r="933" customFormat="false" ht="15" hidden="false" customHeight="false" outlineLevel="0" collapsed="false">
      <c r="A933" s="21"/>
      <c r="B933" s="22"/>
      <c r="C933" s="21"/>
      <c r="D933" s="21"/>
      <c r="E933" s="28"/>
      <c r="F933" s="24"/>
      <c r="G933" s="26"/>
      <c r="H933" s="24"/>
      <c r="I933" s="24"/>
      <c r="J933" s="24"/>
      <c r="K933" s="24"/>
      <c r="L933" s="26"/>
      <c r="M933" s="26"/>
      <c r="N933" s="22"/>
      <c r="O933" s="21"/>
      <c r="P933" s="22"/>
      <c r="Q933" s="29" t="str">
        <f aca="false">IF(C933="","",IF(O933&lt;&gt;"",O933,IFERROR(INDEX(Produk!$J$2:$J$100,MATCH(C933,Produk!$A$2:$A$100,0)),"PRODUK?")))</f>
        <v/>
      </c>
      <c r="R933" s="29" t="str">
        <f aca="false">IF(A933="","",IF(COUNTIF(Anggota!$A$2:$A$2001,A933)=0,"TIDAK ADA","OK"))</f>
        <v/>
      </c>
      <c r="S933" s="29" t="str">
        <f aca="false">IF(H933="","",IF(OR(J933="",L933=""),"-",IF(ABS(H933-J933*L933)&gt;Info_Koperasi!$C$10,"SELISIH","OK")))</f>
        <v/>
      </c>
    </row>
    <row r="934" customFormat="false" ht="15" hidden="false" customHeight="false" outlineLevel="0" collapsed="false">
      <c r="A934" s="21"/>
      <c r="B934" s="22"/>
      <c r="C934" s="21"/>
      <c r="D934" s="21"/>
      <c r="E934" s="28"/>
      <c r="F934" s="24"/>
      <c r="G934" s="26"/>
      <c r="H934" s="24"/>
      <c r="I934" s="24"/>
      <c r="J934" s="24"/>
      <c r="K934" s="24"/>
      <c r="L934" s="26"/>
      <c r="M934" s="26"/>
      <c r="N934" s="22"/>
      <c r="O934" s="21"/>
      <c r="P934" s="22"/>
      <c r="Q934" s="29" t="str">
        <f aca="false">IF(C934="","",IF(O934&lt;&gt;"",O934,IFERROR(INDEX(Produk!$J$2:$J$100,MATCH(C934,Produk!$A$2:$A$100,0)),"PRODUK?")))</f>
        <v/>
      </c>
      <c r="R934" s="29" t="str">
        <f aca="false">IF(A934="","",IF(COUNTIF(Anggota!$A$2:$A$2001,A934)=0,"TIDAK ADA","OK"))</f>
        <v/>
      </c>
      <c r="S934" s="29" t="str">
        <f aca="false">IF(H934="","",IF(OR(J934="",L934=""),"-",IF(ABS(H934-J934*L934)&gt;Info_Koperasi!$C$10,"SELISIH","OK")))</f>
        <v/>
      </c>
    </row>
    <row r="935" customFormat="false" ht="15" hidden="false" customHeight="false" outlineLevel="0" collapsed="false">
      <c r="A935" s="21"/>
      <c r="B935" s="22"/>
      <c r="C935" s="21"/>
      <c r="D935" s="21"/>
      <c r="E935" s="28"/>
      <c r="F935" s="24"/>
      <c r="G935" s="26"/>
      <c r="H935" s="24"/>
      <c r="I935" s="24"/>
      <c r="J935" s="24"/>
      <c r="K935" s="24"/>
      <c r="L935" s="26"/>
      <c r="M935" s="26"/>
      <c r="N935" s="22"/>
      <c r="O935" s="21"/>
      <c r="P935" s="22"/>
      <c r="Q935" s="29" t="str">
        <f aca="false">IF(C935="","",IF(O935&lt;&gt;"",O935,IFERROR(INDEX(Produk!$J$2:$J$100,MATCH(C935,Produk!$A$2:$A$100,0)),"PRODUK?")))</f>
        <v/>
      </c>
      <c r="R935" s="29" t="str">
        <f aca="false">IF(A935="","",IF(COUNTIF(Anggota!$A$2:$A$2001,A935)=0,"TIDAK ADA","OK"))</f>
        <v/>
      </c>
      <c r="S935" s="29" t="str">
        <f aca="false">IF(H935="","",IF(OR(J935="",L935=""),"-",IF(ABS(H935-J935*L935)&gt;Info_Koperasi!$C$10,"SELISIH","OK")))</f>
        <v/>
      </c>
    </row>
    <row r="936" customFormat="false" ht="15" hidden="false" customHeight="false" outlineLevel="0" collapsed="false">
      <c r="A936" s="21"/>
      <c r="B936" s="22"/>
      <c r="C936" s="21"/>
      <c r="D936" s="21"/>
      <c r="E936" s="28"/>
      <c r="F936" s="24"/>
      <c r="G936" s="26"/>
      <c r="H936" s="24"/>
      <c r="I936" s="24"/>
      <c r="J936" s="24"/>
      <c r="K936" s="24"/>
      <c r="L936" s="26"/>
      <c r="M936" s="26"/>
      <c r="N936" s="22"/>
      <c r="O936" s="21"/>
      <c r="P936" s="22"/>
      <c r="Q936" s="29" t="str">
        <f aca="false">IF(C936="","",IF(O936&lt;&gt;"",O936,IFERROR(INDEX(Produk!$J$2:$J$100,MATCH(C936,Produk!$A$2:$A$100,0)),"PRODUK?")))</f>
        <v/>
      </c>
      <c r="R936" s="29" t="str">
        <f aca="false">IF(A936="","",IF(COUNTIF(Anggota!$A$2:$A$2001,A936)=0,"TIDAK ADA","OK"))</f>
        <v/>
      </c>
      <c r="S936" s="29" t="str">
        <f aca="false">IF(H936="","",IF(OR(J936="",L936=""),"-",IF(ABS(H936-J936*L936)&gt;Info_Koperasi!$C$10,"SELISIH","OK")))</f>
        <v/>
      </c>
    </row>
    <row r="937" customFormat="false" ht="15" hidden="false" customHeight="false" outlineLevel="0" collapsed="false">
      <c r="A937" s="21"/>
      <c r="B937" s="22"/>
      <c r="C937" s="21"/>
      <c r="D937" s="21"/>
      <c r="E937" s="28"/>
      <c r="F937" s="24"/>
      <c r="G937" s="26"/>
      <c r="H937" s="24"/>
      <c r="I937" s="24"/>
      <c r="J937" s="24"/>
      <c r="K937" s="24"/>
      <c r="L937" s="26"/>
      <c r="M937" s="26"/>
      <c r="N937" s="22"/>
      <c r="O937" s="21"/>
      <c r="P937" s="22"/>
      <c r="Q937" s="29" t="str">
        <f aca="false">IF(C937="","",IF(O937&lt;&gt;"",O937,IFERROR(INDEX(Produk!$J$2:$J$100,MATCH(C937,Produk!$A$2:$A$100,0)),"PRODUK?")))</f>
        <v/>
      </c>
      <c r="R937" s="29" t="str">
        <f aca="false">IF(A937="","",IF(COUNTIF(Anggota!$A$2:$A$2001,A937)=0,"TIDAK ADA","OK"))</f>
        <v/>
      </c>
      <c r="S937" s="29" t="str">
        <f aca="false">IF(H937="","",IF(OR(J937="",L937=""),"-",IF(ABS(H937-J937*L937)&gt;Info_Koperasi!$C$10,"SELISIH","OK")))</f>
        <v/>
      </c>
    </row>
    <row r="938" customFormat="false" ht="15" hidden="false" customHeight="false" outlineLevel="0" collapsed="false">
      <c r="A938" s="21"/>
      <c r="B938" s="22"/>
      <c r="C938" s="21"/>
      <c r="D938" s="21"/>
      <c r="E938" s="28"/>
      <c r="F938" s="24"/>
      <c r="G938" s="26"/>
      <c r="H938" s="24"/>
      <c r="I938" s="24"/>
      <c r="J938" s="24"/>
      <c r="K938" s="24"/>
      <c r="L938" s="26"/>
      <c r="M938" s="26"/>
      <c r="N938" s="22"/>
      <c r="O938" s="21"/>
      <c r="P938" s="22"/>
      <c r="Q938" s="29" t="str">
        <f aca="false">IF(C938="","",IF(O938&lt;&gt;"",O938,IFERROR(INDEX(Produk!$J$2:$J$100,MATCH(C938,Produk!$A$2:$A$100,0)),"PRODUK?")))</f>
        <v/>
      </c>
      <c r="R938" s="29" t="str">
        <f aca="false">IF(A938="","",IF(COUNTIF(Anggota!$A$2:$A$2001,A938)=0,"TIDAK ADA","OK"))</f>
        <v/>
      </c>
      <c r="S938" s="29" t="str">
        <f aca="false">IF(H938="","",IF(OR(J938="",L938=""),"-",IF(ABS(H938-J938*L938)&gt;Info_Koperasi!$C$10,"SELISIH","OK")))</f>
        <v/>
      </c>
    </row>
    <row r="939" customFormat="false" ht="15" hidden="false" customHeight="false" outlineLevel="0" collapsed="false">
      <c r="A939" s="21"/>
      <c r="B939" s="22"/>
      <c r="C939" s="21"/>
      <c r="D939" s="21"/>
      <c r="E939" s="28"/>
      <c r="F939" s="24"/>
      <c r="G939" s="26"/>
      <c r="H939" s="24"/>
      <c r="I939" s="24"/>
      <c r="J939" s="24"/>
      <c r="K939" s="24"/>
      <c r="L939" s="26"/>
      <c r="M939" s="26"/>
      <c r="N939" s="22"/>
      <c r="O939" s="21"/>
      <c r="P939" s="22"/>
      <c r="Q939" s="29" t="str">
        <f aca="false">IF(C939="","",IF(O939&lt;&gt;"",O939,IFERROR(INDEX(Produk!$J$2:$J$100,MATCH(C939,Produk!$A$2:$A$100,0)),"PRODUK?")))</f>
        <v/>
      </c>
      <c r="R939" s="29" t="str">
        <f aca="false">IF(A939="","",IF(COUNTIF(Anggota!$A$2:$A$2001,A939)=0,"TIDAK ADA","OK"))</f>
        <v/>
      </c>
      <c r="S939" s="29" t="str">
        <f aca="false">IF(H939="","",IF(OR(J939="",L939=""),"-",IF(ABS(H939-J939*L939)&gt;Info_Koperasi!$C$10,"SELISIH","OK")))</f>
        <v/>
      </c>
    </row>
    <row r="940" customFormat="false" ht="15" hidden="false" customHeight="false" outlineLevel="0" collapsed="false">
      <c r="A940" s="21"/>
      <c r="B940" s="22"/>
      <c r="C940" s="21"/>
      <c r="D940" s="21"/>
      <c r="E940" s="28"/>
      <c r="F940" s="24"/>
      <c r="G940" s="26"/>
      <c r="H940" s="24"/>
      <c r="I940" s="24"/>
      <c r="J940" s="24"/>
      <c r="K940" s="24"/>
      <c r="L940" s="26"/>
      <c r="M940" s="26"/>
      <c r="N940" s="22"/>
      <c r="O940" s="21"/>
      <c r="P940" s="22"/>
      <c r="Q940" s="29" t="str">
        <f aca="false">IF(C940="","",IF(O940&lt;&gt;"",O940,IFERROR(INDEX(Produk!$J$2:$J$100,MATCH(C940,Produk!$A$2:$A$100,0)),"PRODUK?")))</f>
        <v/>
      </c>
      <c r="R940" s="29" t="str">
        <f aca="false">IF(A940="","",IF(COUNTIF(Anggota!$A$2:$A$2001,A940)=0,"TIDAK ADA","OK"))</f>
        <v/>
      </c>
      <c r="S940" s="29" t="str">
        <f aca="false">IF(H940="","",IF(OR(J940="",L940=""),"-",IF(ABS(H940-J940*L940)&gt;Info_Koperasi!$C$10,"SELISIH","OK")))</f>
        <v/>
      </c>
    </row>
    <row r="941" customFormat="false" ht="15" hidden="false" customHeight="false" outlineLevel="0" collapsed="false">
      <c r="A941" s="21"/>
      <c r="B941" s="22"/>
      <c r="C941" s="21"/>
      <c r="D941" s="21"/>
      <c r="E941" s="28"/>
      <c r="F941" s="24"/>
      <c r="G941" s="26"/>
      <c r="H941" s="24"/>
      <c r="I941" s="24"/>
      <c r="J941" s="24"/>
      <c r="K941" s="24"/>
      <c r="L941" s="26"/>
      <c r="M941" s="26"/>
      <c r="N941" s="22"/>
      <c r="O941" s="21"/>
      <c r="P941" s="22"/>
      <c r="Q941" s="29" t="str">
        <f aca="false">IF(C941="","",IF(O941&lt;&gt;"",O941,IFERROR(INDEX(Produk!$J$2:$J$100,MATCH(C941,Produk!$A$2:$A$100,0)),"PRODUK?")))</f>
        <v/>
      </c>
      <c r="R941" s="29" t="str">
        <f aca="false">IF(A941="","",IF(COUNTIF(Anggota!$A$2:$A$2001,A941)=0,"TIDAK ADA","OK"))</f>
        <v/>
      </c>
      <c r="S941" s="29" t="str">
        <f aca="false">IF(H941="","",IF(OR(J941="",L941=""),"-",IF(ABS(H941-J941*L941)&gt;Info_Koperasi!$C$10,"SELISIH","OK")))</f>
        <v/>
      </c>
    </row>
    <row r="942" customFormat="false" ht="15" hidden="false" customHeight="false" outlineLevel="0" collapsed="false">
      <c r="A942" s="21"/>
      <c r="B942" s="22"/>
      <c r="C942" s="21"/>
      <c r="D942" s="21"/>
      <c r="E942" s="28"/>
      <c r="F942" s="24"/>
      <c r="G942" s="26"/>
      <c r="H942" s="24"/>
      <c r="I942" s="24"/>
      <c r="J942" s="24"/>
      <c r="K942" s="24"/>
      <c r="L942" s="26"/>
      <c r="M942" s="26"/>
      <c r="N942" s="22"/>
      <c r="O942" s="21"/>
      <c r="P942" s="22"/>
      <c r="Q942" s="29" t="str">
        <f aca="false">IF(C942="","",IF(O942&lt;&gt;"",O942,IFERROR(INDEX(Produk!$J$2:$J$100,MATCH(C942,Produk!$A$2:$A$100,0)),"PRODUK?")))</f>
        <v/>
      </c>
      <c r="R942" s="29" t="str">
        <f aca="false">IF(A942="","",IF(COUNTIF(Anggota!$A$2:$A$2001,A942)=0,"TIDAK ADA","OK"))</f>
        <v/>
      </c>
      <c r="S942" s="29" t="str">
        <f aca="false">IF(H942="","",IF(OR(J942="",L942=""),"-",IF(ABS(H942-J942*L942)&gt;Info_Koperasi!$C$10,"SELISIH","OK")))</f>
        <v/>
      </c>
    </row>
    <row r="943" customFormat="false" ht="15" hidden="false" customHeight="false" outlineLevel="0" collapsed="false">
      <c r="A943" s="21"/>
      <c r="B943" s="22"/>
      <c r="C943" s="21"/>
      <c r="D943" s="21"/>
      <c r="E943" s="28"/>
      <c r="F943" s="24"/>
      <c r="G943" s="26"/>
      <c r="H943" s="24"/>
      <c r="I943" s="24"/>
      <c r="J943" s="24"/>
      <c r="K943" s="24"/>
      <c r="L943" s="26"/>
      <c r="M943" s="26"/>
      <c r="N943" s="22"/>
      <c r="O943" s="21"/>
      <c r="P943" s="22"/>
      <c r="Q943" s="29" t="str">
        <f aca="false">IF(C943="","",IF(O943&lt;&gt;"",O943,IFERROR(INDEX(Produk!$J$2:$J$100,MATCH(C943,Produk!$A$2:$A$100,0)),"PRODUK?")))</f>
        <v/>
      </c>
      <c r="R943" s="29" t="str">
        <f aca="false">IF(A943="","",IF(COUNTIF(Anggota!$A$2:$A$2001,A943)=0,"TIDAK ADA","OK"))</f>
        <v/>
      </c>
      <c r="S943" s="29" t="str">
        <f aca="false">IF(H943="","",IF(OR(J943="",L943=""),"-",IF(ABS(H943-J943*L943)&gt;Info_Koperasi!$C$10,"SELISIH","OK")))</f>
        <v/>
      </c>
    </row>
    <row r="944" customFormat="false" ht="15" hidden="false" customHeight="false" outlineLevel="0" collapsed="false">
      <c r="A944" s="21"/>
      <c r="B944" s="22"/>
      <c r="C944" s="21"/>
      <c r="D944" s="21"/>
      <c r="E944" s="28"/>
      <c r="F944" s="24"/>
      <c r="G944" s="26"/>
      <c r="H944" s="24"/>
      <c r="I944" s="24"/>
      <c r="J944" s="24"/>
      <c r="K944" s="24"/>
      <c r="L944" s="26"/>
      <c r="M944" s="26"/>
      <c r="N944" s="22"/>
      <c r="O944" s="21"/>
      <c r="P944" s="22"/>
      <c r="Q944" s="29" t="str">
        <f aca="false">IF(C944="","",IF(O944&lt;&gt;"",O944,IFERROR(INDEX(Produk!$J$2:$J$100,MATCH(C944,Produk!$A$2:$A$100,0)),"PRODUK?")))</f>
        <v/>
      </c>
      <c r="R944" s="29" t="str">
        <f aca="false">IF(A944="","",IF(COUNTIF(Anggota!$A$2:$A$2001,A944)=0,"TIDAK ADA","OK"))</f>
        <v/>
      </c>
      <c r="S944" s="29" t="str">
        <f aca="false">IF(H944="","",IF(OR(J944="",L944=""),"-",IF(ABS(H944-J944*L944)&gt;Info_Koperasi!$C$10,"SELISIH","OK")))</f>
        <v/>
      </c>
    </row>
    <row r="945" customFormat="false" ht="15" hidden="false" customHeight="false" outlineLevel="0" collapsed="false">
      <c r="A945" s="21"/>
      <c r="B945" s="22"/>
      <c r="C945" s="21"/>
      <c r="D945" s="21"/>
      <c r="E945" s="28"/>
      <c r="F945" s="24"/>
      <c r="G945" s="26"/>
      <c r="H945" s="24"/>
      <c r="I945" s="24"/>
      <c r="J945" s="24"/>
      <c r="K945" s="24"/>
      <c r="L945" s="26"/>
      <c r="M945" s="26"/>
      <c r="N945" s="22"/>
      <c r="O945" s="21"/>
      <c r="P945" s="22"/>
      <c r="Q945" s="29" t="str">
        <f aca="false">IF(C945="","",IF(O945&lt;&gt;"",O945,IFERROR(INDEX(Produk!$J$2:$J$100,MATCH(C945,Produk!$A$2:$A$100,0)),"PRODUK?")))</f>
        <v/>
      </c>
      <c r="R945" s="29" t="str">
        <f aca="false">IF(A945="","",IF(COUNTIF(Anggota!$A$2:$A$2001,A945)=0,"TIDAK ADA","OK"))</f>
        <v/>
      </c>
      <c r="S945" s="29" t="str">
        <f aca="false">IF(H945="","",IF(OR(J945="",L945=""),"-",IF(ABS(H945-J945*L945)&gt;Info_Koperasi!$C$10,"SELISIH","OK")))</f>
        <v/>
      </c>
    </row>
    <row r="946" customFormat="false" ht="15" hidden="false" customHeight="false" outlineLevel="0" collapsed="false">
      <c r="A946" s="21"/>
      <c r="B946" s="22"/>
      <c r="C946" s="21"/>
      <c r="D946" s="21"/>
      <c r="E946" s="28"/>
      <c r="F946" s="24"/>
      <c r="G946" s="26"/>
      <c r="H946" s="24"/>
      <c r="I946" s="24"/>
      <c r="J946" s="24"/>
      <c r="K946" s="24"/>
      <c r="L946" s="26"/>
      <c r="M946" s="26"/>
      <c r="N946" s="22"/>
      <c r="O946" s="21"/>
      <c r="P946" s="22"/>
      <c r="Q946" s="29" t="str">
        <f aca="false">IF(C946="","",IF(O946&lt;&gt;"",O946,IFERROR(INDEX(Produk!$J$2:$J$100,MATCH(C946,Produk!$A$2:$A$100,0)),"PRODUK?")))</f>
        <v/>
      </c>
      <c r="R946" s="29" t="str">
        <f aca="false">IF(A946="","",IF(COUNTIF(Anggota!$A$2:$A$2001,A946)=0,"TIDAK ADA","OK"))</f>
        <v/>
      </c>
      <c r="S946" s="29" t="str">
        <f aca="false">IF(H946="","",IF(OR(J946="",L946=""),"-",IF(ABS(H946-J946*L946)&gt;Info_Koperasi!$C$10,"SELISIH","OK")))</f>
        <v/>
      </c>
    </row>
    <row r="947" customFormat="false" ht="15" hidden="false" customHeight="false" outlineLevel="0" collapsed="false">
      <c r="A947" s="21"/>
      <c r="B947" s="22"/>
      <c r="C947" s="21"/>
      <c r="D947" s="21"/>
      <c r="E947" s="28"/>
      <c r="F947" s="24"/>
      <c r="G947" s="26"/>
      <c r="H947" s="24"/>
      <c r="I947" s="24"/>
      <c r="J947" s="24"/>
      <c r="K947" s="24"/>
      <c r="L947" s="26"/>
      <c r="M947" s="26"/>
      <c r="N947" s="22"/>
      <c r="O947" s="21"/>
      <c r="P947" s="22"/>
      <c r="Q947" s="29" t="str">
        <f aca="false">IF(C947="","",IF(O947&lt;&gt;"",O947,IFERROR(INDEX(Produk!$J$2:$J$100,MATCH(C947,Produk!$A$2:$A$100,0)),"PRODUK?")))</f>
        <v/>
      </c>
      <c r="R947" s="29" t="str">
        <f aca="false">IF(A947="","",IF(COUNTIF(Anggota!$A$2:$A$2001,A947)=0,"TIDAK ADA","OK"))</f>
        <v/>
      </c>
      <c r="S947" s="29" t="str">
        <f aca="false">IF(H947="","",IF(OR(J947="",L947=""),"-",IF(ABS(H947-J947*L947)&gt;Info_Koperasi!$C$10,"SELISIH","OK")))</f>
        <v/>
      </c>
    </row>
    <row r="948" customFormat="false" ht="15" hidden="false" customHeight="false" outlineLevel="0" collapsed="false">
      <c r="A948" s="21"/>
      <c r="B948" s="22"/>
      <c r="C948" s="21"/>
      <c r="D948" s="21"/>
      <c r="E948" s="28"/>
      <c r="F948" s="24"/>
      <c r="G948" s="26"/>
      <c r="H948" s="24"/>
      <c r="I948" s="24"/>
      <c r="J948" s="24"/>
      <c r="K948" s="24"/>
      <c r="L948" s="26"/>
      <c r="M948" s="26"/>
      <c r="N948" s="22"/>
      <c r="O948" s="21"/>
      <c r="P948" s="22"/>
      <c r="Q948" s="29" t="str">
        <f aca="false">IF(C948="","",IF(O948&lt;&gt;"",O948,IFERROR(INDEX(Produk!$J$2:$J$100,MATCH(C948,Produk!$A$2:$A$100,0)),"PRODUK?")))</f>
        <v/>
      </c>
      <c r="R948" s="29" t="str">
        <f aca="false">IF(A948="","",IF(COUNTIF(Anggota!$A$2:$A$2001,A948)=0,"TIDAK ADA","OK"))</f>
        <v/>
      </c>
      <c r="S948" s="29" t="str">
        <f aca="false">IF(H948="","",IF(OR(J948="",L948=""),"-",IF(ABS(H948-J948*L948)&gt;Info_Koperasi!$C$10,"SELISIH","OK")))</f>
        <v/>
      </c>
    </row>
    <row r="949" customFormat="false" ht="15" hidden="false" customHeight="false" outlineLevel="0" collapsed="false">
      <c r="A949" s="21"/>
      <c r="B949" s="22"/>
      <c r="C949" s="21"/>
      <c r="D949" s="21"/>
      <c r="E949" s="28"/>
      <c r="F949" s="24"/>
      <c r="G949" s="26"/>
      <c r="H949" s="24"/>
      <c r="I949" s="24"/>
      <c r="J949" s="24"/>
      <c r="K949" s="24"/>
      <c r="L949" s="26"/>
      <c r="M949" s="26"/>
      <c r="N949" s="22"/>
      <c r="O949" s="21"/>
      <c r="P949" s="22"/>
      <c r="Q949" s="29" t="str">
        <f aca="false">IF(C949="","",IF(O949&lt;&gt;"",O949,IFERROR(INDEX(Produk!$J$2:$J$100,MATCH(C949,Produk!$A$2:$A$100,0)),"PRODUK?")))</f>
        <v/>
      </c>
      <c r="R949" s="29" t="str">
        <f aca="false">IF(A949="","",IF(COUNTIF(Anggota!$A$2:$A$2001,A949)=0,"TIDAK ADA","OK"))</f>
        <v/>
      </c>
      <c r="S949" s="29" t="str">
        <f aca="false">IF(H949="","",IF(OR(J949="",L949=""),"-",IF(ABS(H949-J949*L949)&gt;Info_Koperasi!$C$10,"SELISIH","OK")))</f>
        <v/>
      </c>
    </row>
    <row r="950" customFormat="false" ht="15" hidden="false" customHeight="false" outlineLevel="0" collapsed="false">
      <c r="A950" s="21"/>
      <c r="B950" s="22"/>
      <c r="C950" s="21"/>
      <c r="D950" s="21"/>
      <c r="E950" s="28"/>
      <c r="F950" s="24"/>
      <c r="G950" s="26"/>
      <c r="H950" s="24"/>
      <c r="I950" s="24"/>
      <c r="J950" s="24"/>
      <c r="K950" s="24"/>
      <c r="L950" s="26"/>
      <c r="M950" s="26"/>
      <c r="N950" s="22"/>
      <c r="O950" s="21"/>
      <c r="P950" s="22"/>
      <c r="Q950" s="29" t="str">
        <f aca="false">IF(C950="","",IF(O950&lt;&gt;"",O950,IFERROR(INDEX(Produk!$J$2:$J$100,MATCH(C950,Produk!$A$2:$A$100,0)),"PRODUK?")))</f>
        <v/>
      </c>
      <c r="R950" s="29" t="str">
        <f aca="false">IF(A950="","",IF(COUNTIF(Anggota!$A$2:$A$2001,A950)=0,"TIDAK ADA","OK"))</f>
        <v/>
      </c>
      <c r="S950" s="29" t="str">
        <f aca="false">IF(H950="","",IF(OR(J950="",L950=""),"-",IF(ABS(H950-J950*L950)&gt;Info_Koperasi!$C$10,"SELISIH","OK")))</f>
        <v/>
      </c>
    </row>
    <row r="951" customFormat="false" ht="15" hidden="false" customHeight="false" outlineLevel="0" collapsed="false">
      <c r="A951" s="21"/>
      <c r="B951" s="22"/>
      <c r="C951" s="21"/>
      <c r="D951" s="21"/>
      <c r="E951" s="28"/>
      <c r="F951" s="24"/>
      <c r="G951" s="26"/>
      <c r="H951" s="24"/>
      <c r="I951" s="24"/>
      <c r="J951" s="24"/>
      <c r="K951" s="24"/>
      <c r="L951" s="26"/>
      <c r="M951" s="26"/>
      <c r="N951" s="22"/>
      <c r="O951" s="21"/>
      <c r="P951" s="22"/>
      <c r="Q951" s="29" t="str">
        <f aca="false">IF(C951="","",IF(O951&lt;&gt;"",O951,IFERROR(INDEX(Produk!$J$2:$J$100,MATCH(C951,Produk!$A$2:$A$100,0)),"PRODUK?")))</f>
        <v/>
      </c>
      <c r="R951" s="29" t="str">
        <f aca="false">IF(A951="","",IF(COUNTIF(Anggota!$A$2:$A$2001,A951)=0,"TIDAK ADA","OK"))</f>
        <v/>
      </c>
      <c r="S951" s="29" t="str">
        <f aca="false">IF(H951="","",IF(OR(J951="",L951=""),"-",IF(ABS(H951-J951*L951)&gt;Info_Koperasi!$C$10,"SELISIH","OK")))</f>
        <v/>
      </c>
    </row>
    <row r="952" customFormat="false" ht="15" hidden="false" customHeight="false" outlineLevel="0" collapsed="false">
      <c r="A952" s="21"/>
      <c r="B952" s="22"/>
      <c r="C952" s="21"/>
      <c r="D952" s="21"/>
      <c r="E952" s="28"/>
      <c r="F952" s="24"/>
      <c r="G952" s="26"/>
      <c r="H952" s="24"/>
      <c r="I952" s="24"/>
      <c r="J952" s="24"/>
      <c r="K952" s="24"/>
      <c r="L952" s="26"/>
      <c r="M952" s="26"/>
      <c r="N952" s="22"/>
      <c r="O952" s="21"/>
      <c r="P952" s="22"/>
      <c r="Q952" s="29" t="str">
        <f aca="false">IF(C952="","",IF(O952&lt;&gt;"",O952,IFERROR(INDEX(Produk!$J$2:$J$100,MATCH(C952,Produk!$A$2:$A$100,0)),"PRODUK?")))</f>
        <v/>
      </c>
      <c r="R952" s="29" t="str">
        <f aca="false">IF(A952="","",IF(COUNTIF(Anggota!$A$2:$A$2001,A952)=0,"TIDAK ADA","OK"))</f>
        <v/>
      </c>
      <c r="S952" s="29" t="str">
        <f aca="false">IF(H952="","",IF(OR(J952="",L952=""),"-",IF(ABS(H952-J952*L952)&gt;Info_Koperasi!$C$10,"SELISIH","OK")))</f>
        <v/>
      </c>
    </row>
    <row r="953" customFormat="false" ht="15" hidden="false" customHeight="false" outlineLevel="0" collapsed="false">
      <c r="A953" s="21"/>
      <c r="B953" s="22"/>
      <c r="C953" s="21"/>
      <c r="D953" s="21"/>
      <c r="E953" s="28"/>
      <c r="F953" s="24"/>
      <c r="G953" s="26"/>
      <c r="H953" s="24"/>
      <c r="I953" s="24"/>
      <c r="J953" s="24"/>
      <c r="K953" s="24"/>
      <c r="L953" s="26"/>
      <c r="M953" s="26"/>
      <c r="N953" s="22"/>
      <c r="O953" s="21"/>
      <c r="P953" s="22"/>
      <c r="Q953" s="29" t="str">
        <f aca="false">IF(C953="","",IF(O953&lt;&gt;"",O953,IFERROR(INDEX(Produk!$J$2:$J$100,MATCH(C953,Produk!$A$2:$A$100,0)),"PRODUK?")))</f>
        <v/>
      </c>
      <c r="R953" s="29" t="str">
        <f aca="false">IF(A953="","",IF(COUNTIF(Anggota!$A$2:$A$2001,A953)=0,"TIDAK ADA","OK"))</f>
        <v/>
      </c>
      <c r="S953" s="29" t="str">
        <f aca="false">IF(H953="","",IF(OR(J953="",L953=""),"-",IF(ABS(H953-J953*L953)&gt;Info_Koperasi!$C$10,"SELISIH","OK")))</f>
        <v/>
      </c>
    </row>
    <row r="954" customFormat="false" ht="15" hidden="false" customHeight="false" outlineLevel="0" collapsed="false">
      <c r="A954" s="21"/>
      <c r="B954" s="22"/>
      <c r="C954" s="21"/>
      <c r="D954" s="21"/>
      <c r="E954" s="28"/>
      <c r="F954" s="24"/>
      <c r="G954" s="26"/>
      <c r="H954" s="24"/>
      <c r="I954" s="24"/>
      <c r="J954" s="24"/>
      <c r="K954" s="24"/>
      <c r="L954" s="26"/>
      <c r="M954" s="26"/>
      <c r="N954" s="22"/>
      <c r="O954" s="21"/>
      <c r="P954" s="22"/>
      <c r="Q954" s="29" t="str">
        <f aca="false">IF(C954="","",IF(O954&lt;&gt;"",O954,IFERROR(INDEX(Produk!$J$2:$J$100,MATCH(C954,Produk!$A$2:$A$100,0)),"PRODUK?")))</f>
        <v/>
      </c>
      <c r="R954" s="29" t="str">
        <f aca="false">IF(A954="","",IF(COUNTIF(Anggota!$A$2:$A$2001,A954)=0,"TIDAK ADA","OK"))</f>
        <v/>
      </c>
      <c r="S954" s="29" t="str">
        <f aca="false">IF(H954="","",IF(OR(J954="",L954=""),"-",IF(ABS(H954-J954*L954)&gt;Info_Koperasi!$C$10,"SELISIH","OK")))</f>
        <v/>
      </c>
    </row>
    <row r="955" customFormat="false" ht="15" hidden="false" customHeight="false" outlineLevel="0" collapsed="false">
      <c r="A955" s="21"/>
      <c r="B955" s="22"/>
      <c r="C955" s="21"/>
      <c r="D955" s="21"/>
      <c r="E955" s="28"/>
      <c r="F955" s="24"/>
      <c r="G955" s="26"/>
      <c r="H955" s="24"/>
      <c r="I955" s="24"/>
      <c r="J955" s="24"/>
      <c r="K955" s="24"/>
      <c r="L955" s="26"/>
      <c r="M955" s="26"/>
      <c r="N955" s="22"/>
      <c r="O955" s="21"/>
      <c r="P955" s="22"/>
      <c r="Q955" s="29" t="str">
        <f aca="false">IF(C955="","",IF(O955&lt;&gt;"",O955,IFERROR(INDEX(Produk!$J$2:$J$100,MATCH(C955,Produk!$A$2:$A$100,0)),"PRODUK?")))</f>
        <v/>
      </c>
      <c r="R955" s="29" t="str">
        <f aca="false">IF(A955="","",IF(COUNTIF(Anggota!$A$2:$A$2001,A955)=0,"TIDAK ADA","OK"))</f>
        <v/>
      </c>
      <c r="S955" s="29" t="str">
        <f aca="false">IF(H955="","",IF(OR(J955="",L955=""),"-",IF(ABS(H955-J955*L955)&gt;Info_Koperasi!$C$10,"SELISIH","OK")))</f>
        <v/>
      </c>
    </row>
    <row r="956" customFormat="false" ht="15" hidden="false" customHeight="false" outlineLevel="0" collapsed="false">
      <c r="A956" s="21"/>
      <c r="B956" s="22"/>
      <c r="C956" s="21"/>
      <c r="D956" s="21"/>
      <c r="E956" s="28"/>
      <c r="F956" s="24"/>
      <c r="G956" s="26"/>
      <c r="H956" s="24"/>
      <c r="I956" s="24"/>
      <c r="J956" s="24"/>
      <c r="K956" s="24"/>
      <c r="L956" s="26"/>
      <c r="M956" s="26"/>
      <c r="N956" s="22"/>
      <c r="O956" s="21"/>
      <c r="P956" s="22"/>
      <c r="Q956" s="29" t="str">
        <f aca="false">IF(C956="","",IF(O956&lt;&gt;"",O956,IFERROR(INDEX(Produk!$J$2:$J$100,MATCH(C956,Produk!$A$2:$A$100,0)),"PRODUK?")))</f>
        <v/>
      </c>
      <c r="R956" s="29" t="str">
        <f aca="false">IF(A956="","",IF(COUNTIF(Anggota!$A$2:$A$2001,A956)=0,"TIDAK ADA","OK"))</f>
        <v/>
      </c>
      <c r="S956" s="29" t="str">
        <f aca="false">IF(H956="","",IF(OR(J956="",L956=""),"-",IF(ABS(H956-J956*L956)&gt;Info_Koperasi!$C$10,"SELISIH","OK")))</f>
        <v/>
      </c>
    </row>
    <row r="957" customFormat="false" ht="15" hidden="false" customHeight="false" outlineLevel="0" collapsed="false">
      <c r="A957" s="21"/>
      <c r="B957" s="22"/>
      <c r="C957" s="21"/>
      <c r="D957" s="21"/>
      <c r="E957" s="28"/>
      <c r="F957" s="24"/>
      <c r="G957" s="26"/>
      <c r="H957" s="24"/>
      <c r="I957" s="24"/>
      <c r="J957" s="24"/>
      <c r="K957" s="24"/>
      <c r="L957" s="26"/>
      <c r="M957" s="26"/>
      <c r="N957" s="22"/>
      <c r="O957" s="21"/>
      <c r="P957" s="22"/>
      <c r="Q957" s="29" t="str">
        <f aca="false">IF(C957="","",IF(O957&lt;&gt;"",O957,IFERROR(INDEX(Produk!$J$2:$J$100,MATCH(C957,Produk!$A$2:$A$100,0)),"PRODUK?")))</f>
        <v/>
      </c>
      <c r="R957" s="29" t="str">
        <f aca="false">IF(A957="","",IF(COUNTIF(Anggota!$A$2:$A$2001,A957)=0,"TIDAK ADA","OK"))</f>
        <v/>
      </c>
      <c r="S957" s="29" t="str">
        <f aca="false">IF(H957="","",IF(OR(J957="",L957=""),"-",IF(ABS(H957-J957*L957)&gt;Info_Koperasi!$C$10,"SELISIH","OK")))</f>
        <v/>
      </c>
    </row>
    <row r="958" customFormat="false" ht="15" hidden="false" customHeight="false" outlineLevel="0" collapsed="false">
      <c r="A958" s="21"/>
      <c r="B958" s="22"/>
      <c r="C958" s="21"/>
      <c r="D958" s="21"/>
      <c r="E958" s="28"/>
      <c r="F958" s="24"/>
      <c r="G958" s="26"/>
      <c r="H958" s="24"/>
      <c r="I958" s="24"/>
      <c r="J958" s="24"/>
      <c r="K958" s="24"/>
      <c r="L958" s="26"/>
      <c r="M958" s="26"/>
      <c r="N958" s="22"/>
      <c r="O958" s="21"/>
      <c r="P958" s="22"/>
      <c r="Q958" s="29" t="str">
        <f aca="false">IF(C958="","",IF(O958&lt;&gt;"",O958,IFERROR(INDEX(Produk!$J$2:$J$100,MATCH(C958,Produk!$A$2:$A$100,0)),"PRODUK?")))</f>
        <v/>
      </c>
      <c r="R958" s="29" t="str">
        <f aca="false">IF(A958="","",IF(COUNTIF(Anggota!$A$2:$A$2001,A958)=0,"TIDAK ADA","OK"))</f>
        <v/>
      </c>
      <c r="S958" s="29" t="str">
        <f aca="false">IF(H958="","",IF(OR(J958="",L958=""),"-",IF(ABS(H958-J958*L958)&gt;Info_Koperasi!$C$10,"SELISIH","OK")))</f>
        <v/>
      </c>
    </row>
    <row r="959" customFormat="false" ht="15" hidden="false" customHeight="false" outlineLevel="0" collapsed="false">
      <c r="A959" s="21"/>
      <c r="B959" s="22"/>
      <c r="C959" s="21"/>
      <c r="D959" s="21"/>
      <c r="E959" s="28"/>
      <c r="F959" s="24"/>
      <c r="G959" s="26"/>
      <c r="H959" s="24"/>
      <c r="I959" s="24"/>
      <c r="J959" s="24"/>
      <c r="K959" s="24"/>
      <c r="L959" s="26"/>
      <c r="M959" s="26"/>
      <c r="N959" s="22"/>
      <c r="O959" s="21"/>
      <c r="P959" s="22"/>
      <c r="Q959" s="29" t="str">
        <f aca="false">IF(C959="","",IF(O959&lt;&gt;"",O959,IFERROR(INDEX(Produk!$J$2:$J$100,MATCH(C959,Produk!$A$2:$A$100,0)),"PRODUK?")))</f>
        <v/>
      </c>
      <c r="R959" s="29" t="str">
        <f aca="false">IF(A959="","",IF(COUNTIF(Anggota!$A$2:$A$2001,A959)=0,"TIDAK ADA","OK"))</f>
        <v/>
      </c>
      <c r="S959" s="29" t="str">
        <f aca="false">IF(H959="","",IF(OR(J959="",L959=""),"-",IF(ABS(H959-J959*L959)&gt;Info_Koperasi!$C$10,"SELISIH","OK")))</f>
        <v/>
      </c>
    </row>
    <row r="960" customFormat="false" ht="15" hidden="false" customHeight="false" outlineLevel="0" collapsed="false">
      <c r="A960" s="21"/>
      <c r="B960" s="22"/>
      <c r="C960" s="21"/>
      <c r="D960" s="21"/>
      <c r="E960" s="28"/>
      <c r="F960" s="24"/>
      <c r="G960" s="26"/>
      <c r="H960" s="24"/>
      <c r="I960" s="24"/>
      <c r="J960" s="24"/>
      <c r="K960" s="24"/>
      <c r="L960" s="26"/>
      <c r="M960" s="26"/>
      <c r="N960" s="22"/>
      <c r="O960" s="21"/>
      <c r="P960" s="22"/>
      <c r="Q960" s="29" t="str">
        <f aca="false">IF(C960="","",IF(O960&lt;&gt;"",O960,IFERROR(INDEX(Produk!$J$2:$J$100,MATCH(C960,Produk!$A$2:$A$100,0)),"PRODUK?")))</f>
        <v/>
      </c>
      <c r="R960" s="29" t="str">
        <f aca="false">IF(A960="","",IF(COUNTIF(Anggota!$A$2:$A$2001,A960)=0,"TIDAK ADA","OK"))</f>
        <v/>
      </c>
      <c r="S960" s="29" t="str">
        <f aca="false">IF(H960="","",IF(OR(J960="",L960=""),"-",IF(ABS(H960-J960*L960)&gt;Info_Koperasi!$C$10,"SELISIH","OK")))</f>
        <v/>
      </c>
    </row>
    <row r="961" customFormat="false" ht="15" hidden="false" customHeight="false" outlineLevel="0" collapsed="false">
      <c r="A961" s="21"/>
      <c r="B961" s="22"/>
      <c r="C961" s="21"/>
      <c r="D961" s="21"/>
      <c r="E961" s="28"/>
      <c r="F961" s="24"/>
      <c r="G961" s="26"/>
      <c r="H961" s="24"/>
      <c r="I961" s="24"/>
      <c r="J961" s="24"/>
      <c r="K961" s="24"/>
      <c r="L961" s="26"/>
      <c r="M961" s="26"/>
      <c r="N961" s="22"/>
      <c r="O961" s="21"/>
      <c r="P961" s="22"/>
      <c r="Q961" s="29" t="str">
        <f aca="false">IF(C961="","",IF(O961&lt;&gt;"",O961,IFERROR(INDEX(Produk!$J$2:$J$100,MATCH(C961,Produk!$A$2:$A$100,0)),"PRODUK?")))</f>
        <v/>
      </c>
      <c r="R961" s="29" t="str">
        <f aca="false">IF(A961="","",IF(COUNTIF(Anggota!$A$2:$A$2001,A961)=0,"TIDAK ADA","OK"))</f>
        <v/>
      </c>
      <c r="S961" s="29" t="str">
        <f aca="false">IF(H961="","",IF(OR(J961="",L961=""),"-",IF(ABS(H961-J961*L961)&gt;Info_Koperasi!$C$10,"SELISIH","OK")))</f>
        <v/>
      </c>
    </row>
    <row r="962" customFormat="false" ht="15" hidden="false" customHeight="false" outlineLevel="0" collapsed="false">
      <c r="A962" s="21"/>
      <c r="B962" s="22"/>
      <c r="C962" s="21"/>
      <c r="D962" s="21"/>
      <c r="E962" s="28"/>
      <c r="F962" s="24"/>
      <c r="G962" s="26"/>
      <c r="H962" s="24"/>
      <c r="I962" s="24"/>
      <c r="J962" s="24"/>
      <c r="K962" s="24"/>
      <c r="L962" s="26"/>
      <c r="M962" s="26"/>
      <c r="N962" s="22"/>
      <c r="O962" s="21"/>
      <c r="P962" s="22"/>
      <c r="Q962" s="29" t="str">
        <f aca="false">IF(C962="","",IF(O962&lt;&gt;"",O962,IFERROR(INDEX(Produk!$J$2:$J$100,MATCH(C962,Produk!$A$2:$A$100,0)),"PRODUK?")))</f>
        <v/>
      </c>
      <c r="R962" s="29" t="str">
        <f aca="false">IF(A962="","",IF(COUNTIF(Anggota!$A$2:$A$2001,A962)=0,"TIDAK ADA","OK"))</f>
        <v/>
      </c>
      <c r="S962" s="29" t="str">
        <f aca="false">IF(H962="","",IF(OR(J962="",L962=""),"-",IF(ABS(H962-J962*L962)&gt;Info_Koperasi!$C$10,"SELISIH","OK")))</f>
        <v/>
      </c>
    </row>
    <row r="963" customFormat="false" ht="15" hidden="false" customHeight="false" outlineLevel="0" collapsed="false">
      <c r="A963" s="21"/>
      <c r="B963" s="22"/>
      <c r="C963" s="21"/>
      <c r="D963" s="21"/>
      <c r="E963" s="28"/>
      <c r="F963" s="24"/>
      <c r="G963" s="26"/>
      <c r="H963" s="24"/>
      <c r="I963" s="24"/>
      <c r="J963" s="24"/>
      <c r="K963" s="24"/>
      <c r="L963" s="26"/>
      <c r="M963" s="26"/>
      <c r="N963" s="22"/>
      <c r="O963" s="21"/>
      <c r="P963" s="22"/>
      <c r="Q963" s="29" t="str">
        <f aca="false">IF(C963="","",IF(O963&lt;&gt;"",O963,IFERROR(INDEX(Produk!$J$2:$J$100,MATCH(C963,Produk!$A$2:$A$100,0)),"PRODUK?")))</f>
        <v/>
      </c>
      <c r="R963" s="29" t="str">
        <f aca="false">IF(A963="","",IF(COUNTIF(Anggota!$A$2:$A$2001,A963)=0,"TIDAK ADA","OK"))</f>
        <v/>
      </c>
      <c r="S963" s="29" t="str">
        <f aca="false">IF(H963="","",IF(OR(J963="",L963=""),"-",IF(ABS(H963-J963*L963)&gt;Info_Koperasi!$C$10,"SELISIH","OK")))</f>
        <v/>
      </c>
    </row>
    <row r="964" customFormat="false" ht="15" hidden="false" customHeight="false" outlineLevel="0" collapsed="false">
      <c r="A964" s="21"/>
      <c r="B964" s="22"/>
      <c r="C964" s="21"/>
      <c r="D964" s="21"/>
      <c r="E964" s="28"/>
      <c r="F964" s="24"/>
      <c r="G964" s="26"/>
      <c r="H964" s="24"/>
      <c r="I964" s="24"/>
      <c r="J964" s="24"/>
      <c r="K964" s="24"/>
      <c r="L964" s="26"/>
      <c r="M964" s="26"/>
      <c r="N964" s="22"/>
      <c r="O964" s="21"/>
      <c r="P964" s="22"/>
      <c r="Q964" s="29" t="str">
        <f aca="false">IF(C964="","",IF(O964&lt;&gt;"",O964,IFERROR(INDEX(Produk!$J$2:$J$100,MATCH(C964,Produk!$A$2:$A$100,0)),"PRODUK?")))</f>
        <v/>
      </c>
      <c r="R964" s="29" t="str">
        <f aca="false">IF(A964="","",IF(COUNTIF(Anggota!$A$2:$A$2001,A964)=0,"TIDAK ADA","OK"))</f>
        <v/>
      </c>
      <c r="S964" s="29" t="str">
        <f aca="false">IF(H964="","",IF(OR(J964="",L964=""),"-",IF(ABS(H964-J964*L964)&gt;Info_Koperasi!$C$10,"SELISIH","OK")))</f>
        <v/>
      </c>
    </row>
    <row r="965" customFormat="false" ht="15" hidden="false" customHeight="false" outlineLevel="0" collapsed="false">
      <c r="A965" s="21"/>
      <c r="B965" s="22"/>
      <c r="C965" s="21"/>
      <c r="D965" s="21"/>
      <c r="E965" s="28"/>
      <c r="F965" s="24"/>
      <c r="G965" s="26"/>
      <c r="H965" s="24"/>
      <c r="I965" s="24"/>
      <c r="J965" s="24"/>
      <c r="K965" s="24"/>
      <c r="L965" s="26"/>
      <c r="M965" s="26"/>
      <c r="N965" s="22"/>
      <c r="O965" s="21"/>
      <c r="P965" s="22"/>
      <c r="Q965" s="29" t="str">
        <f aca="false">IF(C965="","",IF(O965&lt;&gt;"",O965,IFERROR(INDEX(Produk!$J$2:$J$100,MATCH(C965,Produk!$A$2:$A$100,0)),"PRODUK?")))</f>
        <v/>
      </c>
      <c r="R965" s="29" t="str">
        <f aca="false">IF(A965="","",IF(COUNTIF(Anggota!$A$2:$A$2001,A965)=0,"TIDAK ADA","OK"))</f>
        <v/>
      </c>
      <c r="S965" s="29" t="str">
        <f aca="false">IF(H965="","",IF(OR(J965="",L965=""),"-",IF(ABS(H965-J965*L965)&gt;Info_Koperasi!$C$10,"SELISIH","OK")))</f>
        <v/>
      </c>
    </row>
    <row r="966" customFormat="false" ht="15" hidden="false" customHeight="false" outlineLevel="0" collapsed="false">
      <c r="A966" s="21"/>
      <c r="B966" s="22"/>
      <c r="C966" s="21"/>
      <c r="D966" s="21"/>
      <c r="E966" s="28"/>
      <c r="F966" s="24"/>
      <c r="G966" s="26"/>
      <c r="H966" s="24"/>
      <c r="I966" s="24"/>
      <c r="J966" s="24"/>
      <c r="K966" s="24"/>
      <c r="L966" s="26"/>
      <c r="M966" s="26"/>
      <c r="N966" s="22"/>
      <c r="O966" s="21"/>
      <c r="P966" s="22"/>
      <c r="Q966" s="29" t="str">
        <f aca="false">IF(C966="","",IF(O966&lt;&gt;"",O966,IFERROR(INDEX(Produk!$J$2:$J$100,MATCH(C966,Produk!$A$2:$A$100,0)),"PRODUK?")))</f>
        <v/>
      </c>
      <c r="R966" s="29" t="str">
        <f aca="false">IF(A966="","",IF(COUNTIF(Anggota!$A$2:$A$2001,A966)=0,"TIDAK ADA","OK"))</f>
        <v/>
      </c>
      <c r="S966" s="29" t="str">
        <f aca="false">IF(H966="","",IF(OR(J966="",L966=""),"-",IF(ABS(H966-J966*L966)&gt;Info_Koperasi!$C$10,"SELISIH","OK")))</f>
        <v/>
      </c>
    </row>
    <row r="967" customFormat="false" ht="15" hidden="false" customHeight="false" outlineLevel="0" collapsed="false">
      <c r="A967" s="21"/>
      <c r="B967" s="22"/>
      <c r="C967" s="21"/>
      <c r="D967" s="21"/>
      <c r="E967" s="28"/>
      <c r="F967" s="24"/>
      <c r="G967" s="26"/>
      <c r="H967" s="24"/>
      <c r="I967" s="24"/>
      <c r="J967" s="24"/>
      <c r="K967" s="24"/>
      <c r="L967" s="26"/>
      <c r="M967" s="26"/>
      <c r="N967" s="22"/>
      <c r="O967" s="21"/>
      <c r="P967" s="22"/>
      <c r="Q967" s="29" t="str">
        <f aca="false">IF(C967="","",IF(O967&lt;&gt;"",O967,IFERROR(INDEX(Produk!$J$2:$J$100,MATCH(C967,Produk!$A$2:$A$100,0)),"PRODUK?")))</f>
        <v/>
      </c>
      <c r="R967" s="29" t="str">
        <f aca="false">IF(A967="","",IF(COUNTIF(Anggota!$A$2:$A$2001,A967)=0,"TIDAK ADA","OK"))</f>
        <v/>
      </c>
      <c r="S967" s="29" t="str">
        <f aca="false">IF(H967="","",IF(OR(J967="",L967=""),"-",IF(ABS(H967-J967*L967)&gt;Info_Koperasi!$C$10,"SELISIH","OK")))</f>
        <v/>
      </c>
    </row>
    <row r="968" customFormat="false" ht="15" hidden="false" customHeight="false" outlineLevel="0" collapsed="false">
      <c r="A968" s="21"/>
      <c r="B968" s="22"/>
      <c r="C968" s="21"/>
      <c r="D968" s="21"/>
      <c r="E968" s="28"/>
      <c r="F968" s="24"/>
      <c r="G968" s="26"/>
      <c r="H968" s="24"/>
      <c r="I968" s="24"/>
      <c r="J968" s="24"/>
      <c r="K968" s="24"/>
      <c r="L968" s="26"/>
      <c r="M968" s="26"/>
      <c r="N968" s="22"/>
      <c r="O968" s="21"/>
      <c r="P968" s="22"/>
      <c r="Q968" s="29" t="str">
        <f aca="false">IF(C968="","",IF(O968&lt;&gt;"",O968,IFERROR(INDEX(Produk!$J$2:$J$100,MATCH(C968,Produk!$A$2:$A$100,0)),"PRODUK?")))</f>
        <v/>
      </c>
      <c r="R968" s="29" t="str">
        <f aca="false">IF(A968="","",IF(COUNTIF(Anggota!$A$2:$A$2001,A968)=0,"TIDAK ADA","OK"))</f>
        <v/>
      </c>
      <c r="S968" s="29" t="str">
        <f aca="false">IF(H968="","",IF(OR(J968="",L968=""),"-",IF(ABS(H968-J968*L968)&gt;Info_Koperasi!$C$10,"SELISIH","OK")))</f>
        <v/>
      </c>
    </row>
    <row r="969" customFormat="false" ht="15" hidden="false" customHeight="false" outlineLevel="0" collapsed="false">
      <c r="A969" s="21"/>
      <c r="B969" s="22"/>
      <c r="C969" s="21"/>
      <c r="D969" s="21"/>
      <c r="E969" s="28"/>
      <c r="F969" s="24"/>
      <c r="G969" s="26"/>
      <c r="H969" s="24"/>
      <c r="I969" s="24"/>
      <c r="J969" s="24"/>
      <c r="K969" s="24"/>
      <c r="L969" s="26"/>
      <c r="M969" s="26"/>
      <c r="N969" s="22"/>
      <c r="O969" s="21"/>
      <c r="P969" s="22"/>
      <c r="Q969" s="29" t="str">
        <f aca="false">IF(C969="","",IF(O969&lt;&gt;"",O969,IFERROR(INDEX(Produk!$J$2:$J$100,MATCH(C969,Produk!$A$2:$A$100,0)),"PRODUK?")))</f>
        <v/>
      </c>
      <c r="R969" s="29" t="str">
        <f aca="false">IF(A969="","",IF(COUNTIF(Anggota!$A$2:$A$2001,A969)=0,"TIDAK ADA","OK"))</f>
        <v/>
      </c>
      <c r="S969" s="29" t="str">
        <f aca="false">IF(H969="","",IF(OR(J969="",L969=""),"-",IF(ABS(H969-J969*L969)&gt;Info_Koperasi!$C$10,"SELISIH","OK")))</f>
        <v/>
      </c>
    </row>
    <row r="970" customFormat="false" ht="15" hidden="false" customHeight="false" outlineLevel="0" collapsed="false">
      <c r="A970" s="21"/>
      <c r="B970" s="22"/>
      <c r="C970" s="21"/>
      <c r="D970" s="21"/>
      <c r="E970" s="28"/>
      <c r="F970" s="24"/>
      <c r="G970" s="26"/>
      <c r="H970" s="24"/>
      <c r="I970" s="24"/>
      <c r="J970" s="24"/>
      <c r="K970" s="24"/>
      <c r="L970" s="26"/>
      <c r="M970" s="26"/>
      <c r="N970" s="22"/>
      <c r="O970" s="21"/>
      <c r="P970" s="22"/>
      <c r="Q970" s="29" t="str">
        <f aca="false">IF(C970="","",IF(O970&lt;&gt;"",O970,IFERROR(INDEX(Produk!$J$2:$J$100,MATCH(C970,Produk!$A$2:$A$100,0)),"PRODUK?")))</f>
        <v/>
      </c>
      <c r="R970" s="29" t="str">
        <f aca="false">IF(A970="","",IF(COUNTIF(Anggota!$A$2:$A$2001,A970)=0,"TIDAK ADA","OK"))</f>
        <v/>
      </c>
      <c r="S970" s="29" t="str">
        <f aca="false">IF(H970="","",IF(OR(J970="",L970=""),"-",IF(ABS(H970-J970*L970)&gt;Info_Koperasi!$C$10,"SELISIH","OK")))</f>
        <v/>
      </c>
    </row>
    <row r="971" customFormat="false" ht="15" hidden="false" customHeight="false" outlineLevel="0" collapsed="false">
      <c r="A971" s="21"/>
      <c r="B971" s="22"/>
      <c r="C971" s="21"/>
      <c r="D971" s="21"/>
      <c r="E971" s="28"/>
      <c r="F971" s="24"/>
      <c r="G971" s="26"/>
      <c r="H971" s="24"/>
      <c r="I971" s="24"/>
      <c r="J971" s="24"/>
      <c r="K971" s="24"/>
      <c r="L971" s="26"/>
      <c r="M971" s="26"/>
      <c r="N971" s="22"/>
      <c r="O971" s="21"/>
      <c r="P971" s="22"/>
      <c r="Q971" s="29" t="str">
        <f aca="false">IF(C971="","",IF(O971&lt;&gt;"",O971,IFERROR(INDEX(Produk!$J$2:$J$100,MATCH(C971,Produk!$A$2:$A$100,0)),"PRODUK?")))</f>
        <v/>
      </c>
      <c r="R971" s="29" t="str">
        <f aca="false">IF(A971="","",IF(COUNTIF(Anggota!$A$2:$A$2001,A971)=0,"TIDAK ADA","OK"))</f>
        <v/>
      </c>
      <c r="S971" s="29" t="str">
        <f aca="false">IF(H971="","",IF(OR(J971="",L971=""),"-",IF(ABS(H971-J971*L971)&gt;Info_Koperasi!$C$10,"SELISIH","OK")))</f>
        <v/>
      </c>
    </row>
    <row r="972" customFormat="false" ht="15" hidden="false" customHeight="false" outlineLevel="0" collapsed="false">
      <c r="A972" s="21"/>
      <c r="B972" s="22"/>
      <c r="C972" s="21"/>
      <c r="D972" s="21"/>
      <c r="E972" s="28"/>
      <c r="F972" s="24"/>
      <c r="G972" s="26"/>
      <c r="H972" s="24"/>
      <c r="I972" s="24"/>
      <c r="J972" s="24"/>
      <c r="K972" s="24"/>
      <c r="L972" s="26"/>
      <c r="M972" s="26"/>
      <c r="N972" s="22"/>
      <c r="O972" s="21"/>
      <c r="P972" s="22"/>
      <c r="Q972" s="29" t="str">
        <f aca="false">IF(C972="","",IF(O972&lt;&gt;"",O972,IFERROR(INDEX(Produk!$J$2:$J$100,MATCH(C972,Produk!$A$2:$A$100,0)),"PRODUK?")))</f>
        <v/>
      </c>
      <c r="R972" s="29" t="str">
        <f aca="false">IF(A972="","",IF(COUNTIF(Anggota!$A$2:$A$2001,A972)=0,"TIDAK ADA","OK"))</f>
        <v/>
      </c>
      <c r="S972" s="29" t="str">
        <f aca="false">IF(H972="","",IF(OR(J972="",L972=""),"-",IF(ABS(H972-J972*L972)&gt;Info_Koperasi!$C$10,"SELISIH","OK")))</f>
        <v/>
      </c>
    </row>
    <row r="973" customFormat="false" ht="15" hidden="false" customHeight="false" outlineLevel="0" collapsed="false">
      <c r="A973" s="21"/>
      <c r="B973" s="22"/>
      <c r="C973" s="21"/>
      <c r="D973" s="21"/>
      <c r="E973" s="28"/>
      <c r="F973" s="24"/>
      <c r="G973" s="26"/>
      <c r="H973" s="24"/>
      <c r="I973" s="24"/>
      <c r="J973" s="24"/>
      <c r="K973" s="24"/>
      <c r="L973" s="26"/>
      <c r="M973" s="26"/>
      <c r="N973" s="22"/>
      <c r="O973" s="21"/>
      <c r="P973" s="22"/>
      <c r="Q973" s="29" t="str">
        <f aca="false">IF(C973="","",IF(O973&lt;&gt;"",O973,IFERROR(INDEX(Produk!$J$2:$J$100,MATCH(C973,Produk!$A$2:$A$100,0)),"PRODUK?")))</f>
        <v/>
      </c>
      <c r="R973" s="29" t="str">
        <f aca="false">IF(A973="","",IF(COUNTIF(Anggota!$A$2:$A$2001,A973)=0,"TIDAK ADA","OK"))</f>
        <v/>
      </c>
      <c r="S973" s="29" t="str">
        <f aca="false">IF(H973="","",IF(OR(J973="",L973=""),"-",IF(ABS(H973-J973*L973)&gt;Info_Koperasi!$C$10,"SELISIH","OK")))</f>
        <v/>
      </c>
    </row>
    <row r="974" customFormat="false" ht="15" hidden="false" customHeight="false" outlineLevel="0" collapsed="false">
      <c r="A974" s="21"/>
      <c r="B974" s="22"/>
      <c r="C974" s="21"/>
      <c r="D974" s="21"/>
      <c r="E974" s="28"/>
      <c r="F974" s="24"/>
      <c r="G974" s="26"/>
      <c r="H974" s="24"/>
      <c r="I974" s="24"/>
      <c r="J974" s="24"/>
      <c r="K974" s="24"/>
      <c r="L974" s="26"/>
      <c r="M974" s="26"/>
      <c r="N974" s="22"/>
      <c r="O974" s="21"/>
      <c r="P974" s="22"/>
      <c r="Q974" s="29" t="str">
        <f aca="false">IF(C974="","",IF(O974&lt;&gt;"",O974,IFERROR(INDEX(Produk!$J$2:$J$100,MATCH(C974,Produk!$A$2:$A$100,0)),"PRODUK?")))</f>
        <v/>
      </c>
      <c r="R974" s="29" t="str">
        <f aca="false">IF(A974="","",IF(COUNTIF(Anggota!$A$2:$A$2001,A974)=0,"TIDAK ADA","OK"))</f>
        <v/>
      </c>
      <c r="S974" s="29" t="str">
        <f aca="false">IF(H974="","",IF(OR(J974="",L974=""),"-",IF(ABS(H974-J974*L974)&gt;Info_Koperasi!$C$10,"SELISIH","OK")))</f>
        <v/>
      </c>
    </row>
    <row r="975" customFormat="false" ht="15" hidden="false" customHeight="false" outlineLevel="0" collapsed="false">
      <c r="A975" s="21"/>
      <c r="B975" s="22"/>
      <c r="C975" s="21"/>
      <c r="D975" s="21"/>
      <c r="E975" s="28"/>
      <c r="F975" s="24"/>
      <c r="G975" s="26"/>
      <c r="H975" s="24"/>
      <c r="I975" s="24"/>
      <c r="J975" s="24"/>
      <c r="K975" s="24"/>
      <c r="L975" s="26"/>
      <c r="M975" s="26"/>
      <c r="N975" s="22"/>
      <c r="O975" s="21"/>
      <c r="P975" s="22"/>
      <c r="Q975" s="29" t="str">
        <f aca="false">IF(C975="","",IF(O975&lt;&gt;"",O975,IFERROR(INDEX(Produk!$J$2:$J$100,MATCH(C975,Produk!$A$2:$A$100,0)),"PRODUK?")))</f>
        <v/>
      </c>
      <c r="R975" s="29" t="str">
        <f aca="false">IF(A975="","",IF(COUNTIF(Anggota!$A$2:$A$2001,A975)=0,"TIDAK ADA","OK"))</f>
        <v/>
      </c>
      <c r="S975" s="29" t="str">
        <f aca="false">IF(H975="","",IF(OR(J975="",L975=""),"-",IF(ABS(H975-J975*L975)&gt;Info_Koperasi!$C$10,"SELISIH","OK")))</f>
        <v/>
      </c>
    </row>
    <row r="976" customFormat="false" ht="15" hidden="false" customHeight="false" outlineLevel="0" collapsed="false">
      <c r="A976" s="21"/>
      <c r="B976" s="22"/>
      <c r="C976" s="21"/>
      <c r="D976" s="21"/>
      <c r="E976" s="28"/>
      <c r="F976" s="24"/>
      <c r="G976" s="26"/>
      <c r="H976" s="24"/>
      <c r="I976" s="24"/>
      <c r="J976" s="24"/>
      <c r="K976" s="24"/>
      <c r="L976" s="26"/>
      <c r="M976" s="26"/>
      <c r="N976" s="22"/>
      <c r="O976" s="21"/>
      <c r="P976" s="22"/>
      <c r="Q976" s="29" t="str">
        <f aca="false">IF(C976="","",IF(O976&lt;&gt;"",O976,IFERROR(INDEX(Produk!$J$2:$J$100,MATCH(C976,Produk!$A$2:$A$100,0)),"PRODUK?")))</f>
        <v/>
      </c>
      <c r="R976" s="29" t="str">
        <f aca="false">IF(A976="","",IF(COUNTIF(Anggota!$A$2:$A$2001,A976)=0,"TIDAK ADA","OK"))</f>
        <v/>
      </c>
      <c r="S976" s="29" t="str">
        <f aca="false">IF(H976="","",IF(OR(J976="",L976=""),"-",IF(ABS(H976-J976*L976)&gt;Info_Koperasi!$C$10,"SELISIH","OK")))</f>
        <v/>
      </c>
    </row>
    <row r="977" customFormat="false" ht="15" hidden="false" customHeight="false" outlineLevel="0" collapsed="false">
      <c r="A977" s="21"/>
      <c r="B977" s="22"/>
      <c r="C977" s="21"/>
      <c r="D977" s="21"/>
      <c r="E977" s="28"/>
      <c r="F977" s="24"/>
      <c r="G977" s="26"/>
      <c r="H977" s="24"/>
      <c r="I977" s="24"/>
      <c r="J977" s="24"/>
      <c r="K977" s="24"/>
      <c r="L977" s="26"/>
      <c r="M977" s="26"/>
      <c r="N977" s="22"/>
      <c r="O977" s="21"/>
      <c r="P977" s="22"/>
      <c r="Q977" s="29" t="str">
        <f aca="false">IF(C977="","",IF(O977&lt;&gt;"",O977,IFERROR(INDEX(Produk!$J$2:$J$100,MATCH(C977,Produk!$A$2:$A$100,0)),"PRODUK?")))</f>
        <v/>
      </c>
      <c r="R977" s="29" t="str">
        <f aca="false">IF(A977="","",IF(COUNTIF(Anggota!$A$2:$A$2001,A977)=0,"TIDAK ADA","OK"))</f>
        <v/>
      </c>
      <c r="S977" s="29" t="str">
        <f aca="false">IF(H977="","",IF(OR(J977="",L977=""),"-",IF(ABS(H977-J977*L977)&gt;Info_Koperasi!$C$10,"SELISIH","OK")))</f>
        <v/>
      </c>
    </row>
    <row r="978" customFormat="false" ht="15" hidden="false" customHeight="false" outlineLevel="0" collapsed="false">
      <c r="A978" s="21"/>
      <c r="B978" s="22"/>
      <c r="C978" s="21"/>
      <c r="D978" s="21"/>
      <c r="E978" s="28"/>
      <c r="F978" s="24"/>
      <c r="G978" s="26"/>
      <c r="H978" s="24"/>
      <c r="I978" s="24"/>
      <c r="J978" s="24"/>
      <c r="K978" s="24"/>
      <c r="L978" s="26"/>
      <c r="M978" s="26"/>
      <c r="N978" s="22"/>
      <c r="O978" s="21"/>
      <c r="P978" s="22"/>
      <c r="Q978" s="29" t="str">
        <f aca="false">IF(C978="","",IF(O978&lt;&gt;"",O978,IFERROR(INDEX(Produk!$J$2:$J$100,MATCH(C978,Produk!$A$2:$A$100,0)),"PRODUK?")))</f>
        <v/>
      </c>
      <c r="R978" s="29" t="str">
        <f aca="false">IF(A978="","",IF(COUNTIF(Anggota!$A$2:$A$2001,A978)=0,"TIDAK ADA","OK"))</f>
        <v/>
      </c>
      <c r="S978" s="29" t="str">
        <f aca="false">IF(H978="","",IF(OR(J978="",L978=""),"-",IF(ABS(H978-J978*L978)&gt;Info_Koperasi!$C$10,"SELISIH","OK")))</f>
        <v/>
      </c>
    </row>
    <row r="979" customFormat="false" ht="15" hidden="false" customHeight="false" outlineLevel="0" collapsed="false">
      <c r="A979" s="21"/>
      <c r="B979" s="22"/>
      <c r="C979" s="21"/>
      <c r="D979" s="21"/>
      <c r="E979" s="28"/>
      <c r="F979" s="24"/>
      <c r="G979" s="26"/>
      <c r="H979" s="24"/>
      <c r="I979" s="24"/>
      <c r="J979" s="24"/>
      <c r="K979" s="24"/>
      <c r="L979" s="26"/>
      <c r="M979" s="26"/>
      <c r="N979" s="22"/>
      <c r="O979" s="21"/>
      <c r="P979" s="22"/>
      <c r="Q979" s="29" t="str">
        <f aca="false">IF(C979="","",IF(O979&lt;&gt;"",O979,IFERROR(INDEX(Produk!$J$2:$J$100,MATCH(C979,Produk!$A$2:$A$100,0)),"PRODUK?")))</f>
        <v/>
      </c>
      <c r="R979" s="29" t="str">
        <f aca="false">IF(A979="","",IF(COUNTIF(Anggota!$A$2:$A$2001,A979)=0,"TIDAK ADA","OK"))</f>
        <v/>
      </c>
      <c r="S979" s="29" t="str">
        <f aca="false">IF(H979="","",IF(OR(J979="",L979=""),"-",IF(ABS(H979-J979*L979)&gt;Info_Koperasi!$C$10,"SELISIH","OK")))</f>
        <v/>
      </c>
    </row>
    <row r="980" customFormat="false" ht="15" hidden="false" customHeight="false" outlineLevel="0" collapsed="false">
      <c r="A980" s="21"/>
      <c r="B980" s="22"/>
      <c r="C980" s="21"/>
      <c r="D980" s="21"/>
      <c r="E980" s="28"/>
      <c r="F980" s="24"/>
      <c r="G980" s="26"/>
      <c r="H980" s="24"/>
      <c r="I980" s="24"/>
      <c r="J980" s="24"/>
      <c r="K980" s="24"/>
      <c r="L980" s="26"/>
      <c r="M980" s="26"/>
      <c r="N980" s="22"/>
      <c r="O980" s="21"/>
      <c r="P980" s="22"/>
      <c r="Q980" s="29" t="str">
        <f aca="false">IF(C980="","",IF(O980&lt;&gt;"",O980,IFERROR(INDEX(Produk!$J$2:$J$100,MATCH(C980,Produk!$A$2:$A$100,0)),"PRODUK?")))</f>
        <v/>
      </c>
      <c r="R980" s="29" t="str">
        <f aca="false">IF(A980="","",IF(COUNTIF(Anggota!$A$2:$A$2001,A980)=0,"TIDAK ADA","OK"))</f>
        <v/>
      </c>
      <c r="S980" s="29" t="str">
        <f aca="false">IF(H980="","",IF(OR(J980="",L980=""),"-",IF(ABS(H980-J980*L980)&gt;Info_Koperasi!$C$10,"SELISIH","OK")))</f>
        <v/>
      </c>
    </row>
    <row r="981" customFormat="false" ht="15" hidden="false" customHeight="false" outlineLevel="0" collapsed="false">
      <c r="A981" s="21"/>
      <c r="B981" s="22"/>
      <c r="C981" s="21"/>
      <c r="D981" s="21"/>
      <c r="E981" s="28"/>
      <c r="F981" s="24"/>
      <c r="G981" s="26"/>
      <c r="H981" s="24"/>
      <c r="I981" s="24"/>
      <c r="J981" s="24"/>
      <c r="K981" s="24"/>
      <c r="L981" s="26"/>
      <c r="M981" s="26"/>
      <c r="N981" s="22"/>
      <c r="O981" s="21"/>
      <c r="P981" s="22"/>
      <c r="Q981" s="29" t="str">
        <f aca="false">IF(C981="","",IF(O981&lt;&gt;"",O981,IFERROR(INDEX(Produk!$J$2:$J$100,MATCH(C981,Produk!$A$2:$A$100,0)),"PRODUK?")))</f>
        <v/>
      </c>
      <c r="R981" s="29" t="str">
        <f aca="false">IF(A981="","",IF(COUNTIF(Anggota!$A$2:$A$2001,A981)=0,"TIDAK ADA","OK"))</f>
        <v/>
      </c>
      <c r="S981" s="29" t="str">
        <f aca="false">IF(H981="","",IF(OR(J981="",L981=""),"-",IF(ABS(H981-J981*L981)&gt;Info_Koperasi!$C$10,"SELISIH","OK")))</f>
        <v/>
      </c>
    </row>
    <row r="982" customFormat="false" ht="15" hidden="false" customHeight="false" outlineLevel="0" collapsed="false">
      <c r="A982" s="21"/>
      <c r="B982" s="22"/>
      <c r="C982" s="21"/>
      <c r="D982" s="21"/>
      <c r="E982" s="28"/>
      <c r="F982" s="24"/>
      <c r="G982" s="26"/>
      <c r="H982" s="24"/>
      <c r="I982" s="24"/>
      <c r="J982" s="24"/>
      <c r="K982" s="24"/>
      <c r="L982" s="26"/>
      <c r="M982" s="26"/>
      <c r="N982" s="22"/>
      <c r="O982" s="21"/>
      <c r="P982" s="22"/>
      <c r="Q982" s="29" t="str">
        <f aca="false">IF(C982="","",IF(O982&lt;&gt;"",O982,IFERROR(INDEX(Produk!$J$2:$J$100,MATCH(C982,Produk!$A$2:$A$100,0)),"PRODUK?")))</f>
        <v/>
      </c>
      <c r="R982" s="29" t="str">
        <f aca="false">IF(A982="","",IF(COUNTIF(Anggota!$A$2:$A$2001,A982)=0,"TIDAK ADA","OK"))</f>
        <v/>
      </c>
      <c r="S982" s="29" t="str">
        <f aca="false">IF(H982="","",IF(OR(J982="",L982=""),"-",IF(ABS(H982-J982*L982)&gt;Info_Koperasi!$C$10,"SELISIH","OK")))</f>
        <v/>
      </c>
    </row>
    <row r="983" customFormat="false" ht="15" hidden="false" customHeight="false" outlineLevel="0" collapsed="false">
      <c r="A983" s="21"/>
      <c r="B983" s="22"/>
      <c r="C983" s="21"/>
      <c r="D983" s="21"/>
      <c r="E983" s="28"/>
      <c r="F983" s="24"/>
      <c r="G983" s="26"/>
      <c r="H983" s="24"/>
      <c r="I983" s="24"/>
      <c r="J983" s="24"/>
      <c r="K983" s="24"/>
      <c r="L983" s="26"/>
      <c r="M983" s="26"/>
      <c r="N983" s="22"/>
      <c r="O983" s="21"/>
      <c r="P983" s="22"/>
      <c r="Q983" s="29" t="str">
        <f aca="false">IF(C983="","",IF(O983&lt;&gt;"",O983,IFERROR(INDEX(Produk!$J$2:$J$100,MATCH(C983,Produk!$A$2:$A$100,0)),"PRODUK?")))</f>
        <v/>
      </c>
      <c r="R983" s="29" t="str">
        <f aca="false">IF(A983="","",IF(COUNTIF(Anggota!$A$2:$A$2001,A983)=0,"TIDAK ADA","OK"))</f>
        <v/>
      </c>
      <c r="S983" s="29" t="str">
        <f aca="false">IF(H983="","",IF(OR(J983="",L983=""),"-",IF(ABS(H983-J983*L983)&gt;Info_Koperasi!$C$10,"SELISIH","OK")))</f>
        <v/>
      </c>
    </row>
    <row r="984" customFormat="false" ht="15" hidden="false" customHeight="false" outlineLevel="0" collapsed="false">
      <c r="A984" s="21"/>
      <c r="B984" s="22"/>
      <c r="C984" s="21"/>
      <c r="D984" s="21"/>
      <c r="E984" s="28"/>
      <c r="F984" s="24"/>
      <c r="G984" s="26"/>
      <c r="H984" s="24"/>
      <c r="I984" s="24"/>
      <c r="J984" s="24"/>
      <c r="K984" s="24"/>
      <c r="L984" s="26"/>
      <c r="M984" s="26"/>
      <c r="N984" s="22"/>
      <c r="O984" s="21"/>
      <c r="P984" s="22"/>
      <c r="Q984" s="29" t="str">
        <f aca="false">IF(C984="","",IF(O984&lt;&gt;"",O984,IFERROR(INDEX(Produk!$J$2:$J$100,MATCH(C984,Produk!$A$2:$A$100,0)),"PRODUK?")))</f>
        <v/>
      </c>
      <c r="R984" s="29" t="str">
        <f aca="false">IF(A984="","",IF(COUNTIF(Anggota!$A$2:$A$2001,A984)=0,"TIDAK ADA","OK"))</f>
        <v/>
      </c>
      <c r="S984" s="29" t="str">
        <f aca="false">IF(H984="","",IF(OR(J984="",L984=""),"-",IF(ABS(H984-J984*L984)&gt;Info_Koperasi!$C$10,"SELISIH","OK")))</f>
        <v/>
      </c>
    </row>
    <row r="985" customFormat="false" ht="15" hidden="false" customHeight="false" outlineLevel="0" collapsed="false">
      <c r="A985" s="21"/>
      <c r="B985" s="22"/>
      <c r="C985" s="21"/>
      <c r="D985" s="21"/>
      <c r="E985" s="28"/>
      <c r="F985" s="24"/>
      <c r="G985" s="26"/>
      <c r="H985" s="24"/>
      <c r="I985" s="24"/>
      <c r="J985" s="24"/>
      <c r="K985" s="24"/>
      <c r="L985" s="26"/>
      <c r="M985" s="26"/>
      <c r="N985" s="22"/>
      <c r="O985" s="21"/>
      <c r="P985" s="22"/>
      <c r="Q985" s="29" t="str">
        <f aca="false">IF(C985="","",IF(O985&lt;&gt;"",O985,IFERROR(INDEX(Produk!$J$2:$J$100,MATCH(C985,Produk!$A$2:$A$100,0)),"PRODUK?")))</f>
        <v/>
      </c>
      <c r="R985" s="29" t="str">
        <f aca="false">IF(A985="","",IF(COUNTIF(Anggota!$A$2:$A$2001,A985)=0,"TIDAK ADA","OK"))</f>
        <v/>
      </c>
      <c r="S985" s="29" t="str">
        <f aca="false">IF(H985="","",IF(OR(J985="",L985=""),"-",IF(ABS(H985-J985*L985)&gt;Info_Koperasi!$C$10,"SELISIH","OK")))</f>
        <v/>
      </c>
    </row>
    <row r="986" customFormat="false" ht="15" hidden="false" customHeight="false" outlineLevel="0" collapsed="false">
      <c r="A986" s="21"/>
      <c r="B986" s="22"/>
      <c r="C986" s="21"/>
      <c r="D986" s="21"/>
      <c r="E986" s="28"/>
      <c r="F986" s="24"/>
      <c r="G986" s="26"/>
      <c r="H986" s="24"/>
      <c r="I986" s="24"/>
      <c r="J986" s="24"/>
      <c r="K986" s="24"/>
      <c r="L986" s="26"/>
      <c r="M986" s="26"/>
      <c r="N986" s="22"/>
      <c r="O986" s="21"/>
      <c r="P986" s="22"/>
      <c r="Q986" s="29" t="str">
        <f aca="false">IF(C986="","",IF(O986&lt;&gt;"",O986,IFERROR(INDEX(Produk!$J$2:$J$100,MATCH(C986,Produk!$A$2:$A$100,0)),"PRODUK?")))</f>
        <v/>
      </c>
      <c r="R986" s="29" t="str">
        <f aca="false">IF(A986="","",IF(COUNTIF(Anggota!$A$2:$A$2001,A986)=0,"TIDAK ADA","OK"))</f>
        <v/>
      </c>
      <c r="S986" s="29" t="str">
        <f aca="false">IF(H986="","",IF(OR(J986="",L986=""),"-",IF(ABS(H986-J986*L986)&gt;Info_Koperasi!$C$10,"SELISIH","OK")))</f>
        <v/>
      </c>
    </row>
    <row r="987" customFormat="false" ht="15" hidden="false" customHeight="false" outlineLevel="0" collapsed="false">
      <c r="A987" s="21"/>
      <c r="B987" s="22"/>
      <c r="C987" s="21"/>
      <c r="D987" s="21"/>
      <c r="E987" s="28"/>
      <c r="F987" s="24"/>
      <c r="G987" s="26"/>
      <c r="H987" s="24"/>
      <c r="I987" s="24"/>
      <c r="J987" s="24"/>
      <c r="K987" s="24"/>
      <c r="L987" s="26"/>
      <c r="M987" s="26"/>
      <c r="N987" s="22"/>
      <c r="O987" s="21"/>
      <c r="P987" s="22"/>
      <c r="Q987" s="29" t="str">
        <f aca="false">IF(C987="","",IF(O987&lt;&gt;"",O987,IFERROR(INDEX(Produk!$J$2:$J$100,MATCH(C987,Produk!$A$2:$A$100,0)),"PRODUK?")))</f>
        <v/>
      </c>
      <c r="R987" s="29" t="str">
        <f aca="false">IF(A987="","",IF(COUNTIF(Anggota!$A$2:$A$2001,A987)=0,"TIDAK ADA","OK"))</f>
        <v/>
      </c>
      <c r="S987" s="29" t="str">
        <f aca="false">IF(H987="","",IF(OR(J987="",L987=""),"-",IF(ABS(H987-J987*L987)&gt;Info_Koperasi!$C$10,"SELISIH","OK")))</f>
        <v/>
      </c>
    </row>
    <row r="988" customFormat="false" ht="15" hidden="false" customHeight="false" outlineLevel="0" collapsed="false">
      <c r="A988" s="21"/>
      <c r="B988" s="22"/>
      <c r="C988" s="21"/>
      <c r="D988" s="21"/>
      <c r="E988" s="28"/>
      <c r="F988" s="24"/>
      <c r="G988" s="26"/>
      <c r="H988" s="24"/>
      <c r="I988" s="24"/>
      <c r="J988" s="24"/>
      <c r="K988" s="24"/>
      <c r="L988" s="26"/>
      <c r="M988" s="26"/>
      <c r="N988" s="22"/>
      <c r="O988" s="21"/>
      <c r="P988" s="22"/>
      <c r="Q988" s="29" t="str">
        <f aca="false">IF(C988="","",IF(O988&lt;&gt;"",O988,IFERROR(INDEX(Produk!$J$2:$J$100,MATCH(C988,Produk!$A$2:$A$100,0)),"PRODUK?")))</f>
        <v/>
      </c>
      <c r="R988" s="29" t="str">
        <f aca="false">IF(A988="","",IF(COUNTIF(Anggota!$A$2:$A$2001,A988)=0,"TIDAK ADA","OK"))</f>
        <v/>
      </c>
      <c r="S988" s="29" t="str">
        <f aca="false">IF(H988="","",IF(OR(J988="",L988=""),"-",IF(ABS(H988-J988*L988)&gt;Info_Koperasi!$C$10,"SELISIH","OK")))</f>
        <v/>
      </c>
    </row>
    <row r="989" customFormat="false" ht="15" hidden="false" customHeight="false" outlineLevel="0" collapsed="false">
      <c r="A989" s="21"/>
      <c r="B989" s="22"/>
      <c r="C989" s="21"/>
      <c r="D989" s="21"/>
      <c r="E989" s="28"/>
      <c r="F989" s="24"/>
      <c r="G989" s="26"/>
      <c r="H989" s="24"/>
      <c r="I989" s="24"/>
      <c r="J989" s="24"/>
      <c r="K989" s="24"/>
      <c r="L989" s="26"/>
      <c r="M989" s="26"/>
      <c r="N989" s="22"/>
      <c r="O989" s="21"/>
      <c r="P989" s="22"/>
      <c r="Q989" s="29" t="str">
        <f aca="false">IF(C989="","",IF(O989&lt;&gt;"",O989,IFERROR(INDEX(Produk!$J$2:$J$100,MATCH(C989,Produk!$A$2:$A$100,0)),"PRODUK?")))</f>
        <v/>
      </c>
      <c r="R989" s="29" t="str">
        <f aca="false">IF(A989="","",IF(COUNTIF(Anggota!$A$2:$A$2001,A989)=0,"TIDAK ADA","OK"))</f>
        <v/>
      </c>
      <c r="S989" s="29" t="str">
        <f aca="false">IF(H989="","",IF(OR(J989="",L989=""),"-",IF(ABS(H989-J989*L989)&gt;Info_Koperasi!$C$10,"SELISIH","OK")))</f>
        <v/>
      </c>
    </row>
    <row r="990" customFormat="false" ht="15" hidden="false" customHeight="false" outlineLevel="0" collapsed="false">
      <c r="A990" s="21"/>
      <c r="B990" s="22"/>
      <c r="C990" s="21"/>
      <c r="D990" s="21"/>
      <c r="E990" s="28"/>
      <c r="F990" s="24"/>
      <c r="G990" s="26"/>
      <c r="H990" s="24"/>
      <c r="I990" s="24"/>
      <c r="J990" s="24"/>
      <c r="K990" s="24"/>
      <c r="L990" s="26"/>
      <c r="M990" s="26"/>
      <c r="N990" s="22"/>
      <c r="O990" s="21"/>
      <c r="P990" s="22"/>
      <c r="Q990" s="29" t="str">
        <f aca="false">IF(C990="","",IF(O990&lt;&gt;"",O990,IFERROR(INDEX(Produk!$J$2:$J$100,MATCH(C990,Produk!$A$2:$A$100,0)),"PRODUK?")))</f>
        <v/>
      </c>
      <c r="R990" s="29" t="str">
        <f aca="false">IF(A990="","",IF(COUNTIF(Anggota!$A$2:$A$2001,A990)=0,"TIDAK ADA","OK"))</f>
        <v/>
      </c>
      <c r="S990" s="29" t="str">
        <f aca="false">IF(H990="","",IF(OR(J990="",L990=""),"-",IF(ABS(H990-J990*L990)&gt;Info_Koperasi!$C$10,"SELISIH","OK")))</f>
        <v/>
      </c>
    </row>
    <row r="991" customFormat="false" ht="15" hidden="false" customHeight="false" outlineLevel="0" collapsed="false">
      <c r="A991" s="21"/>
      <c r="B991" s="22"/>
      <c r="C991" s="21"/>
      <c r="D991" s="21"/>
      <c r="E991" s="28"/>
      <c r="F991" s="24"/>
      <c r="G991" s="26"/>
      <c r="H991" s="24"/>
      <c r="I991" s="24"/>
      <c r="J991" s="24"/>
      <c r="K991" s="24"/>
      <c r="L991" s="26"/>
      <c r="M991" s="26"/>
      <c r="N991" s="22"/>
      <c r="O991" s="21"/>
      <c r="P991" s="22"/>
      <c r="Q991" s="29" t="str">
        <f aca="false">IF(C991="","",IF(O991&lt;&gt;"",O991,IFERROR(INDEX(Produk!$J$2:$J$100,MATCH(C991,Produk!$A$2:$A$100,0)),"PRODUK?")))</f>
        <v/>
      </c>
      <c r="R991" s="29" t="str">
        <f aca="false">IF(A991="","",IF(COUNTIF(Anggota!$A$2:$A$2001,A991)=0,"TIDAK ADA","OK"))</f>
        <v/>
      </c>
      <c r="S991" s="29" t="str">
        <f aca="false">IF(H991="","",IF(OR(J991="",L991=""),"-",IF(ABS(H991-J991*L991)&gt;Info_Koperasi!$C$10,"SELISIH","OK")))</f>
        <v/>
      </c>
    </row>
    <row r="992" customFormat="false" ht="15" hidden="false" customHeight="false" outlineLevel="0" collapsed="false">
      <c r="A992" s="21"/>
      <c r="B992" s="22"/>
      <c r="C992" s="21"/>
      <c r="D992" s="21"/>
      <c r="E992" s="28"/>
      <c r="F992" s="24"/>
      <c r="G992" s="26"/>
      <c r="H992" s="24"/>
      <c r="I992" s="24"/>
      <c r="J992" s="24"/>
      <c r="K992" s="24"/>
      <c r="L992" s="26"/>
      <c r="M992" s="26"/>
      <c r="N992" s="22"/>
      <c r="O992" s="21"/>
      <c r="P992" s="22"/>
      <c r="Q992" s="29" t="str">
        <f aca="false">IF(C992="","",IF(O992&lt;&gt;"",O992,IFERROR(INDEX(Produk!$J$2:$J$100,MATCH(C992,Produk!$A$2:$A$100,0)),"PRODUK?")))</f>
        <v/>
      </c>
      <c r="R992" s="29" t="str">
        <f aca="false">IF(A992="","",IF(COUNTIF(Anggota!$A$2:$A$2001,A992)=0,"TIDAK ADA","OK"))</f>
        <v/>
      </c>
      <c r="S992" s="29" t="str">
        <f aca="false">IF(H992="","",IF(OR(J992="",L992=""),"-",IF(ABS(H992-J992*L992)&gt;Info_Koperasi!$C$10,"SELISIH","OK")))</f>
        <v/>
      </c>
    </row>
    <row r="993" customFormat="false" ht="15" hidden="false" customHeight="false" outlineLevel="0" collapsed="false">
      <c r="A993" s="21"/>
      <c r="B993" s="22"/>
      <c r="C993" s="21"/>
      <c r="D993" s="21"/>
      <c r="E993" s="28"/>
      <c r="F993" s="24"/>
      <c r="G993" s="26"/>
      <c r="H993" s="24"/>
      <c r="I993" s="24"/>
      <c r="J993" s="24"/>
      <c r="K993" s="24"/>
      <c r="L993" s="26"/>
      <c r="M993" s="26"/>
      <c r="N993" s="22"/>
      <c r="O993" s="21"/>
      <c r="P993" s="22"/>
      <c r="Q993" s="29" t="str">
        <f aca="false">IF(C993="","",IF(O993&lt;&gt;"",O993,IFERROR(INDEX(Produk!$J$2:$J$100,MATCH(C993,Produk!$A$2:$A$100,0)),"PRODUK?")))</f>
        <v/>
      </c>
      <c r="R993" s="29" t="str">
        <f aca="false">IF(A993="","",IF(COUNTIF(Anggota!$A$2:$A$2001,A993)=0,"TIDAK ADA","OK"))</f>
        <v/>
      </c>
      <c r="S993" s="29" t="str">
        <f aca="false">IF(H993="","",IF(OR(J993="",L993=""),"-",IF(ABS(H993-J993*L993)&gt;Info_Koperasi!$C$10,"SELISIH","OK")))</f>
        <v/>
      </c>
    </row>
    <row r="994" customFormat="false" ht="15" hidden="false" customHeight="false" outlineLevel="0" collapsed="false">
      <c r="A994" s="21"/>
      <c r="B994" s="22"/>
      <c r="C994" s="21"/>
      <c r="D994" s="21"/>
      <c r="E994" s="28"/>
      <c r="F994" s="24"/>
      <c r="G994" s="26"/>
      <c r="H994" s="24"/>
      <c r="I994" s="24"/>
      <c r="J994" s="24"/>
      <c r="K994" s="24"/>
      <c r="L994" s="26"/>
      <c r="M994" s="26"/>
      <c r="N994" s="22"/>
      <c r="O994" s="21"/>
      <c r="P994" s="22"/>
      <c r="Q994" s="29" t="str">
        <f aca="false">IF(C994="","",IF(O994&lt;&gt;"",O994,IFERROR(INDEX(Produk!$J$2:$J$100,MATCH(C994,Produk!$A$2:$A$100,0)),"PRODUK?")))</f>
        <v/>
      </c>
      <c r="R994" s="29" t="str">
        <f aca="false">IF(A994="","",IF(COUNTIF(Anggota!$A$2:$A$2001,A994)=0,"TIDAK ADA","OK"))</f>
        <v/>
      </c>
      <c r="S994" s="29" t="str">
        <f aca="false">IF(H994="","",IF(OR(J994="",L994=""),"-",IF(ABS(H994-J994*L994)&gt;Info_Koperasi!$C$10,"SELISIH","OK")))</f>
        <v/>
      </c>
    </row>
    <row r="995" customFormat="false" ht="15" hidden="false" customHeight="false" outlineLevel="0" collapsed="false">
      <c r="A995" s="21"/>
      <c r="B995" s="22"/>
      <c r="C995" s="21"/>
      <c r="D995" s="21"/>
      <c r="E995" s="28"/>
      <c r="F995" s="24"/>
      <c r="G995" s="26"/>
      <c r="H995" s="24"/>
      <c r="I995" s="24"/>
      <c r="J995" s="24"/>
      <c r="K995" s="24"/>
      <c r="L995" s="26"/>
      <c r="M995" s="26"/>
      <c r="N995" s="22"/>
      <c r="O995" s="21"/>
      <c r="P995" s="22"/>
      <c r="Q995" s="29" t="str">
        <f aca="false">IF(C995="","",IF(O995&lt;&gt;"",O995,IFERROR(INDEX(Produk!$J$2:$J$100,MATCH(C995,Produk!$A$2:$A$100,0)),"PRODUK?")))</f>
        <v/>
      </c>
      <c r="R995" s="29" t="str">
        <f aca="false">IF(A995="","",IF(COUNTIF(Anggota!$A$2:$A$2001,A995)=0,"TIDAK ADA","OK"))</f>
        <v/>
      </c>
      <c r="S995" s="29" t="str">
        <f aca="false">IF(H995="","",IF(OR(J995="",L995=""),"-",IF(ABS(H995-J995*L995)&gt;Info_Koperasi!$C$10,"SELISIH","OK")))</f>
        <v/>
      </c>
    </row>
    <row r="996" customFormat="false" ht="15" hidden="false" customHeight="false" outlineLevel="0" collapsed="false">
      <c r="A996" s="21"/>
      <c r="B996" s="22"/>
      <c r="C996" s="21"/>
      <c r="D996" s="21"/>
      <c r="E996" s="28"/>
      <c r="F996" s="24"/>
      <c r="G996" s="26"/>
      <c r="H996" s="24"/>
      <c r="I996" s="24"/>
      <c r="J996" s="24"/>
      <c r="K996" s="24"/>
      <c r="L996" s="26"/>
      <c r="M996" s="26"/>
      <c r="N996" s="22"/>
      <c r="O996" s="21"/>
      <c r="P996" s="22"/>
      <c r="Q996" s="29" t="str">
        <f aca="false">IF(C996="","",IF(O996&lt;&gt;"",O996,IFERROR(INDEX(Produk!$J$2:$J$100,MATCH(C996,Produk!$A$2:$A$100,0)),"PRODUK?")))</f>
        <v/>
      </c>
      <c r="R996" s="29" t="str">
        <f aca="false">IF(A996="","",IF(COUNTIF(Anggota!$A$2:$A$2001,A996)=0,"TIDAK ADA","OK"))</f>
        <v/>
      </c>
      <c r="S996" s="29" t="str">
        <f aca="false">IF(H996="","",IF(OR(J996="",L996=""),"-",IF(ABS(H996-J996*L996)&gt;Info_Koperasi!$C$10,"SELISIH","OK")))</f>
        <v/>
      </c>
    </row>
    <row r="997" customFormat="false" ht="15" hidden="false" customHeight="false" outlineLevel="0" collapsed="false">
      <c r="A997" s="21"/>
      <c r="B997" s="22"/>
      <c r="C997" s="21"/>
      <c r="D997" s="21"/>
      <c r="E997" s="28"/>
      <c r="F997" s="24"/>
      <c r="G997" s="26"/>
      <c r="H997" s="24"/>
      <c r="I997" s="24"/>
      <c r="J997" s="24"/>
      <c r="K997" s="24"/>
      <c r="L997" s="26"/>
      <c r="M997" s="26"/>
      <c r="N997" s="22"/>
      <c r="O997" s="21"/>
      <c r="P997" s="22"/>
      <c r="Q997" s="29" t="str">
        <f aca="false">IF(C997="","",IF(O997&lt;&gt;"",O997,IFERROR(INDEX(Produk!$J$2:$J$100,MATCH(C997,Produk!$A$2:$A$100,0)),"PRODUK?")))</f>
        <v/>
      </c>
      <c r="R997" s="29" t="str">
        <f aca="false">IF(A997="","",IF(COUNTIF(Anggota!$A$2:$A$2001,A997)=0,"TIDAK ADA","OK"))</f>
        <v/>
      </c>
      <c r="S997" s="29" t="str">
        <f aca="false">IF(H997="","",IF(OR(J997="",L997=""),"-",IF(ABS(H997-J997*L997)&gt;Info_Koperasi!$C$10,"SELISIH","OK")))</f>
        <v/>
      </c>
    </row>
    <row r="998" customFormat="false" ht="15" hidden="false" customHeight="false" outlineLevel="0" collapsed="false">
      <c r="A998" s="21"/>
      <c r="B998" s="22"/>
      <c r="C998" s="21"/>
      <c r="D998" s="21"/>
      <c r="E998" s="28"/>
      <c r="F998" s="24"/>
      <c r="G998" s="26"/>
      <c r="H998" s="24"/>
      <c r="I998" s="24"/>
      <c r="J998" s="24"/>
      <c r="K998" s="24"/>
      <c r="L998" s="26"/>
      <c r="M998" s="26"/>
      <c r="N998" s="22"/>
      <c r="O998" s="21"/>
      <c r="P998" s="22"/>
      <c r="Q998" s="29" t="str">
        <f aca="false">IF(C998="","",IF(O998&lt;&gt;"",O998,IFERROR(INDEX(Produk!$J$2:$J$100,MATCH(C998,Produk!$A$2:$A$100,0)),"PRODUK?")))</f>
        <v/>
      </c>
      <c r="R998" s="29" t="str">
        <f aca="false">IF(A998="","",IF(COUNTIF(Anggota!$A$2:$A$2001,A998)=0,"TIDAK ADA","OK"))</f>
        <v/>
      </c>
      <c r="S998" s="29" t="str">
        <f aca="false">IF(H998="","",IF(OR(J998="",L998=""),"-",IF(ABS(H998-J998*L998)&gt;Info_Koperasi!$C$10,"SELISIH","OK")))</f>
        <v/>
      </c>
    </row>
    <row r="999" customFormat="false" ht="15" hidden="false" customHeight="false" outlineLevel="0" collapsed="false">
      <c r="A999" s="21"/>
      <c r="B999" s="22"/>
      <c r="C999" s="21"/>
      <c r="D999" s="21"/>
      <c r="E999" s="28"/>
      <c r="F999" s="24"/>
      <c r="G999" s="26"/>
      <c r="H999" s="24"/>
      <c r="I999" s="24"/>
      <c r="J999" s="24"/>
      <c r="K999" s="24"/>
      <c r="L999" s="26"/>
      <c r="M999" s="26"/>
      <c r="N999" s="22"/>
      <c r="O999" s="21"/>
      <c r="P999" s="22"/>
      <c r="Q999" s="29" t="str">
        <f aca="false">IF(C999="","",IF(O999&lt;&gt;"",O999,IFERROR(INDEX(Produk!$J$2:$J$100,MATCH(C999,Produk!$A$2:$A$100,0)),"PRODUK?")))</f>
        <v/>
      </c>
      <c r="R999" s="29" t="str">
        <f aca="false">IF(A999="","",IF(COUNTIF(Anggota!$A$2:$A$2001,A999)=0,"TIDAK ADA","OK"))</f>
        <v/>
      </c>
      <c r="S999" s="29" t="str">
        <f aca="false">IF(H999="","",IF(OR(J999="",L999=""),"-",IF(ABS(H999-J999*L999)&gt;Info_Koperasi!$C$10,"SELISIH","OK")))</f>
        <v/>
      </c>
    </row>
    <row r="1000" customFormat="false" ht="15" hidden="false" customHeight="false" outlineLevel="0" collapsed="false">
      <c r="A1000" s="21"/>
      <c r="B1000" s="22"/>
      <c r="C1000" s="21"/>
      <c r="D1000" s="21"/>
      <c r="E1000" s="28"/>
      <c r="F1000" s="24"/>
      <c r="G1000" s="26"/>
      <c r="H1000" s="24"/>
      <c r="I1000" s="24"/>
      <c r="J1000" s="24"/>
      <c r="K1000" s="24"/>
      <c r="L1000" s="26"/>
      <c r="M1000" s="26"/>
      <c r="N1000" s="22"/>
      <c r="O1000" s="21"/>
      <c r="P1000" s="22"/>
      <c r="Q1000" s="29" t="str">
        <f aca="false">IF(C1000="","",IF(O1000&lt;&gt;"",O1000,IFERROR(INDEX(Produk!$J$2:$J$100,MATCH(C1000,Produk!$A$2:$A$100,0)),"PRODUK?")))</f>
        <v/>
      </c>
      <c r="R1000" s="29" t="str">
        <f aca="false">IF(A1000="","",IF(COUNTIF(Anggota!$A$2:$A$2001,A1000)=0,"TIDAK ADA","OK"))</f>
        <v/>
      </c>
      <c r="S1000" s="29" t="str">
        <f aca="false">IF(H1000="","",IF(OR(J1000="",L1000=""),"-",IF(ABS(H1000-J1000*L1000)&gt;Info_Koperasi!$C$10,"SELISIH","OK")))</f>
        <v/>
      </c>
    </row>
    <row r="1001" customFormat="false" ht="15" hidden="false" customHeight="false" outlineLevel="0" collapsed="false">
      <c r="A1001" s="21"/>
      <c r="B1001" s="22"/>
      <c r="C1001" s="21"/>
      <c r="D1001" s="21"/>
      <c r="E1001" s="28"/>
      <c r="F1001" s="24"/>
      <c r="G1001" s="26"/>
      <c r="H1001" s="24"/>
      <c r="I1001" s="24"/>
      <c r="J1001" s="24"/>
      <c r="K1001" s="24"/>
      <c r="L1001" s="26"/>
      <c r="M1001" s="26"/>
      <c r="N1001" s="22"/>
      <c r="O1001" s="21"/>
      <c r="P1001" s="22"/>
      <c r="Q1001" s="29" t="str">
        <f aca="false">IF(C1001="","",IF(O1001&lt;&gt;"",O1001,IFERROR(INDEX(Produk!$J$2:$J$100,MATCH(C1001,Produk!$A$2:$A$100,0)),"PRODUK?")))</f>
        <v/>
      </c>
      <c r="R1001" s="29" t="str">
        <f aca="false">IF(A1001="","",IF(COUNTIF(Anggota!$A$2:$A$2001,A1001)=0,"TIDAK ADA","OK"))</f>
        <v/>
      </c>
      <c r="S1001" s="29" t="str">
        <f aca="false">IF(H1001="","",IF(OR(J1001="",L1001=""),"-",IF(ABS(H1001-J1001*L1001)&gt;Info_Koperasi!$C$10,"SELISIH","OK")))</f>
        <v/>
      </c>
    </row>
    <row r="1002" customFormat="false" ht="15" hidden="false" customHeight="false" outlineLevel="0" collapsed="false">
      <c r="A1002" s="21"/>
      <c r="B1002" s="22"/>
      <c r="C1002" s="21"/>
      <c r="D1002" s="21"/>
      <c r="E1002" s="28"/>
      <c r="F1002" s="24"/>
      <c r="G1002" s="26"/>
      <c r="H1002" s="24"/>
      <c r="I1002" s="24"/>
      <c r="J1002" s="24"/>
      <c r="K1002" s="24"/>
      <c r="L1002" s="26"/>
      <c r="M1002" s="26"/>
      <c r="N1002" s="22"/>
      <c r="O1002" s="21"/>
      <c r="P1002" s="22"/>
      <c r="Q1002" s="29" t="str">
        <f aca="false">IF(C1002="","",IF(O1002&lt;&gt;"",O1002,IFERROR(INDEX(Produk!$J$2:$J$100,MATCH(C1002,Produk!$A$2:$A$100,0)),"PRODUK?")))</f>
        <v/>
      </c>
      <c r="R1002" s="29" t="str">
        <f aca="false">IF(A1002="","",IF(COUNTIF(Anggota!$A$2:$A$2001,A1002)=0,"TIDAK ADA","OK"))</f>
        <v/>
      </c>
      <c r="S1002" s="29" t="str">
        <f aca="false">IF(H1002="","",IF(OR(J1002="",L1002=""),"-",IF(ABS(H1002-J1002*L1002)&gt;Info_Koperasi!$C$10,"SELISIH","OK")))</f>
        <v/>
      </c>
    </row>
    <row r="1003" customFormat="false" ht="15" hidden="false" customHeight="false" outlineLevel="0" collapsed="false">
      <c r="A1003" s="21"/>
      <c r="B1003" s="22"/>
      <c r="C1003" s="21"/>
      <c r="D1003" s="21"/>
      <c r="E1003" s="28"/>
      <c r="F1003" s="24"/>
      <c r="G1003" s="26"/>
      <c r="H1003" s="24"/>
      <c r="I1003" s="24"/>
      <c r="J1003" s="24"/>
      <c r="K1003" s="24"/>
      <c r="L1003" s="26"/>
      <c r="M1003" s="26"/>
      <c r="N1003" s="22"/>
      <c r="O1003" s="21"/>
      <c r="P1003" s="22"/>
      <c r="Q1003" s="29" t="str">
        <f aca="false">IF(C1003="","",IF(O1003&lt;&gt;"",O1003,IFERROR(INDEX(Produk!$J$2:$J$100,MATCH(C1003,Produk!$A$2:$A$100,0)),"PRODUK?")))</f>
        <v/>
      </c>
      <c r="R1003" s="29" t="str">
        <f aca="false">IF(A1003="","",IF(COUNTIF(Anggota!$A$2:$A$2001,A1003)=0,"TIDAK ADA","OK"))</f>
        <v/>
      </c>
      <c r="S1003" s="29" t="str">
        <f aca="false">IF(H1003="","",IF(OR(J1003="",L1003=""),"-",IF(ABS(H1003-J1003*L1003)&gt;Info_Koperasi!$C$10,"SELISIH","OK")))</f>
        <v/>
      </c>
    </row>
    <row r="1004" customFormat="false" ht="15" hidden="false" customHeight="false" outlineLevel="0" collapsed="false">
      <c r="A1004" s="21"/>
      <c r="B1004" s="22"/>
      <c r="C1004" s="21"/>
      <c r="D1004" s="21"/>
      <c r="E1004" s="28"/>
      <c r="F1004" s="24"/>
      <c r="G1004" s="26"/>
      <c r="H1004" s="24"/>
      <c r="I1004" s="24"/>
      <c r="J1004" s="24"/>
      <c r="K1004" s="24"/>
      <c r="L1004" s="26"/>
      <c r="M1004" s="26"/>
      <c r="N1004" s="22"/>
      <c r="O1004" s="21"/>
      <c r="P1004" s="22"/>
      <c r="Q1004" s="29" t="str">
        <f aca="false">IF(C1004="","",IF(O1004&lt;&gt;"",O1004,IFERROR(INDEX(Produk!$J$2:$J$100,MATCH(C1004,Produk!$A$2:$A$100,0)),"PRODUK?")))</f>
        <v/>
      </c>
      <c r="R1004" s="29" t="str">
        <f aca="false">IF(A1004="","",IF(COUNTIF(Anggota!$A$2:$A$2001,A1004)=0,"TIDAK ADA","OK"))</f>
        <v/>
      </c>
      <c r="S1004" s="29" t="str">
        <f aca="false">IF(H1004="","",IF(OR(J1004="",L1004=""),"-",IF(ABS(H1004-J1004*L1004)&gt;Info_Koperasi!$C$10,"SELISIH","OK")))</f>
        <v/>
      </c>
    </row>
    <row r="1005" customFormat="false" ht="15" hidden="false" customHeight="false" outlineLevel="0" collapsed="false">
      <c r="A1005" s="21"/>
      <c r="B1005" s="22"/>
      <c r="C1005" s="21"/>
      <c r="D1005" s="21"/>
      <c r="E1005" s="28"/>
      <c r="F1005" s="24"/>
      <c r="G1005" s="26"/>
      <c r="H1005" s="24"/>
      <c r="I1005" s="24"/>
      <c r="J1005" s="24"/>
      <c r="K1005" s="24"/>
      <c r="L1005" s="26"/>
      <c r="M1005" s="26"/>
      <c r="N1005" s="22"/>
      <c r="O1005" s="21"/>
      <c r="P1005" s="22"/>
      <c r="Q1005" s="29" t="str">
        <f aca="false">IF(C1005="","",IF(O1005&lt;&gt;"",O1005,IFERROR(INDEX(Produk!$J$2:$J$100,MATCH(C1005,Produk!$A$2:$A$100,0)),"PRODUK?")))</f>
        <v/>
      </c>
      <c r="R1005" s="29" t="str">
        <f aca="false">IF(A1005="","",IF(COUNTIF(Anggota!$A$2:$A$2001,A1005)=0,"TIDAK ADA","OK"))</f>
        <v/>
      </c>
      <c r="S1005" s="29" t="str">
        <f aca="false">IF(H1005="","",IF(OR(J1005="",L1005=""),"-",IF(ABS(H1005-J1005*L1005)&gt;Info_Koperasi!$C$10,"SELISIH","OK")))</f>
        <v/>
      </c>
    </row>
    <row r="1006" customFormat="false" ht="15" hidden="false" customHeight="false" outlineLevel="0" collapsed="false">
      <c r="A1006" s="21"/>
      <c r="B1006" s="22"/>
      <c r="C1006" s="21"/>
      <c r="D1006" s="21"/>
      <c r="E1006" s="28"/>
      <c r="F1006" s="24"/>
      <c r="G1006" s="26"/>
      <c r="H1006" s="24"/>
      <c r="I1006" s="24"/>
      <c r="J1006" s="24"/>
      <c r="K1006" s="24"/>
      <c r="L1006" s="26"/>
      <c r="M1006" s="26"/>
      <c r="N1006" s="22"/>
      <c r="O1006" s="21"/>
      <c r="P1006" s="22"/>
      <c r="Q1006" s="29" t="str">
        <f aca="false">IF(C1006="","",IF(O1006&lt;&gt;"",O1006,IFERROR(INDEX(Produk!$J$2:$J$100,MATCH(C1006,Produk!$A$2:$A$100,0)),"PRODUK?")))</f>
        <v/>
      </c>
      <c r="R1006" s="29" t="str">
        <f aca="false">IF(A1006="","",IF(COUNTIF(Anggota!$A$2:$A$2001,A1006)=0,"TIDAK ADA","OK"))</f>
        <v/>
      </c>
      <c r="S1006" s="29" t="str">
        <f aca="false">IF(H1006="","",IF(OR(J1006="",L1006=""),"-",IF(ABS(H1006-J1006*L1006)&gt;Info_Koperasi!$C$10,"SELISIH","OK")))</f>
        <v/>
      </c>
    </row>
    <row r="1007" customFormat="false" ht="15" hidden="false" customHeight="false" outlineLevel="0" collapsed="false">
      <c r="A1007" s="21"/>
      <c r="B1007" s="22"/>
      <c r="C1007" s="21"/>
      <c r="D1007" s="21"/>
      <c r="E1007" s="28"/>
      <c r="F1007" s="24"/>
      <c r="G1007" s="26"/>
      <c r="H1007" s="24"/>
      <c r="I1007" s="24"/>
      <c r="J1007" s="24"/>
      <c r="K1007" s="24"/>
      <c r="L1007" s="26"/>
      <c r="M1007" s="26"/>
      <c r="N1007" s="22"/>
      <c r="O1007" s="21"/>
      <c r="P1007" s="22"/>
      <c r="Q1007" s="29" t="str">
        <f aca="false">IF(C1007="","",IF(O1007&lt;&gt;"",O1007,IFERROR(INDEX(Produk!$J$2:$J$100,MATCH(C1007,Produk!$A$2:$A$100,0)),"PRODUK?")))</f>
        <v/>
      </c>
      <c r="R1007" s="29" t="str">
        <f aca="false">IF(A1007="","",IF(COUNTIF(Anggota!$A$2:$A$2001,A1007)=0,"TIDAK ADA","OK"))</f>
        <v/>
      </c>
      <c r="S1007" s="29" t="str">
        <f aca="false">IF(H1007="","",IF(OR(J1007="",L1007=""),"-",IF(ABS(H1007-J1007*L1007)&gt;Info_Koperasi!$C$10,"SELISIH","OK")))</f>
        <v/>
      </c>
    </row>
    <row r="1008" customFormat="false" ht="15" hidden="false" customHeight="false" outlineLevel="0" collapsed="false">
      <c r="A1008" s="21"/>
      <c r="B1008" s="22"/>
      <c r="C1008" s="21"/>
      <c r="D1008" s="21"/>
      <c r="E1008" s="28"/>
      <c r="F1008" s="24"/>
      <c r="G1008" s="26"/>
      <c r="H1008" s="24"/>
      <c r="I1008" s="24"/>
      <c r="J1008" s="24"/>
      <c r="K1008" s="24"/>
      <c r="L1008" s="26"/>
      <c r="M1008" s="26"/>
      <c r="N1008" s="22"/>
      <c r="O1008" s="21"/>
      <c r="P1008" s="22"/>
      <c r="Q1008" s="29" t="str">
        <f aca="false">IF(C1008="","",IF(O1008&lt;&gt;"",O1008,IFERROR(INDEX(Produk!$J$2:$J$100,MATCH(C1008,Produk!$A$2:$A$100,0)),"PRODUK?")))</f>
        <v/>
      </c>
      <c r="R1008" s="29" t="str">
        <f aca="false">IF(A1008="","",IF(COUNTIF(Anggota!$A$2:$A$2001,A1008)=0,"TIDAK ADA","OK"))</f>
        <v/>
      </c>
      <c r="S1008" s="29" t="str">
        <f aca="false">IF(H1008="","",IF(OR(J1008="",L1008=""),"-",IF(ABS(H1008-J1008*L1008)&gt;Info_Koperasi!$C$10,"SELISIH","OK")))</f>
        <v/>
      </c>
    </row>
    <row r="1009" customFormat="false" ht="15" hidden="false" customHeight="false" outlineLevel="0" collapsed="false">
      <c r="A1009" s="21"/>
      <c r="B1009" s="22"/>
      <c r="C1009" s="21"/>
      <c r="D1009" s="21"/>
      <c r="E1009" s="28"/>
      <c r="F1009" s="24"/>
      <c r="G1009" s="26"/>
      <c r="H1009" s="24"/>
      <c r="I1009" s="24"/>
      <c r="J1009" s="24"/>
      <c r="K1009" s="24"/>
      <c r="L1009" s="26"/>
      <c r="M1009" s="26"/>
      <c r="N1009" s="22"/>
      <c r="O1009" s="21"/>
      <c r="P1009" s="22"/>
      <c r="Q1009" s="29" t="str">
        <f aca="false">IF(C1009="","",IF(O1009&lt;&gt;"",O1009,IFERROR(INDEX(Produk!$J$2:$J$100,MATCH(C1009,Produk!$A$2:$A$100,0)),"PRODUK?")))</f>
        <v/>
      </c>
      <c r="R1009" s="29" t="str">
        <f aca="false">IF(A1009="","",IF(COUNTIF(Anggota!$A$2:$A$2001,A1009)=0,"TIDAK ADA","OK"))</f>
        <v/>
      </c>
      <c r="S1009" s="29" t="str">
        <f aca="false">IF(H1009="","",IF(OR(J1009="",L1009=""),"-",IF(ABS(H1009-J1009*L1009)&gt;Info_Koperasi!$C$10,"SELISIH","OK")))</f>
        <v/>
      </c>
    </row>
    <row r="1010" customFormat="false" ht="15" hidden="false" customHeight="false" outlineLevel="0" collapsed="false">
      <c r="A1010" s="21"/>
      <c r="B1010" s="22"/>
      <c r="C1010" s="21"/>
      <c r="D1010" s="21"/>
      <c r="E1010" s="28"/>
      <c r="F1010" s="24"/>
      <c r="G1010" s="26"/>
      <c r="H1010" s="24"/>
      <c r="I1010" s="24"/>
      <c r="J1010" s="24"/>
      <c r="K1010" s="24"/>
      <c r="L1010" s="26"/>
      <c r="M1010" s="26"/>
      <c r="N1010" s="22"/>
      <c r="O1010" s="21"/>
      <c r="P1010" s="22"/>
      <c r="Q1010" s="29" t="str">
        <f aca="false">IF(C1010="","",IF(O1010&lt;&gt;"",O1010,IFERROR(INDEX(Produk!$J$2:$J$100,MATCH(C1010,Produk!$A$2:$A$100,0)),"PRODUK?")))</f>
        <v/>
      </c>
      <c r="R1010" s="29" t="str">
        <f aca="false">IF(A1010="","",IF(COUNTIF(Anggota!$A$2:$A$2001,A1010)=0,"TIDAK ADA","OK"))</f>
        <v/>
      </c>
      <c r="S1010" s="29" t="str">
        <f aca="false">IF(H1010="","",IF(OR(J1010="",L1010=""),"-",IF(ABS(H1010-J1010*L1010)&gt;Info_Koperasi!$C$10,"SELISIH","OK")))</f>
        <v/>
      </c>
    </row>
    <row r="1011" customFormat="false" ht="15" hidden="false" customHeight="false" outlineLevel="0" collapsed="false">
      <c r="A1011" s="21"/>
      <c r="B1011" s="22"/>
      <c r="C1011" s="21"/>
      <c r="D1011" s="21"/>
      <c r="E1011" s="28"/>
      <c r="F1011" s="24"/>
      <c r="G1011" s="26"/>
      <c r="H1011" s="24"/>
      <c r="I1011" s="24"/>
      <c r="J1011" s="24"/>
      <c r="K1011" s="24"/>
      <c r="L1011" s="26"/>
      <c r="M1011" s="26"/>
      <c r="N1011" s="22"/>
      <c r="O1011" s="21"/>
      <c r="P1011" s="22"/>
      <c r="Q1011" s="29" t="str">
        <f aca="false">IF(C1011="","",IF(O1011&lt;&gt;"",O1011,IFERROR(INDEX(Produk!$J$2:$J$100,MATCH(C1011,Produk!$A$2:$A$100,0)),"PRODUK?")))</f>
        <v/>
      </c>
      <c r="R1011" s="29" t="str">
        <f aca="false">IF(A1011="","",IF(COUNTIF(Anggota!$A$2:$A$2001,A1011)=0,"TIDAK ADA","OK"))</f>
        <v/>
      </c>
      <c r="S1011" s="29" t="str">
        <f aca="false">IF(H1011="","",IF(OR(J1011="",L1011=""),"-",IF(ABS(H1011-J1011*L1011)&gt;Info_Koperasi!$C$10,"SELISIH","OK")))</f>
        <v/>
      </c>
    </row>
    <row r="1012" customFormat="false" ht="15" hidden="false" customHeight="false" outlineLevel="0" collapsed="false">
      <c r="A1012" s="21"/>
      <c r="B1012" s="22"/>
      <c r="C1012" s="21"/>
      <c r="D1012" s="21"/>
      <c r="E1012" s="28"/>
      <c r="F1012" s="24"/>
      <c r="G1012" s="26"/>
      <c r="H1012" s="24"/>
      <c r="I1012" s="24"/>
      <c r="J1012" s="24"/>
      <c r="K1012" s="24"/>
      <c r="L1012" s="26"/>
      <c r="M1012" s="26"/>
      <c r="N1012" s="22"/>
      <c r="O1012" s="21"/>
      <c r="P1012" s="22"/>
      <c r="Q1012" s="29" t="str">
        <f aca="false">IF(C1012="","",IF(O1012&lt;&gt;"",O1012,IFERROR(INDEX(Produk!$J$2:$J$100,MATCH(C1012,Produk!$A$2:$A$100,0)),"PRODUK?")))</f>
        <v/>
      </c>
      <c r="R1012" s="29" t="str">
        <f aca="false">IF(A1012="","",IF(COUNTIF(Anggota!$A$2:$A$2001,A1012)=0,"TIDAK ADA","OK"))</f>
        <v/>
      </c>
      <c r="S1012" s="29" t="str">
        <f aca="false">IF(H1012="","",IF(OR(J1012="",L1012=""),"-",IF(ABS(H1012-J1012*L1012)&gt;Info_Koperasi!$C$10,"SELISIH","OK")))</f>
        <v/>
      </c>
    </row>
    <row r="1013" customFormat="false" ht="15" hidden="false" customHeight="false" outlineLevel="0" collapsed="false">
      <c r="A1013" s="21"/>
      <c r="B1013" s="22"/>
      <c r="C1013" s="21"/>
      <c r="D1013" s="21"/>
      <c r="E1013" s="28"/>
      <c r="F1013" s="24"/>
      <c r="G1013" s="26"/>
      <c r="H1013" s="24"/>
      <c r="I1013" s="24"/>
      <c r="J1013" s="24"/>
      <c r="K1013" s="24"/>
      <c r="L1013" s="26"/>
      <c r="M1013" s="26"/>
      <c r="N1013" s="22"/>
      <c r="O1013" s="21"/>
      <c r="P1013" s="22"/>
      <c r="Q1013" s="29" t="str">
        <f aca="false">IF(C1013="","",IF(O1013&lt;&gt;"",O1013,IFERROR(INDEX(Produk!$J$2:$J$100,MATCH(C1013,Produk!$A$2:$A$100,0)),"PRODUK?")))</f>
        <v/>
      </c>
      <c r="R1013" s="29" t="str">
        <f aca="false">IF(A1013="","",IF(COUNTIF(Anggota!$A$2:$A$2001,A1013)=0,"TIDAK ADA","OK"))</f>
        <v/>
      </c>
      <c r="S1013" s="29" t="str">
        <f aca="false">IF(H1013="","",IF(OR(J1013="",L1013=""),"-",IF(ABS(H1013-J1013*L1013)&gt;Info_Koperasi!$C$10,"SELISIH","OK")))</f>
        <v/>
      </c>
    </row>
    <row r="1014" customFormat="false" ht="15" hidden="false" customHeight="false" outlineLevel="0" collapsed="false">
      <c r="A1014" s="21"/>
      <c r="B1014" s="22"/>
      <c r="C1014" s="21"/>
      <c r="D1014" s="21"/>
      <c r="E1014" s="28"/>
      <c r="F1014" s="24"/>
      <c r="G1014" s="26"/>
      <c r="H1014" s="24"/>
      <c r="I1014" s="24"/>
      <c r="J1014" s="24"/>
      <c r="K1014" s="24"/>
      <c r="L1014" s="26"/>
      <c r="M1014" s="26"/>
      <c r="N1014" s="22"/>
      <c r="O1014" s="21"/>
      <c r="P1014" s="22"/>
      <c r="Q1014" s="29" t="str">
        <f aca="false">IF(C1014="","",IF(O1014&lt;&gt;"",O1014,IFERROR(INDEX(Produk!$J$2:$J$100,MATCH(C1014,Produk!$A$2:$A$100,0)),"PRODUK?")))</f>
        <v/>
      </c>
      <c r="R1014" s="29" t="str">
        <f aca="false">IF(A1014="","",IF(COUNTIF(Anggota!$A$2:$A$2001,A1014)=0,"TIDAK ADA","OK"))</f>
        <v/>
      </c>
      <c r="S1014" s="29" t="str">
        <f aca="false">IF(H1014="","",IF(OR(J1014="",L1014=""),"-",IF(ABS(H1014-J1014*L1014)&gt;Info_Koperasi!$C$10,"SELISIH","OK")))</f>
        <v/>
      </c>
    </row>
    <row r="1015" customFormat="false" ht="15" hidden="false" customHeight="false" outlineLevel="0" collapsed="false">
      <c r="A1015" s="21"/>
      <c r="B1015" s="22"/>
      <c r="C1015" s="21"/>
      <c r="D1015" s="21"/>
      <c r="E1015" s="28"/>
      <c r="F1015" s="24"/>
      <c r="G1015" s="26"/>
      <c r="H1015" s="24"/>
      <c r="I1015" s="24"/>
      <c r="J1015" s="24"/>
      <c r="K1015" s="24"/>
      <c r="L1015" s="26"/>
      <c r="M1015" s="26"/>
      <c r="N1015" s="22"/>
      <c r="O1015" s="21"/>
      <c r="P1015" s="22"/>
      <c r="Q1015" s="29" t="str">
        <f aca="false">IF(C1015="","",IF(O1015&lt;&gt;"",O1015,IFERROR(INDEX(Produk!$J$2:$J$100,MATCH(C1015,Produk!$A$2:$A$100,0)),"PRODUK?")))</f>
        <v/>
      </c>
      <c r="R1015" s="29" t="str">
        <f aca="false">IF(A1015="","",IF(COUNTIF(Anggota!$A$2:$A$2001,A1015)=0,"TIDAK ADA","OK"))</f>
        <v/>
      </c>
      <c r="S1015" s="29" t="str">
        <f aca="false">IF(H1015="","",IF(OR(J1015="",L1015=""),"-",IF(ABS(H1015-J1015*L1015)&gt;Info_Koperasi!$C$10,"SELISIH","OK")))</f>
        <v/>
      </c>
    </row>
    <row r="1016" customFormat="false" ht="15" hidden="false" customHeight="false" outlineLevel="0" collapsed="false">
      <c r="A1016" s="21"/>
      <c r="B1016" s="22"/>
      <c r="C1016" s="21"/>
      <c r="D1016" s="21"/>
      <c r="E1016" s="28"/>
      <c r="F1016" s="24"/>
      <c r="G1016" s="26"/>
      <c r="H1016" s="24"/>
      <c r="I1016" s="24"/>
      <c r="J1016" s="24"/>
      <c r="K1016" s="24"/>
      <c r="L1016" s="26"/>
      <c r="M1016" s="26"/>
      <c r="N1016" s="22"/>
      <c r="O1016" s="21"/>
      <c r="P1016" s="22"/>
      <c r="Q1016" s="29" t="str">
        <f aca="false">IF(C1016="","",IF(O1016&lt;&gt;"",O1016,IFERROR(INDEX(Produk!$J$2:$J$100,MATCH(C1016,Produk!$A$2:$A$100,0)),"PRODUK?")))</f>
        <v/>
      </c>
      <c r="R1016" s="29" t="str">
        <f aca="false">IF(A1016="","",IF(COUNTIF(Anggota!$A$2:$A$2001,A1016)=0,"TIDAK ADA","OK"))</f>
        <v/>
      </c>
      <c r="S1016" s="29" t="str">
        <f aca="false">IF(H1016="","",IF(OR(J1016="",L1016=""),"-",IF(ABS(H1016-J1016*L1016)&gt;Info_Koperasi!$C$10,"SELISIH","OK")))</f>
        <v/>
      </c>
    </row>
    <row r="1017" customFormat="false" ht="15" hidden="false" customHeight="false" outlineLevel="0" collapsed="false">
      <c r="A1017" s="21"/>
      <c r="B1017" s="22"/>
      <c r="C1017" s="21"/>
      <c r="D1017" s="21"/>
      <c r="E1017" s="28"/>
      <c r="F1017" s="24"/>
      <c r="G1017" s="26"/>
      <c r="H1017" s="24"/>
      <c r="I1017" s="24"/>
      <c r="J1017" s="24"/>
      <c r="K1017" s="24"/>
      <c r="L1017" s="26"/>
      <c r="M1017" s="26"/>
      <c r="N1017" s="22"/>
      <c r="O1017" s="21"/>
      <c r="P1017" s="22"/>
      <c r="Q1017" s="29" t="str">
        <f aca="false">IF(C1017="","",IF(O1017&lt;&gt;"",O1017,IFERROR(INDEX(Produk!$J$2:$J$100,MATCH(C1017,Produk!$A$2:$A$100,0)),"PRODUK?")))</f>
        <v/>
      </c>
      <c r="R1017" s="29" t="str">
        <f aca="false">IF(A1017="","",IF(COUNTIF(Anggota!$A$2:$A$2001,A1017)=0,"TIDAK ADA","OK"))</f>
        <v/>
      </c>
      <c r="S1017" s="29" t="str">
        <f aca="false">IF(H1017="","",IF(OR(J1017="",L1017=""),"-",IF(ABS(H1017-J1017*L1017)&gt;Info_Koperasi!$C$10,"SELISIH","OK")))</f>
        <v/>
      </c>
    </row>
    <row r="1018" customFormat="false" ht="15" hidden="false" customHeight="false" outlineLevel="0" collapsed="false">
      <c r="A1018" s="21"/>
      <c r="B1018" s="22"/>
      <c r="C1018" s="21"/>
      <c r="D1018" s="21"/>
      <c r="E1018" s="28"/>
      <c r="F1018" s="24"/>
      <c r="G1018" s="26"/>
      <c r="H1018" s="24"/>
      <c r="I1018" s="24"/>
      <c r="J1018" s="24"/>
      <c r="K1018" s="24"/>
      <c r="L1018" s="26"/>
      <c r="M1018" s="26"/>
      <c r="N1018" s="22"/>
      <c r="O1018" s="21"/>
      <c r="P1018" s="22"/>
      <c r="Q1018" s="29" t="str">
        <f aca="false">IF(C1018="","",IF(O1018&lt;&gt;"",O1018,IFERROR(INDEX(Produk!$J$2:$J$100,MATCH(C1018,Produk!$A$2:$A$100,0)),"PRODUK?")))</f>
        <v/>
      </c>
      <c r="R1018" s="29" t="str">
        <f aca="false">IF(A1018="","",IF(COUNTIF(Anggota!$A$2:$A$2001,A1018)=0,"TIDAK ADA","OK"))</f>
        <v/>
      </c>
      <c r="S1018" s="29" t="str">
        <f aca="false">IF(H1018="","",IF(OR(J1018="",L1018=""),"-",IF(ABS(H1018-J1018*L1018)&gt;Info_Koperasi!$C$10,"SELISIH","OK")))</f>
        <v/>
      </c>
    </row>
    <row r="1019" customFormat="false" ht="15" hidden="false" customHeight="false" outlineLevel="0" collapsed="false">
      <c r="A1019" s="21"/>
      <c r="B1019" s="22"/>
      <c r="C1019" s="21"/>
      <c r="D1019" s="21"/>
      <c r="E1019" s="28"/>
      <c r="F1019" s="24"/>
      <c r="G1019" s="26"/>
      <c r="H1019" s="24"/>
      <c r="I1019" s="24"/>
      <c r="J1019" s="24"/>
      <c r="K1019" s="24"/>
      <c r="L1019" s="26"/>
      <c r="M1019" s="26"/>
      <c r="N1019" s="22"/>
      <c r="O1019" s="21"/>
      <c r="P1019" s="22"/>
      <c r="Q1019" s="29" t="str">
        <f aca="false">IF(C1019="","",IF(O1019&lt;&gt;"",O1019,IFERROR(INDEX(Produk!$J$2:$J$100,MATCH(C1019,Produk!$A$2:$A$100,0)),"PRODUK?")))</f>
        <v/>
      </c>
      <c r="R1019" s="29" t="str">
        <f aca="false">IF(A1019="","",IF(COUNTIF(Anggota!$A$2:$A$2001,A1019)=0,"TIDAK ADA","OK"))</f>
        <v/>
      </c>
      <c r="S1019" s="29" t="str">
        <f aca="false">IF(H1019="","",IF(OR(J1019="",L1019=""),"-",IF(ABS(H1019-J1019*L1019)&gt;Info_Koperasi!$C$10,"SELISIH","OK")))</f>
        <v/>
      </c>
    </row>
    <row r="1020" customFormat="false" ht="15" hidden="false" customHeight="false" outlineLevel="0" collapsed="false">
      <c r="A1020" s="21"/>
      <c r="B1020" s="22"/>
      <c r="C1020" s="21"/>
      <c r="D1020" s="21"/>
      <c r="E1020" s="28"/>
      <c r="F1020" s="24"/>
      <c r="G1020" s="26"/>
      <c r="H1020" s="24"/>
      <c r="I1020" s="24"/>
      <c r="J1020" s="24"/>
      <c r="K1020" s="24"/>
      <c r="L1020" s="26"/>
      <c r="M1020" s="26"/>
      <c r="N1020" s="22"/>
      <c r="O1020" s="21"/>
      <c r="P1020" s="22"/>
      <c r="Q1020" s="29" t="str">
        <f aca="false">IF(C1020="","",IF(O1020&lt;&gt;"",O1020,IFERROR(INDEX(Produk!$J$2:$J$100,MATCH(C1020,Produk!$A$2:$A$100,0)),"PRODUK?")))</f>
        <v/>
      </c>
      <c r="R1020" s="29" t="str">
        <f aca="false">IF(A1020="","",IF(COUNTIF(Anggota!$A$2:$A$2001,A1020)=0,"TIDAK ADA","OK"))</f>
        <v/>
      </c>
      <c r="S1020" s="29" t="str">
        <f aca="false">IF(H1020="","",IF(OR(J1020="",L1020=""),"-",IF(ABS(H1020-J1020*L1020)&gt;Info_Koperasi!$C$10,"SELISIH","OK")))</f>
        <v/>
      </c>
    </row>
    <row r="1021" customFormat="false" ht="15" hidden="false" customHeight="false" outlineLevel="0" collapsed="false">
      <c r="A1021" s="21"/>
      <c r="B1021" s="22"/>
      <c r="C1021" s="21"/>
      <c r="D1021" s="21"/>
      <c r="E1021" s="28"/>
      <c r="F1021" s="24"/>
      <c r="G1021" s="26"/>
      <c r="H1021" s="24"/>
      <c r="I1021" s="24"/>
      <c r="J1021" s="24"/>
      <c r="K1021" s="24"/>
      <c r="L1021" s="26"/>
      <c r="M1021" s="26"/>
      <c r="N1021" s="22"/>
      <c r="O1021" s="21"/>
      <c r="P1021" s="22"/>
      <c r="Q1021" s="29" t="str">
        <f aca="false">IF(C1021="","",IF(O1021&lt;&gt;"",O1021,IFERROR(INDEX(Produk!$J$2:$J$100,MATCH(C1021,Produk!$A$2:$A$100,0)),"PRODUK?")))</f>
        <v/>
      </c>
      <c r="R1021" s="29" t="str">
        <f aca="false">IF(A1021="","",IF(COUNTIF(Anggota!$A$2:$A$2001,A1021)=0,"TIDAK ADA","OK"))</f>
        <v/>
      </c>
      <c r="S1021" s="29" t="str">
        <f aca="false">IF(H1021="","",IF(OR(J1021="",L1021=""),"-",IF(ABS(H1021-J1021*L1021)&gt;Info_Koperasi!$C$10,"SELISIH","OK")))</f>
        <v/>
      </c>
    </row>
    <row r="1022" customFormat="false" ht="15" hidden="false" customHeight="false" outlineLevel="0" collapsed="false">
      <c r="A1022" s="21"/>
      <c r="B1022" s="22"/>
      <c r="C1022" s="21"/>
      <c r="D1022" s="21"/>
      <c r="E1022" s="28"/>
      <c r="F1022" s="24"/>
      <c r="G1022" s="26"/>
      <c r="H1022" s="24"/>
      <c r="I1022" s="24"/>
      <c r="J1022" s="24"/>
      <c r="K1022" s="24"/>
      <c r="L1022" s="26"/>
      <c r="M1022" s="26"/>
      <c r="N1022" s="22"/>
      <c r="O1022" s="21"/>
      <c r="P1022" s="22"/>
      <c r="Q1022" s="29" t="str">
        <f aca="false">IF(C1022="","",IF(O1022&lt;&gt;"",O1022,IFERROR(INDEX(Produk!$J$2:$J$100,MATCH(C1022,Produk!$A$2:$A$100,0)),"PRODUK?")))</f>
        <v/>
      </c>
      <c r="R1022" s="29" t="str">
        <f aca="false">IF(A1022="","",IF(COUNTIF(Anggota!$A$2:$A$2001,A1022)=0,"TIDAK ADA","OK"))</f>
        <v/>
      </c>
      <c r="S1022" s="29" t="str">
        <f aca="false">IF(H1022="","",IF(OR(J1022="",L1022=""),"-",IF(ABS(H1022-J1022*L1022)&gt;Info_Koperasi!$C$10,"SELISIH","OK")))</f>
        <v/>
      </c>
    </row>
    <row r="1023" customFormat="false" ht="15" hidden="false" customHeight="false" outlineLevel="0" collapsed="false">
      <c r="A1023" s="21"/>
      <c r="B1023" s="22"/>
      <c r="C1023" s="21"/>
      <c r="D1023" s="21"/>
      <c r="E1023" s="28"/>
      <c r="F1023" s="24"/>
      <c r="G1023" s="26"/>
      <c r="H1023" s="24"/>
      <c r="I1023" s="24"/>
      <c r="J1023" s="24"/>
      <c r="K1023" s="24"/>
      <c r="L1023" s="26"/>
      <c r="M1023" s="26"/>
      <c r="N1023" s="22"/>
      <c r="O1023" s="21"/>
      <c r="P1023" s="22"/>
      <c r="Q1023" s="29" t="str">
        <f aca="false">IF(C1023="","",IF(O1023&lt;&gt;"",O1023,IFERROR(INDEX(Produk!$J$2:$J$100,MATCH(C1023,Produk!$A$2:$A$100,0)),"PRODUK?")))</f>
        <v/>
      </c>
      <c r="R1023" s="29" t="str">
        <f aca="false">IF(A1023="","",IF(COUNTIF(Anggota!$A$2:$A$2001,A1023)=0,"TIDAK ADA","OK"))</f>
        <v/>
      </c>
      <c r="S1023" s="29" t="str">
        <f aca="false">IF(H1023="","",IF(OR(J1023="",L1023=""),"-",IF(ABS(H1023-J1023*L1023)&gt;Info_Koperasi!$C$10,"SELISIH","OK")))</f>
        <v/>
      </c>
    </row>
    <row r="1024" customFormat="false" ht="15" hidden="false" customHeight="false" outlineLevel="0" collapsed="false">
      <c r="A1024" s="21"/>
      <c r="B1024" s="22"/>
      <c r="C1024" s="21"/>
      <c r="D1024" s="21"/>
      <c r="E1024" s="28"/>
      <c r="F1024" s="24"/>
      <c r="G1024" s="26"/>
      <c r="H1024" s="24"/>
      <c r="I1024" s="24"/>
      <c r="J1024" s="24"/>
      <c r="K1024" s="24"/>
      <c r="L1024" s="26"/>
      <c r="M1024" s="26"/>
      <c r="N1024" s="22"/>
      <c r="O1024" s="21"/>
      <c r="P1024" s="22"/>
      <c r="Q1024" s="29" t="str">
        <f aca="false">IF(C1024="","",IF(O1024&lt;&gt;"",O1024,IFERROR(INDEX(Produk!$J$2:$J$100,MATCH(C1024,Produk!$A$2:$A$100,0)),"PRODUK?")))</f>
        <v/>
      </c>
      <c r="R1024" s="29" t="str">
        <f aca="false">IF(A1024="","",IF(COUNTIF(Anggota!$A$2:$A$2001,A1024)=0,"TIDAK ADA","OK"))</f>
        <v/>
      </c>
      <c r="S1024" s="29" t="str">
        <f aca="false">IF(H1024="","",IF(OR(J1024="",L1024=""),"-",IF(ABS(H1024-J1024*L1024)&gt;Info_Koperasi!$C$10,"SELISIH","OK")))</f>
        <v/>
      </c>
    </row>
    <row r="1025" customFormat="false" ht="15" hidden="false" customHeight="false" outlineLevel="0" collapsed="false">
      <c r="A1025" s="21"/>
      <c r="B1025" s="22"/>
      <c r="C1025" s="21"/>
      <c r="D1025" s="21"/>
      <c r="E1025" s="28"/>
      <c r="F1025" s="24"/>
      <c r="G1025" s="26"/>
      <c r="H1025" s="24"/>
      <c r="I1025" s="24"/>
      <c r="J1025" s="24"/>
      <c r="K1025" s="24"/>
      <c r="L1025" s="26"/>
      <c r="M1025" s="26"/>
      <c r="N1025" s="22"/>
      <c r="O1025" s="21"/>
      <c r="P1025" s="22"/>
      <c r="Q1025" s="29" t="str">
        <f aca="false">IF(C1025="","",IF(O1025&lt;&gt;"",O1025,IFERROR(INDEX(Produk!$J$2:$J$100,MATCH(C1025,Produk!$A$2:$A$100,0)),"PRODUK?")))</f>
        <v/>
      </c>
      <c r="R1025" s="29" t="str">
        <f aca="false">IF(A1025="","",IF(COUNTIF(Anggota!$A$2:$A$2001,A1025)=0,"TIDAK ADA","OK"))</f>
        <v/>
      </c>
      <c r="S1025" s="29" t="str">
        <f aca="false">IF(H1025="","",IF(OR(J1025="",L1025=""),"-",IF(ABS(H1025-J1025*L1025)&gt;Info_Koperasi!$C$10,"SELISIH","OK")))</f>
        <v/>
      </c>
    </row>
    <row r="1026" customFormat="false" ht="15" hidden="false" customHeight="false" outlineLevel="0" collapsed="false">
      <c r="A1026" s="21"/>
      <c r="B1026" s="22"/>
      <c r="C1026" s="21"/>
      <c r="D1026" s="21"/>
      <c r="E1026" s="28"/>
      <c r="F1026" s="24"/>
      <c r="G1026" s="26"/>
      <c r="H1026" s="24"/>
      <c r="I1026" s="24"/>
      <c r="J1026" s="24"/>
      <c r="K1026" s="24"/>
      <c r="L1026" s="26"/>
      <c r="M1026" s="26"/>
      <c r="N1026" s="22"/>
      <c r="O1026" s="21"/>
      <c r="P1026" s="22"/>
      <c r="Q1026" s="29" t="str">
        <f aca="false">IF(C1026="","",IF(O1026&lt;&gt;"",O1026,IFERROR(INDEX(Produk!$J$2:$J$100,MATCH(C1026,Produk!$A$2:$A$100,0)),"PRODUK?")))</f>
        <v/>
      </c>
      <c r="R1026" s="29" t="str">
        <f aca="false">IF(A1026="","",IF(COUNTIF(Anggota!$A$2:$A$2001,A1026)=0,"TIDAK ADA","OK"))</f>
        <v/>
      </c>
      <c r="S1026" s="29" t="str">
        <f aca="false">IF(H1026="","",IF(OR(J1026="",L1026=""),"-",IF(ABS(H1026-J1026*L1026)&gt;Info_Koperasi!$C$10,"SELISIH","OK")))</f>
        <v/>
      </c>
    </row>
    <row r="1027" customFormat="false" ht="15" hidden="false" customHeight="false" outlineLevel="0" collapsed="false">
      <c r="A1027" s="21"/>
      <c r="B1027" s="22"/>
      <c r="C1027" s="21"/>
      <c r="D1027" s="21"/>
      <c r="E1027" s="28"/>
      <c r="F1027" s="24"/>
      <c r="G1027" s="26"/>
      <c r="H1027" s="24"/>
      <c r="I1027" s="24"/>
      <c r="J1027" s="24"/>
      <c r="K1027" s="24"/>
      <c r="L1027" s="26"/>
      <c r="M1027" s="26"/>
      <c r="N1027" s="22"/>
      <c r="O1027" s="21"/>
      <c r="P1027" s="22"/>
      <c r="Q1027" s="29" t="str">
        <f aca="false">IF(C1027="","",IF(O1027&lt;&gt;"",O1027,IFERROR(INDEX(Produk!$J$2:$J$100,MATCH(C1027,Produk!$A$2:$A$100,0)),"PRODUK?")))</f>
        <v/>
      </c>
      <c r="R1027" s="29" t="str">
        <f aca="false">IF(A1027="","",IF(COUNTIF(Anggota!$A$2:$A$2001,A1027)=0,"TIDAK ADA","OK"))</f>
        <v/>
      </c>
      <c r="S1027" s="29" t="str">
        <f aca="false">IF(H1027="","",IF(OR(J1027="",L1027=""),"-",IF(ABS(H1027-J1027*L1027)&gt;Info_Koperasi!$C$10,"SELISIH","OK")))</f>
        <v/>
      </c>
    </row>
    <row r="1028" customFormat="false" ht="15" hidden="false" customHeight="false" outlineLevel="0" collapsed="false">
      <c r="A1028" s="21"/>
      <c r="B1028" s="22"/>
      <c r="C1028" s="21"/>
      <c r="D1028" s="21"/>
      <c r="E1028" s="28"/>
      <c r="F1028" s="24"/>
      <c r="G1028" s="26"/>
      <c r="H1028" s="24"/>
      <c r="I1028" s="24"/>
      <c r="J1028" s="24"/>
      <c r="K1028" s="24"/>
      <c r="L1028" s="26"/>
      <c r="M1028" s="26"/>
      <c r="N1028" s="22"/>
      <c r="O1028" s="21"/>
      <c r="P1028" s="22"/>
      <c r="Q1028" s="29" t="str">
        <f aca="false">IF(C1028="","",IF(O1028&lt;&gt;"",O1028,IFERROR(INDEX(Produk!$J$2:$J$100,MATCH(C1028,Produk!$A$2:$A$100,0)),"PRODUK?")))</f>
        <v/>
      </c>
      <c r="R1028" s="29" t="str">
        <f aca="false">IF(A1028="","",IF(COUNTIF(Anggota!$A$2:$A$2001,A1028)=0,"TIDAK ADA","OK"))</f>
        <v/>
      </c>
      <c r="S1028" s="29" t="str">
        <f aca="false">IF(H1028="","",IF(OR(J1028="",L1028=""),"-",IF(ABS(H1028-J1028*L1028)&gt;Info_Koperasi!$C$10,"SELISIH","OK")))</f>
        <v/>
      </c>
    </row>
    <row r="1029" customFormat="false" ht="15" hidden="false" customHeight="false" outlineLevel="0" collapsed="false">
      <c r="A1029" s="21"/>
      <c r="B1029" s="22"/>
      <c r="C1029" s="21"/>
      <c r="D1029" s="21"/>
      <c r="E1029" s="28"/>
      <c r="F1029" s="24"/>
      <c r="G1029" s="26"/>
      <c r="H1029" s="24"/>
      <c r="I1029" s="24"/>
      <c r="J1029" s="24"/>
      <c r="K1029" s="24"/>
      <c r="L1029" s="26"/>
      <c r="M1029" s="26"/>
      <c r="N1029" s="22"/>
      <c r="O1029" s="21"/>
      <c r="P1029" s="22"/>
      <c r="Q1029" s="29" t="str">
        <f aca="false">IF(C1029="","",IF(O1029&lt;&gt;"",O1029,IFERROR(INDEX(Produk!$J$2:$J$100,MATCH(C1029,Produk!$A$2:$A$100,0)),"PRODUK?")))</f>
        <v/>
      </c>
      <c r="R1029" s="29" t="str">
        <f aca="false">IF(A1029="","",IF(COUNTIF(Anggota!$A$2:$A$2001,A1029)=0,"TIDAK ADA","OK"))</f>
        <v/>
      </c>
      <c r="S1029" s="29" t="str">
        <f aca="false">IF(H1029="","",IF(OR(J1029="",L1029=""),"-",IF(ABS(H1029-J1029*L1029)&gt;Info_Koperasi!$C$10,"SELISIH","OK")))</f>
        <v/>
      </c>
    </row>
    <row r="1030" customFormat="false" ht="15" hidden="false" customHeight="false" outlineLevel="0" collapsed="false">
      <c r="A1030" s="21"/>
      <c r="B1030" s="22"/>
      <c r="C1030" s="21"/>
      <c r="D1030" s="21"/>
      <c r="E1030" s="28"/>
      <c r="F1030" s="24"/>
      <c r="G1030" s="26"/>
      <c r="H1030" s="24"/>
      <c r="I1030" s="24"/>
      <c r="J1030" s="24"/>
      <c r="K1030" s="24"/>
      <c r="L1030" s="26"/>
      <c r="M1030" s="26"/>
      <c r="N1030" s="22"/>
      <c r="O1030" s="21"/>
      <c r="P1030" s="22"/>
      <c r="Q1030" s="29" t="str">
        <f aca="false">IF(C1030="","",IF(O1030&lt;&gt;"",O1030,IFERROR(INDEX(Produk!$J$2:$J$100,MATCH(C1030,Produk!$A$2:$A$100,0)),"PRODUK?")))</f>
        <v/>
      </c>
      <c r="R1030" s="29" t="str">
        <f aca="false">IF(A1030="","",IF(COUNTIF(Anggota!$A$2:$A$2001,A1030)=0,"TIDAK ADA","OK"))</f>
        <v/>
      </c>
      <c r="S1030" s="29" t="str">
        <f aca="false">IF(H1030="","",IF(OR(J1030="",L1030=""),"-",IF(ABS(H1030-J1030*L1030)&gt;Info_Koperasi!$C$10,"SELISIH","OK")))</f>
        <v/>
      </c>
    </row>
    <row r="1031" customFormat="false" ht="15" hidden="false" customHeight="false" outlineLevel="0" collapsed="false">
      <c r="A1031" s="21"/>
      <c r="B1031" s="22"/>
      <c r="C1031" s="21"/>
      <c r="D1031" s="21"/>
      <c r="E1031" s="28"/>
      <c r="F1031" s="24"/>
      <c r="G1031" s="26"/>
      <c r="H1031" s="24"/>
      <c r="I1031" s="24"/>
      <c r="J1031" s="24"/>
      <c r="K1031" s="24"/>
      <c r="L1031" s="26"/>
      <c r="M1031" s="26"/>
      <c r="N1031" s="22"/>
      <c r="O1031" s="21"/>
      <c r="P1031" s="22"/>
      <c r="Q1031" s="29" t="str">
        <f aca="false">IF(C1031="","",IF(O1031&lt;&gt;"",O1031,IFERROR(INDEX(Produk!$J$2:$J$100,MATCH(C1031,Produk!$A$2:$A$100,0)),"PRODUK?")))</f>
        <v/>
      </c>
      <c r="R1031" s="29" t="str">
        <f aca="false">IF(A1031="","",IF(COUNTIF(Anggota!$A$2:$A$2001,A1031)=0,"TIDAK ADA","OK"))</f>
        <v/>
      </c>
      <c r="S1031" s="29" t="str">
        <f aca="false">IF(H1031="","",IF(OR(J1031="",L1031=""),"-",IF(ABS(H1031-J1031*L1031)&gt;Info_Koperasi!$C$10,"SELISIH","OK")))</f>
        <v/>
      </c>
    </row>
    <row r="1032" customFormat="false" ht="15" hidden="false" customHeight="false" outlineLevel="0" collapsed="false">
      <c r="A1032" s="21"/>
      <c r="B1032" s="22"/>
      <c r="C1032" s="21"/>
      <c r="D1032" s="21"/>
      <c r="E1032" s="28"/>
      <c r="F1032" s="24"/>
      <c r="G1032" s="26"/>
      <c r="H1032" s="24"/>
      <c r="I1032" s="24"/>
      <c r="J1032" s="24"/>
      <c r="K1032" s="24"/>
      <c r="L1032" s="26"/>
      <c r="M1032" s="26"/>
      <c r="N1032" s="22"/>
      <c r="O1032" s="21"/>
      <c r="P1032" s="22"/>
      <c r="Q1032" s="29" t="str">
        <f aca="false">IF(C1032="","",IF(O1032&lt;&gt;"",O1032,IFERROR(INDEX(Produk!$J$2:$J$100,MATCH(C1032,Produk!$A$2:$A$100,0)),"PRODUK?")))</f>
        <v/>
      </c>
      <c r="R1032" s="29" t="str">
        <f aca="false">IF(A1032="","",IF(COUNTIF(Anggota!$A$2:$A$2001,A1032)=0,"TIDAK ADA","OK"))</f>
        <v/>
      </c>
      <c r="S1032" s="29" t="str">
        <f aca="false">IF(H1032="","",IF(OR(J1032="",L1032=""),"-",IF(ABS(H1032-J1032*L1032)&gt;Info_Koperasi!$C$10,"SELISIH","OK")))</f>
        <v/>
      </c>
    </row>
    <row r="1033" customFormat="false" ht="15" hidden="false" customHeight="false" outlineLevel="0" collapsed="false">
      <c r="A1033" s="21"/>
      <c r="B1033" s="22"/>
      <c r="C1033" s="21"/>
      <c r="D1033" s="21"/>
      <c r="E1033" s="28"/>
      <c r="F1033" s="24"/>
      <c r="G1033" s="26"/>
      <c r="H1033" s="24"/>
      <c r="I1033" s="24"/>
      <c r="J1033" s="24"/>
      <c r="K1033" s="24"/>
      <c r="L1033" s="26"/>
      <c r="M1033" s="26"/>
      <c r="N1033" s="22"/>
      <c r="O1033" s="21"/>
      <c r="P1033" s="22"/>
      <c r="Q1033" s="29" t="str">
        <f aca="false">IF(C1033="","",IF(O1033&lt;&gt;"",O1033,IFERROR(INDEX(Produk!$J$2:$J$100,MATCH(C1033,Produk!$A$2:$A$100,0)),"PRODUK?")))</f>
        <v/>
      </c>
      <c r="R1033" s="29" t="str">
        <f aca="false">IF(A1033="","",IF(COUNTIF(Anggota!$A$2:$A$2001,A1033)=0,"TIDAK ADA","OK"))</f>
        <v/>
      </c>
      <c r="S1033" s="29" t="str">
        <f aca="false">IF(H1033="","",IF(OR(J1033="",L1033=""),"-",IF(ABS(H1033-J1033*L1033)&gt;Info_Koperasi!$C$10,"SELISIH","OK")))</f>
        <v/>
      </c>
    </row>
    <row r="1034" customFormat="false" ht="15" hidden="false" customHeight="false" outlineLevel="0" collapsed="false">
      <c r="A1034" s="21"/>
      <c r="B1034" s="22"/>
      <c r="C1034" s="21"/>
      <c r="D1034" s="21"/>
      <c r="E1034" s="28"/>
      <c r="F1034" s="24"/>
      <c r="G1034" s="26"/>
      <c r="H1034" s="24"/>
      <c r="I1034" s="24"/>
      <c r="J1034" s="24"/>
      <c r="K1034" s="24"/>
      <c r="L1034" s="26"/>
      <c r="M1034" s="26"/>
      <c r="N1034" s="22"/>
      <c r="O1034" s="21"/>
      <c r="P1034" s="22"/>
      <c r="Q1034" s="29" t="str">
        <f aca="false">IF(C1034="","",IF(O1034&lt;&gt;"",O1034,IFERROR(INDEX(Produk!$J$2:$J$100,MATCH(C1034,Produk!$A$2:$A$100,0)),"PRODUK?")))</f>
        <v/>
      </c>
      <c r="R1034" s="29" t="str">
        <f aca="false">IF(A1034="","",IF(COUNTIF(Anggota!$A$2:$A$2001,A1034)=0,"TIDAK ADA","OK"))</f>
        <v/>
      </c>
      <c r="S1034" s="29" t="str">
        <f aca="false">IF(H1034="","",IF(OR(J1034="",L1034=""),"-",IF(ABS(H1034-J1034*L1034)&gt;Info_Koperasi!$C$10,"SELISIH","OK")))</f>
        <v/>
      </c>
    </row>
    <row r="1035" customFormat="false" ht="15" hidden="false" customHeight="false" outlineLevel="0" collapsed="false">
      <c r="A1035" s="21"/>
      <c r="B1035" s="22"/>
      <c r="C1035" s="21"/>
      <c r="D1035" s="21"/>
      <c r="E1035" s="28"/>
      <c r="F1035" s="24"/>
      <c r="G1035" s="26"/>
      <c r="H1035" s="24"/>
      <c r="I1035" s="24"/>
      <c r="J1035" s="24"/>
      <c r="K1035" s="24"/>
      <c r="L1035" s="26"/>
      <c r="M1035" s="26"/>
      <c r="N1035" s="22"/>
      <c r="O1035" s="21"/>
      <c r="P1035" s="22"/>
      <c r="Q1035" s="29" t="str">
        <f aca="false">IF(C1035="","",IF(O1035&lt;&gt;"",O1035,IFERROR(INDEX(Produk!$J$2:$J$100,MATCH(C1035,Produk!$A$2:$A$100,0)),"PRODUK?")))</f>
        <v/>
      </c>
      <c r="R1035" s="29" t="str">
        <f aca="false">IF(A1035="","",IF(COUNTIF(Anggota!$A$2:$A$2001,A1035)=0,"TIDAK ADA","OK"))</f>
        <v/>
      </c>
      <c r="S1035" s="29" t="str">
        <f aca="false">IF(H1035="","",IF(OR(J1035="",L1035=""),"-",IF(ABS(H1035-J1035*L1035)&gt;Info_Koperasi!$C$10,"SELISIH","OK")))</f>
        <v/>
      </c>
    </row>
    <row r="1036" customFormat="false" ht="15" hidden="false" customHeight="false" outlineLevel="0" collapsed="false">
      <c r="A1036" s="21"/>
      <c r="B1036" s="22"/>
      <c r="C1036" s="21"/>
      <c r="D1036" s="21"/>
      <c r="E1036" s="28"/>
      <c r="F1036" s="24"/>
      <c r="G1036" s="26"/>
      <c r="H1036" s="24"/>
      <c r="I1036" s="24"/>
      <c r="J1036" s="24"/>
      <c r="K1036" s="24"/>
      <c r="L1036" s="26"/>
      <c r="M1036" s="26"/>
      <c r="N1036" s="22"/>
      <c r="O1036" s="21"/>
      <c r="P1036" s="22"/>
      <c r="Q1036" s="29" t="str">
        <f aca="false">IF(C1036="","",IF(O1036&lt;&gt;"",O1036,IFERROR(INDEX(Produk!$J$2:$J$100,MATCH(C1036,Produk!$A$2:$A$100,0)),"PRODUK?")))</f>
        <v/>
      </c>
      <c r="R1036" s="29" t="str">
        <f aca="false">IF(A1036="","",IF(COUNTIF(Anggota!$A$2:$A$2001,A1036)=0,"TIDAK ADA","OK"))</f>
        <v/>
      </c>
      <c r="S1036" s="29" t="str">
        <f aca="false">IF(H1036="","",IF(OR(J1036="",L1036=""),"-",IF(ABS(H1036-J1036*L1036)&gt;Info_Koperasi!$C$10,"SELISIH","OK")))</f>
        <v/>
      </c>
    </row>
    <row r="1037" customFormat="false" ht="15" hidden="false" customHeight="false" outlineLevel="0" collapsed="false">
      <c r="A1037" s="21"/>
      <c r="B1037" s="22"/>
      <c r="C1037" s="21"/>
      <c r="D1037" s="21"/>
      <c r="E1037" s="28"/>
      <c r="F1037" s="24"/>
      <c r="G1037" s="26"/>
      <c r="H1037" s="24"/>
      <c r="I1037" s="24"/>
      <c r="J1037" s="24"/>
      <c r="K1037" s="24"/>
      <c r="L1037" s="26"/>
      <c r="M1037" s="26"/>
      <c r="N1037" s="22"/>
      <c r="O1037" s="21"/>
      <c r="P1037" s="22"/>
      <c r="Q1037" s="29" t="str">
        <f aca="false">IF(C1037="","",IF(O1037&lt;&gt;"",O1037,IFERROR(INDEX(Produk!$J$2:$J$100,MATCH(C1037,Produk!$A$2:$A$100,0)),"PRODUK?")))</f>
        <v/>
      </c>
      <c r="R1037" s="29" t="str">
        <f aca="false">IF(A1037="","",IF(COUNTIF(Anggota!$A$2:$A$2001,A1037)=0,"TIDAK ADA","OK"))</f>
        <v/>
      </c>
      <c r="S1037" s="29" t="str">
        <f aca="false">IF(H1037="","",IF(OR(J1037="",L1037=""),"-",IF(ABS(H1037-J1037*L1037)&gt;Info_Koperasi!$C$10,"SELISIH","OK")))</f>
        <v/>
      </c>
    </row>
    <row r="1038" customFormat="false" ht="15" hidden="false" customHeight="false" outlineLevel="0" collapsed="false">
      <c r="A1038" s="21"/>
      <c r="B1038" s="22"/>
      <c r="C1038" s="21"/>
      <c r="D1038" s="21"/>
      <c r="E1038" s="28"/>
      <c r="F1038" s="24"/>
      <c r="G1038" s="26"/>
      <c r="H1038" s="24"/>
      <c r="I1038" s="24"/>
      <c r="J1038" s="24"/>
      <c r="K1038" s="24"/>
      <c r="L1038" s="26"/>
      <c r="M1038" s="26"/>
      <c r="N1038" s="22"/>
      <c r="O1038" s="21"/>
      <c r="P1038" s="22"/>
      <c r="Q1038" s="29" t="str">
        <f aca="false">IF(C1038="","",IF(O1038&lt;&gt;"",O1038,IFERROR(INDEX(Produk!$J$2:$J$100,MATCH(C1038,Produk!$A$2:$A$100,0)),"PRODUK?")))</f>
        <v/>
      </c>
      <c r="R1038" s="29" t="str">
        <f aca="false">IF(A1038="","",IF(COUNTIF(Anggota!$A$2:$A$2001,A1038)=0,"TIDAK ADA","OK"))</f>
        <v/>
      </c>
      <c r="S1038" s="29" t="str">
        <f aca="false">IF(H1038="","",IF(OR(J1038="",L1038=""),"-",IF(ABS(H1038-J1038*L1038)&gt;Info_Koperasi!$C$10,"SELISIH","OK")))</f>
        <v/>
      </c>
    </row>
    <row r="1039" customFormat="false" ht="15" hidden="false" customHeight="false" outlineLevel="0" collapsed="false">
      <c r="A1039" s="21"/>
      <c r="B1039" s="22"/>
      <c r="C1039" s="21"/>
      <c r="D1039" s="21"/>
      <c r="E1039" s="28"/>
      <c r="F1039" s="24"/>
      <c r="G1039" s="26"/>
      <c r="H1039" s="24"/>
      <c r="I1039" s="24"/>
      <c r="J1039" s="24"/>
      <c r="K1039" s="24"/>
      <c r="L1039" s="26"/>
      <c r="M1039" s="26"/>
      <c r="N1039" s="22"/>
      <c r="O1039" s="21"/>
      <c r="P1039" s="22"/>
      <c r="Q1039" s="29" t="str">
        <f aca="false">IF(C1039="","",IF(O1039&lt;&gt;"",O1039,IFERROR(INDEX(Produk!$J$2:$J$100,MATCH(C1039,Produk!$A$2:$A$100,0)),"PRODUK?")))</f>
        <v/>
      </c>
      <c r="R1039" s="29" t="str">
        <f aca="false">IF(A1039="","",IF(COUNTIF(Anggota!$A$2:$A$2001,A1039)=0,"TIDAK ADA","OK"))</f>
        <v/>
      </c>
      <c r="S1039" s="29" t="str">
        <f aca="false">IF(H1039="","",IF(OR(J1039="",L1039=""),"-",IF(ABS(H1039-J1039*L1039)&gt;Info_Koperasi!$C$10,"SELISIH","OK")))</f>
        <v/>
      </c>
    </row>
    <row r="1040" customFormat="false" ht="15" hidden="false" customHeight="false" outlineLevel="0" collapsed="false">
      <c r="A1040" s="21"/>
      <c r="B1040" s="22"/>
      <c r="C1040" s="21"/>
      <c r="D1040" s="21"/>
      <c r="E1040" s="28"/>
      <c r="F1040" s="24"/>
      <c r="G1040" s="26"/>
      <c r="H1040" s="24"/>
      <c r="I1040" s="24"/>
      <c r="J1040" s="24"/>
      <c r="K1040" s="24"/>
      <c r="L1040" s="26"/>
      <c r="M1040" s="26"/>
      <c r="N1040" s="22"/>
      <c r="O1040" s="21"/>
      <c r="P1040" s="22"/>
      <c r="Q1040" s="29" t="str">
        <f aca="false">IF(C1040="","",IF(O1040&lt;&gt;"",O1040,IFERROR(INDEX(Produk!$J$2:$J$100,MATCH(C1040,Produk!$A$2:$A$100,0)),"PRODUK?")))</f>
        <v/>
      </c>
      <c r="R1040" s="29" t="str">
        <f aca="false">IF(A1040="","",IF(COUNTIF(Anggota!$A$2:$A$2001,A1040)=0,"TIDAK ADA","OK"))</f>
        <v/>
      </c>
      <c r="S1040" s="29" t="str">
        <f aca="false">IF(H1040="","",IF(OR(J1040="",L1040=""),"-",IF(ABS(H1040-J1040*L1040)&gt;Info_Koperasi!$C$10,"SELISIH","OK")))</f>
        <v/>
      </c>
    </row>
    <row r="1041" customFormat="false" ht="15" hidden="false" customHeight="false" outlineLevel="0" collapsed="false">
      <c r="A1041" s="21"/>
      <c r="B1041" s="22"/>
      <c r="C1041" s="21"/>
      <c r="D1041" s="21"/>
      <c r="E1041" s="28"/>
      <c r="F1041" s="24"/>
      <c r="G1041" s="26"/>
      <c r="H1041" s="24"/>
      <c r="I1041" s="24"/>
      <c r="J1041" s="24"/>
      <c r="K1041" s="24"/>
      <c r="L1041" s="26"/>
      <c r="M1041" s="26"/>
      <c r="N1041" s="22"/>
      <c r="O1041" s="21"/>
      <c r="P1041" s="22"/>
      <c r="Q1041" s="29" t="str">
        <f aca="false">IF(C1041="","",IF(O1041&lt;&gt;"",O1041,IFERROR(INDEX(Produk!$J$2:$J$100,MATCH(C1041,Produk!$A$2:$A$100,0)),"PRODUK?")))</f>
        <v/>
      </c>
      <c r="R1041" s="29" t="str">
        <f aca="false">IF(A1041="","",IF(COUNTIF(Anggota!$A$2:$A$2001,A1041)=0,"TIDAK ADA","OK"))</f>
        <v/>
      </c>
      <c r="S1041" s="29" t="str">
        <f aca="false">IF(H1041="","",IF(OR(J1041="",L1041=""),"-",IF(ABS(H1041-J1041*L1041)&gt;Info_Koperasi!$C$10,"SELISIH","OK")))</f>
        <v/>
      </c>
    </row>
    <row r="1042" customFormat="false" ht="15" hidden="false" customHeight="false" outlineLevel="0" collapsed="false">
      <c r="A1042" s="21"/>
      <c r="B1042" s="22"/>
      <c r="C1042" s="21"/>
      <c r="D1042" s="21"/>
      <c r="E1042" s="28"/>
      <c r="F1042" s="24"/>
      <c r="G1042" s="26"/>
      <c r="H1042" s="24"/>
      <c r="I1042" s="24"/>
      <c r="J1042" s="24"/>
      <c r="K1042" s="24"/>
      <c r="L1042" s="26"/>
      <c r="M1042" s="26"/>
      <c r="N1042" s="22"/>
      <c r="O1042" s="21"/>
      <c r="P1042" s="22"/>
      <c r="Q1042" s="29" t="str">
        <f aca="false">IF(C1042="","",IF(O1042&lt;&gt;"",O1042,IFERROR(INDEX(Produk!$J$2:$J$100,MATCH(C1042,Produk!$A$2:$A$100,0)),"PRODUK?")))</f>
        <v/>
      </c>
      <c r="R1042" s="29" t="str">
        <f aca="false">IF(A1042="","",IF(COUNTIF(Anggota!$A$2:$A$2001,A1042)=0,"TIDAK ADA","OK"))</f>
        <v/>
      </c>
      <c r="S1042" s="29" t="str">
        <f aca="false">IF(H1042="","",IF(OR(J1042="",L1042=""),"-",IF(ABS(H1042-J1042*L1042)&gt;Info_Koperasi!$C$10,"SELISIH","OK")))</f>
        <v/>
      </c>
    </row>
    <row r="1043" customFormat="false" ht="15" hidden="false" customHeight="false" outlineLevel="0" collapsed="false">
      <c r="A1043" s="21"/>
      <c r="B1043" s="22"/>
      <c r="C1043" s="21"/>
      <c r="D1043" s="21"/>
      <c r="E1043" s="28"/>
      <c r="F1043" s="24"/>
      <c r="G1043" s="26"/>
      <c r="H1043" s="24"/>
      <c r="I1043" s="24"/>
      <c r="J1043" s="24"/>
      <c r="K1043" s="24"/>
      <c r="L1043" s="26"/>
      <c r="M1043" s="26"/>
      <c r="N1043" s="22"/>
      <c r="O1043" s="21"/>
      <c r="P1043" s="22"/>
      <c r="Q1043" s="29" t="str">
        <f aca="false">IF(C1043="","",IF(O1043&lt;&gt;"",O1043,IFERROR(INDEX(Produk!$J$2:$J$100,MATCH(C1043,Produk!$A$2:$A$100,0)),"PRODUK?")))</f>
        <v/>
      </c>
      <c r="R1043" s="29" t="str">
        <f aca="false">IF(A1043="","",IF(COUNTIF(Anggota!$A$2:$A$2001,A1043)=0,"TIDAK ADA","OK"))</f>
        <v/>
      </c>
      <c r="S1043" s="29" t="str">
        <f aca="false">IF(H1043="","",IF(OR(J1043="",L1043=""),"-",IF(ABS(H1043-J1043*L1043)&gt;Info_Koperasi!$C$10,"SELISIH","OK")))</f>
        <v/>
      </c>
    </row>
    <row r="1044" customFormat="false" ht="15" hidden="false" customHeight="false" outlineLevel="0" collapsed="false">
      <c r="A1044" s="21"/>
      <c r="B1044" s="22"/>
      <c r="C1044" s="21"/>
      <c r="D1044" s="21"/>
      <c r="E1044" s="28"/>
      <c r="F1044" s="24"/>
      <c r="G1044" s="26"/>
      <c r="H1044" s="24"/>
      <c r="I1044" s="24"/>
      <c r="J1044" s="24"/>
      <c r="K1044" s="24"/>
      <c r="L1044" s="26"/>
      <c r="M1044" s="26"/>
      <c r="N1044" s="22"/>
      <c r="O1044" s="21"/>
      <c r="P1044" s="22"/>
      <c r="Q1044" s="29" t="str">
        <f aca="false">IF(C1044="","",IF(O1044&lt;&gt;"",O1044,IFERROR(INDEX(Produk!$J$2:$J$100,MATCH(C1044,Produk!$A$2:$A$100,0)),"PRODUK?")))</f>
        <v/>
      </c>
      <c r="R1044" s="29" t="str">
        <f aca="false">IF(A1044="","",IF(COUNTIF(Anggota!$A$2:$A$2001,A1044)=0,"TIDAK ADA","OK"))</f>
        <v/>
      </c>
      <c r="S1044" s="29" t="str">
        <f aca="false">IF(H1044="","",IF(OR(J1044="",L1044=""),"-",IF(ABS(H1044-J1044*L1044)&gt;Info_Koperasi!$C$10,"SELISIH","OK")))</f>
        <v/>
      </c>
    </row>
    <row r="1045" customFormat="false" ht="15" hidden="false" customHeight="false" outlineLevel="0" collapsed="false">
      <c r="A1045" s="21"/>
      <c r="B1045" s="22"/>
      <c r="C1045" s="21"/>
      <c r="D1045" s="21"/>
      <c r="E1045" s="28"/>
      <c r="F1045" s="24"/>
      <c r="G1045" s="26"/>
      <c r="H1045" s="24"/>
      <c r="I1045" s="24"/>
      <c r="J1045" s="24"/>
      <c r="K1045" s="24"/>
      <c r="L1045" s="26"/>
      <c r="M1045" s="26"/>
      <c r="N1045" s="22"/>
      <c r="O1045" s="21"/>
      <c r="P1045" s="22"/>
      <c r="Q1045" s="29" t="str">
        <f aca="false">IF(C1045="","",IF(O1045&lt;&gt;"",O1045,IFERROR(INDEX(Produk!$J$2:$J$100,MATCH(C1045,Produk!$A$2:$A$100,0)),"PRODUK?")))</f>
        <v/>
      </c>
      <c r="R1045" s="29" t="str">
        <f aca="false">IF(A1045="","",IF(COUNTIF(Anggota!$A$2:$A$2001,A1045)=0,"TIDAK ADA","OK"))</f>
        <v/>
      </c>
      <c r="S1045" s="29" t="str">
        <f aca="false">IF(H1045="","",IF(OR(J1045="",L1045=""),"-",IF(ABS(H1045-J1045*L1045)&gt;Info_Koperasi!$C$10,"SELISIH","OK")))</f>
        <v/>
      </c>
    </row>
    <row r="1046" customFormat="false" ht="15" hidden="false" customHeight="false" outlineLevel="0" collapsed="false">
      <c r="A1046" s="21"/>
      <c r="B1046" s="22"/>
      <c r="C1046" s="21"/>
      <c r="D1046" s="21"/>
      <c r="E1046" s="28"/>
      <c r="F1046" s="24"/>
      <c r="G1046" s="26"/>
      <c r="H1046" s="24"/>
      <c r="I1046" s="24"/>
      <c r="J1046" s="24"/>
      <c r="K1046" s="24"/>
      <c r="L1046" s="26"/>
      <c r="M1046" s="26"/>
      <c r="N1046" s="22"/>
      <c r="O1046" s="21"/>
      <c r="P1046" s="22"/>
      <c r="Q1046" s="29" t="str">
        <f aca="false">IF(C1046="","",IF(O1046&lt;&gt;"",O1046,IFERROR(INDEX(Produk!$J$2:$J$100,MATCH(C1046,Produk!$A$2:$A$100,0)),"PRODUK?")))</f>
        <v/>
      </c>
      <c r="R1046" s="29" t="str">
        <f aca="false">IF(A1046="","",IF(COUNTIF(Anggota!$A$2:$A$2001,A1046)=0,"TIDAK ADA","OK"))</f>
        <v/>
      </c>
      <c r="S1046" s="29" t="str">
        <f aca="false">IF(H1046="","",IF(OR(J1046="",L1046=""),"-",IF(ABS(H1046-J1046*L1046)&gt;Info_Koperasi!$C$10,"SELISIH","OK")))</f>
        <v/>
      </c>
    </row>
    <row r="1047" customFormat="false" ht="15" hidden="false" customHeight="false" outlineLevel="0" collapsed="false">
      <c r="A1047" s="21"/>
      <c r="B1047" s="22"/>
      <c r="C1047" s="21"/>
      <c r="D1047" s="21"/>
      <c r="E1047" s="28"/>
      <c r="F1047" s="24"/>
      <c r="G1047" s="26"/>
      <c r="H1047" s="24"/>
      <c r="I1047" s="24"/>
      <c r="J1047" s="24"/>
      <c r="K1047" s="24"/>
      <c r="L1047" s="26"/>
      <c r="M1047" s="26"/>
      <c r="N1047" s="22"/>
      <c r="O1047" s="21"/>
      <c r="P1047" s="22"/>
      <c r="Q1047" s="29" t="str">
        <f aca="false">IF(C1047="","",IF(O1047&lt;&gt;"",O1047,IFERROR(INDEX(Produk!$J$2:$J$100,MATCH(C1047,Produk!$A$2:$A$100,0)),"PRODUK?")))</f>
        <v/>
      </c>
      <c r="R1047" s="29" t="str">
        <f aca="false">IF(A1047="","",IF(COUNTIF(Anggota!$A$2:$A$2001,A1047)=0,"TIDAK ADA","OK"))</f>
        <v/>
      </c>
      <c r="S1047" s="29" t="str">
        <f aca="false">IF(H1047="","",IF(OR(J1047="",L1047=""),"-",IF(ABS(H1047-J1047*L1047)&gt;Info_Koperasi!$C$10,"SELISIH","OK")))</f>
        <v/>
      </c>
    </row>
    <row r="1048" customFormat="false" ht="15" hidden="false" customHeight="false" outlineLevel="0" collapsed="false">
      <c r="A1048" s="21"/>
      <c r="B1048" s="22"/>
      <c r="C1048" s="21"/>
      <c r="D1048" s="21"/>
      <c r="E1048" s="28"/>
      <c r="F1048" s="24"/>
      <c r="G1048" s="26"/>
      <c r="H1048" s="24"/>
      <c r="I1048" s="24"/>
      <c r="J1048" s="24"/>
      <c r="K1048" s="24"/>
      <c r="L1048" s="26"/>
      <c r="M1048" s="26"/>
      <c r="N1048" s="22"/>
      <c r="O1048" s="21"/>
      <c r="P1048" s="22"/>
      <c r="Q1048" s="29" t="str">
        <f aca="false">IF(C1048="","",IF(O1048&lt;&gt;"",O1048,IFERROR(INDEX(Produk!$J$2:$J$100,MATCH(C1048,Produk!$A$2:$A$100,0)),"PRODUK?")))</f>
        <v/>
      </c>
      <c r="R1048" s="29" t="str">
        <f aca="false">IF(A1048="","",IF(COUNTIF(Anggota!$A$2:$A$2001,A1048)=0,"TIDAK ADA","OK"))</f>
        <v/>
      </c>
      <c r="S1048" s="29" t="str">
        <f aca="false">IF(H1048="","",IF(OR(J1048="",L1048=""),"-",IF(ABS(H1048-J1048*L1048)&gt;Info_Koperasi!$C$10,"SELISIH","OK")))</f>
        <v/>
      </c>
    </row>
    <row r="1049" customFormat="false" ht="15" hidden="false" customHeight="false" outlineLevel="0" collapsed="false">
      <c r="A1049" s="21"/>
      <c r="B1049" s="22"/>
      <c r="C1049" s="21"/>
      <c r="D1049" s="21"/>
      <c r="E1049" s="28"/>
      <c r="F1049" s="24"/>
      <c r="G1049" s="26"/>
      <c r="H1049" s="24"/>
      <c r="I1049" s="24"/>
      <c r="J1049" s="24"/>
      <c r="K1049" s="24"/>
      <c r="L1049" s="26"/>
      <c r="M1049" s="26"/>
      <c r="N1049" s="22"/>
      <c r="O1049" s="21"/>
      <c r="P1049" s="22"/>
      <c r="Q1049" s="29" t="str">
        <f aca="false">IF(C1049="","",IF(O1049&lt;&gt;"",O1049,IFERROR(INDEX(Produk!$J$2:$J$100,MATCH(C1049,Produk!$A$2:$A$100,0)),"PRODUK?")))</f>
        <v/>
      </c>
      <c r="R1049" s="29" t="str">
        <f aca="false">IF(A1049="","",IF(COUNTIF(Anggota!$A$2:$A$2001,A1049)=0,"TIDAK ADA","OK"))</f>
        <v/>
      </c>
      <c r="S1049" s="29" t="str">
        <f aca="false">IF(H1049="","",IF(OR(J1049="",L1049=""),"-",IF(ABS(H1049-J1049*L1049)&gt;Info_Koperasi!$C$10,"SELISIH","OK")))</f>
        <v/>
      </c>
    </row>
    <row r="1050" customFormat="false" ht="15" hidden="false" customHeight="false" outlineLevel="0" collapsed="false">
      <c r="A1050" s="21"/>
      <c r="B1050" s="22"/>
      <c r="C1050" s="21"/>
      <c r="D1050" s="21"/>
      <c r="E1050" s="28"/>
      <c r="F1050" s="24"/>
      <c r="G1050" s="26"/>
      <c r="H1050" s="24"/>
      <c r="I1050" s="24"/>
      <c r="J1050" s="24"/>
      <c r="K1050" s="24"/>
      <c r="L1050" s="26"/>
      <c r="M1050" s="26"/>
      <c r="N1050" s="22"/>
      <c r="O1050" s="21"/>
      <c r="P1050" s="22"/>
      <c r="Q1050" s="29" t="str">
        <f aca="false">IF(C1050="","",IF(O1050&lt;&gt;"",O1050,IFERROR(INDEX(Produk!$J$2:$J$100,MATCH(C1050,Produk!$A$2:$A$100,0)),"PRODUK?")))</f>
        <v/>
      </c>
      <c r="R1050" s="29" t="str">
        <f aca="false">IF(A1050="","",IF(COUNTIF(Anggota!$A$2:$A$2001,A1050)=0,"TIDAK ADA","OK"))</f>
        <v/>
      </c>
      <c r="S1050" s="29" t="str">
        <f aca="false">IF(H1050="","",IF(OR(J1050="",L1050=""),"-",IF(ABS(H1050-J1050*L1050)&gt;Info_Koperasi!$C$10,"SELISIH","OK")))</f>
        <v/>
      </c>
    </row>
    <row r="1051" customFormat="false" ht="15" hidden="false" customHeight="false" outlineLevel="0" collapsed="false">
      <c r="A1051" s="21"/>
      <c r="B1051" s="22"/>
      <c r="C1051" s="21"/>
      <c r="D1051" s="21"/>
      <c r="E1051" s="28"/>
      <c r="F1051" s="24"/>
      <c r="G1051" s="26"/>
      <c r="H1051" s="24"/>
      <c r="I1051" s="24"/>
      <c r="J1051" s="24"/>
      <c r="K1051" s="24"/>
      <c r="L1051" s="26"/>
      <c r="M1051" s="26"/>
      <c r="N1051" s="22"/>
      <c r="O1051" s="21"/>
      <c r="P1051" s="22"/>
      <c r="Q1051" s="29" t="str">
        <f aca="false">IF(C1051="","",IF(O1051&lt;&gt;"",O1051,IFERROR(INDEX(Produk!$J$2:$J$100,MATCH(C1051,Produk!$A$2:$A$100,0)),"PRODUK?")))</f>
        <v/>
      </c>
      <c r="R1051" s="29" t="str">
        <f aca="false">IF(A1051="","",IF(COUNTIF(Anggota!$A$2:$A$2001,A1051)=0,"TIDAK ADA","OK"))</f>
        <v/>
      </c>
      <c r="S1051" s="29" t="str">
        <f aca="false">IF(H1051="","",IF(OR(J1051="",L1051=""),"-",IF(ABS(H1051-J1051*L1051)&gt;Info_Koperasi!$C$10,"SELISIH","OK")))</f>
        <v/>
      </c>
    </row>
    <row r="1052" customFormat="false" ht="15" hidden="false" customHeight="false" outlineLevel="0" collapsed="false">
      <c r="A1052" s="21"/>
      <c r="B1052" s="22"/>
      <c r="C1052" s="21"/>
      <c r="D1052" s="21"/>
      <c r="E1052" s="28"/>
      <c r="F1052" s="24"/>
      <c r="G1052" s="26"/>
      <c r="H1052" s="24"/>
      <c r="I1052" s="24"/>
      <c r="J1052" s="24"/>
      <c r="K1052" s="24"/>
      <c r="L1052" s="26"/>
      <c r="M1052" s="26"/>
      <c r="N1052" s="22"/>
      <c r="O1052" s="21"/>
      <c r="P1052" s="22"/>
      <c r="Q1052" s="29" t="str">
        <f aca="false">IF(C1052="","",IF(O1052&lt;&gt;"",O1052,IFERROR(INDEX(Produk!$J$2:$J$100,MATCH(C1052,Produk!$A$2:$A$100,0)),"PRODUK?")))</f>
        <v/>
      </c>
      <c r="R1052" s="29" t="str">
        <f aca="false">IF(A1052="","",IF(COUNTIF(Anggota!$A$2:$A$2001,A1052)=0,"TIDAK ADA","OK"))</f>
        <v/>
      </c>
      <c r="S1052" s="29" t="str">
        <f aca="false">IF(H1052="","",IF(OR(J1052="",L1052=""),"-",IF(ABS(H1052-J1052*L1052)&gt;Info_Koperasi!$C$10,"SELISIH","OK")))</f>
        <v/>
      </c>
    </row>
    <row r="1053" customFormat="false" ht="15" hidden="false" customHeight="false" outlineLevel="0" collapsed="false">
      <c r="A1053" s="21"/>
      <c r="B1053" s="22"/>
      <c r="C1053" s="21"/>
      <c r="D1053" s="21"/>
      <c r="E1053" s="28"/>
      <c r="F1053" s="24"/>
      <c r="G1053" s="26"/>
      <c r="H1053" s="24"/>
      <c r="I1053" s="24"/>
      <c r="J1053" s="24"/>
      <c r="K1053" s="24"/>
      <c r="L1053" s="26"/>
      <c r="M1053" s="26"/>
      <c r="N1053" s="22"/>
      <c r="O1053" s="21"/>
      <c r="P1053" s="22"/>
      <c r="Q1053" s="29" t="str">
        <f aca="false">IF(C1053="","",IF(O1053&lt;&gt;"",O1053,IFERROR(INDEX(Produk!$J$2:$J$100,MATCH(C1053,Produk!$A$2:$A$100,0)),"PRODUK?")))</f>
        <v/>
      </c>
      <c r="R1053" s="29" t="str">
        <f aca="false">IF(A1053="","",IF(COUNTIF(Anggota!$A$2:$A$2001,A1053)=0,"TIDAK ADA","OK"))</f>
        <v/>
      </c>
      <c r="S1053" s="29" t="str">
        <f aca="false">IF(H1053="","",IF(OR(J1053="",L1053=""),"-",IF(ABS(H1053-J1053*L1053)&gt;Info_Koperasi!$C$10,"SELISIH","OK")))</f>
        <v/>
      </c>
    </row>
    <row r="1054" customFormat="false" ht="15" hidden="false" customHeight="false" outlineLevel="0" collapsed="false">
      <c r="A1054" s="21"/>
      <c r="B1054" s="22"/>
      <c r="C1054" s="21"/>
      <c r="D1054" s="21"/>
      <c r="E1054" s="28"/>
      <c r="F1054" s="24"/>
      <c r="G1054" s="26"/>
      <c r="H1054" s="24"/>
      <c r="I1054" s="24"/>
      <c r="J1054" s="24"/>
      <c r="K1054" s="24"/>
      <c r="L1054" s="26"/>
      <c r="M1054" s="26"/>
      <c r="N1054" s="22"/>
      <c r="O1054" s="21"/>
      <c r="P1054" s="22"/>
      <c r="Q1054" s="29" t="str">
        <f aca="false">IF(C1054="","",IF(O1054&lt;&gt;"",O1054,IFERROR(INDEX(Produk!$J$2:$J$100,MATCH(C1054,Produk!$A$2:$A$100,0)),"PRODUK?")))</f>
        <v/>
      </c>
      <c r="R1054" s="29" t="str">
        <f aca="false">IF(A1054="","",IF(COUNTIF(Anggota!$A$2:$A$2001,A1054)=0,"TIDAK ADA","OK"))</f>
        <v/>
      </c>
      <c r="S1054" s="29" t="str">
        <f aca="false">IF(H1054="","",IF(OR(J1054="",L1054=""),"-",IF(ABS(H1054-J1054*L1054)&gt;Info_Koperasi!$C$10,"SELISIH","OK")))</f>
        <v/>
      </c>
    </row>
    <row r="1055" customFormat="false" ht="15" hidden="false" customHeight="false" outlineLevel="0" collapsed="false">
      <c r="A1055" s="21"/>
      <c r="B1055" s="22"/>
      <c r="C1055" s="21"/>
      <c r="D1055" s="21"/>
      <c r="E1055" s="28"/>
      <c r="F1055" s="24"/>
      <c r="G1055" s="26"/>
      <c r="H1055" s="24"/>
      <c r="I1055" s="24"/>
      <c r="J1055" s="24"/>
      <c r="K1055" s="24"/>
      <c r="L1055" s="26"/>
      <c r="M1055" s="26"/>
      <c r="N1055" s="22"/>
      <c r="O1055" s="21"/>
      <c r="P1055" s="22"/>
      <c r="Q1055" s="29" t="str">
        <f aca="false">IF(C1055="","",IF(O1055&lt;&gt;"",O1055,IFERROR(INDEX(Produk!$J$2:$J$100,MATCH(C1055,Produk!$A$2:$A$100,0)),"PRODUK?")))</f>
        <v/>
      </c>
      <c r="R1055" s="29" t="str">
        <f aca="false">IF(A1055="","",IF(COUNTIF(Anggota!$A$2:$A$2001,A1055)=0,"TIDAK ADA","OK"))</f>
        <v/>
      </c>
      <c r="S1055" s="29" t="str">
        <f aca="false">IF(H1055="","",IF(OR(J1055="",L1055=""),"-",IF(ABS(H1055-J1055*L1055)&gt;Info_Koperasi!$C$10,"SELISIH","OK")))</f>
        <v/>
      </c>
    </row>
    <row r="1056" customFormat="false" ht="15" hidden="false" customHeight="false" outlineLevel="0" collapsed="false">
      <c r="A1056" s="21"/>
      <c r="B1056" s="22"/>
      <c r="C1056" s="21"/>
      <c r="D1056" s="21"/>
      <c r="E1056" s="28"/>
      <c r="F1056" s="24"/>
      <c r="G1056" s="26"/>
      <c r="H1056" s="24"/>
      <c r="I1056" s="24"/>
      <c r="J1056" s="24"/>
      <c r="K1056" s="24"/>
      <c r="L1056" s="26"/>
      <c r="M1056" s="26"/>
      <c r="N1056" s="22"/>
      <c r="O1056" s="21"/>
      <c r="P1056" s="22"/>
      <c r="Q1056" s="29" t="str">
        <f aca="false">IF(C1056="","",IF(O1056&lt;&gt;"",O1056,IFERROR(INDEX(Produk!$J$2:$J$100,MATCH(C1056,Produk!$A$2:$A$100,0)),"PRODUK?")))</f>
        <v/>
      </c>
      <c r="R1056" s="29" t="str">
        <f aca="false">IF(A1056="","",IF(COUNTIF(Anggota!$A$2:$A$2001,A1056)=0,"TIDAK ADA","OK"))</f>
        <v/>
      </c>
      <c r="S1056" s="29" t="str">
        <f aca="false">IF(H1056="","",IF(OR(J1056="",L1056=""),"-",IF(ABS(H1056-J1056*L1056)&gt;Info_Koperasi!$C$10,"SELISIH","OK")))</f>
        <v/>
      </c>
    </row>
    <row r="1057" customFormat="false" ht="15" hidden="false" customHeight="false" outlineLevel="0" collapsed="false">
      <c r="A1057" s="21"/>
      <c r="B1057" s="22"/>
      <c r="C1057" s="21"/>
      <c r="D1057" s="21"/>
      <c r="E1057" s="28"/>
      <c r="F1057" s="24"/>
      <c r="G1057" s="26"/>
      <c r="H1057" s="24"/>
      <c r="I1057" s="24"/>
      <c r="J1057" s="24"/>
      <c r="K1057" s="24"/>
      <c r="L1057" s="26"/>
      <c r="M1057" s="26"/>
      <c r="N1057" s="22"/>
      <c r="O1057" s="21"/>
      <c r="P1057" s="22"/>
      <c r="Q1057" s="29" t="str">
        <f aca="false">IF(C1057="","",IF(O1057&lt;&gt;"",O1057,IFERROR(INDEX(Produk!$J$2:$J$100,MATCH(C1057,Produk!$A$2:$A$100,0)),"PRODUK?")))</f>
        <v/>
      </c>
      <c r="R1057" s="29" t="str">
        <f aca="false">IF(A1057="","",IF(COUNTIF(Anggota!$A$2:$A$2001,A1057)=0,"TIDAK ADA","OK"))</f>
        <v/>
      </c>
      <c r="S1057" s="29" t="str">
        <f aca="false">IF(H1057="","",IF(OR(J1057="",L1057=""),"-",IF(ABS(H1057-J1057*L1057)&gt;Info_Koperasi!$C$10,"SELISIH","OK")))</f>
        <v/>
      </c>
    </row>
    <row r="1058" customFormat="false" ht="15" hidden="false" customHeight="false" outlineLevel="0" collapsed="false">
      <c r="A1058" s="21"/>
      <c r="B1058" s="22"/>
      <c r="C1058" s="21"/>
      <c r="D1058" s="21"/>
      <c r="E1058" s="28"/>
      <c r="F1058" s="24"/>
      <c r="G1058" s="26"/>
      <c r="H1058" s="24"/>
      <c r="I1058" s="24"/>
      <c r="J1058" s="24"/>
      <c r="K1058" s="24"/>
      <c r="L1058" s="26"/>
      <c r="M1058" s="26"/>
      <c r="N1058" s="22"/>
      <c r="O1058" s="21"/>
      <c r="P1058" s="22"/>
      <c r="Q1058" s="29" t="str">
        <f aca="false">IF(C1058="","",IF(O1058&lt;&gt;"",O1058,IFERROR(INDEX(Produk!$J$2:$J$100,MATCH(C1058,Produk!$A$2:$A$100,0)),"PRODUK?")))</f>
        <v/>
      </c>
      <c r="R1058" s="29" t="str">
        <f aca="false">IF(A1058="","",IF(COUNTIF(Anggota!$A$2:$A$2001,A1058)=0,"TIDAK ADA","OK"))</f>
        <v/>
      </c>
      <c r="S1058" s="29" t="str">
        <f aca="false">IF(H1058="","",IF(OR(J1058="",L1058=""),"-",IF(ABS(H1058-J1058*L1058)&gt;Info_Koperasi!$C$10,"SELISIH","OK")))</f>
        <v/>
      </c>
    </row>
    <row r="1059" customFormat="false" ht="15" hidden="false" customHeight="false" outlineLevel="0" collapsed="false">
      <c r="A1059" s="21"/>
      <c r="B1059" s="22"/>
      <c r="C1059" s="21"/>
      <c r="D1059" s="21"/>
      <c r="E1059" s="28"/>
      <c r="F1059" s="24"/>
      <c r="G1059" s="26"/>
      <c r="H1059" s="24"/>
      <c r="I1059" s="24"/>
      <c r="J1059" s="24"/>
      <c r="K1059" s="24"/>
      <c r="L1059" s="26"/>
      <c r="M1059" s="26"/>
      <c r="N1059" s="22"/>
      <c r="O1059" s="21"/>
      <c r="P1059" s="22"/>
      <c r="Q1059" s="29" t="str">
        <f aca="false">IF(C1059="","",IF(O1059&lt;&gt;"",O1059,IFERROR(INDEX(Produk!$J$2:$J$100,MATCH(C1059,Produk!$A$2:$A$100,0)),"PRODUK?")))</f>
        <v/>
      </c>
      <c r="R1059" s="29" t="str">
        <f aca="false">IF(A1059="","",IF(COUNTIF(Anggota!$A$2:$A$2001,A1059)=0,"TIDAK ADA","OK"))</f>
        <v/>
      </c>
      <c r="S1059" s="29" t="str">
        <f aca="false">IF(H1059="","",IF(OR(J1059="",L1059=""),"-",IF(ABS(H1059-J1059*L1059)&gt;Info_Koperasi!$C$10,"SELISIH","OK")))</f>
        <v/>
      </c>
    </row>
    <row r="1060" customFormat="false" ht="15" hidden="false" customHeight="false" outlineLevel="0" collapsed="false">
      <c r="A1060" s="21"/>
      <c r="B1060" s="22"/>
      <c r="C1060" s="21"/>
      <c r="D1060" s="21"/>
      <c r="E1060" s="28"/>
      <c r="F1060" s="24"/>
      <c r="G1060" s="26"/>
      <c r="H1060" s="24"/>
      <c r="I1060" s="24"/>
      <c r="J1060" s="24"/>
      <c r="K1060" s="24"/>
      <c r="L1060" s="26"/>
      <c r="M1060" s="26"/>
      <c r="N1060" s="22"/>
      <c r="O1060" s="21"/>
      <c r="P1060" s="22"/>
      <c r="Q1060" s="29" t="str">
        <f aca="false">IF(C1060="","",IF(O1060&lt;&gt;"",O1060,IFERROR(INDEX(Produk!$J$2:$J$100,MATCH(C1060,Produk!$A$2:$A$100,0)),"PRODUK?")))</f>
        <v/>
      </c>
      <c r="R1060" s="29" t="str">
        <f aca="false">IF(A1060="","",IF(COUNTIF(Anggota!$A$2:$A$2001,A1060)=0,"TIDAK ADA","OK"))</f>
        <v/>
      </c>
      <c r="S1060" s="29" t="str">
        <f aca="false">IF(H1060="","",IF(OR(J1060="",L1060=""),"-",IF(ABS(H1060-J1060*L1060)&gt;Info_Koperasi!$C$10,"SELISIH","OK")))</f>
        <v/>
      </c>
    </row>
    <row r="1061" customFormat="false" ht="15" hidden="false" customHeight="false" outlineLevel="0" collapsed="false">
      <c r="A1061" s="21"/>
      <c r="B1061" s="22"/>
      <c r="C1061" s="21"/>
      <c r="D1061" s="21"/>
      <c r="E1061" s="28"/>
      <c r="F1061" s="24"/>
      <c r="G1061" s="26"/>
      <c r="H1061" s="24"/>
      <c r="I1061" s="24"/>
      <c r="J1061" s="24"/>
      <c r="K1061" s="24"/>
      <c r="L1061" s="26"/>
      <c r="M1061" s="26"/>
      <c r="N1061" s="22"/>
      <c r="O1061" s="21"/>
      <c r="P1061" s="22"/>
      <c r="Q1061" s="29" t="str">
        <f aca="false">IF(C1061="","",IF(O1061&lt;&gt;"",O1061,IFERROR(INDEX(Produk!$J$2:$J$100,MATCH(C1061,Produk!$A$2:$A$100,0)),"PRODUK?")))</f>
        <v/>
      </c>
      <c r="R1061" s="29" t="str">
        <f aca="false">IF(A1061="","",IF(COUNTIF(Anggota!$A$2:$A$2001,A1061)=0,"TIDAK ADA","OK"))</f>
        <v/>
      </c>
      <c r="S1061" s="29" t="str">
        <f aca="false">IF(H1061="","",IF(OR(J1061="",L1061=""),"-",IF(ABS(H1061-J1061*L1061)&gt;Info_Koperasi!$C$10,"SELISIH","OK")))</f>
        <v/>
      </c>
    </row>
    <row r="1062" customFormat="false" ht="15" hidden="false" customHeight="false" outlineLevel="0" collapsed="false">
      <c r="A1062" s="21"/>
      <c r="B1062" s="22"/>
      <c r="C1062" s="21"/>
      <c r="D1062" s="21"/>
      <c r="E1062" s="28"/>
      <c r="F1062" s="24"/>
      <c r="G1062" s="26"/>
      <c r="H1062" s="24"/>
      <c r="I1062" s="24"/>
      <c r="J1062" s="24"/>
      <c r="K1062" s="24"/>
      <c r="L1062" s="26"/>
      <c r="M1062" s="26"/>
      <c r="N1062" s="22"/>
      <c r="O1062" s="21"/>
      <c r="P1062" s="22"/>
      <c r="Q1062" s="29" t="str">
        <f aca="false">IF(C1062="","",IF(O1062&lt;&gt;"",O1062,IFERROR(INDEX(Produk!$J$2:$J$100,MATCH(C1062,Produk!$A$2:$A$100,0)),"PRODUK?")))</f>
        <v/>
      </c>
      <c r="R1062" s="29" t="str">
        <f aca="false">IF(A1062="","",IF(COUNTIF(Anggota!$A$2:$A$2001,A1062)=0,"TIDAK ADA","OK"))</f>
        <v/>
      </c>
      <c r="S1062" s="29" t="str">
        <f aca="false">IF(H1062="","",IF(OR(J1062="",L1062=""),"-",IF(ABS(H1062-J1062*L1062)&gt;Info_Koperasi!$C$10,"SELISIH","OK")))</f>
        <v/>
      </c>
    </row>
    <row r="1063" customFormat="false" ht="15" hidden="false" customHeight="false" outlineLevel="0" collapsed="false">
      <c r="A1063" s="21"/>
      <c r="B1063" s="22"/>
      <c r="C1063" s="21"/>
      <c r="D1063" s="21"/>
      <c r="E1063" s="28"/>
      <c r="F1063" s="24"/>
      <c r="G1063" s="26"/>
      <c r="H1063" s="24"/>
      <c r="I1063" s="24"/>
      <c r="J1063" s="24"/>
      <c r="K1063" s="24"/>
      <c r="L1063" s="26"/>
      <c r="M1063" s="26"/>
      <c r="N1063" s="22"/>
      <c r="O1063" s="21"/>
      <c r="P1063" s="22"/>
      <c r="Q1063" s="29" t="str">
        <f aca="false">IF(C1063="","",IF(O1063&lt;&gt;"",O1063,IFERROR(INDEX(Produk!$J$2:$J$100,MATCH(C1063,Produk!$A$2:$A$100,0)),"PRODUK?")))</f>
        <v/>
      </c>
      <c r="R1063" s="29" t="str">
        <f aca="false">IF(A1063="","",IF(COUNTIF(Anggota!$A$2:$A$2001,A1063)=0,"TIDAK ADA","OK"))</f>
        <v/>
      </c>
      <c r="S1063" s="29" t="str">
        <f aca="false">IF(H1063="","",IF(OR(J1063="",L1063=""),"-",IF(ABS(H1063-J1063*L1063)&gt;Info_Koperasi!$C$10,"SELISIH","OK")))</f>
        <v/>
      </c>
    </row>
    <row r="1064" customFormat="false" ht="15" hidden="false" customHeight="false" outlineLevel="0" collapsed="false">
      <c r="A1064" s="21"/>
      <c r="B1064" s="22"/>
      <c r="C1064" s="21"/>
      <c r="D1064" s="21"/>
      <c r="E1064" s="28"/>
      <c r="F1064" s="24"/>
      <c r="G1064" s="26"/>
      <c r="H1064" s="24"/>
      <c r="I1064" s="24"/>
      <c r="J1064" s="24"/>
      <c r="K1064" s="24"/>
      <c r="L1064" s="26"/>
      <c r="M1064" s="26"/>
      <c r="N1064" s="22"/>
      <c r="O1064" s="21"/>
      <c r="P1064" s="22"/>
      <c r="Q1064" s="29" t="str">
        <f aca="false">IF(C1064="","",IF(O1064&lt;&gt;"",O1064,IFERROR(INDEX(Produk!$J$2:$J$100,MATCH(C1064,Produk!$A$2:$A$100,0)),"PRODUK?")))</f>
        <v/>
      </c>
      <c r="R1064" s="29" t="str">
        <f aca="false">IF(A1064="","",IF(COUNTIF(Anggota!$A$2:$A$2001,A1064)=0,"TIDAK ADA","OK"))</f>
        <v/>
      </c>
      <c r="S1064" s="29" t="str">
        <f aca="false">IF(H1064="","",IF(OR(J1064="",L1064=""),"-",IF(ABS(H1064-J1064*L1064)&gt;Info_Koperasi!$C$10,"SELISIH","OK")))</f>
        <v/>
      </c>
    </row>
    <row r="1065" customFormat="false" ht="15" hidden="false" customHeight="false" outlineLevel="0" collapsed="false">
      <c r="A1065" s="21"/>
      <c r="B1065" s="22"/>
      <c r="C1065" s="21"/>
      <c r="D1065" s="21"/>
      <c r="E1065" s="28"/>
      <c r="F1065" s="24"/>
      <c r="G1065" s="26"/>
      <c r="H1065" s="24"/>
      <c r="I1065" s="24"/>
      <c r="J1065" s="24"/>
      <c r="K1065" s="24"/>
      <c r="L1065" s="26"/>
      <c r="M1065" s="26"/>
      <c r="N1065" s="22"/>
      <c r="O1065" s="21"/>
      <c r="P1065" s="22"/>
      <c r="Q1065" s="29" t="str">
        <f aca="false">IF(C1065="","",IF(O1065&lt;&gt;"",O1065,IFERROR(INDEX(Produk!$J$2:$J$100,MATCH(C1065,Produk!$A$2:$A$100,0)),"PRODUK?")))</f>
        <v/>
      </c>
      <c r="R1065" s="29" t="str">
        <f aca="false">IF(A1065="","",IF(COUNTIF(Anggota!$A$2:$A$2001,A1065)=0,"TIDAK ADA","OK"))</f>
        <v/>
      </c>
      <c r="S1065" s="29" t="str">
        <f aca="false">IF(H1065="","",IF(OR(J1065="",L1065=""),"-",IF(ABS(H1065-J1065*L1065)&gt;Info_Koperasi!$C$10,"SELISIH","OK")))</f>
        <v/>
      </c>
    </row>
    <row r="1066" customFormat="false" ht="15" hidden="false" customHeight="false" outlineLevel="0" collapsed="false">
      <c r="A1066" s="21"/>
      <c r="B1066" s="22"/>
      <c r="C1066" s="21"/>
      <c r="D1066" s="21"/>
      <c r="E1066" s="28"/>
      <c r="F1066" s="24"/>
      <c r="G1066" s="26"/>
      <c r="H1066" s="24"/>
      <c r="I1066" s="24"/>
      <c r="J1066" s="24"/>
      <c r="K1066" s="24"/>
      <c r="L1066" s="26"/>
      <c r="M1066" s="26"/>
      <c r="N1066" s="22"/>
      <c r="O1066" s="21"/>
      <c r="P1066" s="22"/>
      <c r="Q1066" s="29" t="str">
        <f aca="false">IF(C1066="","",IF(O1066&lt;&gt;"",O1066,IFERROR(INDEX(Produk!$J$2:$J$100,MATCH(C1066,Produk!$A$2:$A$100,0)),"PRODUK?")))</f>
        <v/>
      </c>
      <c r="R1066" s="29" t="str">
        <f aca="false">IF(A1066="","",IF(COUNTIF(Anggota!$A$2:$A$2001,A1066)=0,"TIDAK ADA","OK"))</f>
        <v/>
      </c>
      <c r="S1066" s="29" t="str">
        <f aca="false">IF(H1066="","",IF(OR(J1066="",L1066=""),"-",IF(ABS(H1066-J1066*L1066)&gt;Info_Koperasi!$C$10,"SELISIH","OK")))</f>
        <v/>
      </c>
    </row>
    <row r="1067" customFormat="false" ht="15" hidden="false" customHeight="false" outlineLevel="0" collapsed="false">
      <c r="A1067" s="21"/>
      <c r="B1067" s="22"/>
      <c r="C1067" s="21"/>
      <c r="D1067" s="21"/>
      <c r="E1067" s="28"/>
      <c r="F1067" s="24"/>
      <c r="G1067" s="26"/>
      <c r="H1067" s="24"/>
      <c r="I1067" s="24"/>
      <c r="J1067" s="24"/>
      <c r="K1067" s="24"/>
      <c r="L1067" s="26"/>
      <c r="M1067" s="26"/>
      <c r="N1067" s="22"/>
      <c r="O1067" s="21"/>
      <c r="P1067" s="22"/>
      <c r="Q1067" s="29" t="str">
        <f aca="false">IF(C1067="","",IF(O1067&lt;&gt;"",O1067,IFERROR(INDEX(Produk!$J$2:$J$100,MATCH(C1067,Produk!$A$2:$A$100,0)),"PRODUK?")))</f>
        <v/>
      </c>
      <c r="R1067" s="29" t="str">
        <f aca="false">IF(A1067="","",IF(COUNTIF(Anggota!$A$2:$A$2001,A1067)=0,"TIDAK ADA","OK"))</f>
        <v/>
      </c>
      <c r="S1067" s="29" t="str">
        <f aca="false">IF(H1067="","",IF(OR(J1067="",L1067=""),"-",IF(ABS(H1067-J1067*L1067)&gt;Info_Koperasi!$C$10,"SELISIH","OK")))</f>
        <v/>
      </c>
    </row>
    <row r="1068" customFormat="false" ht="15" hidden="false" customHeight="false" outlineLevel="0" collapsed="false">
      <c r="A1068" s="21"/>
      <c r="B1068" s="22"/>
      <c r="C1068" s="21"/>
      <c r="D1068" s="21"/>
      <c r="E1068" s="28"/>
      <c r="F1068" s="24"/>
      <c r="G1068" s="26"/>
      <c r="H1068" s="24"/>
      <c r="I1068" s="24"/>
      <c r="J1068" s="24"/>
      <c r="K1068" s="24"/>
      <c r="L1068" s="26"/>
      <c r="M1068" s="26"/>
      <c r="N1068" s="22"/>
      <c r="O1068" s="21"/>
      <c r="P1068" s="22"/>
      <c r="Q1068" s="29" t="str">
        <f aca="false">IF(C1068="","",IF(O1068&lt;&gt;"",O1068,IFERROR(INDEX(Produk!$J$2:$J$100,MATCH(C1068,Produk!$A$2:$A$100,0)),"PRODUK?")))</f>
        <v/>
      </c>
      <c r="R1068" s="29" t="str">
        <f aca="false">IF(A1068="","",IF(COUNTIF(Anggota!$A$2:$A$2001,A1068)=0,"TIDAK ADA","OK"))</f>
        <v/>
      </c>
      <c r="S1068" s="29" t="str">
        <f aca="false">IF(H1068="","",IF(OR(J1068="",L1068=""),"-",IF(ABS(H1068-J1068*L1068)&gt;Info_Koperasi!$C$10,"SELISIH","OK")))</f>
        <v/>
      </c>
    </row>
    <row r="1069" customFormat="false" ht="15" hidden="false" customHeight="false" outlineLevel="0" collapsed="false">
      <c r="A1069" s="21"/>
      <c r="B1069" s="22"/>
      <c r="C1069" s="21"/>
      <c r="D1069" s="21"/>
      <c r="E1069" s="28"/>
      <c r="F1069" s="24"/>
      <c r="G1069" s="26"/>
      <c r="H1069" s="24"/>
      <c r="I1069" s="24"/>
      <c r="J1069" s="24"/>
      <c r="K1069" s="24"/>
      <c r="L1069" s="26"/>
      <c r="M1069" s="26"/>
      <c r="N1069" s="22"/>
      <c r="O1069" s="21"/>
      <c r="P1069" s="22"/>
      <c r="Q1069" s="29" t="str">
        <f aca="false">IF(C1069="","",IF(O1069&lt;&gt;"",O1069,IFERROR(INDEX(Produk!$J$2:$J$100,MATCH(C1069,Produk!$A$2:$A$100,0)),"PRODUK?")))</f>
        <v/>
      </c>
      <c r="R1069" s="29" t="str">
        <f aca="false">IF(A1069="","",IF(COUNTIF(Anggota!$A$2:$A$2001,A1069)=0,"TIDAK ADA","OK"))</f>
        <v/>
      </c>
      <c r="S1069" s="29" t="str">
        <f aca="false">IF(H1069="","",IF(OR(J1069="",L1069=""),"-",IF(ABS(H1069-J1069*L1069)&gt;Info_Koperasi!$C$10,"SELISIH","OK")))</f>
        <v/>
      </c>
    </row>
    <row r="1070" customFormat="false" ht="15" hidden="false" customHeight="false" outlineLevel="0" collapsed="false">
      <c r="A1070" s="21"/>
      <c r="B1070" s="22"/>
      <c r="C1070" s="21"/>
      <c r="D1070" s="21"/>
      <c r="E1070" s="28"/>
      <c r="F1070" s="24"/>
      <c r="G1070" s="26"/>
      <c r="H1070" s="24"/>
      <c r="I1070" s="24"/>
      <c r="J1070" s="24"/>
      <c r="K1070" s="24"/>
      <c r="L1070" s="26"/>
      <c r="M1070" s="26"/>
      <c r="N1070" s="22"/>
      <c r="O1070" s="21"/>
      <c r="P1070" s="22"/>
      <c r="Q1070" s="29" t="str">
        <f aca="false">IF(C1070="","",IF(O1070&lt;&gt;"",O1070,IFERROR(INDEX(Produk!$J$2:$J$100,MATCH(C1070,Produk!$A$2:$A$100,0)),"PRODUK?")))</f>
        <v/>
      </c>
      <c r="R1070" s="29" t="str">
        <f aca="false">IF(A1070="","",IF(COUNTIF(Anggota!$A$2:$A$2001,A1070)=0,"TIDAK ADA","OK"))</f>
        <v/>
      </c>
      <c r="S1070" s="29" t="str">
        <f aca="false">IF(H1070="","",IF(OR(J1070="",L1070=""),"-",IF(ABS(H1070-J1070*L1070)&gt;Info_Koperasi!$C$10,"SELISIH","OK")))</f>
        <v/>
      </c>
    </row>
    <row r="1071" customFormat="false" ht="15" hidden="false" customHeight="false" outlineLevel="0" collapsed="false">
      <c r="A1071" s="21"/>
      <c r="B1071" s="22"/>
      <c r="C1071" s="21"/>
      <c r="D1071" s="21"/>
      <c r="E1071" s="28"/>
      <c r="F1071" s="24"/>
      <c r="G1071" s="26"/>
      <c r="H1071" s="24"/>
      <c r="I1071" s="24"/>
      <c r="J1071" s="24"/>
      <c r="K1071" s="24"/>
      <c r="L1071" s="26"/>
      <c r="M1071" s="26"/>
      <c r="N1071" s="22"/>
      <c r="O1071" s="21"/>
      <c r="P1071" s="22"/>
      <c r="Q1071" s="29" t="str">
        <f aca="false">IF(C1071="","",IF(O1071&lt;&gt;"",O1071,IFERROR(INDEX(Produk!$J$2:$J$100,MATCH(C1071,Produk!$A$2:$A$100,0)),"PRODUK?")))</f>
        <v/>
      </c>
      <c r="R1071" s="29" t="str">
        <f aca="false">IF(A1071="","",IF(COUNTIF(Anggota!$A$2:$A$2001,A1071)=0,"TIDAK ADA","OK"))</f>
        <v/>
      </c>
      <c r="S1071" s="29" t="str">
        <f aca="false">IF(H1071="","",IF(OR(J1071="",L1071=""),"-",IF(ABS(H1071-J1071*L1071)&gt;Info_Koperasi!$C$10,"SELISIH","OK")))</f>
        <v/>
      </c>
    </row>
    <row r="1072" customFormat="false" ht="15" hidden="false" customHeight="false" outlineLevel="0" collapsed="false">
      <c r="A1072" s="21"/>
      <c r="B1072" s="22"/>
      <c r="C1072" s="21"/>
      <c r="D1072" s="21"/>
      <c r="E1072" s="28"/>
      <c r="F1072" s="24"/>
      <c r="G1072" s="26"/>
      <c r="H1072" s="24"/>
      <c r="I1072" s="24"/>
      <c r="J1072" s="24"/>
      <c r="K1072" s="24"/>
      <c r="L1072" s="26"/>
      <c r="M1072" s="26"/>
      <c r="N1072" s="22"/>
      <c r="O1072" s="21"/>
      <c r="P1072" s="22"/>
      <c r="Q1072" s="29" t="str">
        <f aca="false">IF(C1072="","",IF(O1072&lt;&gt;"",O1072,IFERROR(INDEX(Produk!$J$2:$J$100,MATCH(C1072,Produk!$A$2:$A$100,0)),"PRODUK?")))</f>
        <v/>
      </c>
      <c r="R1072" s="29" t="str">
        <f aca="false">IF(A1072="","",IF(COUNTIF(Anggota!$A$2:$A$2001,A1072)=0,"TIDAK ADA","OK"))</f>
        <v/>
      </c>
      <c r="S1072" s="29" t="str">
        <f aca="false">IF(H1072="","",IF(OR(J1072="",L1072=""),"-",IF(ABS(H1072-J1072*L1072)&gt;Info_Koperasi!$C$10,"SELISIH","OK")))</f>
        <v/>
      </c>
    </row>
    <row r="1073" customFormat="false" ht="15" hidden="false" customHeight="false" outlineLevel="0" collapsed="false">
      <c r="A1073" s="21"/>
      <c r="B1073" s="22"/>
      <c r="C1073" s="21"/>
      <c r="D1073" s="21"/>
      <c r="E1073" s="28"/>
      <c r="F1073" s="24"/>
      <c r="G1073" s="26"/>
      <c r="H1073" s="24"/>
      <c r="I1073" s="24"/>
      <c r="J1073" s="24"/>
      <c r="K1073" s="24"/>
      <c r="L1073" s="26"/>
      <c r="M1073" s="26"/>
      <c r="N1073" s="22"/>
      <c r="O1073" s="21"/>
      <c r="P1073" s="22"/>
      <c r="Q1073" s="29" t="str">
        <f aca="false">IF(C1073="","",IF(O1073&lt;&gt;"",O1073,IFERROR(INDEX(Produk!$J$2:$J$100,MATCH(C1073,Produk!$A$2:$A$100,0)),"PRODUK?")))</f>
        <v/>
      </c>
      <c r="R1073" s="29" t="str">
        <f aca="false">IF(A1073="","",IF(COUNTIF(Anggota!$A$2:$A$2001,A1073)=0,"TIDAK ADA","OK"))</f>
        <v/>
      </c>
      <c r="S1073" s="29" t="str">
        <f aca="false">IF(H1073="","",IF(OR(J1073="",L1073=""),"-",IF(ABS(H1073-J1073*L1073)&gt;Info_Koperasi!$C$10,"SELISIH","OK")))</f>
        <v/>
      </c>
    </row>
    <row r="1074" customFormat="false" ht="15" hidden="false" customHeight="false" outlineLevel="0" collapsed="false">
      <c r="A1074" s="21"/>
      <c r="B1074" s="22"/>
      <c r="C1074" s="21"/>
      <c r="D1074" s="21"/>
      <c r="E1074" s="28"/>
      <c r="F1074" s="24"/>
      <c r="G1074" s="26"/>
      <c r="H1074" s="24"/>
      <c r="I1074" s="24"/>
      <c r="J1074" s="24"/>
      <c r="K1074" s="24"/>
      <c r="L1074" s="26"/>
      <c r="M1074" s="26"/>
      <c r="N1074" s="22"/>
      <c r="O1074" s="21"/>
      <c r="P1074" s="22"/>
      <c r="Q1074" s="29" t="str">
        <f aca="false">IF(C1074="","",IF(O1074&lt;&gt;"",O1074,IFERROR(INDEX(Produk!$J$2:$J$100,MATCH(C1074,Produk!$A$2:$A$100,0)),"PRODUK?")))</f>
        <v/>
      </c>
      <c r="R1074" s="29" t="str">
        <f aca="false">IF(A1074="","",IF(COUNTIF(Anggota!$A$2:$A$2001,A1074)=0,"TIDAK ADA","OK"))</f>
        <v/>
      </c>
      <c r="S1074" s="29" t="str">
        <f aca="false">IF(H1074="","",IF(OR(J1074="",L1074=""),"-",IF(ABS(H1074-J1074*L1074)&gt;Info_Koperasi!$C$10,"SELISIH","OK")))</f>
        <v/>
      </c>
    </row>
    <row r="1075" customFormat="false" ht="15" hidden="false" customHeight="false" outlineLevel="0" collapsed="false">
      <c r="A1075" s="21"/>
      <c r="B1075" s="22"/>
      <c r="C1075" s="21"/>
      <c r="D1075" s="21"/>
      <c r="E1075" s="28"/>
      <c r="F1075" s="24"/>
      <c r="G1075" s="26"/>
      <c r="H1075" s="24"/>
      <c r="I1075" s="24"/>
      <c r="J1075" s="24"/>
      <c r="K1075" s="24"/>
      <c r="L1075" s="26"/>
      <c r="M1075" s="26"/>
      <c r="N1075" s="22"/>
      <c r="O1075" s="21"/>
      <c r="P1075" s="22"/>
      <c r="Q1075" s="29" t="str">
        <f aca="false">IF(C1075="","",IF(O1075&lt;&gt;"",O1075,IFERROR(INDEX(Produk!$J$2:$J$100,MATCH(C1075,Produk!$A$2:$A$100,0)),"PRODUK?")))</f>
        <v/>
      </c>
      <c r="R1075" s="29" t="str">
        <f aca="false">IF(A1075="","",IF(COUNTIF(Anggota!$A$2:$A$2001,A1075)=0,"TIDAK ADA","OK"))</f>
        <v/>
      </c>
      <c r="S1075" s="29" t="str">
        <f aca="false">IF(H1075="","",IF(OR(J1075="",L1075=""),"-",IF(ABS(H1075-J1075*L1075)&gt;Info_Koperasi!$C$10,"SELISIH","OK")))</f>
        <v/>
      </c>
    </row>
    <row r="1076" customFormat="false" ht="15" hidden="false" customHeight="false" outlineLevel="0" collapsed="false">
      <c r="A1076" s="21"/>
      <c r="B1076" s="22"/>
      <c r="C1076" s="21"/>
      <c r="D1076" s="21"/>
      <c r="E1076" s="28"/>
      <c r="F1076" s="24"/>
      <c r="G1076" s="26"/>
      <c r="H1076" s="24"/>
      <c r="I1076" s="24"/>
      <c r="J1076" s="24"/>
      <c r="K1076" s="24"/>
      <c r="L1076" s="26"/>
      <c r="M1076" s="26"/>
      <c r="N1076" s="22"/>
      <c r="O1076" s="21"/>
      <c r="P1076" s="22"/>
      <c r="Q1076" s="29" t="str">
        <f aca="false">IF(C1076="","",IF(O1076&lt;&gt;"",O1076,IFERROR(INDEX(Produk!$J$2:$J$100,MATCH(C1076,Produk!$A$2:$A$100,0)),"PRODUK?")))</f>
        <v/>
      </c>
      <c r="R1076" s="29" t="str">
        <f aca="false">IF(A1076="","",IF(COUNTIF(Anggota!$A$2:$A$2001,A1076)=0,"TIDAK ADA","OK"))</f>
        <v/>
      </c>
      <c r="S1076" s="29" t="str">
        <f aca="false">IF(H1076="","",IF(OR(J1076="",L1076=""),"-",IF(ABS(H1076-J1076*L1076)&gt;Info_Koperasi!$C$10,"SELISIH","OK")))</f>
        <v/>
      </c>
    </row>
    <row r="1077" customFormat="false" ht="15" hidden="false" customHeight="false" outlineLevel="0" collapsed="false">
      <c r="A1077" s="21"/>
      <c r="B1077" s="22"/>
      <c r="C1077" s="21"/>
      <c r="D1077" s="21"/>
      <c r="E1077" s="28"/>
      <c r="F1077" s="24"/>
      <c r="G1077" s="26"/>
      <c r="H1077" s="24"/>
      <c r="I1077" s="24"/>
      <c r="J1077" s="24"/>
      <c r="K1077" s="24"/>
      <c r="L1077" s="26"/>
      <c r="M1077" s="26"/>
      <c r="N1077" s="22"/>
      <c r="O1077" s="21"/>
      <c r="P1077" s="22"/>
      <c r="Q1077" s="29" t="str">
        <f aca="false">IF(C1077="","",IF(O1077&lt;&gt;"",O1077,IFERROR(INDEX(Produk!$J$2:$J$100,MATCH(C1077,Produk!$A$2:$A$100,0)),"PRODUK?")))</f>
        <v/>
      </c>
      <c r="R1077" s="29" t="str">
        <f aca="false">IF(A1077="","",IF(COUNTIF(Anggota!$A$2:$A$2001,A1077)=0,"TIDAK ADA","OK"))</f>
        <v/>
      </c>
      <c r="S1077" s="29" t="str">
        <f aca="false">IF(H1077="","",IF(OR(J1077="",L1077=""),"-",IF(ABS(H1077-J1077*L1077)&gt;Info_Koperasi!$C$10,"SELISIH","OK")))</f>
        <v/>
      </c>
    </row>
    <row r="1078" customFormat="false" ht="15" hidden="false" customHeight="false" outlineLevel="0" collapsed="false">
      <c r="A1078" s="21"/>
      <c r="B1078" s="22"/>
      <c r="C1078" s="21"/>
      <c r="D1078" s="21"/>
      <c r="E1078" s="28"/>
      <c r="F1078" s="24"/>
      <c r="G1078" s="26"/>
      <c r="H1078" s="24"/>
      <c r="I1078" s="24"/>
      <c r="J1078" s="24"/>
      <c r="K1078" s="24"/>
      <c r="L1078" s="26"/>
      <c r="M1078" s="26"/>
      <c r="N1078" s="22"/>
      <c r="O1078" s="21"/>
      <c r="P1078" s="22"/>
      <c r="Q1078" s="29" t="str">
        <f aca="false">IF(C1078="","",IF(O1078&lt;&gt;"",O1078,IFERROR(INDEX(Produk!$J$2:$J$100,MATCH(C1078,Produk!$A$2:$A$100,0)),"PRODUK?")))</f>
        <v/>
      </c>
      <c r="R1078" s="29" t="str">
        <f aca="false">IF(A1078="","",IF(COUNTIF(Anggota!$A$2:$A$2001,A1078)=0,"TIDAK ADA","OK"))</f>
        <v/>
      </c>
      <c r="S1078" s="29" t="str">
        <f aca="false">IF(H1078="","",IF(OR(J1078="",L1078=""),"-",IF(ABS(H1078-J1078*L1078)&gt;Info_Koperasi!$C$10,"SELISIH","OK")))</f>
        <v/>
      </c>
    </row>
    <row r="1079" customFormat="false" ht="15" hidden="false" customHeight="false" outlineLevel="0" collapsed="false">
      <c r="A1079" s="21"/>
      <c r="B1079" s="22"/>
      <c r="C1079" s="21"/>
      <c r="D1079" s="21"/>
      <c r="E1079" s="28"/>
      <c r="F1079" s="24"/>
      <c r="G1079" s="26"/>
      <c r="H1079" s="24"/>
      <c r="I1079" s="24"/>
      <c r="J1079" s="24"/>
      <c r="K1079" s="24"/>
      <c r="L1079" s="26"/>
      <c r="M1079" s="26"/>
      <c r="N1079" s="22"/>
      <c r="O1079" s="21"/>
      <c r="P1079" s="22"/>
      <c r="Q1079" s="29" t="str">
        <f aca="false">IF(C1079="","",IF(O1079&lt;&gt;"",O1079,IFERROR(INDEX(Produk!$J$2:$J$100,MATCH(C1079,Produk!$A$2:$A$100,0)),"PRODUK?")))</f>
        <v/>
      </c>
      <c r="R1079" s="29" t="str">
        <f aca="false">IF(A1079="","",IF(COUNTIF(Anggota!$A$2:$A$2001,A1079)=0,"TIDAK ADA","OK"))</f>
        <v/>
      </c>
      <c r="S1079" s="29" t="str">
        <f aca="false">IF(H1079="","",IF(OR(J1079="",L1079=""),"-",IF(ABS(H1079-J1079*L1079)&gt;Info_Koperasi!$C$10,"SELISIH","OK")))</f>
        <v/>
      </c>
    </row>
    <row r="1080" customFormat="false" ht="15" hidden="false" customHeight="false" outlineLevel="0" collapsed="false">
      <c r="A1080" s="21"/>
      <c r="B1080" s="22"/>
      <c r="C1080" s="21"/>
      <c r="D1080" s="21"/>
      <c r="E1080" s="28"/>
      <c r="F1080" s="24"/>
      <c r="G1080" s="26"/>
      <c r="H1080" s="24"/>
      <c r="I1080" s="24"/>
      <c r="J1080" s="24"/>
      <c r="K1080" s="24"/>
      <c r="L1080" s="26"/>
      <c r="M1080" s="26"/>
      <c r="N1080" s="22"/>
      <c r="O1080" s="21"/>
      <c r="P1080" s="22"/>
      <c r="Q1080" s="29" t="str">
        <f aca="false">IF(C1080="","",IF(O1080&lt;&gt;"",O1080,IFERROR(INDEX(Produk!$J$2:$J$100,MATCH(C1080,Produk!$A$2:$A$100,0)),"PRODUK?")))</f>
        <v/>
      </c>
      <c r="R1080" s="29" t="str">
        <f aca="false">IF(A1080="","",IF(COUNTIF(Anggota!$A$2:$A$2001,A1080)=0,"TIDAK ADA","OK"))</f>
        <v/>
      </c>
      <c r="S1080" s="29" t="str">
        <f aca="false">IF(H1080="","",IF(OR(J1080="",L1080=""),"-",IF(ABS(H1080-J1080*L1080)&gt;Info_Koperasi!$C$10,"SELISIH","OK")))</f>
        <v/>
      </c>
    </row>
    <row r="1081" customFormat="false" ht="15" hidden="false" customHeight="false" outlineLevel="0" collapsed="false">
      <c r="A1081" s="21"/>
      <c r="B1081" s="22"/>
      <c r="C1081" s="21"/>
      <c r="D1081" s="21"/>
      <c r="E1081" s="28"/>
      <c r="F1081" s="24"/>
      <c r="G1081" s="26"/>
      <c r="H1081" s="24"/>
      <c r="I1081" s="24"/>
      <c r="J1081" s="24"/>
      <c r="K1081" s="24"/>
      <c r="L1081" s="26"/>
      <c r="M1081" s="26"/>
      <c r="N1081" s="22"/>
      <c r="O1081" s="21"/>
      <c r="P1081" s="22"/>
      <c r="Q1081" s="29" t="str">
        <f aca="false">IF(C1081="","",IF(O1081&lt;&gt;"",O1081,IFERROR(INDEX(Produk!$J$2:$J$100,MATCH(C1081,Produk!$A$2:$A$100,0)),"PRODUK?")))</f>
        <v/>
      </c>
      <c r="R1081" s="29" t="str">
        <f aca="false">IF(A1081="","",IF(COUNTIF(Anggota!$A$2:$A$2001,A1081)=0,"TIDAK ADA","OK"))</f>
        <v/>
      </c>
      <c r="S1081" s="29" t="str">
        <f aca="false">IF(H1081="","",IF(OR(J1081="",L1081=""),"-",IF(ABS(H1081-J1081*L1081)&gt;Info_Koperasi!$C$10,"SELISIH","OK")))</f>
        <v/>
      </c>
    </row>
    <row r="1082" customFormat="false" ht="15" hidden="false" customHeight="false" outlineLevel="0" collapsed="false">
      <c r="A1082" s="21"/>
      <c r="B1082" s="22"/>
      <c r="C1082" s="21"/>
      <c r="D1082" s="21"/>
      <c r="E1082" s="28"/>
      <c r="F1082" s="24"/>
      <c r="G1082" s="26"/>
      <c r="H1082" s="24"/>
      <c r="I1082" s="24"/>
      <c r="J1082" s="24"/>
      <c r="K1082" s="24"/>
      <c r="L1082" s="26"/>
      <c r="M1082" s="26"/>
      <c r="N1082" s="22"/>
      <c r="O1082" s="21"/>
      <c r="P1082" s="22"/>
      <c r="Q1082" s="29" t="str">
        <f aca="false">IF(C1082="","",IF(O1082&lt;&gt;"",O1082,IFERROR(INDEX(Produk!$J$2:$J$100,MATCH(C1082,Produk!$A$2:$A$100,0)),"PRODUK?")))</f>
        <v/>
      </c>
      <c r="R1082" s="29" t="str">
        <f aca="false">IF(A1082="","",IF(COUNTIF(Anggota!$A$2:$A$2001,A1082)=0,"TIDAK ADA","OK"))</f>
        <v/>
      </c>
      <c r="S1082" s="29" t="str">
        <f aca="false">IF(H1082="","",IF(OR(J1082="",L1082=""),"-",IF(ABS(H1082-J1082*L1082)&gt;Info_Koperasi!$C$10,"SELISIH","OK")))</f>
        <v/>
      </c>
    </row>
    <row r="1083" customFormat="false" ht="15" hidden="false" customHeight="false" outlineLevel="0" collapsed="false">
      <c r="A1083" s="21"/>
      <c r="B1083" s="22"/>
      <c r="C1083" s="21"/>
      <c r="D1083" s="21"/>
      <c r="E1083" s="28"/>
      <c r="F1083" s="24"/>
      <c r="G1083" s="26"/>
      <c r="H1083" s="24"/>
      <c r="I1083" s="24"/>
      <c r="J1083" s="24"/>
      <c r="K1083" s="24"/>
      <c r="L1083" s="26"/>
      <c r="M1083" s="26"/>
      <c r="N1083" s="22"/>
      <c r="O1083" s="21"/>
      <c r="P1083" s="22"/>
      <c r="Q1083" s="29" t="str">
        <f aca="false">IF(C1083="","",IF(O1083&lt;&gt;"",O1083,IFERROR(INDEX(Produk!$J$2:$J$100,MATCH(C1083,Produk!$A$2:$A$100,0)),"PRODUK?")))</f>
        <v/>
      </c>
      <c r="R1083" s="29" t="str">
        <f aca="false">IF(A1083="","",IF(COUNTIF(Anggota!$A$2:$A$2001,A1083)=0,"TIDAK ADA","OK"))</f>
        <v/>
      </c>
      <c r="S1083" s="29" t="str">
        <f aca="false">IF(H1083="","",IF(OR(J1083="",L1083=""),"-",IF(ABS(H1083-J1083*L1083)&gt;Info_Koperasi!$C$10,"SELISIH","OK")))</f>
        <v/>
      </c>
    </row>
    <row r="1084" customFormat="false" ht="15" hidden="false" customHeight="false" outlineLevel="0" collapsed="false">
      <c r="A1084" s="21"/>
      <c r="B1084" s="22"/>
      <c r="C1084" s="21"/>
      <c r="D1084" s="21"/>
      <c r="E1084" s="28"/>
      <c r="F1084" s="24"/>
      <c r="G1084" s="26"/>
      <c r="H1084" s="24"/>
      <c r="I1084" s="24"/>
      <c r="J1084" s="24"/>
      <c r="K1084" s="24"/>
      <c r="L1084" s="26"/>
      <c r="M1084" s="26"/>
      <c r="N1084" s="22"/>
      <c r="O1084" s="21"/>
      <c r="P1084" s="22"/>
      <c r="Q1084" s="29" t="str">
        <f aca="false">IF(C1084="","",IF(O1084&lt;&gt;"",O1084,IFERROR(INDEX(Produk!$J$2:$J$100,MATCH(C1084,Produk!$A$2:$A$100,0)),"PRODUK?")))</f>
        <v/>
      </c>
      <c r="R1084" s="29" t="str">
        <f aca="false">IF(A1084="","",IF(COUNTIF(Anggota!$A$2:$A$2001,A1084)=0,"TIDAK ADA","OK"))</f>
        <v/>
      </c>
      <c r="S1084" s="29" t="str">
        <f aca="false">IF(H1084="","",IF(OR(J1084="",L1084=""),"-",IF(ABS(H1084-J1084*L1084)&gt;Info_Koperasi!$C$10,"SELISIH","OK")))</f>
        <v/>
      </c>
    </row>
    <row r="1085" customFormat="false" ht="15" hidden="false" customHeight="false" outlineLevel="0" collapsed="false">
      <c r="A1085" s="21"/>
      <c r="B1085" s="22"/>
      <c r="C1085" s="21"/>
      <c r="D1085" s="21"/>
      <c r="E1085" s="28"/>
      <c r="F1085" s="24"/>
      <c r="G1085" s="26"/>
      <c r="H1085" s="24"/>
      <c r="I1085" s="24"/>
      <c r="J1085" s="24"/>
      <c r="K1085" s="24"/>
      <c r="L1085" s="26"/>
      <c r="M1085" s="26"/>
      <c r="N1085" s="22"/>
      <c r="O1085" s="21"/>
      <c r="P1085" s="22"/>
      <c r="Q1085" s="29" t="str">
        <f aca="false">IF(C1085="","",IF(O1085&lt;&gt;"",O1085,IFERROR(INDEX(Produk!$J$2:$J$100,MATCH(C1085,Produk!$A$2:$A$100,0)),"PRODUK?")))</f>
        <v/>
      </c>
      <c r="R1085" s="29" t="str">
        <f aca="false">IF(A1085="","",IF(COUNTIF(Anggota!$A$2:$A$2001,A1085)=0,"TIDAK ADA","OK"))</f>
        <v/>
      </c>
      <c r="S1085" s="29" t="str">
        <f aca="false">IF(H1085="","",IF(OR(J1085="",L1085=""),"-",IF(ABS(H1085-J1085*L1085)&gt;Info_Koperasi!$C$10,"SELISIH","OK")))</f>
        <v/>
      </c>
    </row>
    <row r="1086" customFormat="false" ht="15" hidden="false" customHeight="false" outlineLevel="0" collapsed="false">
      <c r="A1086" s="21"/>
      <c r="B1086" s="22"/>
      <c r="C1086" s="21"/>
      <c r="D1086" s="21"/>
      <c r="E1086" s="28"/>
      <c r="F1086" s="24"/>
      <c r="G1086" s="26"/>
      <c r="H1086" s="24"/>
      <c r="I1086" s="24"/>
      <c r="J1086" s="24"/>
      <c r="K1086" s="24"/>
      <c r="L1086" s="26"/>
      <c r="M1086" s="26"/>
      <c r="N1086" s="22"/>
      <c r="O1086" s="21"/>
      <c r="P1086" s="22"/>
      <c r="Q1086" s="29" t="str">
        <f aca="false">IF(C1086="","",IF(O1086&lt;&gt;"",O1086,IFERROR(INDEX(Produk!$J$2:$J$100,MATCH(C1086,Produk!$A$2:$A$100,0)),"PRODUK?")))</f>
        <v/>
      </c>
      <c r="R1086" s="29" t="str">
        <f aca="false">IF(A1086="","",IF(COUNTIF(Anggota!$A$2:$A$2001,A1086)=0,"TIDAK ADA","OK"))</f>
        <v/>
      </c>
      <c r="S1086" s="29" t="str">
        <f aca="false">IF(H1086="","",IF(OR(J1086="",L1086=""),"-",IF(ABS(H1086-J1086*L1086)&gt;Info_Koperasi!$C$10,"SELISIH","OK")))</f>
        <v/>
      </c>
    </row>
    <row r="1087" customFormat="false" ht="15" hidden="false" customHeight="false" outlineLevel="0" collapsed="false">
      <c r="A1087" s="21"/>
      <c r="B1087" s="22"/>
      <c r="C1087" s="21"/>
      <c r="D1087" s="21"/>
      <c r="E1087" s="28"/>
      <c r="F1087" s="24"/>
      <c r="G1087" s="26"/>
      <c r="H1087" s="24"/>
      <c r="I1087" s="24"/>
      <c r="J1087" s="24"/>
      <c r="K1087" s="24"/>
      <c r="L1087" s="26"/>
      <c r="M1087" s="26"/>
      <c r="N1087" s="22"/>
      <c r="O1087" s="21"/>
      <c r="P1087" s="22"/>
      <c r="Q1087" s="29" t="str">
        <f aca="false">IF(C1087="","",IF(O1087&lt;&gt;"",O1087,IFERROR(INDEX(Produk!$J$2:$J$100,MATCH(C1087,Produk!$A$2:$A$100,0)),"PRODUK?")))</f>
        <v/>
      </c>
      <c r="R1087" s="29" t="str">
        <f aca="false">IF(A1087="","",IF(COUNTIF(Anggota!$A$2:$A$2001,A1087)=0,"TIDAK ADA","OK"))</f>
        <v/>
      </c>
      <c r="S1087" s="29" t="str">
        <f aca="false">IF(H1087="","",IF(OR(J1087="",L1087=""),"-",IF(ABS(H1087-J1087*L1087)&gt;Info_Koperasi!$C$10,"SELISIH","OK")))</f>
        <v/>
      </c>
    </row>
    <row r="1088" customFormat="false" ht="15" hidden="false" customHeight="false" outlineLevel="0" collapsed="false">
      <c r="A1088" s="21"/>
      <c r="B1088" s="22"/>
      <c r="C1088" s="21"/>
      <c r="D1088" s="21"/>
      <c r="E1088" s="28"/>
      <c r="F1088" s="24"/>
      <c r="G1088" s="26"/>
      <c r="H1088" s="24"/>
      <c r="I1088" s="24"/>
      <c r="J1088" s="24"/>
      <c r="K1088" s="24"/>
      <c r="L1088" s="26"/>
      <c r="M1088" s="26"/>
      <c r="N1088" s="22"/>
      <c r="O1088" s="21"/>
      <c r="P1088" s="22"/>
      <c r="Q1088" s="29" t="str">
        <f aca="false">IF(C1088="","",IF(O1088&lt;&gt;"",O1088,IFERROR(INDEX(Produk!$J$2:$J$100,MATCH(C1088,Produk!$A$2:$A$100,0)),"PRODUK?")))</f>
        <v/>
      </c>
      <c r="R1088" s="29" t="str">
        <f aca="false">IF(A1088="","",IF(COUNTIF(Anggota!$A$2:$A$2001,A1088)=0,"TIDAK ADA","OK"))</f>
        <v/>
      </c>
      <c r="S1088" s="29" t="str">
        <f aca="false">IF(H1088="","",IF(OR(J1088="",L1088=""),"-",IF(ABS(H1088-J1088*L1088)&gt;Info_Koperasi!$C$10,"SELISIH","OK")))</f>
        <v/>
      </c>
    </row>
    <row r="1089" customFormat="false" ht="15" hidden="false" customHeight="false" outlineLevel="0" collapsed="false">
      <c r="A1089" s="21"/>
      <c r="B1089" s="22"/>
      <c r="C1089" s="21"/>
      <c r="D1089" s="21"/>
      <c r="E1089" s="28"/>
      <c r="F1089" s="24"/>
      <c r="G1089" s="26"/>
      <c r="H1089" s="24"/>
      <c r="I1089" s="24"/>
      <c r="J1089" s="24"/>
      <c r="K1089" s="24"/>
      <c r="L1089" s="26"/>
      <c r="M1089" s="26"/>
      <c r="N1089" s="22"/>
      <c r="O1089" s="21"/>
      <c r="P1089" s="22"/>
      <c r="Q1089" s="29" t="str">
        <f aca="false">IF(C1089="","",IF(O1089&lt;&gt;"",O1089,IFERROR(INDEX(Produk!$J$2:$J$100,MATCH(C1089,Produk!$A$2:$A$100,0)),"PRODUK?")))</f>
        <v/>
      </c>
      <c r="R1089" s="29" t="str">
        <f aca="false">IF(A1089="","",IF(COUNTIF(Anggota!$A$2:$A$2001,A1089)=0,"TIDAK ADA","OK"))</f>
        <v/>
      </c>
      <c r="S1089" s="29" t="str">
        <f aca="false">IF(H1089="","",IF(OR(J1089="",L1089=""),"-",IF(ABS(H1089-J1089*L1089)&gt;Info_Koperasi!$C$10,"SELISIH","OK")))</f>
        <v/>
      </c>
    </row>
    <row r="1090" customFormat="false" ht="15" hidden="false" customHeight="false" outlineLevel="0" collapsed="false">
      <c r="A1090" s="21"/>
      <c r="B1090" s="22"/>
      <c r="C1090" s="21"/>
      <c r="D1090" s="21"/>
      <c r="E1090" s="28"/>
      <c r="F1090" s="24"/>
      <c r="G1090" s="26"/>
      <c r="H1090" s="24"/>
      <c r="I1090" s="24"/>
      <c r="J1090" s="24"/>
      <c r="K1090" s="24"/>
      <c r="L1090" s="26"/>
      <c r="M1090" s="26"/>
      <c r="N1090" s="22"/>
      <c r="O1090" s="21"/>
      <c r="P1090" s="22"/>
      <c r="Q1090" s="29" t="str">
        <f aca="false">IF(C1090="","",IF(O1090&lt;&gt;"",O1090,IFERROR(INDEX(Produk!$J$2:$J$100,MATCH(C1090,Produk!$A$2:$A$100,0)),"PRODUK?")))</f>
        <v/>
      </c>
      <c r="R1090" s="29" t="str">
        <f aca="false">IF(A1090="","",IF(COUNTIF(Anggota!$A$2:$A$2001,A1090)=0,"TIDAK ADA","OK"))</f>
        <v/>
      </c>
      <c r="S1090" s="29" t="str">
        <f aca="false">IF(H1090="","",IF(OR(J1090="",L1090=""),"-",IF(ABS(H1090-J1090*L1090)&gt;Info_Koperasi!$C$10,"SELISIH","OK")))</f>
        <v/>
      </c>
    </row>
    <row r="1091" customFormat="false" ht="15" hidden="false" customHeight="false" outlineLevel="0" collapsed="false">
      <c r="A1091" s="21"/>
      <c r="B1091" s="22"/>
      <c r="C1091" s="21"/>
      <c r="D1091" s="21"/>
      <c r="E1091" s="28"/>
      <c r="F1091" s="24"/>
      <c r="G1091" s="26"/>
      <c r="H1091" s="24"/>
      <c r="I1091" s="24"/>
      <c r="J1091" s="24"/>
      <c r="K1091" s="24"/>
      <c r="L1091" s="26"/>
      <c r="M1091" s="26"/>
      <c r="N1091" s="22"/>
      <c r="O1091" s="21"/>
      <c r="P1091" s="22"/>
      <c r="Q1091" s="29" t="str">
        <f aca="false">IF(C1091="","",IF(O1091&lt;&gt;"",O1091,IFERROR(INDEX(Produk!$J$2:$J$100,MATCH(C1091,Produk!$A$2:$A$100,0)),"PRODUK?")))</f>
        <v/>
      </c>
      <c r="R1091" s="29" t="str">
        <f aca="false">IF(A1091="","",IF(COUNTIF(Anggota!$A$2:$A$2001,A1091)=0,"TIDAK ADA","OK"))</f>
        <v/>
      </c>
      <c r="S1091" s="29" t="str">
        <f aca="false">IF(H1091="","",IF(OR(J1091="",L1091=""),"-",IF(ABS(H1091-J1091*L1091)&gt;Info_Koperasi!$C$10,"SELISIH","OK")))</f>
        <v/>
      </c>
    </row>
    <row r="1092" customFormat="false" ht="15" hidden="false" customHeight="false" outlineLevel="0" collapsed="false">
      <c r="A1092" s="21"/>
      <c r="B1092" s="22"/>
      <c r="C1092" s="21"/>
      <c r="D1092" s="21"/>
      <c r="E1092" s="28"/>
      <c r="F1092" s="24"/>
      <c r="G1092" s="26"/>
      <c r="H1092" s="24"/>
      <c r="I1092" s="24"/>
      <c r="J1092" s="24"/>
      <c r="K1092" s="24"/>
      <c r="L1092" s="26"/>
      <c r="M1092" s="26"/>
      <c r="N1092" s="22"/>
      <c r="O1092" s="21"/>
      <c r="P1092" s="22"/>
      <c r="Q1092" s="29" t="str">
        <f aca="false">IF(C1092="","",IF(O1092&lt;&gt;"",O1092,IFERROR(INDEX(Produk!$J$2:$J$100,MATCH(C1092,Produk!$A$2:$A$100,0)),"PRODUK?")))</f>
        <v/>
      </c>
      <c r="R1092" s="29" t="str">
        <f aca="false">IF(A1092="","",IF(COUNTIF(Anggota!$A$2:$A$2001,A1092)=0,"TIDAK ADA","OK"))</f>
        <v/>
      </c>
      <c r="S1092" s="29" t="str">
        <f aca="false">IF(H1092="","",IF(OR(J1092="",L1092=""),"-",IF(ABS(H1092-J1092*L1092)&gt;Info_Koperasi!$C$10,"SELISIH","OK")))</f>
        <v/>
      </c>
    </row>
    <row r="1093" customFormat="false" ht="15" hidden="false" customHeight="false" outlineLevel="0" collapsed="false">
      <c r="A1093" s="21"/>
      <c r="B1093" s="22"/>
      <c r="C1093" s="21"/>
      <c r="D1093" s="21"/>
      <c r="E1093" s="28"/>
      <c r="F1093" s="24"/>
      <c r="G1093" s="26"/>
      <c r="H1093" s="24"/>
      <c r="I1093" s="24"/>
      <c r="J1093" s="24"/>
      <c r="K1093" s="24"/>
      <c r="L1093" s="26"/>
      <c r="M1093" s="26"/>
      <c r="N1093" s="22"/>
      <c r="O1093" s="21"/>
      <c r="P1093" s="22"/>
      <c r="Q1093" s="29" t="str">
        <f aca="false">IF(C1093="","",IF(O1093&lt;&gt;"",O1093,IFERROR(INDEX(Produk!$J$2:$J$100,MATCH(C1093,Produk!$A$2:$A$100,0)),"PRODUK?")))</f>
        <v/>
      </c>
      <c r="R1093" s="29" t="str">
        <f aca="false">IF(A1093="","",IF(COUNTIF(Anggota!$A$2:$A$2001,A1093)=0,"TIDAK ADA","OK"))</f>
        <v/>
      </c>
      <c r="S1093" s="29" t="str">
        <f aca="false">IF(H1093="","",IF(OR(J1093="",L1093=""),"-",IF(ABS(H1093-J1093*L1093)&gt;Info_Koperasi!$C$10,"SELISIH","OK")))</f>
        <v/>
      </c>
    </row>
    <row r="1094" customFormat="false" ht="15" hidden="false" customHeight="false" outlineLevel="0" collapsed="false">
      <c r="A1094" s="21"/>
      <c r="B1094" s="22"/>
      <c r="C1094" s="21"/>
      <c r="D1094" s="21"/>
      <c r="E1094" s="28"/>
      <c r="F1094" s="24"/>
      <c r="G1094" s="26"/>
      <c r="H1094" s="24"/>
      <c r="I1094" s="24"/>
      <c r="J1094" s="24"/>
      <c r="K1094" s="24"/>
      <c r="L1094" s="26"/>
      <c r="M1094" s="26"/>
      <c r="N1094" s="22"/>
      <c r="O1094" s="21"/>
      <c r="P1094" s="22"/>
      <c r="Q1094" s="29" t="str">
        <f aca="false">IF(C1094="","",IF(O1094&lt;&gt;"",O1094,IFERROR(INDEX(Produk!$J$2:$J$100,MATCH(C1094,Produk!$A$2:$A$100,0)),"PRODUK?")))</f>
        <v/>
      </c>
      <c r="R1094" s="29" t="str">
        <f aca="false">IF(A1094="","",IF(COUNTIF(Anggota!$A$2:$A$2001,A1094)=0,"TIDAK ADA","OK"))</f>
        <v/>
      </c>
      <c r="S1094" s="29" t="str">
        <f aca="false">IF(H1094="","",IF(OR(J1094="",L1094=""),"-",IF(ABS(H1094-J1094*L1094)&gt;Info_Koperasi!$C$10,"SELISIH","OK")))</f>
        <v/>
      </c>
    </row>
    <row r="1095" customFormat="false" ht="15" hidden="false" customHeight="false" outlineLevel="0" collapsed="false">
      <c r="A1095" s="21"/>
      <c r="B1095" s="22"/>
      <c r="C1095" s="21"/>
      <c r="D1095" s="21"/>
      <c r="E1095" s="28"/>
      <c r="F1095" s="24"/>
      <c r="G1095" s="26"/>
      <c r="H1095" s="24"/>
      <c r="I1095" s="24"/>
      <c r="J1095" s="24"/>
      <c r="K1095" s="24"/>
      <c r="L1095" s="26"/>
      <c r="M1095" s="26"/>
      <c r="N1095" s="22"/>
      <c r="O1095" s="21"/>
      <c r="P1095" s="22"/>
      <c r="Q1095" s="29" t="str">
        <f aca="false">IF(C1095="","",IF(O1095&lt;&gt;"",O1095,IFERROR(INDEX(Produk!$J$2:$J$100,MATCH(C1095,Produk!$A$2:$A$100,0)),"PRODUK?")))</f>
        <v/>
      </c>
      <c r="R1095" s="29" t="str">
        <f aca="false">IF(A1095="","",IF(COUNTIF(Anggota!$A$2:$A$2001,A1095)=0,"TIDAK ADA","OK"))</f>
        <v/>
      </c>
      <c r="S1095" s="29" t="str">
        <f aca="false">IF(H1095="","",IF(OR(J1095="",L1095=""),"-",IF(ABS(H1095-J1095*L1095)&gt;Info_Koperasi!$C$10,"SELISIH","OK")))</f>
        <v/>
      </c>
    </row>
    <row r="1096" customFormat="false" ht="15" hidden="false" customHeight="false" outlineLevel="0" collapsed="false">
      <c r="A1096" s="21"/>
      <c r="B1096" s="22"/>
      <c r="C1096" s="21"/>
      <c r="D1096" s="21"/>
      <c r="E1096" s="28"/>
      <c r="F1096" s="24"/>
      <c r="G1096" s="26"/>
      <c r="H1096" s="24"/>
      <c r="I1096" s="24"/>
      <c r="J1096" s="24"/>
      <c r="K1096" s="24"/>
      <c r="L1096" s="26"/>
      <c r="M1096" s="26"/>
      <c r="N1096" s="22"/>
      <c r="O1096" s="21"/>
      <c r="P1096" s="22"/>
      <c r="Q1096" s="29" t="str">
        <f aca="false">IF(C1096="","",IF(O1096&lt;&gt;"",O1096,IFERROR(INDEX(Produk!$J$2:$J$100,MATCH(C1096,Produk!$A$2:$A$100,0)),"PRODUK?")))</f>
        <v/>
      </c>
      <c r="R1096" s="29" t="str">
        <f aca="false">IF(A1096="","",IF(COUNTIF(Anggota!$A$2:$A$2001,A1096)=0,"TIDAK ADA","OK"))</f>
        <v/>
      </c>
      <c r="S1096" s="29" t="str">
        <f aca="false">IF(H1096="","",IF(OR(J1096="",L1096=""),"-",IF(ABS(H1096-J1096*L1096)&gt;Info_Koperasi!$C$10,"SELISIH","OK")))</f>
        <v/>
      </c>
    </row>
    <row r="1097" customFormat="false" ht="15" hidden="false" customHeight="false" outlineLevel="0" collapsed="false">
      <c r="A1097" s="21"/>
      <c r="B1097" s="22"/>
      <c r="C1097" s="21"/>
      <c r="D1097" s="21"/>
      <c r="E1097" s="28"/>
      <c r="F1097" s="24"/>
      <c r="G1097" s="26"/>
      <c r="H1097" s="24"/>
      <c r="I1097" s="24"/>
      <c r="J1097" s="24"/>
      <c r="K1097" s="24"/>
      <c r="L1097" s="26"/>
      <c r="M1097" s="26"/>
      <c r="N1097" s="22"/>
      <c r="O1097" s="21"/>
      <c r="P1097" s="22"/>
      <c r="Q1097" s="29" t="str">
        <f aca="false">IF(C1097="","",IF(O1097&lt;&gt;"",O1097,IFERROR(INDEX(Produk!$J$2:$J$100,MATCH(C1097,Produk!$A$2:$A$100,0)),"PRODUK?")))</f>
        <v/>
      </c>
      <c r="R1097" s="29" t="str">
        <f aca="false">IF(A1097="","",IF(COUNTIF(Anggota!$A$2:$A$2001,A1097)=0,"TIDAK ADA","OK"))</f>
        <v/>
      </c>
      <c r="S1097" s="29" t="str">
        <f aca="false">IF(H1097="","",IF(OR(J1097="",L1097=""),"-",IF(ABS(H1097-J1097*L1097)&gt;Info_Koperasi!$C$10,"SELISIH","OK")))</f>
        <v/>
      </c>
    </row>
    <row r="1098" customFormat="false" ht="15" hidden="false" customHeight="false" outlineLevel="0" collapsed="false">
      <c r="A1098" s="21"/>
      <c r="B1098" s="22"/>
      <c r="C1098" s="21"/>
      <c r="D1098" s="21"/>
      <c r="E1098" s="28"/>
      <c r="F1098" s="24"/>
      <c r="G1098" s="26"/>
      <c r="H1098" s="24"/>
      <c r="I1098" s="24"/>
      <c r="J1098" s="24"/>
      <c r="K1098" s="24"/>
      <c r="L1098" s="26"/>
      <c r="M1098" s="26"/>
      <c r="N1098" s="22"/>
      <c r="O1098" s="21"/>
      <c r="P1098" s="22"/>
      <c r="Q1098" s="29" t="str">
        <f aca="false">IF(C1098="","",IF(O1098&lt;&gt;"",O1098,IFERROR(INDEX(Produk!$J$2:$J$100,MATCH(C1098,Produk!$A$2:$A$100,0)),"PRODUK?")))</f>
        <v/>
      </c>
      <c r="R1098" s="29" t="str">
        <f aca="false">IF(A1098="","",IF(COUNTIF(Anggota!$A$2:$A$2001,A1098)=0,"TIDAK ADA","OK"))</f>
        <v/>
      </c>
      <c r="S1098" s="29" t="str">
        <f aca="false">IF(H1098="","",IF(OR(J1098="",L1098=""),"-",IF(ABS(H1098-J1098*L1098)&gt;Info_Koperasi!$C$10,"SELISIH","OK")))</f>
        <v/>
      </c>
    </row>
    <row r="1099" customFormat="false" ht="15" hidden="false" customHeight="false" outlineLevel="0" collapsed="false">
      <c r="A1099" s="21"/>
      <c r="B1099" s="22"/>
      <c r="C1099" s="21"/>
      <c r="D1099" s="21"/>
      <c r="E1099" s="28"/>
      <c r="F1099" s="24"/>
      <c r="G1099" s="26"/>
      <c r="H1099" s="24"/>
      <c r="I1099" s="24"/>
      <c r="J1099" s="24"/>
      <c r="K1099" s="24"/>
      <c r="L1099" s="26"/>
      <c r="M1099" s="26"/>
      <c r="N1099" s="22"/>
      <c r="O1099" s="21"/>
      <c r="P1099" s="22"/>
      <c r="Q1099" s="29" t="str">
        <f aca="false">IF(C1099="","",IF(O1099&lt;&gt;"",O1099,IFERROR(INDEX(Produk!$J$2:$J$100,MATCH(C1099,Produk!$A$2:$A$100,0)),"PRODUK?")))</f>
        <v/>
      </c>
      <c r="R1099" s="29" t="str">
        <f aca="false">IF(A1099="","",IF(COUNTIF(Anggota!$A$2:$A$2001,A1099)=0,"TIDAK ADA","OK"))</f>
        <v/>
      </c>
      <c r="S1099" s="29" t="str">
        <f aca="false">IF(H1099="","",IF(OR(J1099="",L1099=""),"-",IF(ABS(H1099-J1099*L1099)&gt;Info_Koperasi!$C$10,"SELISIH","OK")))</f>
        <v/>
      </c>
    </row>
    <row r="1100" customFormat="false" ht="15" hidden="false" customHeight="false" outlineLevel="0" collapsed="false">
      <c r="A1100" s="21"/>
      <c r="B1100" s="22"/>
      <c r="C1100" s="21"/>
      <c r="D1100" s="21"/>
      <c r="E1100" s="28"/>
      <c r="F1100" s="24"/>
      <c r="G1100" s="26"/>
      <c r="H1100" s="24"/>
      <c r="I1100" s="24"/>
      <c r="J1100" s="24"/>
      <c r="K1100" s="24"/>
      <c r="L1100" s="26"/>
      <c r="M1100" s="26"/>
      <c r="N1100" s="22"/>
      <c r="O1100" s="21"/>
      <c r="P1100" s="22"/>
      <c r="Q1100" s="29" t="str">
        <f aca="false">IF(C1100="","",IF(O1100&lt;&gt;"",O1100,IFERROR(INDEX(Produk!$J$2:$J$100,MATCH(C1100,Produk!$A$2:$A$100,0)),"PRODUK?")))</f>
        <v/>
      </c>
      <c r="R1100" s="29" t="str">
        <f aca="false">IF(A1100="","",IF(COUNTIF(Anggota!$A$2:$A$2001,A1100)=0,"TIDAK ADA","OK"))</f>
        <v/>
      </c>
      <c r="S1100" s="29" t="str">
        <f aca="false">IF(H1100="","",IF(OR(J1100="",L1100=""),"-",IF(ABS(H1100-J1100*L1100)&gt;Info_Koperasi!$C$10,"SELISIH","OK")))</f>
        <v/>
      </c>
    </row>
    <row r="1101" customFormat="false" ht="15" hidden="false" customHeight="false" outlineLevel="0" collapsed="false">
      <c r="A1101" s="21"/>
      <c r="B1101" s="22"/>
      <c r="C1101" s="21"/>
      <c r="D1101" s="21"/>
      <c r="E1101" s="28"/>
      <c r="F1101" s="24"/>
      <c r="G1101" s="26"/>
      <c r="H1101" s="24"/>
      <c r="I1101" s="24"/>
      <c r="J1101" s="24"/>
      <c r="K1101" s="24"/>
      <c r="L1101" s="26"/>
      <c r="M1101" s="26"/>
      <c r="N1101" s="22"/>
      <c r="O1101" s="21"/>
      <c r="P1101" s="22"/>
      <c r="Q1101" s="29" t="str">
        <f aca="false">IF(C1101="","",IF(O1101&lt;&gt;"",O1101,IFERROR(INDEX(Produk!$J$2:$J$100,MATCH(C1101,Produk!$A$2:$A$100,0)),"PRODUK?")))</f>
        <v/>
      </c>
      <c r="R1101" s="29" t="str">
        <f aca="false">IF(A1101="","",IF(COUNTIF(Anggota!$A$2:$A$2001,A1101)=0,"TIDAK ADA","OK"))</f>
        <v/>
      </c>
      <c r="S1101" s="29" t="str">
        <f aca="false">IF(H1101="","",IF(OR(J1101="",L1101=""),"-",IF(ABS(H1101-J1101*L1101)&gt;Info_Koperasi!$C$10,"SELISIH","OK")))</f>
        <v/>
      </c>
    </row>
    <row r="1102" customFormat="false" ht="15" hidden="false" customHeight="false" outlineLevel="0" collapsed="false">
      <c r="A1102" s="21"/>
      <c r="B1102" s="22"/>
      <c r="C1102" s="21"/>
      <c r="D1102" s="21"/>
      <c r="E1102" s="28"/>
      <c r="F1102" s="24"/>
      <c r="G1102" s="26"/>
      <c r="H1102" s="24"/>
      <c r="I1102" s="24"/>
      <c r="J1102" s="24"/>
      <c r="K1102" s="24"/>
      <c r="L1102" s="26"/>
      <c r="M1102" s="26"/>
      <c r="N1102" s="22"/>
      <c r="O1102" s="21"/>
      <c r="P1102" s="22"/>
      <c r="Q1102" s="29" t="str">
        <f aca="false">IF(C1102="","",IF(O1102&lt;&gt;"",O1102,IFERROR(INDEX(Produk!$J$2:$J$100,MATCH(C1102,Produk!$A$2:$A$100,0)),"PRODUK?")))</f>
        <v/>
      </c>
      <c r="R1102" s="29" t="str">
        <f aca="false">IF(A1102="","",IF(COUNTIF(Anggota!$A$2:$A$2001,A1102)=0,"TIDAK ADA","OK"))</f>
        <v/>
      </c>
      <c r="S1102" s="29" t="str">
        <f aca="false">IF(H1102="","",IF(OR(J1102="",L1102=""),"-",IF(ABS(H1102-J1102*L1102)&gt;Info_Koperasi!$C$10,"SELISIH","OK")))</f>
        <v/>
      </c>
    </row>
    <row r="1103" customFormat="false" ht="15" hidden="false" customHeight="false" outlineLevel="0" collapsed="false">
      <c r="A1103" s="21"/>
      <c r="B1103" s="22"/>
      <c r="C1103" s="21"/>
      <c r="D1103" s="21"/>
      <c r="E1103" s="28"/>
      <c r="F1103" s="24"/>
      <c r="G1103" s="26"/>
      <c r="H1103" s="24"/>
      <c r="I1103" s="24"/>
      <c r="J1103" s="24"/>
      <c r="K1103" s="24"/>
      <c r="L1103" s="26"/>
      <c r="M1103" s="26"/>
      <c r="N1103" s="22"/>
      <c r="O1103" s="21"/>
      <c r="P1103" s="22"/>
      <c r="Q1103" s="29" t="str">
        <f aca="false">IF(C1103="","",IF(O1103&lt;&gt;"",O1103,IFERROR(INDEX(Produk!$J$2:$J$100,MATCH(C1103,Produk!$A$2:$A$100,0)),"PRODUK?")))</f>
        <v/>
      </c>
      <c r="R1103" s="29" t="str">
        <f aca="false">IF(A1103="","",IF(COUNTIF(Anggota!$A$2:$A$2001,A1103)=0,"TIDAK ADA","OK"))</f>
        <v/>
      </c>
      <c r="S1103" s="29" t="str">
        <f aca="false">IF(H1103="","",IF(OR(J1103="",L1103=""),"-",IF(ABS(H1103-J1103*L1103)&gt;Info_Koperasi!$C$10,"SELISIH","OK")))</f>
        <v/>
      </c>
    </row>
    <row r="1104" customFormat="false" ht="15" hidden="false" customHeight="false" outlineLevel="0" collapsed="false">
      <c r="A1104" s="21"/>
      <c r="B1104" s="22"/>
      <c r="C1104" s="21"/>
      <c r="D1104" s="21"/>
      <c r="E1104" s="28"/>
      <c r="F1104" s="24"/>
      <c r="G1104" s="26"/>
      <c r="H1104" s="24"/>
      <c r="I1104" s="24"/>
      <c r="J1104" s="24"/>
      <c r="K1104" s="24"/>
      <c r="L1104" s="26"/>
      <c r="M1104" s="26"/>
      <c r="N1104" s="22"/>
      <c r="O1104" s="21"/>
      <c r="P1104" s="22"/>
      <c r="Q1104" s="29" t="str">
        <f aca="false">IF(C1104="","",IF(O1104&lt;&gt;"",O1104,IFERROR(INDEX(Produk!$J$2:$J$100,MATCH(C1104,Produk!$A$2:$A$100,0)),"PRODUK?")))</f>
        <v/>
      </c>
      <c r="R1104" s="29" t="str">
        <f aca="false">IF(A1104="","",IF(COUNTIF(Anggota!$A$2:$A$2001,A1104)=0,"TIDAK ADA","OK"))</f>
        <v/>
      </c>
      <c r="S1104" s="29" t="str">
        <f aca="false">IF(H1104="","",IF(OR(J1104="",L1104=""),"-",IF(ABS(H1104-J1104*L1104)&gt;Info_Koperasi!$C$10,"SELISIH","OK")))</f>
        <v/>
      </c>
    </row>
    <row r="1105" customFormat="false" ht="15" hidden="false" customHeight="false" outlineLevel="0" collapsed="false">
      <c r="A1105" s="21"/>
      <c r="B1105" s="22"/>
      <c r="C1105" s="21"/>
      <c r="D1105" s="21"/>
      <c r="E1105" s="28"/>
      <c r="F1105" s="24"/>
      <c r="G1105" s="26"/>
      <c r="H1105" s="24"/>
      <c r="I1105" s="24"/>
      <c r="J1105" s="24"/>
      <c r="K1105" s="24"/>
      <c r="L1105" s="26"/>
      <c r="M1105" s="26"/>
      <c r="N1105" s="22"/>
      <c r="O1105" s="21"/>
      <c r="P1105" s="22"/>
      <c r="Q1105" s="29" t="str">
        <f aca="false">IF(C1105="","",IF(O1105&lt;&gt;"",O1105,IFERROR(INDEX(Produk!$J$2:$J$100,MATCH(C1105,Produk!$A$2:$A$100,0)),"PRODUK?")))</f>
        <v/>
      </c>
      <c r="R1105" s="29" t="str">
        <f aca="false">IF(A1105="","",IF(COUNTIF(Anggota!$A$2:$A$2001,A1105)=0,"TIDAK ADA","OK"))</f>
        <v/>
      </c>
      <c r="S1105" s="29" t="str">
        <f aca="false">IF(H1105="","",IF(OR(J1105="",L1105=""),"-",IF(ABS(H1105-J1105*L1105)&gt;Info_Koperasi!$C$10,"SELISIH","OK")))</f>
        <v/>
      </c>
    </row>
    <row r="1106" customFormat="false" ht="15" hidden="false" customHeight="false" outlineLevel="0" collapsed="false">
      <c r="A1106" s="21"/>
      <c r="B1106" s="22"/>
      <c r="C1106" s="21"/>
      <c r="D1106" s="21"/>
      <c r="E1106" s="28"/>
      <c r="F1106" s="24"/>
      <c r="G1106" s="26"/>
      <c r="H1106" s="24"/>
      <c r="I1106" s="24"/>
      <c r="J1106" s="24"/>
      <c r="K1106" s="24"/>
      <c r="L1106" s="26"/>
      <c r="M1106" s="26"/>
      <c r="N1106" s="22"/>
      <c r="O1106" s="21"/>
      <c r="P1106" s="22"/>
      <c r="Q1106" s="29" t="str">
        <f aca="false">IF(C1106="","",IF(O1106&lt;&gt;"",O1106,IFERROR(INDEX(Produk!$J$2:$J$100,MATCH(C1106,Produk!$A$2:$A$100,0)),"PRODUK?")))</f>
        <v/>
      </c>
      <c r="R1106" s="29" t="str">
        <f aca="false">IF(A1106="","",IF(COUNTIF(Anggota!$A$2:$A$2001,A1106)=0,"TIDAK ADA","OK"))</f>
        <v/>
      </c>
      <c r="S1106" s="29" t="str">
        <f aca="false">IF(H1106="","",IF(OR(J1106="",L1106=""),"-",IF(ABS(H1106-J1106*L1106)&gt;Info_Koperasi!$C$10,"SELISIH","OK")))</f>
        <v/>
      </c>
    </row>
    <row r="1107" customFormat="false" ht="15" hidden="false" customHeight="false" outlineLevel="0" collapsed="false">
      <c r="A1107" s="21"/>
      <c r="B1107" s="22"/>
      <c r="C1107" s="21"/>
      <c r="D1107" s="21"/>
      <c r="E1107" s="28"/>
      <c r="F1107" s="24"/>
      <c r="G1107" s="26"/>
      <c r="H1107" s="24"/>
      <c r="I1107" s="24"/>
      <c r="J1107" s="24"/>
      <c r="K1107" s="24"/>
      <c r="L1107" s="26"/>
      <c r="M1107" s="26"/>
      <c r="N1107" s="22"/>
      <c r="O1107" s="21"/>
      <c r="P1107" s="22"/>
      <c r="Q1107" s="29" t="str">
        <f aca="false">IF(C1107="","",IF(O1107&lt;&gt;"",O1107,IFERROR(INDEX(Produk!$J$2:$J$100,MATCH(C1107,Produk!$A$2:$A$100,0)),"PRODUK?")))</f>
        <v/>
      </c>
      <c r="R1107" s="29" t="str">
        <f aca="false">IF(A1107="","",IF(COUNTIF(Anggota!$A$2:$A$2001,A1107)=0,"TIDAK ADA","OK"))</f>
        <v/>
      </c>
      <c r="S1107" s="29" t="str">
        <f aca="false">IF(H1107="","",IF(OR(J1107="",L1107=""),"-",IF(ABS(H1107-J1107*L1107)&gt;Info_Koperasi!$C$10,"SELISIH","OK")))</f>
        <v/>
      </c>
    </row>
    <row r="1108" customFormat="false" ht="15" hidden="false" customHeight="false" outlineLevel="0" collapsed="false">
      <c r="A1108" s="21"/>
      <c r="B1108" s="22"/>
      <c r="C1108" s="21"/>
      <c r="D1108" s="21"/>
      <c r="E1108" s="28"/>
      <c r="F1108" s="24"/>
      <c r="G1108" s="26"/>
      <c r="H1108" s="24"/>
      <c r="I1108" s="24"/>
      <c r="J1108" s="24"/>
      <c r="K1108" s="24"/>
      <c r="L1108" s="26"/>
      <c r="M1108" s="26"/>
      <c r="N1108" s="22"/>
      <c r="O1108" s="21"/>
      <c r="P1108" s="22"/>
      <c r="Q1108" s="29" t="str">
        <f aca="false">IF(C1108="","",IF(O1108&lt;&gt;"",O1108,IFERROR(INDEX(Produk!$J$2:$J$100,MATCH(C1108,Produk!$A$2:$A$100,0)),"PRODUK?")))</f>
        <v/>
      </c>
      <c r="R1108" s="29" t="str">
        <f aca="false">IF(A1108="","",IF(COUNTIF(Anggota!$A$2:$A$2001,A1108)=0,"TIDAK ADA","OK"))</f>
        <v/>
      </c>
      <c r="S1108" s="29" t="str">
        <f aca="false">IF(H1108="","",IF(OR(J1108="",L1108=""),"-",IF(ABS(H1108-J1108*L1108)&gt;Info_Koperasi!$C$10,"SELISIH","OK")))</f>
        <v/>
      </c>
    </row>
    <row r="1109" customFormat="false" ht="15" hidden="false" customHeight="false" outlineLevel="0" collapsed="false">
      <c r="A1109" s="21"/>
      <c r="B1109" s="22"/>
      <c r="C1109" s="21"/>
      <c r="D1109" s="21"/>
      <c r="E1109" s="28"/>
      <c r="F1109" s="24"/>
      <c r="G1109" s="26"/>
      <c r="H1109" s="24"/>
      <c r="I1109" s="24"/>
      <c r="J1109" s="24"/>
      <c r="K1109" s="24"/>
      <c r="L1109" s="26"/>
      <c r="M1109" s="26"/>
      <c r="N1109" s="22"/>
      <c r="O1109" s="21"/>
      <c r="P1109" s="22"/>
      <c r="Q1109" s="29" t="str">
        <f aca="false">IF(C1109="","",IF(O1109&lt;&gt;"",O1109,IFERROR(INDEX(Produk!$J$2:$J$100,MATCH(C1109,Produk!$A$2:$A$100,0)),"PRODUK?")))</f>
        <v/>
      </c>
      <c r="R1109" s="29" t="str">
        <f aca="false">IF(A1109="","",IF(COUNTIF(Anggota!$A$2:$A$2001,A1109)=0,"TIDAK ADA","OK"))</f>
        <v/>
      </c>
      <c r="S1109" s="29" t="str">
        <f aca="false">IF(H1109="","",IF(OR(J1109="",L1109=""),"-",IF(ABS(H1109-J1109*L1109)&gt;Info_Koperasi!$C$10,"SELISIH","OK")))</f>
        <v/>
      </c>
    </row>
    <row r="1110" customFormat="false" ht="15" hidden="false" customHeight="false" outlineLevel="0" collapsed="false">
      <c r="A1110" s="21"/>
      <c r="B1110" s="22"/>
      <c r="C1110" s="21"/>
      <c r="D1110" s="21"/>
      <c r="E1110" s="28"/>
      <c r="F1110" s="24"/>
      <c r="G1110" s="26"/>
      <c r="H1110" s="24"/>
      <c r="I1110" s="24"/>
      <c r="J1110" s="24"/>
      <c r="K1110" s="24"/>
      <c r="L1110" s="26"/>
      <c r="M1110" s="26"/>
      <c r="N1110" s="22"/>
      <c r="O1110" s="21"/>
      <c r="P1110" s="22"/>
      <c r="Q1110" s="29" t="str">
        <f aca="false">IF(C1110="","",IF(O1110&lt;&gt;"",O1110,IFERROR(INDEX(Produk!$J$2:$J$100,MATCH(C1110,Produk!$A$2:$A$100,0)),"PRODUK?")))</f>
        <v/>
      </c>
      <c r="R1110" s="29" t="str">
        <f aca="false">IF(A1110="","",IF(COUNTIF(Anggota!$A$2:$A$2001,A1110)=0,"TIDAK ADA","OK"))</f>
        <v/>
      </c>
      <c r="S1110" s="29" t="str">
        <f aca="false">IF(H1110="","",IF(OR(J1110="",L1110=""),"-",IF(ABS(H1110-J1110*L1110)&gt;Info_Koperasi!$C$10,"SELISIH","OK")))</f>
        <v/>
      </c>
    </row>
    <row r="1111" customFormat="false" ht="15" hidden="false" customHeight="false" outlineLevel="0" collapsed="false">
      <c r="A1111" s="21"/>
      <c r="B1111" s="22"/>
      <c r="C1111" s="21"/>
      <c r="D1111" s="21"/>
      <c r="E1111" s="28"/>
      <c r="F1111" s="24"/>
      <c r="G1111" s="26"/>
      <c r="H1111" s="24"/>
      <c r="I1111" s="24"/>
      <c r="J1111" s="24"/>
      <c r="K1111" s="24"/>
      <c r="L1111" s="26"/>
      <c r="M1111" s="26"/>
      <c r="N1111" s="22"/>
      <c r="O1111" s="21"/>
      <c r="P1111" s="22"/>
      <c r="Q1111" s="29" t="str">
        <f aca="false">IF(C1111="","",IF(O1111&lt;&gt;"",O1111,IFERROR(INDEX(Produk!$J$2:$J$100,MATCH(C1111,Produk!$A$2:$A$100,0)),"PRODUK?")))</f>
        <v/>
      </c>
      <c r="R1111" s="29" t="str">
        <f aca="false">IF(A1111="","",IF(COUNTIF(Anggota!$A$2:$A$2001,A1111)=0,"TIDAK ADA","OK"))</f>
        <v/>
      </c>
      <c r="S1111" s="29" t="str">
        <f aca="false">IF(H1111="","",IF(OR(J1111="",L1111=""),"-",IF(ABS(H1111-J1111*L1111)&gt;Info_Koperasi!$C$10,"SELISIH","OK")))</f>
        <v/>
      </c>
    </row>
    <row r="1112" customFormat="false" ht="15" hidden="false" customHeight="false" outlineLevel="0" collapsed="false">
      <c r="A1112" s="21"/>
      <c r="B1112" s="22"/>
      <c r="C1112" s="21"/>
      <c r="D1112" s="21"/>
      <c r="E1112" s="28"/>
      <c r="F1112" s="24"/>
      <c r="G1112" s="26"/>
      <c r="H1112" s="24"/>
      <c r="I1112" s="24"/>
      <c r="J1112" s="24"/>
      <c r="K1112" s="24"/>
      <c r="L1112" s="26"/>
      <c r="M1112" s="26"/>
      <c r="N1112" s="22"/>
      <c r="O1112" s="21"/>
      <c r="P1112" s="22"/>
      <c r="Q1112" s="29" t="str">
        <f aca="false">IF(C1112="","",IF(O1112&lt;&gt;"",O1112,IFERROR(INDEX(Produk!$J$2:$J$100,MATCH(C1112,Produk!$A$2:$A$100,0)),"PRODUK?")))</f>
        <v/>
      </c>
      <c r="R1112" s="29" t="str">
        <f aca="false">IF(A1112="","",IF(COUNTIF(Anggota!$A$2:$A$2001,A1112)=0,"TIDAK ADA","OK"))</f>
        <v/>
      </c>
      <c r="S1112" s="29" t="str">
        <f aca="false">IF(H1112="","",IF(OR(J1112="",L1112=""),"-",IF(ABS(H1112-J1112*L1112)&gt;Info_Koperasi!$C$10,"SELISIH","OK")))</f>
        <v/>
      </c>
    </row>
    <row r="1113" customFormat="false" ht="15" hidden="false" customHeight="false" outlineLevel="0" collapsed="false">
      <c r="A1113" s="21"/>
      <c r="B1113" s="22"/>
      <c r="C1113" s="21"/>
      <c r="D1113" s="21"/>
      <c r="E1113" s="28"/>
      <c r="F1113" s="24"/>
      <c r="G1113" s="26"/>
      <c r="H1113" s="24"/>
      <c r="I1113" s="24"/>
      <c r="J1113" s="24"/>
      <c r="K1113" s="24"/>
      <c r="L1113" s="26"/>
      <c r="M1113" s="26"/>
      <c r="N1113" s="22"/>
      <c r="O1113" s="21"/>
      <c r="P1113" s="22"/>
      <c r="Q1113" s="29" t="str">
        <f aca="false">IF(C1113="","",IF(O1113&lt;&gt;"",O1113,IFERROR(INDEX(Produk!$J$2:$J$100,MATCH(C1113,Produk!$A$2:$A$100,0)),"PRODUK?")))</f>
        <v/>
      </c>
      <c r="R1113" s="29" t="str">
        <f aca="false">IF(A1113="","",IF(COUNTIF(Anggota!$A$2:$A$2001,A1113)=0,"TIDAK ADA","OK"))</f>
        <v/>
      </c>
      <c r="S1113" s="29" t="str">
        <f aca="false">IF(H1113="","",IF(OR(J1113="",L1113=""),"-",IF(ABS(H1113-J1113*L1113)&gt;Info_Koperasi!$C$10,"SELISIH","OK")))</f>
        <v/>
      </c>
    </row>
    <row r="1114" customFormat="false" ht="15" hidden="false" customHeight="false" outlineLevel="0" collapsed="false">
      <c r="A1114" s="21"/>
      <c r="B1114" s="22"/>
      <c r="C1114" s="21"/>
      <c r="D1114" s="21"/>
      <c r="E1114" s="28"/>
      <c r="F1114" s="24"/>
      <c r="G1114" s="26"/>
      <c r="H1114" s="24"/>
      <c r="I1114" s="24"/>
      <c r="J1114" s="24"/>
      <c r="K1114" s="24"/>
      <c r="L1114" s="26"/>
      <c r="M1114" s="26"/>
      <c r="N1114" s="22"/>
      <c r="O1114" s="21"/>
      <c r="P1114" s="22"/>
      <c r="Q1114" s="29" t="str">
        <f aca="false">IF(C1114="","",IF(O1114&lt;&gt;"",O1114,IFERROR(INDEX(Produk!$J$2:$J$100,MATCH(C1114,Produk!$A$2:$A$100,0)),"PRODUK?")))</f>
        <v/>
      </c>
      <c r="R1114" s="29" t="str">
        <f aca="false">IF(A1114="","",IF(COUNTIF(Anggota!$A$2:$A$2001,A1114)=0,"TIDAK ADA","OK"))</f>
        <v/>
      </c>
      <c r="S1114" s="29" t="str">
        <f aca="false">IF(H1114="","",IF(OR(J1114="",L1114=""),"-",IF(ABS(H1114-J1114*L1114)&gt;Info_Koperasi!$C$10,"SELISIH","OK")))</f>
        <v/>
      </c>
    </row>
    <row r="1115" customFormat="false" ht="15" hidden="false" customHeight="false" outlineLevel="0" collapsed="false">
      <c r="A1115" s="21"/>
      <c r="B1115" s="22"/>
      <c r="C1115" s="21"/>
      <c r="D1115" s="21"/>
      <c r="E1115" s="28"/>
      <c r="F1115" s="24"/>
      <c r="G1115" s="26"/>
      <c r="H1115" s="24"/>
      <c r="I1115" s="24"/>
      <c r="J1115" s="24"/>
      <c r="K1115" s="24"/>
      <c r="L1115" s="26"/>
      <c r="M1115" s="26"/>
      <c r="N1115" s="22"/>
      <c r="O1115" s="21"/>
      <c r="P1115" s="22"/>
      <c r="Q1115" s="29" t="str">
        <f aca="false">IF(C1115="","",IF(O1115&lt;&gt;"",O1115,IFERROR(INDEX(Produk!$J$2:$J$100,MATCH(C1115,Produk!$A$2:$A$100,0)),"PRODUK?")))</f>
        <v/>
      </c>
      <c r="R1115" s="29" t="str">
        <f aca="false">IF(A1115="","",IF(COUNTIF(Anggota!$A$2:$A$2001,A1115)=0,"TIDAK ADA","OK"))</f>
        <v/>
      </c>
      <c r="S1115" s="29" t="str">
        <f aca="false">IF(H1115="","",IF(OR(J1115="",L1115=""),"-",IF(ABS(H1115-J1115*L1115)&gt;Info_Koperasi!$C$10,"SELISIH","OK")))</f>
        <v/>
      </c>
    </row>
    <row r="1116" customFormat="false" ht="15" hidden="false" customHeight="false" outlineLevel="0" collapsed="false">
      <c r="A1116" s="21"/>
      <c r="B1116" s="22"/>
      <c r="C1116" s="21"/>
      <c r="D1116" s="21"/>
      <c r="E1116" s="28"/>
      <c r="F1116" s="24"/>
      <c r="G1116" s="26"/>
      <c r="H1116" s="24"/>
      <c r="I1116" s="24"/>
      <c r="J1116" s="24"/>
      <c r="K1116" s="24"/>
      <c r="L1116" s="26"/>
      <c r="M1116" s="26"/>
      <c r="N1116" s="22"/>
      <c r="O1116" s="21"/>
      <c r="P1116" s="22"/>
      <c r="Q1116" s="29" t="str">
        <f aca="false">IF(C1116="","",IF(O1116&lt;&gt;"",O1116,IFERROR(INDEX(Produk!$J$2:$J$100,MATCH(C1116,Produk!$A$2:$A$100,0)),"PRODUK?")))</f>
        <v/>
      </c>
      <c r="R1116" s="29" t="str">
        <f aca="false">IF(A1116="","",IF(COUNTIF(Anggota!$A$2:$A$2001,A1116)=0,"TIDAK ADA","OK"))</f>
        <v/>
      </c>
      <c r="S1116" s="29" t="str">
        <f aca="false">IF(H1116="","",IF(OR(J1116="",L1116=""),"-",IF(ABS(H1116-J1116*L1116)&gt;Info_Koperasi!$C$10,"SELISIH","OK")))</f>
        <v/>
      </c>
    </row>
    <row r="1117" customFormat="false" ht="15" hidden="false" customHeight="false" outlineLevel="0" collapsed="false">
      <c r="A1117" s="21"/>
      <c r="B1117" s="22"/>
      <c r="C1117" s="21"/>
      <c r="D1117" s="21"/>
      <c r="E1117" s="28"/>
      <c r="F1117" s="24"/>
      <c r="G1117" s="26"/>
      <c r="H1117" s="24"/>
      <c r="I1117" s="24"/>
      <c r="J1117" s="24"/>
      <c r="K1117" s="24"/>
      <c r="L1117" s="26"/>
      <c r="M1117" s="26"/>
      <c r="N1117" s="22"/>
      <c r="O1117" s="21"/>
      <c r="P1117" s="22"/>
      <c r="Q1117" s="29" t="str">
        <f aca="false">IF(C1117="","",IF(O1117&lt;&gt;"",O1117,IFERROR(INDEX(Produk!$J$2:$J$100,MATCH(C1117,Produk!$A$2:$A$100,0)),"PRODUK?")))</f>
        <v/>
      </c>
      <c r="R1117" s="29" t="str">
        <f aca="false">IF(A1117="","",IF(COUNTIF(Anggota!$A$2:$A$2001,A1117)=0,"TIDAK ADA","OK"))</f>
        <v/>
      </c>
      <c r="S1117" s="29" t="str">
        <f aca="false">IF(H1117="","",IF(OR(J1117="",L1117=""),"-",IF(ABS(H1117-J1117*L1117)&gt;Info_Koperasi!$C$10,"SELISIH","OK")))</f>
        <v/>
      </c>
    </row>
    <row r="1118" customFormat="false" ht="15" hidden="false" customHeight="false" outlineLevel="0" collapsed="false">
      <c r="A1118" s="21"/>
      <c r="B1118" s="22"/>
      <c r="C1118" s="21"/>
      <c r="D1118" s="21"/>
      <c r="E1118" s="28"/>
      <c r="F1118" s="24"/>
      <c r="G1118" s="26"/>
      <c r="H1118" s="24"/>
      <c r="I1118" s="24"/>
      <c r="J1118" s="24"/>
      <c r="K1118" s="24"/>
      <c r="L1118" s="26"/>
      <c r="M1118" s="26"/>
      <c r="N1118" s="22"/>
      <c r="O1118" s="21"/>
      <c r="P1118" s="22"/>
      <c r="Q1118" s="29" t="str">
        <f aca="false">IF(C1118="","",IF(O1118&lt;&gt;"",O1118,IFERROR(INDEX(Produk!$J$2:$J$100,MATCH(C1118,Produk!$A$2:$A$100,0)),"PRODUK?")))</f>
        <v/>
      </c>
      <c r="R1118" s="29" t="str">
        <f aca="false">IF(A1118="","",IF(COUNTIF(Anggota!$A$2:$A$2001,A1118)=0,"TIDAK ADA","OK"))</f>
        <v/>
      </c>
      <c r="S1118" s="29" t="str">
        <f aca="false">IF(H1118="","",IF(OR(J1118="",L1118=""),"-",IF(ABS(H1118-J1118*L1118)&gt;Info_Koperasi!$C$10,"SELISIH","OK")))</f>
        <v/>
      </c>
    </row>
    <row r="1119" customFormat="false" ht="15" hidden="false" customHeight="false" outlineLevel="0" collapsed="false">
      <c r="A1119" s="21"/>
      <c r="B1119" s="22"/>
      <c r="C1119" s="21"/>
      <c r="D1119" s="21"/>
      <c r="E1119" s="28"/>
      <c r="F1119" s="24"/>
      <c r="G1119" s="26"/>
      <c r="H1119" s="24"/>
      <c r="I1119" s="24"/>
      <c r="J1119" s="24"/>
      <c r="K1119" s="24"/>
      <c r="L1119" s="26"/>
      <c r="M1119" s="26"/>
      <c r="N1119" s="22"/>
      <c r="O1119" s="21"/>
      <c r="P1119" s="22"/>
      <c r="Q1119" s="29" t="str">
        <f aca="false">IF(C1119="","",IF(O1119&lt;&gt;"",O1119,IFERROR(INDEX(Produk!$J$2:$J$100,MATCH(C1119,Produk!$A$2:$A$100,0)),"PRODUK?")))</f>
        <v/>
      </c>
      <c r="R1119" s="29" t="str">
        <f aca="false">IF(A1119="","",IF(COUNTIF(Anggota!$A$2:$A$2001,A1119)=0,"TIDAK ADA","OK"))</f>
        <v/>
      </c>
      <c r="S1119" s="29" t="str">
        <f aca="false">IF(H1119="","",IF(OR(J1119="",L1119=""),"-",IF(ABS(H1119-J1119*L1119)&gt;Info_Koperasi!$C$10,"SELISIH","OK")))</f>
        <v/>
      </c>
    </row>
    <row r="1120" customFormat="false" ht="15" hidden="false" customHeight="false" outlineLevel="0" collapsed="false">
      <c r="A1120" s="21"/>
      <c r="B1120" s="22"/>
      <c r="C1120" s="21"/>
      <c r="D1120" s="21"/>
      <c r="E1120" s="28"/>
      <c r="F1120" s="24"/>
      <c r="G1120" s="26"/>
      <c r="H1120" s="24"/>
      <c r="I1120" s="24"/>
      <c r="J1120" s="24"/>
      <c r="K1120" s="24"/>
      <c r="L1120" s="26"/>
      <c r="M1120" s="26"/>
      <c r="N1120" s="22"/>
      <c r="O1120" s="21"/>
      <c r="P1120" s="22"/>
      <c r="Q1120" s="29" t="str">
        <f aca="false">IF(C1120="","",IF(O1120&lt;&gt;"",O1120,IFERROR(INDEX(Produk!$J$2:$J$100,MATCH(C1120,Produk!$A$2:$A$100,0)),"PRODUK?")))</f>
        <v/>
      </c>
      <c r="R1120" s="29" t="str">
        <f aca="false">IF(A1120="","",IF(COUNTIF(Anggota!$A$2:$A$2001,A1120)=0,"TIDAK ADA","OK"))</f>
        <v/>
      </c>
      <c r="S1120" s="29" t="str">
        <f aca="false">IF(H1120="","",IF(OR(J1120="",L1120=""),"-",IF(ABS(H1120-J1120*L1120)&gt;Info_Koperasi!$C$10,"SELISIH","OK")))</f>
        <v/>
      </c>
    </row>
    <row r="1121" customFormat="false" ht="15" hidden="false" customHeight="false" outlineLevel="0" collapsed="false">
      <c r="A1121" s="21"/>
      <c r="B1121" s="22"/>
      <c r="C1121" s="21"/>
      <c r="D1121" s="21"/>
      <c r="E1121" s="28"/>
      <c r="F1121" s="24"/>
      <c r="G1121" s="26"/>
      <c r="H1121" s="24"/>
      <c r="I1121" s="24"/>
      <c r="J1121" s="24"/>
      <c r="K1121" s="24"/>
      <c r="L1121" s="26"/>
      <c r="M1121" s="26"/>
      <c r="N1121" s="22"/>
      <c r="O1121" s="21"/>
      <c r="P1121" s="22"/>
      <c r="Q1121" s="29" t="str">
        <f aca="false">IF(C1121="","",IF(O1121&lt;&gt;"",O1121,IFERROR(INDEX(Produk!$J$2:$J$100,MATCH(C1121,Produk!$A$2:$A$100,0)),"PRODUK?")))</f>
        <v/>
      </c>
      <c r="R1121" s="29" t="str">
        <f aca="false">IF(A1121="","",IF(COUNTIF(Anggota!$A$2:$A$2001,A1121)=0,"TIDAK ADA","OK"))</f>
        <v/>
      </c>
      <c r="S1121" s="29" t="str">
        <f aca="false">IF(H1121="","",IF(OR(J1121="",L1121=""),"-",IF(ABS(H1121-J1121*L1121)&gt;Info_Koperasi!$C$10,"SELISIH","OK")))</f>
        <v/>
      </c>
    </row>
    <row r="1122" customFormat="false" ht="15" hidden="false" customHeight="false" outlineLevel="0" collapsed="false">
      <c r="A1122" s="21"/>
      <c r="B1122" s="22"/>
      <c r="C1122" s="21"/>
      <c r="D1122" s="21"/>
      <c r="E1122" s="28"/>
      <c r="F1122" s="24"/>
      <c r="G1122" s="26"/>
      <c r="H1122" s="24"/>
      <c r="I1122" s="24"/>
      <c r="J1122" s="24"/>
      <c r="K1122" s="24"/>
      <c r="L1122" s="26"/>
      <c r="M1122" s="26"/>
      <c r="N1122" s="22"/>
      <c r="O1122" s="21"/>
      <c r="P1122" s="22"/>
      <c r="Q1122" s="29" t="str">
        <f aca="false">IF(C1122="","",IF(O1122&lt;&gt;"",O1122,IFERROR(INDEX(Produk!$J$2:$J$100,MATCH(C1122,Produk!$A$2:$A$100,0)),"PRODUK?")))</f>
        <v/>
      </c>
      <c r="R1122" s="29" t="str">
        <f aca="false">IF(A1122="","",IF(COUNTIF(Anggota!$A$2:$A$2001,A1122)=0,"TIDAK ADA","OK"))</f>
        <v/>
      </c>
      <c r="S1122" s="29" t="str">
        <f aca="false">IF(H1122="","",IF(OR(J1122="",L1122=""),"-",IF(ABS(H1122-J1122*L1122)&gt;Info_Koperasi!$C$10,"SELISIH","OK")))</f>
        <v/>
      </c>
    </row>
    <row r="1123" customFormat="false" ht="15" hidden="false" customHeight="false" outlineLevel="0" collapsed="false">
      <c r="A1123" s="21"/>
      <c r="B1123" s="22"/>
      <c r="C1123" s="21"/>
      <c r="D1123" s="21"/>
      <c r="E1123" s="28"/>
      <c r="F1123" s="24"/>
      <c r="G1123" s="26"/>
      <c r="H1123" s="24"/>
      <c r="I1123" s="24"/>
      <c r="J1123" s="24"/>
      <c r="K1123" s="24"/>
      <c r="L1123" s="26"/>
      <c r="M1123" s="26"/>
      <c r="N1123" s="22"/>
      <c r="O1123" s="21"/>
      <c r="P1123" s="22"/>
      <c r="Q1123" s="29" t="str">
        <f aca="false">IF(C1123="","",IF(O1123&lt;&gt;"",O1123,IFERROR(INDEX(Produk!$J$2:$J$100,MATCH(C1123,Produk!$A$2:$A$100,0)),"PRODUK?")))</f>
        <v/>
      </c>
      <c r="R1123" s="29" t="str">
        <f aca="false">IF(A1123="","",IF(COUNTIF(Anggota!$A$2:$A$2001,A1123)=0,"TIDAK ADA","OK"))</f>
        <v/>
      </c>
      <c r="S1123" s="29" t="str">
        <f aca="false">IF(H1123="","",IF(OR(J1123="",L1123=""),"-",IF(ABS(H1123-J1123*L1123)&gt;Info_Koperasi!$C$10,"SELISIH","OK")))</f>
        <v/>
      </c>
    </row>
    <row r="1124" customFormat="false" ht="15" hidden="false" customHeight="false" outlineLevel="0" collapsed="false">
      <c r="A1124" s="21"/>
      <c r="B1124" s="22"/>
      <c r="C1124" s="21"/>
      <c r="D1124" s="21"/>
      <c r="E1124" s="28"/>
      <c r="F1124" s="24"/>
      <c r="G1124" s="26"/>
      <c r="H1124" s="24"/>
      <c r="I1124" s="24"/>
      <c r="J1124" s="24"/>
      <c r="K1124" s="24"/>
      <c r="L1124" s="26"/>
      <c r="M1124" s="26"/>
      <c r="N1124" s="22"/>
      <c r="O1124" s="21"/>
      <c r="P1124" s="22"/>
      <c r="Q1124" s="29" t="str">
        <f aca="false">IF(C1124="","",IF(O1124&lt;&gt;"",O1124,IFERROR(INDEX(Produk!$J$2:$J$100,MATCH(C1124,Produk!$A$2:$A$100,0)),"PRODUK?")))</f>
        <v/>
      </c>
      <c r="R1124" s="29" t="str">
        <f aca="false">IF(A1124="","",IF(COUNTIF(Anggota!$A$2:$A$2001,A1124)=0,"TIDAK ADA","OK"))</f>
        <v/>
      </c>
      <c r="S1124" s="29" t="str">
        <f aca="false">IF(H1124="","",IF(OR(J1124="",L1124=""),"-",IF(ABS(H1124-J1124*L1124)&gt;Info_Koperasi!$C$10,"SELISIH","OK")))</f>
        <v/>
      </c>
    </row>
    <row r="1125" customFormat="false" ht="15" hidden="false" customHeight="false" outlineLevel="0" collapsed="false">
      <c r="A1125" s="21"/>
      <c r="B1125" s="22"/>
      <c r="C1125" s="21"/>
      <c r="D1125" s="21"/>
      <c r="E1125" s="28"/>
      <c r="F1125" s="24"/>
      <c r="G1125" s="26"/>
      <c r="H1125" s="24"/>
      <c r="I1125" s="24"/>
      <c r="J1125" s="24"/>
      <c r="K1125" s="24"/>
      <c r="L1125" s="26"/>
      <c r="M1125" s="26"/>
      <c r="N1125" s="22"/>
      <c r="O1125" s="21"/>
      <c r="P1125" s="22"/>
      <c r="Q1125" s="29" t="str">
        <f aca="false">IF(C1125="","",IF(O1125&lt;&gt;"",O1125,IFERROR(INDEX(Produk!$J$2:$J$100,MATCH(C1125,Produk!$A$2:$A$100,0)),"PRODUK?")))</f>
        <v/>
      </c>
      <c r="R1125" s="29" t="str">
        <f aca="false">IF(A1125="","",IF(COUNTIF(Anggota!$A$2:$A$2001,A1125)=0,"TIDAK ADA","OK"))</f>
        <v/>
      </c>
      <c r="S1125" s="29" t="str">
        <f aca="false">IF(H1125="","",IF(OR(J1125="",L1125=""),"-",IF(ABS(H1125-J1125*L1125)&gt;Info_Koperasi!$C$10,"SELISIH","OK")))</f>
        <v/>
      </c>
    </row>
    <row r="1126" customFormat="false" ht="15" hidden="false" customHeight="false" outlineLevel="0" collapsed="false">
      <c r="A1126" s="21"/>
      <c r="B1126" s="22"/>
      <c r="C1126" s="21"/>
      <c r="D1126" s="21"/>
      <c r="E1126" s="28"/>
      <c r="F1126" s="24"/>
      <c r="G1126" s="26"/>
      <c r="H1126" s="24"/>
      <c r="I1126" s="24"/>
      <c r="J1126" s="24"/>
      <c r="K1126" s="24"/>
      <c r="L1126" s="26"/>
      <c r="M1126" s="26"/>
      <c r="N1126" s="22"/>
      <c r="O1126" s="21"/>
      <c r="P1126" s="22"/>
      <c r="Q1126" s="29" t="str">
        <f aca="false">IF(C1126="","",IF(O1126&lt;&gt;"",O1126,IFERROR(INDEX(Produk!$J$2:$J$100,MATCH(C1126,Produk!$A$2:$A$100,0)),"PRODUK?")))</f>
        <v/>
      </c>
      <c r="R1126" s="29" t="str">
        <f aca="false">IF(A1126="","",IF(COUNTIF(Anggota!$A$2:$A$2001,A1126)=0,"TIDAK ADA","OK"))</f>
        <v/>
      </c>
      <c r="S1126" s="29" t="str">
        <f aca="false">IF(H1126="","",IF(OR(J1126="",L1126=""),"-",IF(ABS(H1126-J1126*L1126)&gt;Info_Koperasi!$C$10,"SELISIH","OK")))</f>
        <v/>
      </c>
    </row>
    <row r="1127" customFormat="false" ht="15" hidden="false" customHeight="false" outlineLevel="0" collapsed="false">
      <c r="A1127" s="21"/>
      <c r="B1127" s="22"/>
      <c r="C1127" s="21"/>
      <c r="D1127" s="21"/>
      <c r="E1127" s="28"/>
      <c r="F1127" s="24"/>
      <c r="G1127" s="26"/>
      <c r="H1127" s="24"/>
      <c r="I1127" s="24"/>
      <c r="J1127" s="24"/>
      <c r="K1127" s="24"/>
      <c r="L1127" s="26"/>
      <c r="M1127" s="26"/>
      <c r="N1127" s="22"/>
      <c r="O1127" s="21"/>
      <c r="P1127" s="22"/>
      <c r="Q1127" s="29" t="str">
        <f aca="false">IF(C1127="","",IF(O1127&lt;&gt;"",O1127,IFERROR(INDEX(Produk!$J$2:$J$100,MATCH(C1127,Produk!$A$2:$A$100,0)),"PRODUK?")))</f>
        <v/>
      </c>
      <c r="R1127" s="29" t="str">
        <f aca="false">IF(A1127="","",IF(COUNTIF(Anggota!$A$2:$A$2001,A1127)=0,"TIDAK ADA","OK"))</f>
        <v/>
      </c>
      <c r="S1127" s="29" t="str">
        <f aca="false">IF(H1127="","",IF(OR(J1127="",L1127=""),"-",IF(ABS(H1127-J1127*L1127)&gt;Info_Koperasi!$C$10,"SELISIH","OK")))</f>
        <v/>
      </c>
    </row>
    <row r="1128" customFormat="false" ht="15" hidden="false" customHeight="false" outlineLevel="0" collapsed="false">
      <c r="A1128" s="21"/>
      <c r="B1128" s="22"/>
      <c r="C1128" s="21"/>
      <c r="D1128" s="21"/>
      <c r="E1128" s="28"/>
      <c r="F1128" s="24"/>
      <c r="G1128" s="26"/>
      <c r="H1128" s="24"/>
      <c r="I1128" s="24"/>
      <c r="J1128" s="24"/>
      <c r="K1128" s="24"/>
      <c r="L1128" s="26"/>
      <c r="M1128" s="26"/>
      <c r="N1128" s="22"/>
      <c r="O1128" s="21"/>
      <c r="P1128" s="22"/>
      <c r="Q1128" s="29" t="str">
        <f aca="false">IF(C1128="","",IF(O1128&lt;&gt;"",O1128,IFERROR(INDEX(Produk!$J$2:$J$100,MATCH(C1128,Produk!$A$2:$A$100,0)),"PRODUK?")))</f>
        <v/>
      </c>
      <c r="R1128" s="29" t="str">
        <f aca="false">IF(A1128="","",IF(COUNTIF(Anggota!$A$2:$A$2001,A1128)=0,"TIDAK ADA","OK"))</f>
        <v/>
      </c>
      <c r="S1128" s="29" t="str">
        <f aca="false">IF(H1128="","",IF(OR(J1128="",L1128=""),"-",IF(ABS(H1128-J1128*L1128)&gt;Info_Koperasi!$C$10,"SELISIH","OK")))</f>
        <v/>
      </c>
    </row>
    <row r="1129" customFormat="false" ht="15" hidden="false" customHeight="false" outlineLevel="0" collapsed="false">
      <c r="A1129" s="21"/>
      <c r="B1129" s="22"/>
      <c r="C1129" s="21"/>
      <c r="D1129" s="21"/>
      <c r="E1129" s="28"/>
      <c r="F1129" s="24"/>
      <c r="G1129" s="26"/>
      <c r="H1129" s="24"/>
      <c r="I1129" s="24"/>
      <c r="J1129" s="24"/>
      <c r="K1129" s="24"/>
      <c r="L1129" s="26"/>
      <c r="M1129" s="26"/>
      <c r="N1129" s="22"/>
      <c r="O1129" s="21"/>
      <c r="P1129" s="22"/>
      <c r="Q1129" s="29" t="str">
        <f aca="false">IF(C1129="","",IF(O1129&lt;&gt;"",O1129,IFERROR(INDEX(Produk!$J$2:$J$100,MATCH(C1129,Produk!$A$2:$A$100,0)),"PRODUK?")))</f>
        <v/>
      </c>
      <c r="R1129" s="29" t="str">
        <f aca="false">IF(A1129="","",IF(COUNTIF(Anggota!$A$2:$A$2001,A1129)=0,"TIDAK ADA","OK"))</f>
        <v/>
      </c>
      <c r="S1129" s="29" t="str">
        <f aca="false">IF(H1129="","",IF(OR(J1129="",L1129=""),"-",IF(ABS(H1129-J1129*L1129)&gt;Info_Koperasi!$C$10,"SELISIH","OK")))</f>
        <v/>
      </c>
    </row>
    <row r="1130" customFormat="false" ht="15" hidden="false" customHeight="false" outlineLevel="0" collapsed="false">
      <c r="A1130" s="21"/>
      <c r="B1130" s="22"/>
      <c r="C1130" s="21"/>
      <c r="D1130" s="21"/>
      <c r="E1130" s="28"/>
      <c r="F1130" s="24"/>
      <c r="G1130" s="26"/>
      <c r="H1130" s="24"/>
      <c r="I1130" s="24"/>
      <c r="J1130" s="24"/>
      <c r="K1130" s="24"/>
      <c r="L1130" s="26"/>
      <c r="M1130" s="26"/>
      <c r="N1130" s="22"/>
      <c r="O1130" s="21"/>
      <c r="P1130" s="22"/>
      <c r="Q1130" s="29" t="str">
        <f aca="false">IF(C1130="","",IF(O1130&lt;&gt;"",O1130,IFERROR(INDEX(Produk!$J$2:$J$100,MATCH(C1130,Produk!$A$2:$A$100,0)),"PRODUK?")))</f>
        <v/>
      </c>
      <c r="R1130" s="29" t="str">
        <f aca="false">IF(A1130="","",IF(COUNTIF(Anggota!$A$2:$A$2001,A1130)=0,"TIDAK ADA","OK"))</f>
        <v/>
      </c>
      <c r="S1130" s="29" t="str">
        <f aca="false">IF(H1130="","",IF(OR(J1130="",L1130=""),"-",IF(ABS(H1130-J1130*L1130)&gt;Info_Koperasi!$C$10,"SELISIH","OK")))</f>
        <v/>
      </c>
    </row>
    <row r="1131" customFormat="false" ht="15" hidden="false" customHeight="false" outlineLevel="0" collapsed="false">
      <c r="A1131" s="21"/>
      <c r="B1131" s="22"/>
      <c r="C1131" s="21"/>
      <c r="D1131" s="21"/>
      <c r="E1131" s="28"/>
      <c r="F1131" s="24"/>
      <c r="G1131" s="26"/>
      <c r="H1131" s="24"/>
      <c r="I1131" s="24"/>
      <c r="J1131" s="24"/>
      <c r="K1131" s="24"/>
      <c r="L1131" s="26"/>
      <c r="M1131" s="26"/>
      <c r="N1131" s="22"/>
      <c r="O1131" s="21"/>
      <c r="P1131" s="22"/>
      <c r="Q1131" s="29" t="str">
        <f aca="false">IF(C1131="","",IF(O1131&lt;&gt;"",O1131,IFERROR(INDEX(Produk!$J$2:$J$100,MATCH(C1131,Produk!$A$2:$A$100,0)),"PRODUK?")))</f>
        <v/>
      </c>
      <c r="R1131" s="29" t="str">
        <f aca="false">IF(A1131="","",IF(COUNTIF(Anggota!$A$2:$A$2001,A1131)=0,"TIDAK ADA","OK"))</f>
        <v/>
      </c>
      <c r="S1131" s="29" t="str">
        <f aca="false">IF(H1131="","",IF(OR(J1131="",L1131=""),"-",IF(ABS(H1131-J1131*L1131)&gt;Info_Koperasi!$C$10,"SELISIH","OK")))</f>
        <v/>
      </c>
    </row>
    <row r="1132" customFormat="false" ht="15" hidden="false" customHeight="false" outlineLevel="0" collapsed="false">
      <c r="A1132" s="21"/>
      <c r="B1132" s="22"/>
      <c r="C1132" s="21"/>
      <c r="D1132" s="21"/>
      <c r="E1132" s="28"/>
      <c r="F1132" s="24"/>
      <c r="G1132" s="26"/>
      <c r="H1132" s="24"/>
      <c r="I1132" s="24"/>
      <c r="J1132" s="24"/>
      <c r="K1132" s="24"/>
      <c r="L1132" s="26"/>
      <c r="M1132" s="26"/>
      <c r="N1132" s="22"/>
      <c r="O1132" s="21"/>
      <c r="P1132" s="22"/>
      <c r="Q1132" s="29" t="str">
        <f aca="false">IF(C1132="","",IF(O1132&lt;&gt;"",O1132,IFERROR(INDEX(Produk!$J$2:$J$100,MATCH(C1132,Produk!$A$2:$A$100,0)),"PRODUK?")))</f>
        <v/>
      </c>
      <c r="R1132" s="29" t="str">
        <f aca="false">IF(A1132="","",IF(COUNTIF(Anggota!$A$2:$A$2001,A1132)=0,"TIDAK ADA","OK"))</f>
        <v/>
      </c>
      <c r="S1132" s="29" t="str">
        <f aca="false">IF(H1132="","",IF(OR(J1132="",L1132=""),"-",IF(ABS(H1132-J1132*L1132)&gt;Info_Koperasi!$C$10,"SELISIH","OK")))</f>
        <v/>
      </c>
    </row>
    <row r="1133" customFormat="false" ht="15" hidden="false" customHeight="false" outlineLevel="0" collapsed="false">
      <c r="A1133" s="21"/>
      <c r="B1133" s="22"/>
      <c r="C1133" s="21"/>
      <c r="D1133" s="21"/>
      <c r="E1133" s="28"/>
      <c r="F1133" s="24"/>
      <c r="G1133" s="26"/>
      <c r="H1133" s="24"/>
      <c r="I1133" s="24"/>
      <c r="J1133" s="24"/>
      <c r="K1133" s="24"/>
      <c r="L1133" s="26"/>
      <c r="M1133" s="26"/>
      <c r="N1133" s="22"/>
      <c r="O1133" s="21"/>
      <c r="P1133" s="22"/>
      <c r="Q1133" s="29" t="str">
        <f aca="false">IF(C1133="","",IF(O1133&lt;&gt;"",O1133,IFERROR(INDEX(Produk!$J$2:$J$100,MATCH(C1133,Produk!$A$2:$A$100,0)),"PRODUK?")))</f>
        <v/>
      </c>
      <c r="R1133" s="29" t="str">
        <f aca="false">IF(A1133="","",IF(COUNTIF(Anggota!$A$2:$A$2001,A1133)=0,"TIDAK ADA","OK"))</f>
        <v/>
      </c>
      <c r="S1133" s="29" t="str">
        <f aca="false">IF(H1133="","",IF(OR(J1133="",L1133=""),"-",IF(ABS(H1133-J1133*L1133)&gt;Info_Koperasi!$C$10,"SELISIH","OK")))</f>
        <v/>
      </c>
    </row>
    <row r="1134" customFormat="false" ht="15" hidden="false" customHeight="false" outlineLevel="0" collapsed="false">
      <c r="A1134" s="21"/>
      <c r="B1134" s="22"/>
      <c r="C1134" s="21"/>
      <c r="D1134" s="21"/>
      <c r="E1134" s="28"/>
      <c r="F1134" s="24"/>
      <c r="G1134" s="26"/>
      <c r="H1134" s="24"/>
      <c r="I1134" s="24"/>
      <c r="J1134" s="24"/>
      <c r="K1134" s="24"/>
      <c r="L1134" s="26"/>
      <c r="M1134" s="26"/>
      <c r="N1134" s="22"/>
      <c r="O1134" s="21"/>
      <c r="P1134" s="22"/>
      <c r="Q1134" s="29" t="str">
        <f aca="false">IF(C1134="","",IF(O1134&lt;&gt;"",O1134,IFERROR(INDEX(Produk!$J$2:$J$100,MATCH(C1134,Produk!$A$2:$A$100,0)),"PRODUK?")))</f>
        <v/>
      </c>
      <c r="R1134" s="29" t="str">
        <f aca="false">IF(A1134="","",IF(COUNTIF(Anggota!$A$2:$A$2001,A1134)=0,"TIDAK ADA","OK"))</f>
        <v/>
      </c>
      <c r="S1134" s="29" t="str">
        <f aca="false">IF(H1134="","",IF(OR(J1134="",L1134=""),"-",IF(ABS(H1134-J1134*L1134)&gt;Info_Koperasi!$C$10,"SELISIH","OK")))</f>
        <v/>
      </c>
    </row>
    <row r="1135" customFormat="false" ht="15" hidden="false" customHeight="false" outlineLevel="0" collapsed="false">
      <c r="A1135" s="21"/>
      <c r="B1135" s="22"/>
      <c r="C1135" s="21"/>
      <c r="D1135" s="21"/>
      <c r="E1135" s="28"/>
      <c r="F1135" s="24"/>
      <c r="G1135" s="26"/>
      <c r="H1135" s="24"/>
      <c r="I1135" s="24"/>
      <c r="J1135" s="24"/>
      <c r="K1135" s="24"/>
      <c r="L1135" s="26"/>
      <c r="M1135" s="26"/>
      <c r="N1135" s="22"/>
      <c r="O1135" s="21"/>
      <c r="P1135" s="22"/>
      <c r="Q1135" s="29" t="str">
        <f aca="false">IF(C1135="","",IF(O1135&lt;&gt;"",O1135,IFERROR(INDEX(Produk!$J$2:$J$100,MATCH(C1135,Produk!$A$2:$A$100,0)),"PRODUK?")))</f>
        <v/>
      </c>
      <c r="R1135" s="29" t="str">
        <f aca="false">IF(A1135="","",IF(COUNTIF(Anggota!$A$2:$A$2001,A1135)=0,"TIDAK ADA","OK"))</f>
        <v/>
      </c>
      <c r="S1135" s="29" t="str">
        <f aca="false">IF(H1135="","",IF(OR(J1135="",L1135=""),"-",IF(ABS(H1135-J1135*L1135)&gt;Info_Koperasi!$C$10,"SELISIH","OK")))</f>
        <v/>
      </c>
    </row>
    <row r="1136" customFormat="false" ht="15" hidden="false" customHeight="false" outlineLevel="0" collapsed="false">
      <c r="A1136" s="21"/>
      <c r="B1136" s="22"/>
      <c r="C1136" s="21"/>
      <c r="D1136" s="21"/>
      <c r="E1136" s="28"/>
      <c r="F1136" s="24"/>
      <c r="G1136" s="26"/>
      <c r="H1136" s="24"/>
      <c r="I1136" s="24"/>
      <c r="J1136" s="24"/>
      <c r="K1136" s="24"/>
      <c r="L1136" s="26"/>
      <c r="M1136" s="26"/>
      <c r="N1136" s="22"/>
      <c r="O1136" s="21"/>
      <c r="P1136" s="22"/>
      <c r="Q1136" s="29" t="str">
        <f aca="false">IF(C1136="","",IF(O1136&lt;&gt;"",O1136,IFERROR(INDEX(Produk!$J$2:$J$100,MATCH(C1136,Produk!$A$2:$A$100,0)),"PRODUK?")))</f>
        <v/>
      </c>
      <c r="R1136" s="29" t="str">
        <f aca="false">IF(A1136="","",IF(COUNTIF(Anggota!$A$2:$A$2001,A1136)=0,"TIDAK ADA","OK"))</f>
        <v/>
      </c>
      <c r="S1136" s="29" t="str">
        <f aca="false">IF(H1136="","",IF(OR(J1136="",L1136=""),"-",IF(ABS(H1136-J1136*L1136)&gt;Info_Koperasi!$C$10,"SELISIH","OK")))</f>
        <v/>
      </c>
    </row>
    <row r="1137" customFormat="false" ht="15" hidden="false" customHeight="false" outlineLevel="0" collapsed="false">
      <c r="A1137" s="21"/>
      <c r="B1137" s="22"/>
      <c r="C1137" s="21"/>
      <c r="D1137" s="21"/>
      <c r="E1137" s="28"/>
      <c r="F1137" s="24"/>
      <c r="G1137" s="26"/>
      <c r="H1137" s="24"/>
      <c r="I1137" s="24"/>
      <c r="J1137" s="24"/>
      <c r="K1137" s="24"/>
      <c r="L1137" s="26"/>
      <c r="M1137" s="26"/>
      <c r="N1137" s="22"/>
      <c r="O1137" s="21"/>
      <c r="P1137" s="22"/>
      <c r="Q1137" s="29" t="str">
        <f aca="false">IF(C1137="","",IF(O1137&lt;&gt;"",O1137,IFERROR(INDEX(Produk!$J$2:$J$100,MATCH(C1137,Produk!$A$2:$A$100,0)),"PRODUK?")))</f>
        <v/>
      </c>
      <c r="R1137" s="29" t="str">
        <f aca="false">IF(A1137="","",IF(COUNTIF(Anggota!$A$2:$A$2001,A1137)=0,"TIDAK ADA","OK"))</f>
        <v/>
      </c>
      <c r="S1137" s="29" t="str">
        <f aca="false">IF(H1137="","",IF(OR(J1137="",L1137=""),"-",IF(ABS(H1137-J1137*L1137)&gt;Info_Koperasi!$C$10,"SELISIH","OK")))</f>
        <v/>
      </c>
    </row>
    <row r="1138" customFormat="false" ht="15" hidden="false" customHeight="false" outlineLevel="0" collapsed="false">
      <c r="A1138" s="21"/>
      <c r="B1138" s="22"/>
      <c r="C1138" s="21"/>
      <c r="D1138" s="21"/>
      <c r="E1138" s="28"/>
      <c r="F1138" s="24"/>
      <c r="G1138" s="26"/>
      <c r="H1138" s="24"/>
      <c r="I1138" s="24"/>
      <c r="J1138" s="24"/>
      <c r="K1138" s="24"/>
      <c r="L1138" s="26"/>
      <c r="M1138" s="26"/>
      <c r="N1138" s="22"/>
      <c r="O1138" s="21"/>
      <c r="P1138" s="22"/>
      <c r="Q1138" s="29" t="str">
        <f aca="false">IF(C1138="","",IF(O1138&lt;&gt;"",O1138,IFERROR(INDEX(Produk!$J$2:$J$100,MATCH(C1138,Produk!$A$2:$A$100,0)),"PRODUK?")))</f>
        <v/>
      </c>
      <c r="R1138" s="29" t="str">
        <f aca="false">IF(A1138="","",IF(COUNTIF(Anggota!$A$2:$A$2001,A1138)=0,"TIDAK ADA","OK"))</f>
        <v/>
      </c>
      <c r="S1138" s="29" t="str">
        <f aca="false">IF(H1138="","",IF(OR(J1138="",L1138=""),"-",IF(ABS(H1138-J1138*L1138)&gt;Info_Koperasi!$C$10,"SELISIH","OK")))</f>
        <v/>
      </c>
    </row>
    <row r="1139" customFormat="false" ht="15" hidden="false" customHeight="false" outlineLevel="0" collapsed="false">
      <c r="A1139" s="21"/>
      <c r="B1139" s="22"/>
      <c r="C1139" s="21"/>
      <c r="D1139" s="21"/>
      <c r="E1139" s="28"/>
      <c r="F1139" s="24"/>
      <c r="G1139" s="26"/>
      <c r="H1139" s="24"/>
      <c r="I1139" s="24"/>
      <c r="J1139" s="24"/>
      <c r="K1139" s="24"/>
      <c r="L1139" s="26"/>
      <c r="M1139" s="26"/>
      <c r="N1139" s="22"/>
      <c r="O1139" s="21"/>
      <c r="P1139" s="22"/>
      <c r="Q1139" s="29" t="str">
        <f aca="false">IF(C1139="","",IF(O1139&lt;&gt;"",O1139,IFERROR(INDEX(Produk!$J$2:$J$100,MATCH(C1139,Produk!$A$2:$A$100,0)),"PRODUK?")))</f>
        <v/>
      </c>
      <c r="R1139" s="29" t="str">
        <f aca="false">IF(A1139="","",IF(COUNTIF(Anggota!$A$2:$A$2001,A1139)=0,"TIDAK ADA","OK"))</f>
        <v/>
      </c>
      <c r="S1139" s="29" t="str">
        <f aca="false">IF(H1139="","",IF(OR(J1139="",L1139=""),"-",IF(ABS(H1139-J1139*L1139)&gt;Info_Koperasi!$C$10,"SELISIH","OK")))</f>
        <v/>
      </c>
    </row>
    <row r="1140" customFormat="false" ht="15" hidden="false" customHeight="false" outlineLevel="0" collapsed="false">
      <c r="A1140" s="21"/>
      <c r="B1140" s="22"/>
      <c r="C1140" s="21"/>
      <c r="D1140" s="21"/>
      <c r="E1140" s="28"/>
      <c r="F1140" s="24"/>
      <c r="G1140" s="26"/>
      <c r="H1140" s="24"/>
      <c r="I1140" s="24"/>
      <c r="J1140" s="24"/>
      <c r="K1140" s="24"/>
      <c r="L1140" s="26"/>
      <c r="M1140" s="26"/>
      <c r="N1140" s="22"/>
      <c r="O1140" s="21"/>
      <c r="P1140" s="22"/>
      <c r="Q1140" s="29" t="str">
        <f aca="false">IF(C1140="","",IF(O1140&lt;&gt;"",O1140,IFERROR(INDEX(Produk!$J$2:$J$100,MATCH(C1140,Produk!$A$2:$A$100,0)),"PRODUK?")))</f>
        <v/>
      </c>
      <c r="R1140" s="29" t="str">
        <f aca="false">IF(A1140="","",IF(COUNTIF(Anggota!$A$2:$A$2001,A1140)=0,"TIDAK ADA","OK"))</f>
        <v/>
      </c>
      <c r="S1140" s="29" t="str">
        <f aca="false">IF(H1140="","",IF(OR(J1140="",L1140=""),"-",IF(ABS(H1140-J1140*L1140)&gt;Info_Koperasi!$C$10,"SELISIH","OK")))</f>
        <v/>
      </c>
    </row>
    <row r="1141" customFormat="false" ht="15" hidden="false" customHeight="false" outlineLevel="0" collapsed="false">
      <c r="A1141" s="21"/>
      <c r="B1141" s="22"/>
      <c r="C1141" s="21"/>
      <c r="D1141" s="21"/>
      <c r="E1141" s="28"/>
      <c r="F1141" s="24"/>
      <c r="G1141" s="26"/>
      <c r="H1141" s="24"/>
      <c r="I1141" s="24"/>
      <c r="J1141" s="24"/>
      <c r="K1141" s="24"/>
      <c r="L1141" s="26"/>
      <c r="M1141" s="26"/>
      <c r="N1141" s="22"/>
      <c r="O1141" s="21"/>
      <c r="P1141" s="22"/>
      <c r="Q1141" s="29" t="str">
        <f aca="false">IF(C1141="","",IF(O1141&lt;&gt;"",O1141,IFERROR(INDEX(Produk!$J$2:$J$100,MATCH(C1141,Produk!$A$2:$A$100,0)),"PRODUK?")))</f>
        <v/>
      </c>
      <c r="R1141" s="29" t="str">
        <f aca="false">IF(A1141="","",IF(COUNTIF(Anggota!$A$2:$A$2001,A1141)=0,"TIDAK ADA","OK"))</f>
        <v/>
      </c>
      <c r="S1141" s="29" t="str">
        <f aca="false">IF(H1141="","",IF(OR(J1141="",L1141=""),"-",IF(ABS(H1141-J1141*L1141)&gt;Info_Koperasi!$C$10,"SELISIH","OK")))</f>
        <v/>
      </c>
    </row>
    <row r="1142" customFormat="false" ht="15" hidden="false" customHeight="false" outlineLevel="0" collapsed="false">
      <c r="A1142" s="21"/>
      <c r="B1142" s="22"/>
      <c r="C1142" s="21"/>
      <c r="D1142" s="21"/>
      <c r="E1142" s="28"/>
      <c r="F1142" s="24"/>
      <c r="G1142" s="26"/>
      <c r="H1142" s="24"/>
      <c r="I1142" s="24"/>
      <c r="J1142" s="24"/>
      <c r="K1142" s="24"/>
      <c r="L1142" s="26"/>
      <c r="M1142" s="26"/>
      <c r="N1142" s="22"/>
      <c r="O1142" s="21"/>
      <c r="P1142" s="22"/>
      <c r="Q1142" s="29" t="str">
        <f aca="false">IF(C1142="","",IF(O1142&lt;&gt;"",O1142,IFERROR(INDEX(Produk!$J$2:$J$100,MATCH(C1142,Produk!$A$2:$A$100,0)),"PRODUK?")))</f>
        <v/>
      </c>
      <c r="R1142" s="29" t="str">
        <f aca="false">IF(A1142="","",IF(COUNTIF(Anggota!$A$2:$A$2001,A1142)=0,"TIDAK ADA","OK"))</f>
        <v/>
      </c>
      <c r="S1142" s="29" t="str">
        <f aca="false">IF(H1142="","",IF(OR(J1142="",L1142=""),"-",IF(ABS(H1142-J1142*L1142)&gt;Info_Koperasi!$C$10,"SELISIH","OK")))</f>
        <v/>
      </c>
    </row>
    <row r="1143" customFormat="false" ht="15" hidden="false" customHeight="false" outlineLevel="0" collapsed="false">
      <c r="A1143" s="21"/>
      <c r="B1143" s="22"/>
      <c r="C1143" s="21"/>
      <c r="D1143" s="21"/>
      <c r="E1143" s="28"/>
      <c r="F1143" s="24"/>
      <c r="G1143" s="26"/>
      <c r="H1143" s="24"/>
      <c r="I1143" s="24"/>
      <c r="J1143" s="24"/>
      <c r="K1143" s="24"/>
      <c r="L1143" s="26"/>
      <c r="M1143" s="26"/>
      <c r="N1143" s="22"/>
      <c r="O1143" s="21"/>
      <c r="P1143" s="22"/>
      <c r="Q1143" s="29" t="str">
        <f aca="false">IF(C1143="","",IF(O1143&lt;&gt;"",O1143,IFERROR(INDEX(Produk!$J$2:$J$100,MATCH(C1143,Produk!$A$2:$A$100,0)),"PRODUK?")))</f>
        <v/>
      </c>
      <c r="R1143" s="29" t="str">
        <f aca="false">IF(A1143="","",IF(COUNTIF(Anggota!$A$2:$A$2001,A1143)=0,"TIDAK ADA","OK"))</f>
        <v/>
      </c>
      <c r="S1143" s="29" t="str">
        <f aca="false">IF(H1143="","",IF(OR(J1143="",L1143=""),"-",IF(ABS(H1143-J1143*L1143)&gt;Info_Koperasi!$C$10,"SELISIH","OK")))</f>
        <v/>
      </c>
    </row>
    <row r="1144" customFormat="false" ht="15" hidden="false" customHeight="false" outlineLevel="0" collapsed="false">
      <c r="A1144" s="21"/>
      <c r="B1144" s="22"/>
      <c r="C1144" s="21"/>
      <c r="D1144" s="21"/>
      <c r="E1144" s="28"/>
      <c r="F1144" s="24"/>
      <c r="G1144" s="26"/>
      <c r="H1144" s="24"/>
      <c r="I1144" s="24"/>
      <c r="J1144" s="24"/>
      <c r="K1144" s="24"/>
      <c r="L1144" s="26"/>
      <c r="M1144" s="26"/>
      <c r="N1144" s="22"/>
      <c r="O1144" s="21"/>
      <c r="P1144" s="22"/>
      <c r="Q1144" s="29" t="str">
        <f aca="false">IF(C1144="","",IF(O1144&lt;&gt;"",O1144,IFERROR(INDEX(Produk!$J$2:$J$100,MATCH(C1144,Produk!$A$2:$A$100,0)),"PRODUK?")))</f>
        <v/>
      </c>
      <c r="R1144" s="29" t="str">
        <f aca="false">IF(A1144="","",IF(COUNTIF(Anggota!$A$2:$A$2001,A1144)=0,"TIDAK ADA","OK"))</f>
        <v/>
      </c>
      <c r="S1144" s="29" t="str">
        <f aca="false">IF(H1144="","",IF(OR(J1144="",L1144=""),"-",IF(ABS(H1144-J1144*L1144)&gt;Info_Koperasi!$C$10,"SELISIH","OK")))</f>
        <v/>
      </c>
    </row>
    <row r="1145" customFormat="false" ht="15" hidden="false" customHeight="false" outlineLevel="0" collapsed="false">
      <c r="A1145" s="21"/>
      <c r="B1145" s="22"/>
      <c r="C1145" s="21"/>
      <c r="D1145" s="21"/>
      <c r="E1145" s="28"/>
      <c r="F1145" s="24"/>
      <c r="G1145" s="26"/>
      <c r="H1145" s="24"/>
      <c r="I1145" s="24"/>
      <c r="J1145" s="24"/>
      <c r="K1145" s="24"/>
      <c r="L1145" s="26"/>
      <c r="M1145" s="26"/>
      <c r="N1145" s="22"/>
      <c r="O1145" s="21"/>
      <c r="P1145" s="22"/>
      <c r="Q1145" s="29" t="str">
        <f aca="false">IF(C1145="","",IF(O1145&lt;&gt;"",O1145,IFERROR(INDEX(Produk!$J$2:$J$100,MATCH(C1145,Produk!$A$2:$A$100,0)),"PRODUK?")))</f>
        <v/>
      </c>
      <c r="R1145" s="29" t="str">
        <f aca="false">IF(A1145="","",IF(COUNTIF(Anggota!$A$2:$A$2001,A1145)=0,"TIDAK ADA","OK"))</f>
        <v/>
      </c>
      <c r="S1145" s="29" t="str">
        <f aca="false">IF(H1145="","",IF(OR(J1145="",L1145=""),"-",IF(ABS(H1145-J1145*L1145)&gt;Info_Koperasi!$C$10,"SELISIH","OK")))</f>
        <v/>
      </c>
    </row>
    <row r="1146" customFormat="false" ht="15" hidden="false" customHeight="false" outlineLevel="0" collapsed="false">
      <c r="A1146" s="21"/>
      <c r="B1146" s="22"/>
      <c r="C1146" s="21"/>
      <c r="D1146" s="21"/>
      <c r="E1146" s="28"/>
      <c r="F1146" s="24"/>
      <c r="G1146" s="26"/>
      <c r="H1146" s="24"/>
      <c r="I1146" s="24"/>
      <c r="J1146" s="24"/>
      <c r="K1146" s="24"/>
      <c r="L1146" s="26"/>
      <c r="M1146" s="26"/>
      <c r="N1146" s="22"/>
      <c r="O1146" s="21"/>
      <c r="P1146" s="22"/>
      <c r="Q1146" s="29" t="str">
        <f aca="false">IF(C1146="","",IF(O1146&lt;&gt;"",O1146,IFERROR(INDEX(Produk!$J$2:$J$100,MATCH(C1146,Produk!$A$2:$A$100,0)),"PRODUK?")))</f>
        <v/>
      </c>
      <c r="R1146" s="29" t="str">
        <f aca="false">IF(A1146="","",IF(COUNTIF(Anggota!$A$2:$A$2001,A1146)=0,"TIDAK ADA","OK"))</f>
        <v/>
      </c>
      <c r="S1146" s="29" t="str">
        <f aca="false">IF(H1146="","",IF(OR(J1146="",L1146=""),"-",IF(ABS(H1146-J1146*L1146)&gt;Info_Koperasi!$C$10,"SELISIH","OK")))</f>
        <v/>
      </c>
    </row>
    <row r="1147" customFormat="false" ht="15" hidden="false" customHeight="false" outlineLevel="0" collapsed="false">
      <c r="A1147" s="21"/>
      <c r="B1147" s="22"/>
      <c r="C1147" s="21"/>
      <c r="D1147" s="21"/>
      <c r="E1147" s="28"/>
      <c r="F1147" s="24"/>
      <c r="G1147" s="26"/>
      <c r="H1147" s="24"/>
      <c r="I1147" s="24"/>
      <c r="J1147" s="24"/>
      <c r="K1147" s="24"/>
      <c r="L1147" s="26"/>
      <c r="M1147" s="26"/>
      <c r="N1147" s="22"/>
      <c r="O1147" s="21"/>
      <c r="P1147" s="22"/>
      <c r="Q1147" s="29" t="str">
        <f aca="false">IF(C1147="","",IF(O1147&lt;&gt;"",O1147,IFERROR(INDEX(Produk!$J$2:$J$100,MATCH(C1147,Produk!$A$2:$A$100,0)),"PRODUK?")))</f>
        <v/>
      </c>
      <c r="R1147" s="29" t="str">
        <f aca="false">IF(A1147="","",IF(COUNTIF(Anggota!$A$2:$A$2001,A1147)=0,"TIDAK ADA","OK"))</f>
        <v/>
      </c>
      <c r="S1147" s="29" t="str">
        <f aca="false">IF(H1147="","",IF(OR(J1147="",L1147=""),"-",IF(ABS(H1147-J1147*L1147)&gt;Info_Koperasi!$C$10,"SELISIH","OK")))</f>
        <v/>
      </c>
    </row>
    <row r="1148" customFormat="false" ht="15" hidden="false" customHeight="false" outlineLevel="0" collapsed="false">
      <c r="A1148" s="21"/>
      <c r="B1148" s="22"/>
      <c r="C1148" s="21"/>
      <c r="D1148" s="21"/>
      <c r="E1148" s="28"/>
      <c r="F1148" s="24"/>
      <c r="G1148" s="26"/>
      <c r="H1148" s="24"/>
      <c r="I1148" s="24"/>
      <c r="J1148" s="24"/>
      <c r="K1148" s="24"/>
      <c r="L1148" s="26"/>
      <c r="M1148" s="26"/>
      <c r="N1148" s="22"/>
      <c r="O1148" s="21"/>
      <c r="P1148" s="22"/>
      <c r="Q1148" s="29" t="str">
        <f aca="false">IF(C1148="","",IF(O1148&lt;&gt;"",O1148,IFERROR(INDEX(Produk!$J$2:$J$100,MATCH(C1148,Produk!$A$2:$A$100,0)),"PRODUK?")))</f>
        <v/>
      </c>
      <c r="R1148" s="29" t="str">
        <f aca="false">IF(A1148="","",IF(COUNTIF(Anggota!$A$2:$A$2001,A1148)=0,"TIDAK ADA","OK"))</f>
        <v/>
      </c>
      <c r="S1148" s="29" t="str">
        <f aca="false">IF(H1148="","",IF(OR(J1148="",L1148=""),"-",IF(ABS(H1148-J1148*L1148)&gt;Info_Koperasi!$C$10,"SELISIH","OK")))</f>
        <v/>
      </c>
    </row>
    <row r="1149" customFormat="false" ht="15" hidden="false" customHeight="false" outlineLevel="0" collapsed="false">
      <c r="A1149" s="21"/>
      <c r="B1149" s="22"/>
      <c r="C1149" s="21"/>
      <c r="D1149" s="21"/>
      <c r="E1149" s="28"/>
      <c r="F1149" s="24"/>
      <c r="G1149" s="26"/>
      <c r="H1149" s="24"/>
      <c r="I1149" s="24"/>
      <c r="J1149" s="24"/>
      <c r="K1149" s="24"/>
      <c r="L1149" s="26"/>
      <c r="M1149" s="26"/>
      <c r="N1149" s="22"/>
      <c r="O1149" s="21"/>
      <c r="P1149" s="22"/>
      <c r="Q1149" s="29" t="str">
        <f aca="false">IF(C1149="","",IF(O1149&lt;&gt;"",O1149,IFERROR(INDEX(Produk!$J$2:$J$100,MATCH(C1149,Produk!$A$2:$A$100,0)),"PRODUK?")))</f>
        <v/>
      </c>
      <c r="R1149" s="29" t="str">
        <f aca="false">IF(A1149="","",IF(COUNTIF(Anggota!$A$2:$A$2001,A1149)=0,"TIDAK ADA","OK"))</f>
        <v/>
      </c>
      <c r="S1149" s="29" t="str">
        <f aca="false">IF(H1149="","",IF(OR(J1149="",L1149=""),"-",IF(ABS(H1149-J1149*L1149)&gt;Info_Koperasi!$C$10,"SELISIH","OK")))</f>
        <v/>
      </c>
    </row>
    <row r="1150" customFormat="false" ht="15" hidden="false" customHeight="false" outlineLevel="0" collapsed="false">
      <c r="A1150" s="21"/>
      <c r="B1150" s="22"/>
      <c r="C1150" s="21"/>
      <c r="D1150" s="21"/>
      <c r="E1150" s="28"/>
      <c r="F1150" s="24"/>
      <c r="G1150" s="26"/>
      <c r="H1150" s="24"/>
      <c r="I1150" s="24"/>
      <c r="J1150" s="24"/>
      <c r="K1150" s="24"/>
      <c r="L1150" s="26"/>
      <c r="M1150" s="26"/>
      <c r="N1150" s="22"/>
      <c r="O1150" s="21"/>
      <c r="P1150" s="22"/>
      <c r="Q1150" s="29" t="str">
        <f aca="false">IF(C1150="","",IF(O1150&lt;&gt;"",O1150,IFERROR(INDEX(Produk!$J$2:$J$100,MATCH(C1150,Produk!$A$2:$A$100,0)),"PRODUK?")))</f>
        <v/>
      </c>
      <c r="R1150" s="29" t="str">
        <f aca="false">IF(A1150="","",IF(COUNTIF(Anggota!$A$2:$A$2001,A1150)=0,"TIDAK ADA","OK"))</f>
        <v/>
      </c>
      <c r="S1150" s="29" t="str">
        <f aca="false">IF(H1150="","",IF(OR(J1150="",L1150=""),"-",IF(ABS(H1150-J1150*L1150)&gt;Info_Koperasi!$C$10,"SELISIH","OK")))</f>
        <v/>
      </c>
    </row>
    <row r="1151" customFormat="false" ht="15" hidden="false" customHeight="false" outlineLevel="0" collapsed="false">
      <c r="A1151" s="21"/>
      <c r="B1151" s="22"/>
      <c r="C1151" s="21"/>
      <c r="D1151" s="21"/>
      <c r="E1151" s="28"/>
      <c r="F1151" s="24"/>
      <c r="G1151" s="26"/>
      <c r="H1151" s="24"/>
      <c r="I1151" s="24"/>
      <c r="J1151" s="24"/>
      <c r="K1151" s="24"/>
      <c r="L1151" s="26"/>
      <c r="M1151" s="26"/>
      <c r="N1151" s="22"/>
      <c r="O1151" s="21"/>
      <c r="P1151" s="22"/>
      <c r="Q1151" s="29" t="str">
        <f aca="false">IF(C1151="","",IF(O1151&lt;&gt;"",O1151,IFERROR(INDEX(Produk!$J$2:$J$100,MATCH(C1151,Produk!$A$2:$A$100,0)),"PRODUK?")))</f>
        <v/>
      </c>
      <c r="R1151" s="29" t="str">
        <f aca="false">IF(A1151="","",IF(COUNTIF(Anggota!$A$2:$A$2001,A1151)=0,"TIDAK ADA","OK"))</f>
        <v/>
      </c>
      <c r="S1151" s="29" t="str">
        <f aca="false">IF(H1151="","",IF(OR(J1151="",L1151=""),"-",IF(ABS(H1151-J1151*L1151)&gt;Info_Koperasi!$C$10,"SELISIH","OK")))</f>
        <v/>
      </c>
    </row>
    <row r="1152" customFormat="false" ht="15" hidden="false" customHeight="false" outlineLevel="0" collapsed="false">
      <c r="A1152" s="21"/>
      <c r="B1152" s="22"/>
      <c r="C1152" s="21"/>
      <c r="D1152" s="21"/>
      <c r="E1152" s="28"/>
      <c r="F1152" s="24"/>
      <c r="G1152" s="26"/>
      <c r="H1152" s="24"/>
      <c r="I1152" s="24"/>
      <c r="J1152" s="24"/>
      <c r="K1152" s="24"/>
      <c r="L1152" s="26"/>
      <c r="M1152" s="26"/>
      <c r="N1152" s="22"/>
      <c r="O1152" s="21"/>
      <c r="P1152" s="22"/>
      <c r="Q1152" s="29" t="str">
        <f aca="false">IF(C1152="","",IF(O1152&lt;&gt;"",O1152,IFERROR(INDEX(Produk!$J$2:$J$100,MATCH(C1152,Produk!$A$2:$A$100,0)),"PRODUK?")))</f>
        <v/>
      </c>
      <c r="R1152" s="29" t="str">
        <f aca="false">IF(A1152="","",IF(COUNTIF(Anggota!$A$2:$A$2001,A1152)=0,"TIDAK ADA","OK"))</f>
        <v/>
      </c>
      <c r="S1152" s="29" t="str">
        <f aca="false">IF(H1152="","",IF(OR(J1152="",L1152=""),"-",IF(ABS(H1152-J1152*L1152)&gt;Info_Koperasi!$C$10,"SELISIH","OK")))</f>
        <v/>
      </c>
    </row>
    <row r="1153" customFormat="false" ht="15" hidden="false" customHeight="false" outlineLevel="0" collapsed="false">
      <c r="A1153" s="21"/>
      <c r="B1153" s="22"/>
      <c r="C1153" s="21"/>
      <c r="D1153" s="21"/>
      <c r="E1153" s="28"/>
      <c r="F1153" s="24"/>
      <c r="G1153" s="26"/>
      <c r="H1153" s="24"/>
      <c r="I1153" s="24"/>
      <c r="J1153" s="24"/>
      <c r="K1153" s="24"/>
      <c r="L1153" s="26"/>
      <c r="M1153" s="26"/>
      <c r="N1153" s="22"/>
      <c r="O1153" s="21"/>
      <c r="P1153" s="22"/>
      <c r="Q1153" s="29" t="str">
        <f aca="false">IF(C1153="","",IF(O1153&lt;&gt;"",O1153,IFERROR(INDEX(Produk!$J$2:$J$100,MATCH(C1153,Produk!$A$2:$A$100,0)),"PRODUK?")))</f>
        <v/>
      </c>
      <c r="R1153" s="29" t="str">
        <f aca="false">IF(A1153="","",IF(COUNTIF(Anggota!$A$2:$A$2001,A1153)=0,"TIDAK ADA","OK"))</f>
        <v/>
      </c>
      <c r="S1153" s="29" t="str">
        <f aca="false">IF(H1153="","",IF(OR(J1153="",L1153=""),"-",IF(ABS(H1153-J1153*L1153)&gt;Info_Koperasi!$C$10,"SELISIH","OK")))</f>
        <v/>
      </c>
    </row>
    <row r="1154" customFormat="false" ht="15" hidden="false" customHeight="false" outlineLevel="0" collapsed="false">
      <c r="A1154" s="21"/>
      <c r="B1154" s="22"/>
      <c r="C1154" s="21"/>
      <c r="D1154" s="21"/>
      <c r="E1154" s="28"/>
      <c r="F1154" s="24"/>
      <c r="G1154" s="26"/>
      <c r="H1154" s="24"/>
      <c r="I1154" s="24"/>
      <c r="J1154" s="24"/>
      <c r="K1154" s="24"/>
      <c r="L1154" s="26"/>
      <c r="M1154" s="26"/>
      <c r="N1154" s="22"/>
      <c r="O1154" s="21"/>
      <c r="P1154" s="22"/>
      <c r="Q1154" s="29" t="str">
        <f aca="false">IF(C1154="","",IF(O1154&lt;&gt;"",O1154,IFERROR(INDEX(Produk!$J$2:$J$100,MATCH(C1154,Produk!$A$2:$A$100,0)),"PRODUK?")))</f>
        <v/>
      </c>
      <c r="R1154" s="29" t="str">
        <f aca="false">IF(A1154="","",IF(COUNTIF(Anggota!$A$2:$A$2001,A1154)=0,"TIDAK ADA","OK"))</f>
        <v/>
      </c>
      <c r="S1154" s="29" t="str">
        <f aca="false">IF(H1154="","",IF(OR(J1154="",L1154=""),"-",IF(ABS(H1154-J1154*L1154)&gt;Info_Koperasi!$C$10,"SELISIH","OK")))</f>
        <v/>
      </c>
    </row>
    <row r="1155" customFormat="false" ht="15" hidden="false" customHeight="false" outlineLevel="0" collapsed="false">
      <c r="A1155" s="21"/>
      <c r="B1155" s="22"/>
      <c r="C1155" s="21"/>
      <c r="D1155" s="21"/>
      <c r="E1155" s="28"/>
      <c r="F1155" s="24"/>
      <c r="G1155" s="26"/>
      <c r="H1155" s="24"/>
      <c r="I1155" s="24"/>
      <c r="J1155" s="24"/>
      <c r="K1155" s="24"/>
      <c r="L1155" s="26"/>
      <c r="M1155" s="26"/>
      <c r="N1155" s="22"/>
      <c r="O1155" s="21"/>
      <c r="P1155" s="22"/>
      <c r="Q1155" s="29" t="str">
        <f aca="false">IF(C1155="","",IF(O1155&lt;&gt;"",O1155,IFERROR(INDEX(Produk!$J$2:$J$100,MATCH(C1155,Produk!$A$2:$A$100,0)),"PRODUK?")))</f>
        <v/>
      </c>
      <c r="R1155" s="29" t="str">
        <f aca="false">IF(A1155="","",IF(COUNTIF(Anggota!$A$2:$A$2001,A1155)=0,"TIDAK ADA","OK"))</f>
        <v/>
      </c>
      <c r="S1155" s="29" t="str">
        <f aca="false">IF(H1155="","",IF(OR(J1155="",L1155=""),"-",IF(ABS(H1155-J1155*L1155)&gt;Info_Koperasi!$C$10,"SELISIH","OK")))</f>
        <v/>
      </c>
    </row>
    <row r="1156" customFormat="false" ht="15" hidden="false" customHeight="false" outlineLevel="0" collapsed="false">
      <c r="A1156" s="21"/>
      <c r="B1156" s="22"/>
      <c r="C1156" s="21"/>
      <c r="D1156" s="21"/>
      <c r="E1156" s="28"/>
      <c r="F1156" s="24"/>
      <c r="G1156" s="26"/>
      <c r="H1156" s="24"/>
      <c r="I1156" s="24"/>
      <c r="J1156" s="24"/>
      <c r="K1156" s="24"/>
      <c r="L1156" s="26"/>
      <c r="M1156" s="26"/>
      <c r="N1156" s="22"/>
      <c r="O1156" s="21"/>
      <c r="P1156" s="22"/>
      <c r="Q1156" s="29" t="str">
        <f aca="false">IF(C1156="","",IF(O1156&lt;&gt;"",O1156,IFERROR(INDEX(Produk!$J$2:$J$100,MATCH(C1156,Produk!$A$2:$A$100,0)),"PRODUK?")))</f>
        <v/>
      </c>
      <c r="R1156" s="29" t="str">
        <f aca="false">IF(A1156="","",IF(COUNTIF(Anggota!$A$2:$A$2001,A1156)=0,"TIDAK ADA","OK"))</f>
        <v/>
      </c>
      <c r="S1156" s="29" t="str">
        <f aca="false">IF(H1156="","",IF(OR(J1156="",L1156=""),"-",IF(ABS(H1156-J1156*L1156)&gt;Info_Koperasi!$C$10,"SELISIH","OK")))</f>
        <v/>
      </c>
    </row>
    <row r="1157" customFormat="false" ht="15" hidden="false" customHeight="false" outlineLevel="0" collapsed="false">
      <c r="A1157" s="21"/>
      <c r="B1157" s="22"/>
      <c r="C1157" s="21"/>
      <c r="D1157" s="21"/>
      <c r="E1157" s="28"/>
      <c r="F1157" s="24"/>
      <c r="G1157" s="26"/>
      <c r="H1157" s="24"/>
      <c r="I1157" s="24"/>
      <c r="J1157" s="24"/>
      <c r="K1157" s="24"/>
      <c r="L1157" s="26"/>
      <c r="M1157" s="26"/>
      <c r="N1157" s="22"/>
      <c r="O1157" s="21"/>
      <c r="P1157" s="22"/>
      <c r="Q1157" s="29" t="str">
        <f aca="false">IF(C1157="","",IF(O1157&lt;&gt;"",O1157,IFERROR(INDEX(Produk!$J$2:$J$100,MATCH(C1157,Produk!$A$2:$A$100,0)),"PRODUK?")))</f>
        <v/>
      </c>
      <c r="R1157" s="29" t="str">
        <f aca="false">IF(A1157="","",IF(COUNTIF(Anggota!$A$2:$A$2001,A1157)=0,"TIDAK ADA","OK"))</f>
        <v/>
      </c>
      <c r="S1157" s="29" t="str">
        <f aca="false">IF(H1157="","",IF(OR(J1157="",L1157=""),"-",IF(ABS(H1157-J1157*L1157)&gt;Info_Koperasi!$C$10,"SELISIH","OK")))</f>
        <v/>
      </c>
    </row>
    <row r="1158" customFormat="false" ht="15" hidden="false" customHeight="false" outlineLevel="0" collapsed="false">
      <c r="A1158" s="21"/>
      <c r="B1158" s="22"/>
      <c r="C1158" s="21"/>
      <c r="D1158" s="21"/>
      <c r="E1158" s="28"/>
      <c r="F1158" s="24"/>
      <c r="G1158" s="26"/>
      <c r="H1158" s="24"/>
      <c r="I1158" s="24"/>
      <c r="J1158" s="24"/>
      <c r="K1158" s="24"/>
      <c r="L1158" s="26"/>
      <c r="M1158" s="26"/>
      <c r="N1158" s="22"/>
      <c r="O1158" s="21"/>
      <c r="P1158" s="22"/>
      <c r="Q1158" s="29" t="str">
        <f aca="false">IF(C1158="","",IF(O1158&lt;&gt;"",O1158,IFERROR(INDEX(Produk!$J$2:$J$100,MATCH(C1158,Produk!$A$2:$A$100,0)),"PRODUK?")))</f>
        <v/>
      </c>
      <c r="R1158" s="29" t="str">
        <f aca="false">IF(A1158="","",IF(COUNTIF(Anggota!$A$2:$A$2001,A1158)=0,"TIDAK ADA","OK"))</f>
        <v/>
      </c>
      <c r="S1158" s="29" t="str">
        <f aca="false">IF(H1158="","",IF(OR(J1158="",L1158=""),"-",IF(ABS(H1158-J1158*L1158)&gt;Info_Koperasi!$C$10,"SELISIH","OK")))</f>
        <v/>
      </c>
    </row>
    <row r="1159" customFormat="false" ht="15" hidden="false" customHeight="false" outlineLevel="0" collapsed="false">
      <c r="A1159" s="21"/>
      <c r="B1159" s="22"/>
      <c r="C1159" s="21"/>
      <c r="D1159" s="21"/>
      <c r="E1159" s="28"/>
      <c r="F1159" s="24"/>
      <c r="G1159" s="26"/>
      <c r="H1159" s="24"/>
      <c r="I1159" s="24"/>
      <c r="J1159" s="24"/>
      <c r="K1159" s="24"/>
      <c r="L1159" s="26"/>
      <c r="M1159" s="26"/>
      <c r="N1159" s="22"/>
      <c r="O1159" s="21"/>
      <c r="P1159" s="22"/>
      <c r="Q1159" s="29" t="str">
        <f aca="false">IF(C1159="","",IF(O1159&lt;&gt;"",O1159,IFERROR(INDEX(Produk!$J$2:$J$100,MATCH(C1159,Produk!$A$2:$A$100,0)),"PRODUK?")))</f>
        <v/>
      </c>
      <c r="R1159" s="29" t="str">
        <f aca="false">IF(A1159="","",IF(COUNTIF(Anggota!$A$2:$A$2001,A1159)=0,"TIDAK ADA","OK"))</f>
        <v/>
      </c>
      <c r="S1159" s="29" t="str">
        <f aca="false">IF(H1159="","",IF(OR(J1159="",L1159=""),"-",IF(ABS(H1159-J1159*L1159)&gt;Info_Koperasi!$C$10,"SELISIH","OK")))</f>
        <v/>
      </c>
    </row>
    <row r="1160" customFormat="false" ht="15" hidden="false" customHeight="false" outlineLevel="0" collapsed="false">
      <c r="A1160" s="21"/>
      <c r="B1160" s="22"/>
      <c r="C1160" s="21"/>
      <c r="D1160" s="21"/>
      <c r="E1160" s="28"/>
      <c r="F1160" s="24"/>
      <c r="G1160" s="26"/>
      <c r="H1160" s="24"/>
      <c r="I1160" s="24"/>
      <c r="J1160" s="24"/>
      <c r="K1160" s="24"/>
      <c r="L1160" s="26"/>
      <c r="M1160" s="26"/>
      <c r="N1160" s="22"/>
      <c r="O1160" s="21"/>
      <c r="P1160" s="22"/>
      <c r="Q1160" s="29" t="str">
        <f aca="false">IF(C1160="","",IF(O1160&lt;&gt;"",O1160,IFERROR(INDEX(Produk!$J$2:$J$100,MATCH(C1160,Produk!$A$2:$A$100,0)),"PRODUK?")))</f>
        <v/>
      </c>
      <c r="R1160" s="29" t="str">
        <f aca="false">IF(A1160="","",IF(COUNTIF(Anggota!$A$2:$A$2001,A1160)=0,"TIDAK ADA","OK"))</f>
        <v/>
      </c>
      <c r="S1160" s="29" t="str">
        <f aca="false">IF(H1160="","",IF(OR(J1160="",L1160=""),"-",IF(ABS(H1160-J1160*L1160)&gt;Info_Koperasi!$C$10,"SELISIH","OK")))</f>
        <v/>
      </c>
    </row>
    <row r="1161" customFormat="false" ht="15" hidden="false" customHeight="false" outlineLevel="0" collapsed="false">
      <c r="A1161" s="21"/>
      <c r="B1161" s="22"/>
      <c r="C1161" s="21"/>
      <c r="D1161" s="21"/>
      <c r="E1161" s="28"/>
      <c r="F1161" s="24"/>
      <c r="G1161" s="26"/>
      <c r="H1161" s="24"/>
      <c r="I1161" s="24"/>
      <c r="J1161" s="24"/>
      <c r="K1161" s="24"/>
      <c r="L1161" s="26"/>
      <c r="M1161" s="26"/>
      <c r="N1161" s="22"/>
      <c r="O1161" s="21"/>
      <c r="P1161" s="22"/>
      <c r="Q1161" s="29" t="str">
        <f aca="false">IF(C1161="","",IF(O1161&lt;&gt;"",O1161,IFERROR(INDEX(Produk!$J$2:$J$100,MATCH(C1161,Produk!$A$2:$A$100,0)),"PRODUK?")))</f>
        <v/>
      </c>
      <c r="R1161" s="29" t="str">
        <f aca="false">IF(A1161="","",IF(COUNTIF(Anggota!$A$2:$A$2001,A1161)=0,"TIDAK ADA","OK"))</f>
        <v/>
      </c>
      <c r="S1161" s="29" t="str">
        <f aca="false">IF(H1161="","",IF(OR(J1161="",L1161=""),"-",IF(ABS(H1161-J1161*L1161)&gt;Info_Koperasi!$C$10,"SELISIH","OK")))</f>
        <v/>
      </c>
    </row>
    <row r="1162" customFormat="false" ht="15" hidden="false" customHeight="false" outlineLevel="0" collapsed="false">
      <c r="A1162" s="21"/>
      <c r="B1162" s="22"/>
      <c r="C1162" s="21"/>
      <c r="D1162" s="21"/>
      <c r="E1162" s="28"/>
      <c r="F1162" s="24"/>
      <c r="G1162" s="26"/>
      <c r="H1162" s="24"/>
      <c r="I1162" s="24"/>
      <c r="J1162" s="24"/>
      <c r="K1162" s="24"/>
      <c r="L1162" s="26"/>
      <c r="M1162" s="26"/>
      <c r="N1162" s="22"/>
      <c r="O1162" s="21"/>
      <c r="P1162" s="22"/>
      <c r="Q1162" s="29" t="str">
        <f aca="false">IF(C1162="","",IF(O1162&lt;&gt;"",O1162,IFERROR(INDEX(Produk!$J$2:$J$100,MATCH(C1162,Produk!$A$2:$A$100,0)),"PRODUK?")))</f>
        <v/>
      </c>
      <c r="R1162" s="29" t="str">
        <f aca="false">IF(A1162="","",IF(COUNTIF(Anggota!$A$2:$A$2001,A1162)=0,"TIDAK ADA","OK"))</f>
        <v/>
      </c>
      <c r="S1162" s="29" t="str">
        <f aca="false">IF(H1162="","",IF(OR(J1162="",L1162=""),"-",IF(ABS(H1162-J1162*L1162)&gt;Info_Koperasi!$C$10,"SELISIH","OK")))</f>
        <v/>
      </c>
    </row>
    <row r="1163" customFormat="false" ht="15" hidden="false" customHeight="false" outlineLevel="0" collapsed="false">
      <c r="A1163" s="21"/>
      <c r="B1163" s="22"/>
      <c r="C1163" s="21"/>
      <c r="D1163" s="21"/>
      <c r="E1163" s="28"/>
      <c r="F1163" s="24"/>
      <c r="G1163" s="26"/>
      <c r="H1163" s="24"/>
      <c r="I1163" s="24"/>
      <c r="J1163" s="24"/>
      <c r="K1163" s="24"/>
      <c r="L1163" s="26"/>
      <c r="M1163" s="26"/>
      <c r="N1163" s="22"/>
      <c r="O1163" s="21"/>
      <c r="P1163" s="22"/>
      <c r="Q1163" s="29" t="str">
        <f aca="false">IF(C1163="","",IF(O1163&lt;&gt;"",O1163,IFERROR(INDEX(Produk!$J$2:$J$100,MATCH(C1163,Produk!$A$2:$A$100,0)),"PRODUK?")))</f>
        <v/>
      </c>
      <c r="R1163" s="29" t="str">
        <f aca="false">IF(A1163="","",IF(COUNTIF(Anggota!$A$2:$A$2001,A1163)=0,"TIDAK ADA","OK"))</f>
        <v/>
      </c>
      <c r="S1163" s="29" t="str">
        <f aca="false">IF(H1163="","",IF(OR(J1163="",L1163=""),"-",IF(ABS(H1163-J1163*L1163)&gt;Info_Koperasi!$C$10,"SELISIH","OK")))</f>
        <v/>
      </c>
    </row>
    <row r="1164" customFormat="false" ht="15" hidden="false" customHeight="false" outlineLevel="0" collapsed="false">
      <c r="A1164" s="21"/>
      <c r="B1164" s="22"/>
      <c r="C1164" s="21"/>
      <c r="D1164" s="21"/>
      <c r="E1164" s="28"/>
      <c r="F1164" s="24"/>
      <c r="G1164" s="26"/>
      <c r="H1164" s="24"/>
      <c r="I1164" s="24"/>
      <c r="J1164" s="24"/>
      <c r="K1164" s="24"/>
      <c r="L1164" s="26"/>
      <c r="M1164" s="26"/>
      <c r="N1164" s="22"/>
      <c r="O1164" s="21"/>
      <c r="P1164" s="22"/>
      <c r="Q1164" s="29" t="str">
        <f aca="false">IF(C1164="","",IF(O1164&lt;&gt;"",O1164,IFERROR(INDEX(Produk!$J$2:$J$100,MATCH(C1164,Produk!$A$2:$A$100,0)),"PRODUK?")))</f>
        <v/>
      </c>
      <c r="R1164" s="29" t="str">
        <f aca="false">IF(A1164="","",IF(COUNTIF(Anggota!$A$2:$A$2001,A1164)=0,"TIDAK ADA","OK"))</f>
        <v/>
      </c>
      <c r="S1164" s="29" t="str">
        <f aca="false">IF(H1164="","",IF(OR(J1164="",L1164=""),"-",IF(ABS(H1164-J1164*L1164)&gt;Info_Koperasi!$C$10,"SELISIH","OK")))</f>
        <v/>
      </c>
    </row>
    <row r="1165" customFormat="false" ht="15" hidden="false" customHeight="false" outlineLevel="0" collapsed="false">
      <c r="A1165" s="21"/>
      <c r="B1165" s="22"/>
      <c r="C1165" s="21"/>
      <c r="D1165" s="21"/>
      <c r="E1165" s="28"/>
      <c r="F1165" s="24"/>
      <c r="G1165" s="26"/>
      <c r="H1165" s="24"/>
      <c r="I1165" s="24"/>
      <c r="J1165" s="24"/>
      <c r="K1165" s="24"/>
      <c r="L1165" s="26"/>
      <c r="M1165" s="26"/>
      <c r="N1165" s="22"/>
      <c r="O1165" s="21"/>
      <c r="P1165" s="22"/>
      <c r="Q1165" s="29" t="str">
        <f aca="false">IF(C1165="","",IF(O1165&lt;&gt;"",O1165,IFERROR(INDEX(Produk!$J$2:$J$100,MATCH(C1165,Produk!$A$2:$A$100,0)),"PRODUK?")))</f>
        <v/>
      </c>
      <c r="R1165" s="29" t="str">
        <f aca="false">IF(A1165="","",IF(COUNTIF(Anggota!$A$2:$A$2001,A1165)=0,"TIDAK ADA","OK"))</f>
        <v/>
      </c>
      <c r="S1165" s="29" t="str">
        <f aca="false">IF(H1165="","",IF(OR(J1165="",L1165=""),"-",IF(ABS(H1165-J1165*L1165)&gt;Info_Koperasi!$C$10,"SELISIH","OK")))</f>
        <v/>
      </c>
    </row>
    <row r="1166" customFormat="false" ht="15" hidden="false" customHeight="false" outlineLevel="0" collapsed="false">
      <c r="A1166" s="21"/>
      <c r="B1166" s="22"/>
      <c r="C1166" s="21"/>
      <c r="D1166" s="21"/>
      <c r="E1166" s="28"/>
      <c r="F1166" s="24"/>
      <c r="G1166" s="26"/>
      <c r="H1166" s="24"/>
      <c r="I1166" s="24"/>
      <c r="J1166" s="24"/>
      <c r="K1166" s="24"/>
      <c r="L1166" s="26"/>
      <c r="M1166" s="26"/>
      <c r="N1166" s="22"/>
      <c r="O1166" s="21"/>
      <c r="P1166" s="22"/>
      <c r="Q1166" s="29" t="str">
        <f aca="false">IF(C1166="","",IF(O1166&lt;&gt;"",O1166,IFERROR(INDEX(Produk!$J$2:$J$100,MATCH(C1166,Produk!$A$2:$A$100,0)),"PRODUK?")))</f>
        <v/>
      </c>
      <c r="R1166" s="29" t="str">
        <f aca="false">IF(A1166="","",IF(COUNTIF(Anggota!$A$2:$A$2001,A1166)=0,"TIDAK ADA","OK"))</f>
        <v/>
      </c>
      <c r="S1166" s="29" t="str">
        <f aca="false">IF(H1166="","",IF(OR(J1166="",L1166=""),"-",IF(ABS(H1166-J1166*L1166)&gt;Info_Koperasi!$C$10,"SELISIH","OK")))</f>
        <v/>
      </c>
    </row>
    <row r="1167" customFormat="false" ht="15" hidden="false" customHeight="false" outlineLevel="0" collapsed="false">
      <c r="A1167" s="21"/>
      <c r="B1167" s="22"/>
      <c r="C1167" s="21"/>
      <c r="D1167" s="21"/>
      <c r="E1167" s="28"/>
      <c r="F1167" s="24"/>
      <c r="G1167" s="26"/>
      <c r="H1167" s="24"/>
      <c r="I1167" s="24"/>
      <c r="J1167" s="24"/>
      <c r="K1167" s="24"/>
      <c r="L1167" s="26"/>
      <c r="M1167" s="26"/>
      <c r="N1167" s="22"/>
      <c r="O1167" s="21"/>
      <c r="P1167" s="22"/>
      <c r="Q1167" s="29" t="str">
        <f aca="false">IF(C1167="","",IF(O1167&lt;&gt;"",O1167,IFERROR(INDEX(Produk!$J$2:$J$100,MATCH(C1167,Produk!$A$2:$A$100,0)),"PRODUK?")))</f>
        <v/>
      </c>
      <c r="R1167" s="29" t="str">
        <f aca="false">IF(A1167="","",IF(COUNTIF(Anggota!$A$2:$A$2001,A1167)=0,"TIDAK ADA","OK"))</f>
        <v/>
      </c>
      <c r="S1167" s="29" t="str">
        <f aca="false">IF(H1167="","",IF(OR(J1167="",L1167=""),"-",IF(ABS(H1167-J1167*L1167)&gt;Info_Koperasi!$C$10,"SELISIH","OK")))</f>
        <v/>
      </c>
    </row>
    <row r="1168" customFormat="false" ht="15" hidden="false" customHeight="false" outlineLevel="0" collapsed="false">
      <c r="A1168" s="21"/>
      <c r="B1168" s="22"/>
      <c r="C1168" s="21"/>
      <c r="D1168" s="21"/>
      <c r="E1168" s="28"/>
      <c r="F1168" s="24"/>
      <c r="G1168" s="26"/>
      <c r="H1168" s="24"/>
      <c r="I1168" s="24"/>
      <c r="J1168" s="24"/>
      <c r="K1168" s="24"/>
      <c r="L1168" s="26"/>
      <c r="M1168" s="26"/>
      <c r="N1168" s="22"/>
      <c r="O1168" s="21"/>
      <c r="P1168" s="22"/>
      <c r="Q1168" s="29" t="str">
        <f aca="false">IF(C1168="","",IF(O1168&lt;&gt;"",O1168,IFERROR(INDEX(Produk!$J$2:$J$100,MATCH(C1168,Produk!$A$2:$A$100,0)),"PRODUK?")))</f>
        <v/>
      </c>
      <c r="R1168" s="29" t="str">
        <f aca="false">IF(A1168="","",IF(COUNTIF(Anggota!$A$2:$A$2001,A1168)=0,"TIDAK ADA","OK"))</f>
        <v/>
      </c>
      <c r="S1168" s="29" t="str">
        <f aca="false">IF(H1168="","",IF(OR(J1168="",L1168=""),"-",IF(ABS(H1168-J1168*L1168)&gt;Info_Koperasi!$C$10,"SELISIH","OK")))</f>
        <v/>
      </c>
    </row>
    <row r="1169" customFormat="false" ht="15" hidden="false" customHeight="false" outlineLevel="0" collapsed="false">
      <c r="A1169" s="21"/>
      <c r="B1169" s="22"/>
      <c r="C1169" s="21"/>
      <c r="D1169" s="21"/>
      <c r="E1169" s="28"/>
      <c r="F1169" s="24"/>
      <c r="G1169" s="26"/>
      <c r="H1169" s="24"/>
      <c r="I1169" s="24"/>
      <c r="J1169" s="24"/>
      <c r="K1169" s="24"/>
      <c r="L1169" s="26"/>
      <c r="M1169" s="26"/>
      <c r="N1169" s="22"/>
      <c r="O1169" s="21"/>
      <c r="P1169" s="22"/>
      <c r="Q1169" s="29" t="str">
        <f aca="false">IF(C1169="","",IF(O1169&lt;&gt;"",O1169,IFERROR(INDEX(Produk!$J$2:$J$100,MATCH(C1169,Produk!$A$2:$A$100,0)),"PRODUK?")))</f>
        <v/>
      </c>
      <c r="R1169" s="29" t="str">
        <f aca="false">IF(A1169="","",IF(COUNTIF(Anggota!$A$2:$A$2001,A1169)=0,"TIDAK ADA","OK"))</f>
        <v/>
      </c>
      <c r="S1169" s="29" t="str">
        <f aca="false">IF(H1169="","",IF(OR(J1169="",L1169=""),"-",IF(ABS(H1169-J1169*L1169)&gt;Info_Koperasi!$C$10,"SELISIH","OK")))</f>
        <v/>
      </c>
    </row>
    <row r="1170" customFormat="false" ht="15" hidden="false" customHeight="false" outlineLevel="0" collapsed="false">
      <c r="A1170" s="21"/>
      <c r="B1170" s="22"/>
      <c r="C1170" s="21"/>
      <c r="D1170" s="21"/>
      <c r="E1170" s="28"/>
      <c r="F1170" s="24"/>
      <c r="G1170" s="26"/>
      <c r="H1170" s="24"/>
      <c r="I1170" s="24"/>
      <c r="J1170" s="24"/>
      <c r="K1170" s="24"/>
      <c r="L1170" s="26"/>
      <c r="M1170" s="26"/>
      <c r="N1170" s="22"/>
      <c r="O1170" s="21"/>
      <c r="P1170" s="22"/>
      <c r="Q1170" s="29" t="str">
        <f aca="false">IF(C1170="","",IF(O1170&lt;&gt;"",O1170,IFERROR(INDEX(Produk!$J$2:$J$100,MATCH(C1170,Produk!$A$2:$A$100,0)),"PRODUK?")))</f>
        <v/>
      </c>
      <c r="R1170" s="29" t="str">
        <f aca="false">IF(A1170="","",IF(COUNTIF(Anggota!$A$2:$A$2001,A1170)=0,"TIDAK ADA","OK"))</f>
        <v/>
      </c>
      <c r="S1170" s="29" t="str">
        <f aca="false">IF(H1170="","",IF(OR(J1170="",L1170=""),"-",IF(ABS(H1170-J1170*L1170)&gt;Info_Koperasi!$C$10,"SELISIH","OK")))</f>
        <v/>
      </c>
    </row>
    <row r="1171" customFormat="false" ht="15" hidden="false" customHeight="false" outlineLevel="0" collapsed="false">
      <c r="A1171" s="21"/>
      <c r="B1171" s="22"/>
      <c r="C1171" s="21"/>
      <c r="D1171" s="21"/>
      <c r="E1171" s="28"/>
      <c r="F1171" s="24"/>
      <c r="G1171" s="26"/>
      <c r="H1171" s="24"/>
      <c r="I1171" s="24"/>
      <c r="J1171" s="24"/>
      <c r="K1171" s="24"/>
      <c r="L1171" s="26"/>
      <c r="M1171" s="26"/>
      <c r="N1171" s="22"/>
      <c r="O1171" s="21"/>
      <c r="P1171" s="22"/>
      <c r="Q1171" s="29" t="str">
        <f aca="false">IF(C1171="","",IF(O1171&lt;&gt;"",O1171,IFERROR(INDEX(Produk!$J$2:$J$100,MATCH(C1171,Produk!$A$2:$A$100,0)),"PRODUK?")))</f>
        <v/>
      </c>
      <c r="R1171" s="29" t="str">
        <f aca="false">IF(A1171="","",IF(COUNTIF(Anggota!$A$2:$A$2001,A1171)=0,"TIDAK ADA","OK"))</f>
        <v/>
      </c>
      <c r="S1171" s="29" t="str">
        <f aca="false">IF(H1171="","",IF(OR(J1171="",L1171=""),"-",IF(ABS(H1171-J1171*L1171)&gt;Info_Koperasi!$C$10,"SELISIH","OK")))</f>
        <v/>
      </c>
    </row>
    <row r="1172" customFormat="false" ht="15" hidden="false" customHeight="false" outlineLevel="0" collapsed="false">
      <c r="A1172" s="21"/>
      <c r="B1172" s="22"/>
      <c r="C1172" s="21"/>
      <c r="D1172" s="21"/>
      <c r="E1172" s="28"/>
      <c r="F1172" s="24"/>
      <c r="G1172" s="26"/>
      <c r="H1172" s="24"/>
      <c r="I1172" s="24"/>
      <c r="J1172" s="24"/>
      <c r="K1172" s="24"/>
      <c r="L1172" s="26"/>
      <c r="M1172" s="26"/>
      <c r="N1172" s="22"/>
      <c r="O1172" s="21"/>
      <c r="P1172" s="22"/>
      <c r="Q1172" s="29" t="str">
        <f aca="false">IF(C1172="","",IF(O1172&lt;&gt;"",O1172,IFERROR(INDEX(Produk!$J$2:$J$100,MATCH(C1172,Produk!$A$2:$A$100,0)),"PRODUK?")))</f>
        <v/>
      </c>
      <c r="R1172" s="29" t="str">
        <f aca="false">IF(A1172="","",IF(COUNTIF(Anggota!$A$2:$A$2001,A1172)=0,"TIDAK ADA","OK"))</f>
        <v/>
      </c>
      <c r="S1172" s="29" t="str">
        <f aca="false">IF(H1172="","",IF(OR(J1172="",L1172=""),"-",IF(ABS(H1172-J1172*L1172)&gt;Info_Koperasi!$C$10,"SELISIH","OK")))</f>
        <v/>
      </c>
    </row>
    <row r="1173" customFormat="false" ht="15" hidden="false" customHeight="false" outlineLevel="0" collapsed="false">
      <c r="A1173" s="21"/>
      <c r="B1173" s="22"/>
      <c r="C1173" s="21"/>
      <c r="D1173" s="21"/>
      <c r="E1173" s="28"/>
      <c r="F1173" s="24"/>
      <c r="G1173" s="26"/>
      <c r="H1173" s="24"/>
      <c r="I1173" s="24"/>
      <c r="J1173" s="24"/>
      <c r="K1173" s="24"/>
      <c r="L1173" s="26"/>
      <c r="M1173" s="26"/>
      <c r="N1173" s="22"/>
      <c r="O1173" s="21"/>
      <c r="P1173" s="22"/>
      <c r="Q1173" s="29" t="str">
        <f aca="false">IF(C1173="","",IF(O1173&lt;&gt;"",O1173,IFERROR(INDEX(Produk!$J$2:$J$100,MATCH(C1173,Produk!$A$2:$A$100,0)),"PRODUK?")))</f>
        <v/>
      </c>
      <c r="R1173" s="29" t="str">
        <f aca="false">IF(A1173="","",IF(COUNTIF(Anggota!$A$2:$A$2001,A1173)=0,"TIDAK ADA","OK"))</f>
        <v/>
      </c>
      <c r="S1173" s="29" t="str">
        <f aca="false">IF(H1173="","",IF(OR(J1173="",L1173=""),"-",IF(ABS(H1173-J1173*L1173)&gt;Info_Koperasi!$C$10,"SELISIH","OK")))</f>
        <v/>
      </c>
    </row>
    <row r="1174" customFormat="false" ht="15" hidden="false" customHeight="false" outlineLevel="0" collapsed="false">
      <c r="A1174" s="21"/>
      <c r="B1174" s="22"/>
      <c r="C1174" s="21"/>
      <c r="D1174" s="21"/>
      <c r="E1174" s="28"/>
      <c r="F1174" s="24"/>
      <c r="G1174" s="26"/>
      <c r="H1174" s="24"/>
      <c r="I1174" s="24"/>
      <c r="J1174" s="24"/>
      <c r="K1174" s="24"/>
      <c r="L1174" s="26"/>
      <c r="M1174" s="26"/>
      <c r="N1174" s="22"/>
      <c r="O1174" s="21"/>
      <c r="P1174" s="22"/>
      <c r="Q1174" s="29" t="str">
        <f aca="false">IF(C1174="","",IF(O1174&lt;&gt;"",O1174,IFERROR(INDEX(Produk!$J$2:$J$100,MATCH(C1174,Produk!$A$2:$A$100,0)),"PRODUK?")))</f>
        <v/>
      </c>
      <c r="R1174" s="29" t="str">
        <f aca="false">IF(A1174="","",IF(COUNTIF(Anggota!$A$2:$A$2001,A1174)=0,"TIDAK ADA","OK"))</f>
        <v/>
      </c>
      <c r="S1174" s="29" t="str">
        <f aca="false">IF(H1174="","",IF(OR(J1174="",L1174=""),"-",IF(ABS(H1174-J1174*L1174)&gt;Info_Koperasi!$C$10,"SELISIH","OK")))</f>
        <v/>
      </c>
    </row>
    <row r="1175" customFormat="false" ht="15" hidden="false" customHeight="false" outlineLevel="0" collapsed="false">
      <c r="A1175" s="21"/>
      <c r="B1175" s="22"/>
      <c r="C1175" s="21"/>
      <c r="D1175" s="21"/>
      <c r="E1175" s="28"/>
      <c r="F1175" s="24"/>
      <c r="G1175" s="26"/>
      <c r="H1175" s="24"/>
      <c r="I1175" s="24"/>
      <c r="J1175" s="24"/>
      <c r="K1175" s="24"/>
      <c r="L1175" s="26"/>
      <c r="M1175" s="26"/>
      <c r="N1175" s="22"/>
      <c r="O1175" s="21"/>
      <c r="P1175" s="22"/>
      <c r="Q1175" s="29" t="str">
        <f aca="false">IF(C1175="","",IF(O1175&lt;&gt;"",O1175,IFERROR(INDEX(Produk!$J$2:$J$100,MATCH(C1175,Produk!$A$2:$A$100,0)),"PRODUK?")))</f>
        <v/>
      </c>
      <c r="R1175" s="29" t="str">
        <f aca="false">IF(A1175="","",IF(COUNTIF(Anggota!$A$2:$A$2001,A1175)=0,"TIDAK ADA","OK"))</f>
        <v/>
      </c>
      <c r="S1175" s="29" t="str">
        <f aca="false">IF(H1175="","",IF(OR(J1175="",L1175=""),"-",IF(ABS(H1175-J1175*L1175)&gt;Info_Koperasi!$C$10,"SELISIH","OK")))</f>
        <v/>
      </c>
    </row>
    <row r="1176" customFormat="false" ht="15" hidden="false" customHeight="false" outlineLevel="0" collapsed="false">
      <c r="A1176" s="21"/>
      <c r="B1176" s="22"/>
      <c r="C1176" s="21"/>
      <c r="D1176" s="21"/>
      <c r="E1176" s="28"/>
      <c r="F1176" s="24"/>
      <c r="G1176" s="26"/>
      <c r="H1176" s="24"/>
      <c r="I1176" s="24"/>
      <c r="J1176" s="24"/>
      <c r="K1176" s="24"/>
      <c r="L1176" s="26"/>
      <c r="M1176" s="26"/>
      <c r="N1176" s="22"/>
      <c r="O1176" s="21"/>
      <c r="P1176" s="22"/>
      <c r="Q1176" s="29" t="str">
        <f aca="false">IF(C1176="","",IF(O1176&lt;&gt;"",O1176,IFERROR(INDEX(Produk!$J$2:$J$100,MATCH(C1176,Produk!$A$2:$A$100,0)),"PRODUK?")))</f>
        <v/>
      </c>
      <c r="R1176" s="29" t="str">
        <f aca="false">IF(A1176="","",IF(COUNTIF(Anggota!$A$2:$A$2001,A1176)=0,"TIDAK ADA","OK"))</f>
        <v/>
      </c>
      <c r="S1176" s="29" t="str">
        <f aca="false">IF(H1176="","",IF(OR(J1176="",L1176=""),"-",IF(ABS(H1176-J1176*L1176)&gt;Info_Koperasi!$C$10,"SELISIH","OK")))</f>
        <v/>
      </c>
    </row>
    <row r="1177" customFormat="false" ht="15" hidden="false" customHeight="false" outlineLevel="0" collapsed="false">
      <c r="A1177" s="21"/>
      <c r="B1177" s="22"/>
      <c r="C1177" s="21"/>
      <c r="D1177" s="21"/>
      <c r="E1177" s="28"/>
      <c r="F1177" s="24"/>
      <c r="G1177" s="26"/>
      <c r="H1177" s="24"/>
      <c r="I1177" s="24"/>
      <c r="J1177" s="24"/>
      <c r="K1177" s="24"/>
      <c r="L1177" s="26"/>
      <c r="M1177" s="26"/>
      <c r="N1177" s="22"/>
      <c r="O1177" s="21"/>
      <c r="P1177" s="22"/>
      <c r="Q1177" s="29" t="str">
        <f aca="false">IF(C1177="","",IF(O1177&lt;&gt;"",O1177,IFERROR(INDEX(Produk!$J$2:$J$100,MATCH(C1177,Produk!$A$2:$A$100,0)),"PRODUK?")))</f>
        <v/>
      </c>
      <c r="R1177" s="29" t="str">
        <f aca="false">IF(A1177="","",IF(COUNTIF(Anggota!$A$2:$A$2001,A1177)=0,"TIDAK ADA","OK"))</f>
        <v/>
      </c>
      <c r="S1177" s="29" t="str">
        <f aca="false">IF(H1177="","",IF(OR(J1177="",L1177=""),"-",IF(ABS(H1177-J1177*L1177)&gt;Info_Koperasi!$C$10,"SELISIH","OK")))</f>
        <v/>
      </c>
    </row>
    <row r="1178" customFormat="false" ht="15" hidden="false" customHeight="false" outlineLevel="0" collapsed="false">
      <c r="A1178" s="21"/>
      <c r="B1178" s="22"/>
      <c r="C1178" s="21"/>
      <c r="D1178" s="21"/>
      <c r="E1178" s="28"/>
      <c r="F1178" s="24"/>
      <c r="G1178" s="26"/>
      <c r="H1178" s="24"/>
      <c r="I1178" s="24"/>
      <c r="J1178" s="24"/>
      <c r="K1178" s="24"/>
      <c r="L1178" s="26"/>
      <c r="M1178" s="26"/>
      <c r="N1178" s="22"/>
      <c r="O1178" s="21"/>
      <c r="P1178" s="22"/>
      <c r="Q1178" s="29" t="str">
        <f aca="false">IF(C1178="","",IF(O1178&lt;&gt;"",O1178,IFERROR(INDEX(Produk!$J$2:$J$100,MATCH(C1178,Produk!$A$2:$A$100,0)),"PRODUK?")))</f>
        <v/>
      </c>
      <c r="R1178" s="29" t="str">
        <f aca="false">IF(A1178="","",IF(COUNTIF(Anggota!$A$2:$A$2001,A1178)=0,"TIDAK ADA","OK"))</f>
        <v/>
      </c>
      <c r="S1178" s="29" t="str">
        <f aca="false">IF(H1178="","",IF(OR(J1178="",L1178=""),"-",IF(ABS(H1178-J1178*L1178)&gt;Info_Koperasi!$C$10,"SELISIH","OK")))</f>
        <v/>
      </c>
    </row>
    <row r="1179" customFormat="false" ht="15" hidden="false" customHeight="false" outlineLevel="0" collapsed="false">
      <c r="A1179" s="21"/>
      <c r="B1179" s="22"/>
      <c r="C1179" s="21"/>
      <c r="D1179" s="21"/>
      <c r="E1179" s="28"/>
      <c r="F1179" s="24"/>
      <c r="G1179" s="26"/>
      <c r="H1179" s="24"/>
      <c r="I1179" s="24"/>
      <c r="J1179" s="24"/>
      <c r="K1179" s="24"/>
      <c r="L1179" s="26"/>
      <c r="M1179" s="26"/>
      <c r="N1179" s="22"/>
      <c r="O1179" s="21"/>
      <c r="P1179" s="22"/>
      <c r="Q1179" s="29" t="str">
        <f aca="false">IF(C1179="","",IF(O1179&lt;&gt;"",O1179,IFERROR(INDEX(Produk!$J$2:$J$100,MATCH(C1179,Produk!$A$2:$A$100,0)),"PRODUK?")))</f>
        <v/>
      </c>
      <c r="R1179" s="29" t="str">
        <f aca="false">IF(A1179="","",IF(COUNTIF(Anggota!$A$2:$A$2001,A1179)=0,"TIDAK ADA","OK"))</f>
        <v/>
      </c>
      <c r="S1179" s="29" t="str">
        <f aca="false">IF(H1179="","",IF(OR(J1179="",L1179=""),"-",IF(ABS(H1179-J1179*L1179)&gt;Info_Koperasi!$C$10,"SELISIH","OK")))</f>
        <v/>
      </c>
    </row>
    <row r="1180" customFormat="false" ht="15" hidden="false" customHeight="false" outlineLevel="0" collapsed="false">
      <c r="A1180" s="21"/>
      <c r="B1180" s="22"/>
      <c r="C1180" s="21"/>
      <c r="D1180" s="21"/>
      <c r="E1180" s="28"/>
      <c r="F1180" s="24"/>
      <c r="G1180" s="26"/>
      <c r="H1180" s="24"/>
      <c r="I1180" s="24"/>
      <c r="J1180" s="24"/>
      <c r="K1180" s="24"/>
      <c r="L1180" s="26"/>
      <c r="M1180" s="26"/>
      <c r="N1180" s="22"/>
      <c r="O1180" s="21"/>
      <c r="P1180" s="22"/>
      <c r="Q1180" s="29" t="str">
        <f aca="false">IF(C1180="","",IF(O1180&lt;&gt;"",O1180,IFERROR(INDEX(Produk!$J$2:$J$100,MATCH(C1180,Produk!$A$2:$A$100,0)),"PRODUK?")))</f>
        <v/>
      </c>
      <c r="R1180" s="29" t="str">
        <f aca="false">IF(A1180="","",IF(COUNTIF(Anggota!$A$2:$A$2001,A1180)=0,"TIDAK ADA","OK"))</f>
        <v/>
      </c>
      <c r="S1180" s="29" t="str">
        <f aca="false">IF(H1180="","",IF(OR(J1180="",L1180=""),"-",IF(ABS(H1180-J1180*L1180)&gt;Info_Koperasi!$C$10,"SELISIH","OK")))</f>
        <v/>
      </c>
    </row>
    <row r="1181" customFormat="false" ht="15" hidden="false" customHeight="false" outlineLevel="0" collapsed="false">
      <c r="A1181" s="21"/>
      <c r="B1181" s="22"/>
      <c r="C1181" s="21"/>
      <c r="D1181" s="21"/>
      <c r="E1181" s="28"/>
      <c r="F1181" s="24"/>
      <c r="G1181" s="26"/>
      <c r="H1181" s="24"/>
      <c r="I1181" s="24"/>
      <c r="J1181" s="24"/>
      <c r="K1181" s="24"/>
      <c r="L1181" s="26"/>
      <c r="M1181" s="26"/>
      <c r="N1181" s="22"/>
      <c r="O1181" s="21"/>
      <c r="P1181" s="22"/>
      <c r="Q1181" s="29" t="str">
        <f aca="false">IF(C1181="","",IF(O1181&lt;&gt;"",O1181,IFERROR(INDEX(Produk!$J$2:$J$100,MATCH(C1181,Produk!$A$2:$A$100,0)),"PRODUK?")))</f>
        <v/>
      </c>
      <c r="R1181" s="29" t="str">
        <f aca="false">IF(A1181="","",IF(COUNTIF(Anggota!$A$2:$A$2001,A1181)=0,"TIDAK ADA","OK"))</f>
        <v/>
      </c>
      <c r="S1181" s="29" t="str">
        <f aca="false">IF(H1181="","",IF(OR(J1181="",L1181=""),"-",IF(ABS(H1181-J1181*L1181)&gt;Info_Koperasi!$C$10,"SELISIH","OK")))</f>
        <v/>
      </c>
    </row>
    <row r="1182" customFormat="false" ht="15" hidden="false" customHeight="false" outlineLevel="0" collapsed="false">
      <c r="A1182" s="21"/>
      <c r="B1182" s="22"/>
      <c r="C1182" s="21"/>
      <c r="D1182" s="21"/>
      <c r="E1182" s="28"/>
      <c r="F1182" s="24"/>
      <c r="G1182" s="26"/>
      <c r="H1182" s="24"/>
      <c r="I1182" s="24"/>
      <c r="J1182" s="24"/>
      <c r="K1182" s="24"/>
      <c r="L1182" s="26"/>
      <c r="M1182" s="26"/>
      <c r="N1182" s="22"/>
      <c r="O1182" s="21"/>
      <c r="P1182" s="22"/>
      <c r="Q1182" s="29" t="str">
        <f aca="false">IF(C1182="","",IF(O1182&lt;&gt;"",O1182,IFERROR(INDEX(Produk!$J$2:$J$100,MATCH(C1182,Produk!$A$2:$A$100,0)),"PRODUK?")))</f>
        <v/>
      </c>
      <c r="R1182" s="29" t="str">
        <f aca="false">IF(A1182="","",IF(COUNTIF(Anggota!$A$2:$A$2001,A1182)=0,"TIDAK ADA","OK"))</f>
        <v/>
      </c>
      <c r="S1182" s="29" t="str">
        <f aca="false">IF(H1182="","",IF(OR(J1182="",L1182=""),"-",IF(ABS(H1182-J1182*L1182)&gt;Info_Koperasi!$C$10,"SELISIH","OK")))</f>
        <v/>
      </c>
    </row>
    <row r="1183" customFormat="false" ht="15" hidden="false" customHeight="false" outlineLevel="0" collapsed="false">
      <c r="A1183" s="21"/>
      <c r="B1183" s="22"/>
      <c r="C1183" s="21"/>
      <c r="D1183" s="21"/>
      <c r="E1183" s="28"/>
      <c r="F1183" s="24"/>
      <c r="G1183" s="26"/>
      <c r="H1183" s="24"/>
      <c r="I1183" s="24"/>
      <c r="J1183" s="24"/>
      <c r="K1183" s="24"/>
      <c r="L1183" s="26"/>
      <c r="M1183" s="26"/>
      <c r="N1183" s="22"/>
      <c r="O1183" s="21"/>
      <c r="P1183" s="22"/>
      <c r="Q1183" s="29" t="str">
        <f aca="false">IF(C1183="","",IF(O1183&lt;&gt;"",O1183,IFERROR(INDEX(Produk!$J$2:$J$100,MATCH(C1183,Produk!$A$2:$A$100,0)),"PRODUK?")))</f>
        <v/>
      </c>
      <c r="R1183" s="29" t="str">
        <f aca="false">IF(A1183="","",IF(COUNTIF(Anggota!$A$2:$A$2001,A1183)=0,"TIDAK ADA","OK"))</f>
        <v/>
      </c>
      <c r="S1183" s="29" t="str">
        <f aca="false">IF(H1183="","",IF(OR(J1183="",L1183=""),"-",IF(ABS(H1183-J1183*L1183)&gt;Info_Koperasi!$C$10,"SELISIH","OK")))</f>
        <v/>
      </c>
    </row>
    <row r="1184" customFormat="false" ht="15" hidden="false" customHeight="false" outlineLevel="0" collapsed="false">
      <c r="A1184" s="21"/>
      <c r="B1184" s="22"/>
      <c r="C1184" s="21"/>
      <c r="D1184" s="21"/>
      <c r="E1184" s="28"/>
      <c r="F1184" s="24"/>
      <c r="G1184" s="26"/>
      <c r="H1184" s="24"/>
      <c r="I1184" s="24"/>
      <c r="J1184" s="24"/>
      <c r="K1184" s="24"/>
      <c r="L1184" s="26"/>
      <c r="M1184" s="26"/>
      <c r="N1184" s="22"/>
      <c r="O1184" s="21"/>
      <c r="P1184" s="22"/>
      <c r="Q1184" s="29" t="str">
        <f aca="false">IF(C1184="","",IF(O1184&lt;&gt;"",O1184,IFERROR(INDEX(Produk!$J$2:$J$100,MATCH(C1184,Produk!$A$2:$A$100,0)),"PRODUK?")))</f>
        <v/>
      </c>
      <c r="R1184" s="29" t="str">
        <f aca="false">IF(A1184="","",IF(COUNTIF(Anggota!$A$2:$A$2001,A1184)=0,"TIDAK ADA","OK"))</f>
        <v/>
      </c>
      <c r="S1184" s="29" t="str">
        <f aca="false">IF(H1184="","",IF(OR(J1184="",L1184=""),"-",IF(ABS(H1184-J1184*L1184)&gt;Info_Koperasi!$C$10,"SELISIH","OK")))</f>
        <v/>
      </c>
    </row>
    <row r="1185" customFormat="false" ht="15" hidden="false" customHeight="false" outlineLevel="0" collapsed="false">
      <c r="A1185" s="21"/>
      <c r="B1185" s="22"/>
      <c r="C1185" s="21"/>
      <c r="D1185" s="21"/>
      <c r="E1185" s="28"/>
      <c r="F1185" s="24"/>
      <c r="G1185" s="26"/>
      <c r="H1185" s="24"/>
      <c r="I1185" s="24"/>
      <c r="J1185" s="24"/>
      <c r="K1185" s="24"/>
      <c r="L1185" s="26"/>
      <c r="M1185" s="26"/>
      <c r="N1185" s="22"/>
      <c r="O1185" s="21"/>
      <c r="P1185" s="22"/>
      <c r="Q1185" s="29" t="str">
        <f aca="false">IF(C1185="","",IF(O1185&lt;&gt;"",O1185,IFERROR(INDEX(Produk!$J$2:$J$100,MATCH(C1185,Produk!$A$2:$A$100,0)),"PRODUK?")))</f>
        <v/>
      </c>
      <c r="R1185" s="29" t="str">
        <f aca="false">IF(A1185="","",IF(COUNTIF(Anggota!$A$2:$A$2001,A1185)=0,"TIDAK ADA","OK"))</f>
        <v/>
      </c>
      <c r="S1185" s="29" t="str">
        <f aca="false">IF(H1185="","",IF(OR(J1185="",L1185=""),"-",IF(ABS(H1185-J1185*L1185)&gt;Info_Koperasi!$C$10,"SELISIH","OK")))</f>
        <v/>
      </c>
    </row>
    <row r="1186" customFormat="false" ht="15" hidden="false" customHeight="false" outlineLevel="0" collapsed="false">
      <c r="A1186" s="21"/>
      <c r="B1186" s="22"/>
      <c r="C1186" s="21"/>
      <c r="D1186" s="21"/>
      <c r="E1186" s="28"/>
      <c r="F1186" s="24"/>
      <c r="G1186" s="26"/>
      <c r="H1186" s="24"/>
      <c r="I1186" s="24"/>
      <c r="J1186" s="24"/>
      <c r="K1186" s="24"/>
      <c r="L1186" s="26"/>
      <c r="M1186" s="26"/>
      <c r="N1186" s="22"/>
      <c r="O1186" s="21"/>
      <c r="P1186" s="22"/>
      <c r="Q1186" s="29" t="str">
        <f aca="false">IF(C1186="","",IF(O1186&lt;&gt;"",O1186,IFERROR(INDEX(Produk!$J$2:$J$100,MATCH(C1186,Produk!$A$2:$A$100,0)),"PRODUK?")))</f>
        <v/>
      </c>
      <c r="R1186" s="29" t="str">
        <f aca="false">IF(A1186="","",IF(COUNTIF(Anggota!$A$2:$A$2001,A1186)=0,"TIDAK ADA","OK"))</f>
        <v/>
      </c>
      <c r="S1186" s="29" t="str">
        <f aca="false">IF(H1186="","",IF(OR(J1186="",L1186=""),"-",IF(ABS(H1186-J1186*L1186)&gt;Info_Koperasi!$C$10,"SELISIH","OK")))</f>
        <v/>
      </c>
    </row>
    <row r="1187" customFormat="false" ht="15" hidden="false" customHeight="false" outlineLevel="0" collapsed="false">
      <c r="A1187" s="21"/>
      <c r="B1187" s="22"/>
      <c r="C1187" s="21"/>
      <c r="D1187" s="21"/>
      <c r="E1187" s="28"/>
      <c r="F1187" s="24"/>
      <c r="G1187" s="26"/>
      <c r="H1187" s="24"/>
      <c r="I1187" s="24"/>
      <c r="J1187" s="24"/>
      <c r="K1187" s="24"/>
      <c r="L1187" s="26"/>
      <c r="M1187" s="26"/>
      <c r="N1187" s="22"/>
      <c r="O1187" s="21"/>
      <c r="P1187" s="22"/>
      <c r="Q1187" s="29" t="str">
        <f aca="false">IF(C1187="","",IF(O1187&lt;&gt;"",O1187,IFERROR(INDEX(Produk!$J$2:$J$100,MATCH(C1187,Produk!$A$2:$A$100,0)),"PRODUK?")))</f>
        <v/>
      </c>
      <c r="R1187" s="29" t="str">
        <f aca="false">IF(A1187="","",IF(COUNTIF(Anggota!$A$2:$A$2001,A1187)=0,"TIDAK ADA","OK"))</f>
        <v/>
      </c>
      <c r="S1187" s="29" t="str">
        <f aca="false">IF(H1187="","",IF(OR(J1187="",L1187=""),"-",IF(ABS(H1187-J1187*L1187)&gt;Info_Koperasi!$C$10,"SELISIH","OK")))</f>
        <v/>
      </c>
    </row>
    <row r="1188" customFormat="false" ht="15" hidden="false" customHeight="false" outlineLevel="0" collapsed="false">
      <c r="A1188" s="21"/>
      <c r="B1188" s="22"/>
      <c r="C1188" s="21"/>
      <c r="D1188" s="21"/>
      <c r="E1188" s="28"/>
      <c r="F1188" s="24"/>
      <c r="G1188" s="26"/>
      <c r="H1188" s="24"/>
      <c r="I1188" s="24"/>
      <c r="J1188" s="24"/>
      <c r="K1188" s="24"/>
      <c r="L1188" s="26"/>
      <c r="M1188" s="26"/>
      <c r="N1188" s="22"/>
      <c r="O1188" s="21"/>
      <c r="P1188" s="22"/>
      <c r="Q1188" s="29" t="str">
        <f aca="false">IF(C1188="","",IF(O1188&lt;&gt;"",O1188,IFERROR(INDEX(Produk!$J$2:$J$100,MATCH(C1188,Produk!$A$2:$A$100,0)),"PRODUK?")))</f>
        <v/>
      </c>
      <c r="R1188" s="29" t="str">
        <f aca="false">IF(A1188="","",IF(COUNTIF(Anggota!$A$2:$A$2001,A1188)=0,"TIDAK ADA","OK"))</f>
        <v/>
      </c>
      <c r="S1188" s="29" t="str">
        <f aca="false">IF(H1188="","",IF(OR(J1188="",L1188=""),"-",IF(ABS(H1188-J1188*L1188)&gt;Info_Koperasi!$C$10,"SELISIH","OK")))</f>
        <v/>
      </c>
    </row>
    <row r="1189" customFormat="false" ht="15" hidden="false" customHeight="false" outlineLevel="0" collapsed="false">
      <c r="A1189" s="21"/>
      <c r="B1189" s="22"/>
      <c r="C1189" s="21"/>
      <c r="D1189" s="21"/>
      <c r="E1189" s="28"/>
      <c r="F1189" s="24"/>
      <c r="G1189" s="26"/>
      <c r="H1189" s="24"/>
      <c r="I1189" s="24"/>
      <c r="J1189" s="24"/>
      <c r="K1189" s="24"/>
      <c r="L1189" s="26"/>
      <c r="M1189" s="26"/>
      <c r="N1189" s="22"/>
      <c r="O1189" s="21"/>
      <c r="P1189" s="22"/>
      <c r="Q1189" s="29" t="str">
        <f aca="false">IF(C1189="","",IF(O1189&lt;&gt;"",O1189,IFERROR(INDEX(Produk!$J$2:$J$100,MATCH(C1189,Produk!$A$2:$A$100,0)),"PRODUK?")))</f>
        <v/>
      </c>
      <c r="R1189" s="29" t="str">
        <f aca="false">IF(A1189="","",IF(COUNTIF(Anggota!$A$2:$A$2001,A1189)=0,"TIDAK ADA","OK"))</f>
        <v/>
      </c>
      <c r="S1189" s="29" t="str">
        <f aca="false">IF(H1189="","",IF(OR(J1189="",L1189=""),"-",IF(ABS(H1189-J1189*L1189)&gt;Info_Koperasi!$C$10,"SELISIH","OK")))</f>
        <v/>
      </c>
    </row>
    <row r="1190" customFormat="false" ht="15" hidden="false" customHeight="false" outlineLevel="0" collapsed="false">
      <c r="A1190" s="21"/>
      <c r="B1190" s="22"/>
      <c r="C1190" s="21"/>
      <c r="D1190" s="21"/>
      <c r="E1190" s="28"/>
      <c r="F1190" s="24"/>
      <c r="G1190" s="26"/>
      <c r="H1190" s="24"/>
      <c r="I1190" s="24"/>
      <c r="J1190" s="24"/>
      <c r="K1190" s="24"/>
      <c r="L1190" s="26"/>
      <c r="M1190" s="26"/>
      <c r="N1190" s="22"/>
      <c r="O1190" s="21"/>
      <c r="P1190" s="22"/>
      <c r="Q1190" s="29" t="str">
        <f aca="false">IF(C1190="","",IF(O1190&lt;&gt;"",O1190,IFERROR(INDEX(Produk!$J$2:$J$100,MATCH(C1190,Produk!$A$2:$A$100,0)),"PRODUK?")))</f>
        <v/>
      </c>
      <c r="R1190" s="29" t="str">
        <f aca="false">IF(A1190="","",IF(COUNTIF(Anggota!$A$2:$A$2001,A1190)=0,"TIDAK ADA","OK"))</f>
        <v/>
      </c>
      <c r="S1190" s="29" t="str">
        <f aca="false">IF(H1190="","",IF(OR(J1190="",L1190=""),"-",IF(ABS(H1190-J1190*L1190)&gt;Info_Koperasi!$C$10,"SELISIH","OK")))</f>
        <v/>
      </c>
    </row>
    <row r="1191" customFormat="false" ht="15" hidden="false" customHeight="false" outlineLevel="0" collapsed="false">
      <c r="A1191" s="21"/>
      <c r="B1191" s="22"/>
      <c r="C1191" s="21"/>
      <c r="D1191" s="21"/>
      <c r="E1191" s="28"/>
      <c r="F1191" s="24"/>
      <c r="G1191" s="26"/>
      <c r="H1191" s="24"/>
      <c r="I1191" s="24"/>
      <c r="J1191" s="24"/>
      <c r="K1191" s="24"/>
      <c r="L1191" s="26"/>
      <c r="M1191" s="26"/>
      <c r="N1191" s="22"/>
      <c r="O1191" s="21"/>
      <c r="P1191" s="22"/>
      <c r="Q1191" s="29" t="str">
        <f aca="false">IF(C1191="","",IF(O1191&lt;&gt;"",O1191,IFERROR(INDEX(Produk!$J$2:$J$100,MATCH(C1191,Produk!$A$2:$A$100,0)),"PRODUK?")))</f>
        <v/>
      </c>
      <c r="R1191" s="29" t="str">
        <f aca="false">IF(A1191="","",IF(COUNTIF(Anggota!$A$2:$A$2001,A1191)=0,"TIDAK ADA","OK"))</f>
        <v/>
      </c>
      <c r="S1191" s="29" t="str">
        <f aca="false">IF(H1191="","",IF(OR(J1191="",L1191=""),"-",IF(ABS(H1191-J1191*L1191)&gt;Info_Koperasi!$C$10,"SELISIH","OK")))</f>
        <v/>
      </c>
    </row>
    <row r="1192" customFormat="false" ht="15" hidden="false" customHeight="false" outlineLevel="0" collapsed="false">
      <c r="A1192" s="21"/>
      <c r="B1192" s="22"/>
      <c r="C1192" s="21"/>
      <c r="D1192" s="21"/>
      <c r="E1192" s="28"/>
      <c r="F1192" s="24"/>
      <c r="G1192" s="26"/>
      <c r="H1192" s="24"/>
      <c r="I1192" s="24"/>
      <c r="J1192" s="24"/>
      <c r="K1192" s="24"/>
      <c r="L1192" s="26"/>
      <c r="M1192" s="26"/>
      <c r="N1192" s="22"/>
      <c r="O1192" s="21"/>
      <c r="P1192" s="22"/>
      <c r="Q1192" s="29" t="str">
        <f aca="false">IF(C1192="","",IF(O1192&lt;&gt;"",O1192,IFERROR(INDEX(Produk!$J$2:$J$100,MATCH(C1192,Produk!$A$2:$A$100,0)),"PRODUK?")))</f>
        <v/>
      </c>
      <c r="R1192" s="29" t="str">
        <f aca="false">IF(A1192="","",IF(COUNTIF(Anggota!$A$2:$A$2001,A1192)=0,"TIDAK ADA","OK"))</f>
        <v/>
      </c>
      <c r="S1192" s="29" t="str">
        <f aca="false">IF(H1192="","",IF(OR(J1192="",L1192=""),"-",IF(ABS(H1192-J1192*L1192)&gt;Info_Koperasi!$C$10,"SELISIH","OK")))</f>
        <v/>
      </c>
    </row>
    <row r="1193" customFormat="false" ht="15" hidden="false" customHeight="false" outlineLevel="0" collapsed="false">
      <c r="A1193" s="21"/>
      <c r="B1193" s="22"/>
      <c r="C1193" s="21"/>
      <c r="D1193" s="21"/>
      <c r="E1193" s="28"/>
      <c r="F1193" s="24"/>
      <c r="G1193" s="26"/>
      <c r="H1193" s="24"/>
      <c r="I1193" s="24"/>
      <c r="J1193" s="24"/>
      <c r="K1193" s="24"/>
      <c r="L1193" s="26"/>
      <c r="M1193" s="26"/>
      <c r="N1193" s="22"/>
      <c r="O1193" s="21"/>
      <c r="P1193" s="22"/>
      <c r="Q1193" s="29" t="str">
        <f aca="false">IF(C1193="","",IF(O1193&lt;&gt;"",O1193,IFERROR(INDEX(Produk!$J$2:$J$100,MATCH(C1193,Produk!$A$2:$A$100,0)),"PRODUK?")))</f>
        <v/>
      </c>
      <c r="R1193" s="29" t="str">
        <f aca="false">IF(A1193="","",IF(COUNTIF(Anggota!$A$2:$A$2001,A1193)=0,"TIDAK ADA","OK"))</f>
        <v/>
      </c>
      <c r="S1193" s="29" t="str">
        <f aca="false">IF(H1193="","",IF(OR(J1193="",L1193=""),"-",IF(ABS(H1193-J1193*L1193)&gt;Info_Koperasi!$C$10,"SELISIH","OK")))</f>
        <v/>
      </c>
    </row>
    <row r="1194" customFormat="false" ht="15" hidden="false" customHeight="false" outlineLevel="0" collapsed="false">
      <c r="A1194" s="21"/>
      <c r="B1194" s="22"/>
      <c r="C1194" s="21"/>
      <c r="D1194" s="21"/>
      <c r="E1194" s="28"/>
      <c r="F1194" s="24"/>
      <c r="G1194" s="26"/>
      <c r="H1194" s="24"/>
      <c r="I1194" s="24"/>
      <c r="J1194" s="24"/>
      <c r="K1194" s="24"/>
      <c r="L1194" s="26"/>
      <c r="M1194" s="26"/>
      <c r="N1194" s="22"/>
      <c r="O1194" s="21"/>
      <c r="P1194" s="22"/>
      <c r="Q1194" s="29" t="str">
        <f aca="false">IF(C1194="","",IF(O1194&lt;&gt;"",O1194,IFERROR(INDEX(Produk!$J$2:$J$100,MATCH(C1194,Produk!$A$2:$A$100,0)),"PRODUK?")))</f>
        <v/>
      </c>
      <c r="R1194" s="29" t="str">
        <f aca="false">IF(A1194="","",IF(COUNTIF(Anggota!$A$2:$A$2001,A1194)=0,"TIDAK ADA","OK"))</f>
        <v/>
      </c>
      <c r="S1194" s="29" t="str">
        <f aca="false">IF(H1194="","",IF(OR(J1194="",L1194=""),"-",IF(ABS(H1194-J1194*L1194)&gt;Info_Koperasi!$C$10,"SELISIH","OK")))</f>
        <v/>
      </c>
    </row>
    <row r="1195" customFormat="false" ht="15" hidden="false" customHeight="false" outlineLevel="0" collapsed="false">
      <c r="A1195" s="21"/>
      <c r="B1195" s="22"/>
      <c r="C1195" s="21"/>
      <c r="D1195" s="21"/>
      <c r="E1195" s="28"/>
      <c r="F1195" s="24"/>
      <c r="G1195" s="26"/>
      <c r="H1195" s="24"/>
      <c r="I1195" s="24"/>
      <c r="J1195" s="24"/>
      <c r="K1195" s="24"/>
      <c r="L1195" s="26"/>
      <c r="M1195" s="26"/>
      <c r="N1195" s="22"/>
      <c r="O1195" s="21"/>
      <c r="P1195" s="22"/>
      <c r="Q1195" s="29" t="str">
        <f aca="false">IF(C1195="","",IF(O1195&lt;&gt;"",O1195,IFERROR(INDEX(Produk!$J$2:$J$100,MATCH(C1195,Produk!$A$2:$A$100,0)),"PRODUK?")))</f>
        <v/>
      </c>
      <c r="R1195" s="29" t="str">
        <f aca="false">IF(A1195="","",IF(COUNTIF(Anggota!$A$2:$A$2001,A1195)=0,"TIDAK ADA","OK"))</f>
        <v/>
      </c>
      <c r="S1195" s="29" t="str">
        <f aca="false">IF(H1195="","",IF(OR(J1195="",L1195=""),"-",IF(ABS(H1195-J1195*L1195)&gt;Info_Koperasi!$C$10,"SELISIH","OK")))</f>
        <v/>
      </c>
    </row>
    <row r="1196" customFormat="false" ht="15" hidden="false" customHeight="false" outlineLevel="0" collapsed="false">
      <c r="A1196" s="21"/>
      <c r="B1196" s="22"/>
      <c r="C1196" s="21"/>
      <c r="D1196" s="21"/>
      <c r="E1196" s="28"/>
      <c r="F1196" s="24"/>
      <c r="G1196" s="26"/>
      <c r="H1196" s="24"/>
      <c r="I1196" s="24"/>
      <c r="J1196" s="24"/>
      <c r="K1196" s="24"/>
      <c r="L1196" s="26"/>
      <c r="M1196" s="26"/>
      <c r="N1196" s="22"/>
      <c r="O1196" s="21"/>
      <c r="P1196" s="22"/>
      <c r="Q1196" s="29" t="str">
        <f aca="false">IF(C1196="","",IF(O1196&lt;&gt;"",O1196,IFERROR(INDEX(Produk!$J$2:$J$100,MATCH(C1196,Produk!$A$2:$A$100,0)),"PRODUK?")))</f>
        <v/>
      </c>
      <c r="R1196" s="29" t="str">
        <f aca="false">IF(A1196="","",IF(COUNTIF(Anggota!$A$2:$A$2001,A1196)=0,"TIDAK ADA","OK"))</f>
        <v/>
      </c>
      <c r="S1196" s="29" t="str">
        <f aca="false">IF(H1196="","",IF(OR(J1196="",L1196=""),"-",IF(ABS(H1196-J1196*L1196)&gt;Info_Koperasi!$C$10,"SELISIH","OK")))</f>
        <v/>
      </c>
    </row>
    <row r="1197" customFormat="false" ht="15" hidden="false" customHeight="false" outlineLevel="0" collapsed="false">
      <c r="A1197" s="21"/>
      <c r="B1197" s="22"/>
      <c r="C1197" s="21"/>
      <c r="D1197" s="21"/>
      <c r="E1197" s="28"/>
      <c r="F1197" s="24"/>
      <c r="G1197" s="26"/>
      <c r="H1197" s="24"/>
      <c r="I1197" s="24"/>
      <c r="J1197" s="24"/>
      <c r="K1197" s="24"/>
      <c r="L1197" s="26"/>
      <c r="M1197" s="26"/>
      <c r="N1197" s="22"/>
      <c r="O1197" s="21"/>
      <c r="P1197" s="22"/>
      <c r="Q1197" s="29" t="str">
        <f aca="false">IF(C1197="","",IF(O1197&lt;&gt;"",O1197,IFERROR(INDEX(Produk!$J$2:$J$100,MATCH(C1197,Produk!$A$2:$A$100,0)),"PRODUK?")))</f>
        <v/>
      </c>
      <c r="R1197" s="29" t="str">
        <f aca="false">IF(A1197="","",IF(COUNTIF(Anggota!$A$2:$A$2001,A1197)=0,"TIDAK ADA","OK"))</f>
        <v/>
      </c>
      <c r="S1197" s="29" t="str">
        <f aca="false">IF(H1197="","",IF(OR(J1197="",L1197=""),"-",IF(ABS(H1197-J1197*L1197)&gt;Info_Koperasi!$C$10,"SELISIH","OK")))</f>
        <v/>
      </c>
    </row>
    <row r="1198" customFormat="false" ht="15" hidden="false" customHeight="false" outlineLevel="0" collapsed="false">
      <c r="A1198" s="21"/>
      <c r="B1198" s="22"/>
      <c r="C1198" s="21"/>
      <c r="D1198" s="21"/>
      <c r="E1198" s="28"/>
      <c r="F1198" s="24"/>
      <c r="G1198" s="26"/>
      <c r="H1198" s="24"/>
      <c r="I1198" s="24"/>
      <c r="J1198" s="24"/>
      <c r="K1198" s="24"/>
      <c r="L1198" s="26"/>
      <c r="M1198" s="26"/>
      <c r="N1198" s="22"/>
      <c r="O1198" s="21"/>
      <c r="P1198" s="22"/>
      <c r="Q1198" s="29" t="str">
        <f aca="false">IF(C1198="","",IF(O1198&lt;&gt;"",O1198,IFERROR(INDEX(Produk!$J$2:$J$100,MATCH(C1198,Produk!$A$2:$A$100,0)),"PRODUK?")))</f>
        <v/>
      </c>
      <c r="R1198" s="29" t="str">
        <f aca="false">IF(A1198="","",IF(COUNTIF(Anggota!$A$2:$A$2001,A1198)=0,"TIDAK ADA","OK"))</f>
        <v/>
      </c>
      <c r="S1198" s="29" t="str">
        <f aca="false">IF(H1198="","",IF(OR(J1198="",L1198=""),"-",IF(ABS(H1198-J1198*L1198)&gt;Info_Koperasi!$C$10,"SELISIH","OK")))</f>
        <v/>
      </c>
    </row>
    <row r="1199" customFormat="false" ht="15" hidden="false" customHeight="false" outlineLevel="0" collapsed="false">
      <c r="A1199" s="21"/>
      <c r="B1199" s="22"/>
      <c r="C1199" s="21"/>
      <c r="D1199" s="21"/>
      <c r="E1199" s="28"/>
      <c r="F1199" s="24"/>
      <c r="G1199" s="26"/>
      <c r="H1199" s="24"/>
      <c r="I1199" s="24"/>
      <c r="J1199" s="24"/>
      <c r="K1199" s="24"/>
      <c r="L1199" s="26"/>
      <c r="M1199" s="26"/>
      <c r="N1199" s="22"/>
      <c r="O1199" s="21"/>
      <c r="P1199" s="22"/>
      <c r="Q1199" s="29" t="str">
        <f aca="false">IF(C1199="","",IF(O1199&lt;&gt;"",O1199,IFERROR(INDEX(Produk!$J$2:$J$100,MATCH(C1199,Produk!$A$2:$A$100,0)),"PRODUK?")))</f>
        <v/>
      </c>
      <c r="R1199" s="29" t="str">
        <f aca="false">IF(A1199="","",IF(COUNTIF(Anggota!$A$2:$A$2001,A1199)=0,"TIDAK ADA","OK"))</f>
        <v/>
      </c>
      <c r="S1199" s="29" t="str">
        <f aca="false">IF(H1199="","",IF(OR(J1199="",L1199=""),"-",IF(ABS(H1199-J1199*L1199)&gt;Info_Koperasi!$C$10,"SELISIH","OK")))</f>
        <v/>
      </c>
    </row>
    <row r="1200" customFormat="false" ht="15" hidden="false" customHeight="false" outlineLevel="0" collapsed="false">
      <c r="A1200" s="21"/>
      <c r="B1200" s="22"/>
      <c r="C1200" s="21"/>
      <c r="D1200" s="21"/>
      <c r="E1200" s="28"/>
      <c r="F1200" s="24"/>
      <c r="G1200" s="26"/>
      <c r="H1200" s="24"/>
      <c r="I1200" s="24"/>
      <c r="J1200" s="24"/>
      <c r="K1200" s="24"/>
      <c r="L1200" s="26"/>
      <c r="M1200" s="26"/>
      <c r="N1200" s="22"/>
      <c r="O1200" s="21"/>
      <c r="P1200" s="22"/>
      <c r="Q1200" s="29" t="str">
        <f aca="false">IF(C1200="","",IF(O1200&lt;&gt;"",O1200,IFERROR(INDEX(Produk!$J$2:$J$100,MATCH(C1200,Produk!$A$2:$A$100,0)),"PRODUK?")))</f>
        <v/>
      </c>
      <c r="R1200" s="29" t="str">
        <f aca="false">IF(A1200="","",IF(COUNTIF(Anggota!$A$2:$A$2001,A1200)=0,"TIDAK ADA","OK"))</f>
        <v/>
      </c>
      <c r="S1200" s="29" t="str">
        <f aca="false">IF(H1200="","",IF(OR(J1200="",L1200=""),"-",IF(ABS(H1200-J1200*L1200)&gt;Info_Koperasi!$C$10,"SELISIH","OK")))</f>
        <v/>
      </c>
    </row>
    <row r="1201" customFormat="false" ht="15" hidden="false" customHeight="false" outlineLevel="0" collapsed="false">
      <c r="A1201" s="21"/>
      <c r="B1201" s="22"/>
      <c r="C1201" s="21"/>
      <c r="D1201" s="21"/>
      <c r="E1201" s="28"/>
      <c r="F1201" s="24"/>
      <c r="G1201" s="26"/>
      <c r="H1201" s="24"/>
      <c r="I1201" s="24"/>
      <c r="J1201" s="24"/>
      <c r="K1201" s="24"/>
      <c r="L1201" s="26"/>
      <c r="M1201" s="26"/>
      <c r="N1201" s="22"/>
      <c r="O1201" s="21"/>
      <c r="P1201" s="22"/>
      <c r="Q1201" s="29" t="str">
        <f aca="false">IF(C1201="","",IF(O1201&lt;&gt;"",O1201,IFERROR(INDEX(Produk!$J$2:$J$100,MATCH(C1201,Produk!$A$2:$A$100,0)),"PRODUK?")))</f>
        <v/>
      </c>
      <c r="R1201" s="29" t="str">
        <f aca="false">IF(A1201="","",IF(COUNTIF(Anggota!$A$2:$A$2001,A1201)=0,"TIDAK ADA","OK"))</f>
        <v/>
      </c>
      <c r="S1201" s="29" t="str">
        <f aca="false">IF(H1201="","",IF(OR(J1201="",L1201=""),"-",IF(ABS(H1201-J1201*L1201)&gt;Info_Koperasi!$C$10,"SELISIH","OK")))</f>
        <v/>
      </c>
    </row>
    <row r="1202" customFormat="false" ht="15" hidden="false" customHeight="false" outlineLevel="0" collapsed="false">
      <c r="A1202" s="21"/>
      <c r="B1202" s="22"/>
      <c r="C1202" s="21"/>
      <c r="D1202" s="21"/>
      <c r="E1202" s="28"/>
      <c r="F1202" s="24"/>
      <c r="G1202" s="26"/>
      <c r="H1202" s="24"/>
      <c r="I1202" s="24"/>
      <c r="J1202" s="24"/>
      <c r="K1202" s="24"/>
      <c r="L1202" s="26"/>
      <c r="M1202" s="26"/>
      <c r="N1202" s="22"/>
      <c r="O1202" s="21"/>
      <c r="P1202" s="22"/>
      <c r="Q1202" s="29" t="str">
        <f aca="false">IF(C1202="","",IF(O1202&lt;&gt;"",O1202,IFERROR(INDEX(Produk!$J$2:$J$100,MATCH(C1202,Produk!$A$2:$A$100,0)),"PRODUK?")))</f>
        <v/>
      </c>
      <c r="R1202" s="29" t="str">
        <f aca="false">IF(A1202="","",IF(COUNTIF(Anggota!$A$2:$A$2001,A1202)=0,"TIDAK ADA","OK"))</f>
        <v/>
      </c>
      <c r="S1202" s="29" t="str">
        <f aca="false">IF(H1202="","",IF(OR(J1202="",L1202=""),"-",IF(ABS(H1202-J1202*L1202)&gt;Info_Koperasi!$C$10,"SELISIH","OK")))</f>
        <v/>
      </c>
    </row>
    <row r="1203" customFormat="false" ht="15" hidden="false" customHeight="false" outlineLevel="0" collapsed="false">
      <c r="A1203" s="21"/>
      <c r="B1203" s="22"/>
      <c r="C1203" s="21"/>
      <c r="D1203" s="21"/>
      <c r="E1203" s="28"/>
      <c r="F1203" s="24"/>
      <c r="G1203" s="26"/>
      <c r="H1203" s="24"/>
      <c r="I1203" s="24"/>
      <c r="J1203" s="24"/>
      <c r="K1203" s="24"/>
      <c r="L1203" s="26"/>
      <c r="M1203" s="26"/>
      <c r="N1203" s="22"/>
      <c r="O1203" s="21"/>
      <c r="P1203" s="22"/>
      <c r="Q1203" s="29" t="str">
        <f aca="false">IF(C1203="","",IF(O1203&lt;&gt;"",O1203,IFERROR(INDEX(Produk!$J$2:$J$100,MATCH(C1203,Produk!$A$2:$A$100,0)),"PRODUK?")))</f>
        <v/>
      </c>
      <c r="R1203" s="29" t="str">
        <f aca="false">IF(A1203="","",IF(COUNTIF(Anggota!$A$2:$A$2001,A1203)=0,"TIDAK ADA","OK"))</f>
        <v/>
      </c>
      <c r="S1203" s="29" t="str">
        <f aca="false">IF(H1203="","",IF(OR(J1203="",L1203=""),"-",IF(ABS(H1203-J1203*L1203)&gt;Info_Koperasi!$C$10,"SELISIH","OK")))</f>
        <v/>
      </c>
    </row>
    <row r="1204" customFormat="false" ht="15" hidden="false" customHeight="false" outlineLevel="0" collapsed="false">
      <c r="A1204" s="21"/>
      <c r="B1204" s="22"/>
      <c r="C1204" s="21"/>
      <c r="D1204" s="21"/>
      <c r="E1204" s="28"/>
      <c r="F1204" s="24"/>
      <c r="G1204" s="26"/>
      <c r="H1204" s="24"/>
      <c r="I1204" s="24"/>
      <c r="J1204" s="24"/>
      <c r="K1204" s="24"/>
      <c r="L1204" s="26"/>
      <c r="M1204" s="26"/>
      <c r="N1204" s="22"/>
      <c r="O1204" s="21"/>
      <c r="P1204" s="22"/>
      <c r="Q1204" s="29" t="str">
        <f aca="false">IF(C1204="","",IF(O1204&lt;&gt;"",O1204,IFERROR(INDEX(Produk!$J$2:$J$100,MATCH(C1204,Produk!$A$2:$A$100,0)),"PRODUK?")))</f>
        <v/>
      </c>
      <c r="R1204" s="29" t="str">
        <f aca="false">IF(A1204="","",IF(COUNTIF(Anggota!$A$2:$A$2001,A1204)=0,"TIDAK ADA","OK"))</f>
        <v/>
      </c>
      <c r="S1204" s="29" t="str">
        <f aca="false">IF(H1204="","",IF(OR(J1204="",L1204=""),"-",IF(ABS(H1204-J1204*L1204)&gt;Info_Koperasi!$C$10,"SELISIH","OK")))</f>
        <v/>
      </c>
    </row>
    <row r="1205" customFormat="false" ht="15" hidden="false" customHeight="false" outlineLevel="0" collapsed="false">
      <c r="A1205" s="21"/>
      <c r="B1205" s="22"/>
      <c r="C1205" s="21"/>
      <c r="D1205" s="21"/>
      <c r="E1205" s="28"/>
      <c r="F1205" s="24"/>
      <c r="G1205" s="26"/>
      <c r="H1205" s="24"/>
      <c r="I1205" s="24"/>
      <c r="J1205" s="24"/>
      <c r="K1205" s="24"/>
      <c r="L1205" s="26"/>
      <c r="M1205" s="26"/>
      <c r="N1205" s="22"/>
      <c r="O1205" s="21"/>
      <c r="P1205" s="22"/>
      <c r="Q1205" s="29" t="str">
        <f aca="false">IF(C1205="","",IF(O1205&lt;&gt;"",O1205,IFERROR(INDEX(Produk!$J$2:$J$100,MATCH(C1205,Produk!$A$2:$A$100,0)),"PRODUK?")))</f>
        <v/>
      </c>
      <c r="R1205" s="29" t="str">
        <f aca="false">IF(A1205="","",IF(COUNTIF(Anggota!$A$2:$A$2001,A1205)=0,"TIDAK ADA","OK"))</f>
        <v/>
      </c>
      <c r="S1205" s="29" t="str">
        <f aca="false">IF(H1205="","",IF(OR(J1205="",L1205=""),"-",IF(ABS(H1205-J1205*L1205)&gt;Info_Koperasi!$C$10,"SELISIH","OK")))</f>
        <v/>
      </c>
    </row>
    <row r="1206" customFormat="false" ht="15" hidden="false" customHeight="false" outlineLevel="0" collapsed="false">
      <c r="A1206" s="21"/>
      <c r="B1206" s="22"/>
      <c r="C1206" s="21"/>
      <c r="D1206" s="21"/>
      <c r="E1206" s="28"/>
      <c r="F1206" s="24"/>
      <c r="G1206" s="26"/>
      <c r="H1206" s="24"/>
      <c r="I1206" s="24"/>
      <c r="J1206" s="24"/>
      <c r="K1206" s="24"/>
      <c r="L1206" s="26"/>
      <c r="M1206" s="26"/>
      <c r="N1206" s="22"/>
      <c r="O1206" s="21"/>
      <c r="P1206" s="22"/>
      <c r="Q1206" s="29" t="str">
        <f aca="false">IF(C1206="","",IF(O1206&lt;&gt;"",O1206,IFERROR(INDEX(Produk!$J$2:$J$100,MATCH(C1206,Produk!$A$2:$A$100,0)),"PRODUK?")))</f>
        <v/>
      </c>
      <c r="R1206" s="29" t="str">
        <f aca="false">IF(A1206="","",IF(COUNTIF(Anggota!$A$2:$A$2001,A1206)=0,"TIDAK ADA","OK"))</f>
        <v/>
      </c>
      <c r="S1206" s="29" t="str">
        <f aca="false">IF(H1206="","",IF(OR(J1206="",L1206=""),"-",IF(ABS(H1206-J1206*L1206)&gt;Info_Koperasi!$C$10,"SELISIH","OK")))</f>
        <v/>
      </c>
    </row>
    <row r="1207" customFormat="false" ht="15" hidden="false" customHeight="false" outlineLevel="0" collapsed="false">
      <c r="A1207" s="21"/>
      <c r="B1207" s="22"/>
      <c r="C1207" s="21"/>
      <c r="D1207" s="21"/>
      <c r="E1207" s="28"/>
      <c r="F1207" s="24"/>
      <c r="G1207" s="26"/>
      <c r="H1207" s="24"/>
      <c r="I1207" s="24"/>
      <c r="J1207" s="24"/>
      <c r="K1207" s="24"/>
      <c r="L1207" s="26"/>
      <c r="M1207" s="26"/>
      <c r="N1207" s="22"/>
      <c r="O1207" s="21"/>
      <c r="P1207" s="22"/>
      <c r="Q1207" s="29" t="str">
        <f aca="false">IF(C1207="","",IF(O1207&lt;&gt;"",O1207,IFERROR(INDEX(Produk!$J$2:$J$100,MATCH(C1207,Produk!$A$2:$A$100,0)),"PRODUK?")))</f>
        <v/>
      </c>
      <c r="R1207" s="29" t="str">
        <f aca="false">IF(A1207="","",IF(COUNTIF(Anggota!$A$2:$A$2001,A1207)=0,"TIDAK ADA","OK"))</f>
        <v/>
      </c>
      <c r="S1207" s="29" t="str">
        <f aca="false">IF(H1207="","",IF(OR(J1207="",L1207=""),"-",IF(ABS(H1207-J1207*L1207)&gt;Info_Koperasi!$C$10,"SELISIH","OK")))</f>
        <v/>
      </c>
    </row>
    <row r="1208" customFormat="false" ht="15" hidden="false" customHeight="false" outlineLevel="0" collapsed="false">
      <c r="A1208" s="21"/>
      <c r="B1208" s="22"/>
      <c r="C1208" s="21"/>
      <c r="D1208" s="21"/>
      <c r="E1208" s="28"/>
      <c r="F1208" s="24"/>
      <c r="G1208" s="26"/>
      <c r="H1208" s="24"/>
      <c r="I1208" s="24"/>
      <c r="J1208" s="24"/>
      <c r="K1208" s="24"/>
      <c r="L1208" s="26"/>
      <c r="M1208" s="26"/>
      <c r="N1208" s="22"/>
      <c r="O1208" s="21"/>
      <c r="P1208" s="22"/>
      <c r="Q1208" s="29" t="str">
        <f aca="false">IF(C1208="","",IF(O1208&lt;&gt;"",O1208,IFERROR(INDEX(Produk!$J$2:$J$100,MATCH(C1208,Produk!$A$2:$A$100,0)),"PRODUK?")))</f>
        <v/>
      </c>
      <c r="R1208" s="29" t="str">
        <f aca="false">IF(A1208="","",IF(COUNTIF(Anggota!$A$2:$A$2001,A1208)=0,"TIDAK ADA","OK"))</f>
        <v/>
      </c>
      <c r="S1208" s="29" t="str">
        <f aca="false">IF(H1208="","",IF(OR(J1208="",L1208=""),"-",IF(ABS(H1208-J1208*L1208)&gt;Info_Koperasi!$C$10,"SELISIH","OK")))</f>
        <v/>
      </c>
    </row>
    <row r="1209" customFormat="false" ht="15" hidden="false" customHeight="false" outlineLevel="0" collapsed="false">
      <c r="A1209" s="21"/>
      <c r="B1209" s="22"/>
      <c r="C1209" s="21"/>
      <c r="D1209" s="21"/>
      <c r="E1209" s="28"/>
      <c r="F1209" s="24"/>
      <c r="G1209" s="26"/>
      <c r="H1209" s="24"/>
      <c r="I1209" s="24"/>
      <c r="J1209" s="24"/>
      <c r="K1209" s="24"/>
      <c r="L1209" s="26"/>
      <c r="M1209" s="26"/>
      <c r="N1209" s="22"/>
      <c r="O1209" s="21"/>
      <c r="P1209" s="22"/>
      <c r="Q1209" s="29" t="str">
        <f aca="false">IF(C1209="","",IF(O1209&lt;&gt;"",O1209,IFERROR(INDEX(Produk!$J$2:$J$100,MATCH(C1209,Produk!$A$2:$A$100,0)),"PRODUK?")))</f>
        <v/>
      </c>
      <c r="R1209" s="29" t="str">
        <f aca="false">IF(A1209="","",IF(COUNTIF(Anggota!$A$2:$A$2001,A1209)=0,"TIDAK ADA","OK"))</f>
        <v/>
      </c>
      <c r="S1209" s="29" t="str">
        <f aca="false">IF(H1209="","",IF(OR(J1209="",L1209=""),"-",IF(ABS(H1209-J1209*L1209)&gt;Info_Koperasi!$C$10,"SELISIH","OK")))</f>
        <v/>
      </c>
    </row>
    <row r="1210" customFormat="false" ht="15" hidden="false" customHeight="false" outlineLevel="0" collapsed="false">
      <c r="A1210" s="21"/>
      <c r="B1210" s="22"/>
      <c r="C1210" s="21"/>
      <c r="D1210" s="21"/>
      <c r="E1210" s="28"/>
      <c r="F1210" s="24"/>
      <c r="G1210" s="26"/>
      <c r="H1210" s="24"/>
      <c r="I1210" s="24"/>
      <c r="J1210" s="24"/>
      <c r="K1210" s="24"/>
      <c r="L1210" s="26"/>
      <c r="M1210" s="26"/>
      <c r="N1210" s="22"/>
      <c r="O1210" s="21"/>
      <c r="P1210" s="22"/>
      <c r="Q1210" s="29" t="str">
        <f aca="false">IF(C1210="","",IF(O1210&lt;&gt;"",O1210,IFERROR(INDEX(Produk!$J$2:$J$100,MATCH(C1210,Produk!$A$2:$A$100,0)),"PRODUK?")))</f>
        <v/>
      </c>
      <c r="R1210" s="29" t="str">
        <f aca="false">IF(A1210="","",IF(COUNTIF(Anggota!$A$2:$A$2001,A1210)=0,"TIDAK ADA","OK"))</f>
        <v/>
      </c>
      <c r="S1210" s="29" t="str">
        <f aca="false">IF(H1210="","",IF(OR(J1210="",L1210=""),"-",IF(ABS(H1210-J1210*L1210)&gt;Info_Koperasi!$C$10,"SELISIH","OK")))</f>
        <v/>
      </c>
    </row>
    <row r="1211" customFormat="false" ht="15" hidden="false" customHeight="false" outlineLevel="0" collapsed="false">
      <c r="A1211" s="21"/>
      <c r="B1211" s="22"/>
      <c r="C1211" s="21"/>
      <c r="D1211" s="21"/>
      <c r="E1211" s="28"/>
      <c r="F1211" s="24"/>
      <c r="G1211" s="26"/>
      <c r="H1211" s="24"/>
      <c r="I1211" s="24"/>
      <c r="J1211" s="24"/>
      <c r="K1211" s="24"/>
      <c r="L1211" s="26"/>
      <c r="M1211" s="26"/>
      <c r="N1211" s="22"/>
      <c r="O1211" s="21"/>
      <c r="P1211" s="22"/>
      <c r="Q1211" s="29" t="str">
        <f aca="false">IF(C1211="","",IF(O1211&lt;&gt;"",O1211,IFERROR(INDEX(Produk!$J$2:$J$100,MATCH(C1211,Produk!$A$2:$A$100,0)),"PRODUK?")))</f>
        <v/>
      </c>
      <c r="R1211" s="29" t="str">
        <f aca="false">IF(A1211="","",IF(COUNTIF(Anggota!$A$2:$A$2001,A1211)=0,"TIDAK ADA","OK"))</f>
        <v/>
      </c>
      <c r="S1211" s="29" t="str">
        <f aca="false">IF(H1211="","",IF(OR(J1211="",L1211=""),"-",IF(ABS(H1211-J1211*L1211)&gt;Info_Koperasi!$C$10,"SELISIH","OK")))</f>
        <v/>
      </c>
    </row>
    <row r="1212" customFormat="false" ht="15" hidden="false" customHeight="false" outlineLevel="0" collapsed="false">
      <c r="A1212" s="21"/>
      <c r="B1212" s="22"/>
      <c r="C1212" s="21"/>
      <c r="D1212" s="21"/>
      <c r="E1212" s="28"/>
      <c r="F1212" s="24"/>
      <c r="G1212" s="26"/>
      <c r="H1212" s="24"/>
      <c r="I1212" s="24"/>
      <c r="J1212" s="24"/>
      <c r="K1212" s="24"/>
      <c r="L1212" s="26"/>
      <c r="M1212" s="26"/>
      <c r="N1212" s="22"/>
      <c r="O1212" s="21"/>
      <c r="P1212" s="22"/>
      <c r="Q1212" s="29" t="str">
        <f aca="false">IF(C1212="","",IF(O1212&lt;&gt;"",O1212,IFERROR(INDEX(Produk!$J$2:$J$100,MATCH(C1212,Produk!$A$2:$A$100,0)),"PRODUK?")))</f>
        <v/>
      </c>
      <c r="R1212" s="29" t="str">
        <f aca="false">IF(A1212="","",IF(COUNTIF(Anggota!$A$2:$A$2001,A1212)=0,"TIDAK ADA","OK"))</f>
        <v/>
      </c>
      <c r="S1212" s="29" t="str">
        <f aca="false">IF(H1212="","",IF(OR(J1212="",L1212=""),"-",IF(ABS(H1212-J1212*L1212)&gt;Info_Koperasi!$C$10,"SELISIH","OK")))</f>
        <v/>
      </c>
    </row>
    <row r="1213" customFormat="false" ht="15" hidden="false" customHeight="false" outlineLevel="0" collapsed="false">
      <c r="A1213" s="21"/>
      <c r="B1213" s="22"/>
      <c r="C1213" s="21"/>
      <c r="D1213" s="21"/>
      <c r="E1213" s="28"/>
      <c r="F1213" s="24"/>
      <c r="G1213" s="26"/>
      <c r="H1213" s="24"/>
      <c r="I1213" s="24"/>
      <c r="J1213" s="24"/>
      <c r="K1213" s="24"/>
      <c r="L1213" s="26"/>
      <c r="M1213" s="26"/>
      <c r="N1213" s="22"/>
      <c r="O1213" s="21"/>
      <c r="P1213" s="22"/>
      <c r="Q1213" s="29" t="str">
        <f aca="false">IF(C1213="","",IF(O1213&lt;&gt;"",O1213,IFERROR(INDEX(Produk!$J$2:$J$100,MATCH(C1213,Produk!$A$2:$A$100,0)),"PRODUK?")))</f>
        <v/>
      </c>
      <c r="R1213" s="29" t="str">
        <f aca="false">IF(A1213="","",IF(COUNTIF(Anggota!$A$2:$A$2001,A1213)=0,"TIDAK ADA","OK"))</f>
        <v/>
      </c>
      <c r="S1213" s="29" t="str">
        <f aca="false">IF(H1213="","",IF(OR(J1213="",L1213=""),"-",IF(ABS(H1213-J1213*L1213)&gt;Info_Koperasi!$C$10,"SELISIH","OK")))</f>
        <v/>
      </c>
    </row>
    <row r="1214" customFormat="false" ht="15" hidden="false" customHeight="false" outlineLevel="0" collapsed="false">
      <c r="A1214" s="21"/>
      <c r="B1214" s="22"/>
      <c r="C1214" s="21"/>
      <c r="D1214" s="21"/>
      <c r="E1214" s="28"/>
      <c r="F1214" s="24"/>
      <c r="G1214" s="26"/>
      <c r="H1214" s="24"/>
      <c r="I1214" s="24"/>
      <c r="J1214" s="24"/>
      <c r="K1214" s="24"/>
      <c r="L1214" s="26"/>
      <c r="M1214" s="26"/>
      <c r="N1214" s="22"/>
      <c r="O1214" s="21"/>
      <c r="P1214" s="22"/>
      <c r="Q1214" s="29" t="str">
        <f aca="false">IF(C1214="","",IF(O1214&lt;&gt;"",O1214,IFERROR(INDEX(Produk!$J$2:$J$100,MATCH(C1214,Produk!$A$2:$A$100,0)),"PRODUK?")))</f>
        <v/>
      </c>
      <c r="R1214" s="29" t="str">
        <f aca="false">IF(A1214="","",IF(COUNTIF(Anggota!$A$2:$A$2001,A1214)=0,"TIDAK ADA","OK"))</f>
        <v/>
      </c>
      <c r="S1214" s="29" t="str">
        <f aca="false">IF(H1214="","",IF(OR(J1214="",L1214=""),"-",IF(ABS(H1214-J1214*L1214)&gt;Info_Koperasi!$C$10,"SELISIH","OK")))</f>
        <v/>
      </c>
    </row>
    <row r="1215" customFormat="false" ht="15" hidden="false" customHeight="false" outlineLevel="0" collapsed="false">
      <c r="A1215" s="21"/>
      <c r="B1215" s="22"/>
      <c r="C1215" s="21"/>
      <c r="D1215" s="21"/>
      <c r="E1215" s="28"/>
      <c r="F1215" s="24"/>
      <c r="G1215" s="26"/>
      <c r="H1215" s="24"/>
      <c r="I1215" s="24"/>
      <c r="J1215" s="24"/>
      <c r="K1215" s="24"/>
      <c r="L1215" s="26"/>
      <c r="M1215" s="26"/>
      <c r="N1215" s="22"/>
      <c r="O1215" s="21"/>
      <c r="P1215" s="22"/>
      <c r="Q1215" s="29" t="str">
        <f aca="false">IF(C1215="","",IF(O1215&lt;&gt;"",O1215,IFERROR(INDEX(Produk!$J$2:$J$100,MATCH(C1215,Produk!$A$2:$A$100,0)),"PRODUK?")))</f>
        <v/>
      </c>
      <c r="R1215" s="29" t="str">
        <f aca="false">IF(A1215="","",IF(COUNTIF(Anggota!$A$2:$A$2001,A1215)=0,"TIDAK ADA","OK"))</f>
        <v/>
      </c>
      <c r="S1215" s="29" t="str">
        <f aca="false">IF(H1215="","",IF(OR(J1215="",L1215=""),"-",IF(ABS(H1215-J1215*L1215)&gt;Info_Koperasi!$C$10,"SELISIH","OK")))</f>
        <v/>
      </c>
    </row>
    <row r="1216" customFormat="false" ht="15" hidden="false" customHeight="false" outlineLevel="0" collapsed="false">
      <c r="A1216" s="21"/>
      <c r="B1216" s="22"/>
      <c r="C1216" s="21"/>
      <c r="D1216" s="21"/>
      <c r="E1216" s="28"/>
      <c r="F1216" s="24"/>
      <c r="G1216" s="26"/>
      <c r="H1216" s="24"/>
      <c r="I1216" s="24"/>
      <c r="J1216" s="24"/>
      <c r="K1216" s="24"/>
      <c r="L1216" s="26"/>
      <c r="M1216" s="26"/>
      <c r="N1216" s="22"/>
      <c r="O1216" s="21"/>
      <c r="P1216" s="22"/>
      <c r="Q1216" s="29" t="str">
        <f aca="false">IF(C1216="","",IF(O1216&lt;&gt;"",O1216,IFERROR(INDEX(Produk!$J$2:$J$100,MATCH(C1216,Produk!$A$2:$A$100,0)),"PRODUK?")))</f>
        <v/>
      </c>
      <c r="R1216" s="29" t="str">
        <f aca="false">IF(A1216="","",IF(COUNTIF(Anggota!$A$2:$A$2001,A1216)=0,"TIDAK ADA","OK"))</f>
        <v/>
      </c>
      <c r="S1216" s="29" t="str">
        <f aca="false">IF(H1216="","",IF(OR(J1216="",L1216=""),"-",IF(ABS(H1216-J1216*L1216)&gt;Info_Koperasi!$C$10,"SELISIH","OK")))</f>
        <v/>
      </c>
    </row>
    <row r="1217" customFormat="false" ht="15" hidden="false" customHeight="false" outlineLevel="0" collapsed="false">
      <c r="A1217" s="21"/>
      <c r="B1217" s="22"/>
      <c r="C1217" s="21"/>
      <c r="D1217" s="21"/>
      <c r="E1217" s="28"/>
      <c r="F1217" s="24"/>
      <c r="G1217" s="26"/>
      <c r="H1217" s="24"/>
      <c r="I1217" s="24"/>
      <c r="J1217" s="24"/>
      <c r="K1217" s="24"/>
      <c r="L1217" s="26"/>
      <c r="M1217" s="26"/>
      <c r="N1217" s="22"/>
      <c r="O1217" s="21"/>
      <c r="P1217" s="22"/>
      <c r="Q1217" s="29" t="str">
        <f aca="false">IF(C1217="","",IF(O1217&lt;&gt;"",O1217,IFERROR(INDEX(Produk!$J$2:$J$100,MATCH(C1217,Produk!$A$2:$A$100,0)),"PRODUK?")))</f>
        <v/>
      </c>
      <c r="R1217" s="29" t="str">
        <f aca="false">IF(A1217="","",IF(COUNTIF(Anggota!$A$2:$A$2001,A1217)=0,"TIDAK ADA","OK"))</f>
        <v/>
      </c>
      <c r="S1217" s="29" t="str">
        <f aca="false">IF(H1217="","",IF(OR(J1217="",L1217=""),"-",IF(ABS(H1217-J1217*L1217)&gt;Info_Koperasi!$C$10,"SELISIH","OK")))</f>
        <v/>
      </c>
    </row>
    <row r="1218" customFormat="false" ht="15" hidden="false" customHeight="false" outlineLevel="0" collapsed="false">
      <c r="A1218" s="21"/>
      <c r="B1218" s="22"/>
      <c r="C1218" s="21"/>
      <c r="D1218" s="21"/>
      <c r="E1218" s="28"/>
      <c r="F1218" s="24"/>
      <c r="G1218" s="26"/>
      <c r="H1218" s="24"/>
      <c r="I1218" s="24"/>
      <c r="J1218" s="24"/>
      <c r="K1218" s="24"/>
      <c r="L1218" s="26"/>
      <c r="M1218" s="26"/>
      <c r="N1218" s="22"/>
      <c r="O1218" s="21"/>
      <c r="P1218" s="22"/>
      <c r="Q1218" s="29" t="str">
        <f aca="false">IF(C1218="","",IF(O1218&lt;&gt;"",O1218,IFERROR(INDEX(Produk!$J$2:$J$100,MATCH(C1218,Produk!$A$2:$A$100,0)),"PRODUK?")))</f>
        <v/>
      </c>
      <c r="R1218" s="29" t="str">
        <f aca="false">IF(A1218="","",IF(COUNTIF(Anggota!$A$2:$A$2001,A1218)=0,"TIDAK ADA","OK"))</f>
        <v/>
      </c>
      <c r="S1218" s="29" t="str">
        <f aca="false">IF(H1218="","",IF(OR(J1218="",L1218=""),"-",IF(ABS(H1218-J1218*L1218)&gt;Info_Koperasi!$C$10,"SELISIH","OK")))</f>
        <v/>
      </c>
    </row>
    <row r="1219" customFormat="false" ht="15" hidden="false" customHeight="false" outlineLevel="0" collapsed="false">
      <c r="A1219" s="21"/>
      <c r="B1219" s="22"/>
      <c r="C1219" s="21"/>
      <c r="D1219" s="21"/>
      <c r="E1219" s="28"/>
      <c r="F1219" s="24"/>
      <c r="G1219" s="26"/>
      <c r="H1219" s="24"/>
      <c r="I1219" s="24"/>
      <c r="J1219" s="24"/>
      <c r="K1219" s="24"/>
      <c r="L1219" s="26"/>
      <c r="M1219" s="26"/>
      <c r="N1219" s="22"/>
      <c r="O1219" s="21"/>
      <c r="P1219" s="22"/>
      <c r="Q1219" s="29" t="str">
        <f aca="false">IF(C1219="","",IF(O1219&lt;&gt;"",O1219,IFERROR(INDEX(Produk!$J$2:$J$100,MATCH(C1219,Produk!$A$2:$A$100,0)),"PRODUK?")))</f>
        <v/>
      </c>
      <c r="R1219" s="29" t="str">
        <f aca="false">IF(A1219="","",IF(COUNTIF(Anggota!$A$2:$A$2001,A1219)=0,"TIDAK ADA","OK"))</f>
        <v/>
      </c>
      <c r="S1219" s="29" t="str">
        <f aca="false">IF(H1219="","",IF(OR(J1219="",L1219=""),"-",IF(ABS(H1219-J1219*L1219)&gt;Info_Koperasi!$C$10,"SELISIH","OK")))</f>
        <v/>
      </c>
    </row>
    <row r="1220" customFormat="false" ht="15" hidden="false" customHeight="false" outlineLevel="0" collapsed="false">
      <c r="A1220" s="21"/>
      <c r="B1220" s="22"/>
      <c r="C1220" s="21"/>
      <c r="D1220" s="21"/>
      <c r="E1220" s="28"/>
      <c r="F1220" s="24"/>
      <c r="G1220" s="26"/>
      <c r="H1220" s="24"/>
      <c r="I1220" s="24"/>
      <c r="J1220" s="24"/>
      <c r="K1220" s="24"/>
      <c r="L1220" s="26"/>
      <c r="M1220" s="26"/>
      <c r="N1220" s="22"/>
      <c r="O1220" s="21"/>
      <c r="P1220" s="22"/>
      <c r="Q1220" s="29" t="str">
        <f aca="false">IF(C1220="","",IF(O1220&lt;&gt;"",O1220,IFERROR(INDEX(Produk!$J$2:$J$100,MATCH(C1220,Produk!$A$2:$A$100,0)),"PRODUK?")))</f>
        <v/>
      </c>
      <c r="R1220" s="29" t="str">
        <f aca="false">IF(A1220="","",IF(COUNTIF(Anggota!$A$2:$A$2001,A1220)=0,"TIDAK ADA","OK"))</f>
        <v/>
      </c>
      <c r="S1220" s="29" t="str">
        <f aca="false">IF(H1220="","",IF(OR(J1220="",L1220=""),"-",IF(ABS(H1220-J1220*L1220)&gt;Info_Koperasi!$C$10,"SELISIH","OK")))</f>
        <v/>
      </c>
    </row>
    <row r="1221" customFormat="false" ht="15" hidden="false" customHeight="false" outlineLevel="0" collapsed="false">
      <c r="A1221" s="21"/>
      <c r="B1221" s="22"/>
      <c r="C1221" s="21"/>
      <c r="D1221" s="21"/>
      <c r="E1221" s="28"/>
      <c r="F1221" s="24"/>
      <c r="G1221" s="26"/>
      <c r="H1221" s="24"/>
      <c r="I1221" s="24"/>
      <c r="J1221" s="24"/>
      <c r="K1221" s="24"/>
      <c r="L1221" s="26"/>
      <c r="M1221" s="26"/>
      <c r="N1221" s="22"/>
      <c r="O1221" s="21"/>
      <c r="P1221" s="22"/>
      <c r="Q1221" s="29" t="str">
        <f aca="false">IF(C1221="","",IF(O1221&lt;&gt;"",O1221,IFERROR(INDEX(Produk!$J$2:$J$100,MATCH(C1221,Produk!$A$2:$A$100,0)),"PRODUK?")))</f>
        <v/>
      </c>
      <c r="R1221" s="29" t="str">
        <f aca="false">IF(A1221="","",IF(COUNTIF(Anggota!$A$2:$A$2001,A1221)=0,"TIDAK ADA","OK"))</f>
        <v/>
      </c>
      <c r="S1221" s="29" t="str">
        <f aca="false">IF(H1221="","",IF(OR(J1221="",L1221=""),"-",IF(ABS(H1221-J1221*L1221)&gt;Info_Koperasi!$C$10,"SELISIH","OK")))</f>
        <v/>
      </c>
    </row>
    <row r="1222" customFormat="false" ht="15" hidden="false" customHeight="false" outlineLevel="0" collapsed="false">
      <c r="A1222" s="21"/>
      <c r="B1222" s="22"/>
      <c r="C1222" s="21"/>
      <c r="D1222" s="21"/>
      <c r="E1222" s="28"/>
      <c r="F1222" s="24"/>
      <c r="G1222" s="26"/>
      <c r="H1222" s="24"/>
      <c r="I1222" s="24"/>
      <c r="J1222" s="24"/>
      <c r="K1222" s="24"/>
      <c r="L1222" s="26"/>
      <c r="M1222" s="26"/>
      <c r="N1222" s="22"/>
      <c r="O1222" s="21"/>
      <c r="P1222" s="22"/>
      <c r="Q1222" s="29" t="str">
        <f aca="false">IF(C1222="","",IF(O1222&lt;&gt;"",O1222,IFERROR(INDEX(Produk!$J$2:$J$100,MATCH(C1222,Produk!$A$2:$A$100,0)),"PRODUK?")))</f>
        <v/>
      </c>
      <c r="R1222" s="29" t="str">
        <f aca="false">IF(A1222="","",IF(COUNTIF(Anggota!$A$2:$A$2001,A1222)=0,"TIDAK ADA","OK"))</f>
        <v/>
      </c>
      <c r="S1222" s="29" t="str">
        <f aca="false">IF(H1222="","",IF(OR(J1222="",L1222=""),"-",IF(ABS(H1222-J1222*L1222)&gt;Info_Koperasi!$C$10,"SELISIH","OK")))</f>
        <v/>
      </c>
    </row>
    <row r="1223" customFormat="false" ht="15" hidden="false" customHeight="false" outlineLevel="0" collapsed="false">
      <c r="A1223" s="21"/>
      <c r="B1223" s="22"/>
      <c r="C1223" s="21"/>
      <c r="D1223" s="21"/>
      <c r="E1223" s="28"/>
      <c r="F1223" s="24"/>
      <c r="G1223" s="26"/>
      <c r="H1223" s="24"/>
      <c r="I1223" s="24"/>
      <c r="J1223" s="24"/>
      <c r="K1223" s="24"/>
      <c r="L1223" s="26"/>
      <c r="M1223" s="26"/>
      <c r="N1223" s="22"/>
      <c r="O1223" s="21"/>
      <c r="P1223" s="22"/>
      <c r="Q1223" s="29" t="str">
        <f aca="false">IF(C1223="","",IF(O1223&lt;&gt;"",O1223,IFERROR(INDEX(Produk!$J$2:$J$100,MATCH(C1223,Produk!$A$2:$A$100,0)),"PRODUK?")))</f>
        <v/>
      </c>
      <c r="R1223" s="29" t="str">
        <f aca="false">IF(A1223="","",IF(COUNTIF(Anggota!$A$2:$A$2001,A1223)=0,"TIDAK ADA","OK"))</f>
        <v/>
      </c>
      <c r="S1223" s="29" t="str">
        <f aca="false">IF(H1223="","",IF(OR(J1223="",L1223=""),"-",IF(ABS(H1223-J1223*L1223)&gt;Info_Koperasi!$C$10,"SELISIH","OK")))</f>
        <v/>
      </c>
    </row>
    <row r="1224" customFormat="false" ht="15" hidden="false" customHeight="false" outlineLevel="0" collapsed="false">
      <c r="A1224" s="21"/>
      <c r="B1224" s="22"/>
      <c r="C1224" s="21"/>
      <c r="D1224" s="21"/>
      <c r="E1224" s="28"/>
      <c r="F1224" s="24"/>
      <c r="G1224" s="26"/>
      <c r="H1224" s="24"/>
      <c r="I1224" s="24"/>
      <c r="J1224" s="24"/>
      <c r="K1224" s="24"/>
      <c r="L1224" s="26"/>
      <c r="M1224" s="26"/>
      <c r="N1224" s="22"/>
      <c r="O1224" s="21"/>
      <c r="P1224" s="22"/>
      <c r="Q1224" s="29" t="str">
        <f aca="false">IF(C1224="","",IF(O1224&lt;&gt;"",O1224,IFERROR(INDEX(Produk!$J$2:$J$100,MATCH(C1224,Produk!$A$2:$A$100,0)),"PRODUK?")))</f>
        <v/>
      </c>
      <c r="R1224" s="29" t="str">
        <f aca="false">IF(A1224="","",IF(COUNTIF(Anggota!$A$2:$A$2001,A1224)=0,"TIDAK ADA","OK"))</f>
        <v/>
      </c>
      <c r="S1224" s="29" t="str">
        <f aca="false">IF(H1224="","",IF(OR(J1224="",L1224=""),"-",IF(ABS(H1224-J1224*L1224)&gt;Info_Koperasi!$C$10,"SELISIH","OK")))</f>
        <v/>
      </c>
    </row>
    <row r="1225" customFormat="false" ht="15" hidden="false" customHeight="false" outlineLevel="0" collapsed="false">
      <c r="A1225" s="21"/>
      <c r="B1225" s="22"/>
      <c r="C1225" s="21"/>
      <c r="D1225" s="21"/>
      <c r="E1225" s="28"/>
      <c r="F1225" s="24"/>
      <c r="G1225" s="26"/>
      <c r="H1225" s="24"/>
      <c r="I1225" s="24"/>
      <c r="J1225" s="24"/>
      <c r="K1225" s="24"/>
      <c r="L1225" s="26"/>
      <c r="M1225" s="26"/>
      <c r="N1225" s="22"/>
      <c r="O1225" s="21"/>
      <c r="P1225" s="22"/>
      <c r="Q1225" s="29" t="str">
        <f aca="false">IF(C1225="","",IF(O1225&lt;&gt;"",O1225,IFERROR(INDEX(Produk!$J$2:$J$100,MATCH(C1225,Produk!$A$2:$A$100,0)),"PRODUK?")))</f>
        <v/>
      </c>
      <c r="R1225" s="29" t="str">
        <f aca="false">IF(A1225="","",IF(COUNTIF(Anggota!$A$2:$A$2001,A1225)=0,"TIDAK ADA","OK"))</f>
        <v/>
      </c>
      <c r="S1225" s="29" t="str">
        <f aca="false">IF(H1225="","",IF(OR(J1225="",L1225=""),"-",IF(ABS(H1225-J1225*L1225)&gt;Info_Koperasi!$C$10,"SELISIH","OK")))</f>
        <v/>
      </c>
    </row>
    <row r="1226" customFormat="false" ht="15" hidden="false" customHeight="false" outlineLevel="0" collapsed="false">
      <c r="A1226" s="21"/>
      <c r="B1226" s="22"/>
      <c r="C1226" s="21"/>
      <c r="D1226" s="21"/>
      <c r="E1226" s="28"/>
      <c r="F1226" s="24"/>
      <c r="G1226" s="26"/>
      <c r="H1226" s="24"/>
      <c r="I1226" s="24"/>
      <c r="J1226" s="24"/>
      <c r="K1226" s="24"/>
      <c r="L1226" s="26"/>
      <c r="M1226" s="26"/>
      <c r="N1226" s="22"/>
      <c r="O1226" s="21"/>
      <c r="P1226" s="22"/>
      <c r="Q1226" s="29" t="str">
        <f aca="false">IF(C1226="","",IF(O1226&lt;&gt;"",O1226,IFERROR(INDEX(Produk!$J$2:$J$100,MATCH(C1226,Produk!$A$2:$A$100,0)),"PRODUK?")))</f>
        <v/>
      </c>
      <c r="R1226" s="29" t="str">
        <f aca="false">IF(A1226="","",IF(COUNTIF(Anggota!$A$2:$A$2001,A1226)=0,"TIDAK ADA","OK"))</f>
        <v/>
      </c>
      <c r="S1226" s="29" t="str">
        <f aca="false">IF(H1226="","",IF(OR(J1226="",L1226=""),"-",IF(ABS(H1226-J1226*L1226)&gt;Info_Koperasi!$C$10,"SELISIH","OK")))</f>
        <v/>
      </c>
    </row>
    <row r="1227" customFormat="false" ht="15" hidden="false" customHeight="false" outlineLevel="0" collapsed="false">
      <c r="A1227" s="21"/>
      <c r="B1227" s="22"/>
      <c r="C1227" s="21"/>
      <c r="D1227" s="21"/>
      <c r="E1227" s="28"/>
      <c r="F1227" s="24"/>
      <c r="G1227" s="26"/>
      <c r="H1227" s="24"/>
      <c r="I1227" s="24"/>
      <c r="J1227" s="24"/>
      <c r="K1227" s="24"/>
      <c r="L1227" s="26"/>
      <c r="M1227" s="26"/>
      <c r="N1227" s="22"/>
      <c r="O1227" s="21"/>
      <c r="P1227" s="22"/>
      <c r="Q1227" s="29" t="str">
        <f aca="false">IF(C1227="","",IF(O1227&lt;&gt;"",O1227,IFERROR(INDEX(Produk!$J$2:$J$100,MATCH(C1227,Produk!$A$2:$A$100,0)),"PRODUK?")))</f>
        <v/>
      </c>
      <c r="R1227" s="29" t="str">
        <f aca="false">IF(A1227="","",IF(COUNTIF(Anggota!$A$2:$A$2001,A1227)=0,"TIDAK ADA","OK"))</f>
        <v/>
      </c>
      <c r="S1227" s="29" t="str">
        <f aca="false">IF(H1227="","",IF(OR(J1227="",L1227=""),"-",IF(ABS(H1227-J1227*L1227)&gt;Info_Koperasi!$C$10,"SELISIH","OK")))</f>
        <v/>
      </c>
    </row>
    <row r="1228" customFormat="false" ht="15" hidden="false" customHeight="false" outlineLevel="0" collapsed="false">
      <c r="A1228" s="21"/>
      <c r="B1228" s="22"/>
      <c r="C1228" s="21"/>
      <c r="D1228" s="21"/>
      <c r="E1228" s="28"/>
      <c r="F1228" s="24"/>
      <c r="G1228" s="26"/>
      <c r="H1228" s="24"/>
      <c r="I1228" s="24"/>
      <c r="J1228" s="24"/>
      <c r="K1228" s="24"/>
      <c r="L1228" s="26"/>
      <c r="M1228" s="26"/>
      <c r="N1228" s="22"/>
      <c r="O1228" s="21"/>
      <c r="P1228" s="22"/>
      <c r="Q1228" s="29" t="str">
        <f aca="false">IF(C1228="","",IF(O1228&lt;&gt;"",O1228,IFERROR(INDEX(Produk!$J$2:$J$100,MATCH(C1228,Produk!$A$2:$A$100,0)),"PRODUK?")))</f>
        <v/>
      </c>
      <c r="R1228" s="29" t="str">
        <f aca="false">IF(A1228="","",IF(COUNTIF(Anggota!$A$2:$A$2001,A1228)=0,"TIDAK ADA","OK"))</f>
        <v/>
      </c>
      <c r="S1228" s="29" t="str">
        <f aca="false">IF(H1228="","",IF(OR(J1228="",L1228=""),"-",IF(ABS(H1228-J1228*L1228)&gt;Info_Koperasi!$C$10,"SELISIH","OK")))</f>
        <v/>
      </c>
    </row>
    <row r="1229" customFormat="false" ht="15" hidden="false" customHeight="false" outlineLevel="0" collapsed="false">
      <c r="A1229" s="21"/>
      <c r="B1229" s="22"/>
      <c r="C1229" s="21"/>
      <c r="D1229" s="21"/>
      <c r="E1229" s="28"/>
      <c r="F1229" s="24"/>
      <c r="G1229" s="26"/>
      <c r="H1229" s="24"/>
      <c r="I1229" s="24"/>
      <c r="J1229" s="24"/>
      <c r="K1229" s="24"/>
      <c r="L1229" s="26"/>
      <c r="M1229" s="26"/>
      <c r="N1229" s="22"/>
      <c r="O1229" s="21"/>
      <c r="P1229" s="22"/>
      <c r="Q1229" s="29" t="str">
        <f aca="false">IF(C1229="","",IF(O1229&lt;&gt;"",O1229,IFERROR(INDEX(Produk!$J$2:$J$100,MATCH(C1229,Produk!$A$2:$A$100,0)),"PRODUK?")))</f>
        <v/>
      </c>
      <c r="R1229" s="29" t="str">
        <f aca="false">IF(A1229="","",IF(COUNTIF(Anggota!$A$2:$A$2001,A1229)=0,"TIDAK ADA","OK"))</f>
        <v/>
      </c>
      <c r="S1229" s="29" t="str">
        <f aca="false">IF(H1229="","",IF(OR(J1229="",L1229=""),"-",IF(ABS(H1229-J1229*L1229)&gt;Info_Koperasi!$C$10,"SELISIH","OK")))</f>
        <v/>
      </c>
    </row>
    <row r="1230" customFormat="false" ht="15" hidden="false" customHeight="false" outlineLevel="0" collapsed="false">
      <c r="A1230" s="21"/>
      <c r="B1230" s="22"/>
      <c r="C1230" s="21"/>
      <c r="D1230" s="21"/>
      <c r="E1230" s="28"/>
      <c r="F1230" s="24"/>
      <c r="G1230" s="26"/>
      <c r="H1230" s="24"/>
      <c r="I1230" s="24"/>
      <c r="J1230" s="24"/>
      <c r="K1230" s="24"/>
      <c r="L1230" s="26"/>
      <c r="M1230" s="26"/>
      <c r="N1230" s="22"/>
      <c r="O1230" s="21"/>
      <c r="P1230" s="22"/>
      <c r="Q1230" s="29" t="str">
        <f aca="false">IF(C1230="","",IF(O1230&lt;&gt;"",O1230,IFERROR(INDEX(Produk!$J$2:$J$100,MATCH(C1230,Produk!$A$2:$A$100,0)),"PRODUK?")))</f>
        <v/>
      </c>
      <c r="R1230" s="29" t="str">
        <f aca="false">IF(A1230="","",IF(COUNTIF(Anggota!$A$2:$A$2001,A1230)=0,"TIDAK ADA","OK"))</f>
        <v/>
      </c>
      <c r="S1230" s="29" t="str">
        <f aca="false">IF(H1230="","",IF(OR(J1230="",L1230=""),"-",IF(ABS(H1230-J1230*L1230)&gt;Info_Koperasi!$C$10,"SELISIH","OK")))</f>
        <v/>
      </c>
    </row>
    <row r="1231" customFormat="false" ht="15" hidden="false" customHeight="false" outlineLevel="0" collapsed="false">
      <c r="A1231" s="21"/>
      <c r="B1231" s="22"/>
      <c r="C1231" s="21"/>
      <c r="D1231" s="21"/>
      <c r="E1231" s="28"/>
      <c r="F1231" s="24"/>
      <c r="G1231" s="26"/>
      <c r="H1231" s="24"/>
      <c r="I1231" s="24"/>
      <c r="J1231" s="24"/>
      <c r="K1231" s="24"/>
      <c r="L1231" s="26"/>
      <c r="M1231" s="26"/>
      <c r="N1231" s="22"/>
      <c r="O1231" s="21"/>
      <c r="P1231" s="22"/>
      <c r="Q1231" s="29" t="str">
        <f aca="false">IF(C1231="","",IF(O1231&lt;&gt;"",O1231,IFERROR(INDEX(Produk!$J$2:$J$100,MATCH(C1231,Produk!$A$2:$A$100,0)),"PRODUK?")))</f>
        <v/>
      </c>
      <c r="R1231" s="29" t="str">
        <f aca="false">IF(A1231="","",IF(COUNTIF(Anggota!$A$2:$A$2001,A1231)=0,"TIDAK ADA","OK"))</f>
        <v/>
      </c>
      <c r="S1231" s="29" t="str">
        <f aca="false">IF(H1231="","",IF(OR(J1231="",L1231=""),"-",IF(ABS(H1231-J1231*L1231)&gt;Info_Koperasi!$C$10,"SELISIH","OK")))</f>
        <v/>
      </c>
    </row>
    <row r="1232" customFormat="false" ht="15" hidden="false" customHeight="false" outlineLevel="0" collapsed="false">
      <c r="A1232" s="21"/>
      <c r="B1232" s="22"/>
      <c r="C1232" s="21"/>
      <c r="D1232" s="21"/>
      <c r="E1232" s="28"/>
      <c r="F1232" s="24"/>
      <c r="G1232" s="26"/>
      <c r="H1232" s="24"/>
      <c r="I1232" s="24"/>
      <c r="J1232" s="24"/>
      <c r="K1232" s="24"/>
      <c r="L1232" s="26"/>
      <c r="M1232" s="26"/>
      <c r="N1232" s="22"/>
      <c r="O1232" s="21"/>
      <c r="P1232" s="22"/>
      <c r="Q1232" s="29" t="str">
        <f aca="false">IF(C1232="","",IF(O1232&lt;&gt;"",O1232,IFERROR(INDEX(Produk!$J$2:$J$100,MATCH(C1232,Produk!$A$2:$A$100,0)),"PRODUK?")))</f>
        <v/>
      </c>
      <c r="R1232" s="29" t="str">
        <f aca="false">IF(A1232="","",IF(COUNTIF(Anggota!$A$2:$A$2001,A1232)=0,"TIDAK ADA","OK"))</f>
        <v/>
      </c>
      <c r="S1232" s="29" t="str">
        <f aca="false">IF(H1232="","",IF(OR(J1232="",L1232=""),"-",IF(ABS(H1232-J1232*L1232)&gt;Info_Koperasi!$C$10,"SELISIH","OK")))</f>
        <v/>
      </c>
    </row>
    <row r="1233" customFormat="false" ht="15" hidden="false" customHeight="false" outlineLevel="0" collapsed="false">
      <c r="A1233" s="21"/>
      <c r="B1233" s="22"/>
      <c r="C1233" s="21"/>
      <c r="D1233" s="21"/>
      <c r="E1233" s="28"/>
      <c r="F1233" s="24"/>
      <c r="G1233" s="26"/>
      <c r="H1233" s="24"/>
      <c r="I1233" s="24"/>
      <c r="J1233" s="24"/>
      <c r="K1233" s="24"/>
      <c r="L1233" s="26"/>
      <c r="M1233" s="26"/>
      <c r="N1233" s="22"/>
      <c r="O1233" s="21"/>
      <c r="P1233" s="22"/>
      <c r="Q1233" s="29" t="str">
        <f aca="false">IF(C1233="","",IF(O1233&lt;&gt;"",O1233,IFERROR(INDEX(Produk!$J$2:$J$100,MATCH(C1233,Produk!$A$2:$A$100,0)),"PRODUK?")))</f>
        <v/>
      </c>
      <c r="R1233" s="29" t="str">
        <f aca="false">IF(A1233="","",IF(COUNTIF(Anggota!$A$2:$A$2001,A1233)=0,"TIDAK ADA","OK"))</f>
        <v/>
      </c>
      <c r="S1233" s="29" t="str">
        <f aca="false">IF(H1233="","",IF(OR(J1233="",L1233=""),"-",IF(ABS(H1233-J1233*L1233)&gt;Info_Koperasi!$C$10,"SELISIH","OK")))</f>
        <v/>
      </c>
    </row>
    <row r="1234" customFormat="false" ht="15" hidden="false" customHeight="false" outlineLevel="0" collapsed="false">
      <c r="A1234" s="21"/>
      <c r="B1234" s="22"/>
      <c r="C1234" s="21"/>
      <c r="D1234" s="21"/>
      <c r="E1234" s="28"/>
      <c r="F1234" s="24"/>
      <c r="G1234" s="26"/>
      <c r="H1234" s="24"/>
      <c r="I1234" s="24"/>
      <c r="J1234" s="24"/>
      <c r="K1234" s="24"/>
      <c r="L1234" s="26"/>
      <c r="M1234" s="26"/>
      <c r="N1234" s="22"/>
      <c r="O1234" s="21"/>
      <c r="P1234" s="22"/>
      <c r="Q1234" s="29" t="str">
        <f aca="false">IF(C1234="","",IF(O1234&lt;&gt;"",O1234,IFERROR(INDEX(Produk!$J$2:$J$100,MATCH(C1234,Produk!$A$2:$A$100,0)),"PRODUK?")))</f>
        <v/>
      </c>
      <c r="R1234" s="29" t="str">
        <f aca="false">IF(A1234="","",IF(COUNTIF(Anggota!$A$2:$A$2001,A1234)=0,"TIDAK ADA","OK"))</f>
        <v/>
      </c>
      <c r="S1234" s="29" t="str">
        <f aca="false">IF(H1234="","",IF(OR(J1234="",L1234=""),"-",IF(ABS(H1234-J1234*L1234)&gt;Info_Koperasi!$C$10,"SELISIH","OK")))</f>
        <v/>
      </c>
    </row>
    <row r="1235" customFormat="false" ht="15" hidden="false" customHeight="false" outlineLevel="0" collapsed="false">
      <c r="A1235" s="21"/>
      <c r="B1235" s="22"/>
      <c r="C1235" s="21"/>
      <c r="D1235" s="21"/>
      <c r="E1235" s="28"/>
      <c r="F1235" s="24"/>
      <c r="G1235" s="26"/>
      <c r="H1235" s="24"/>
      <c r="I1235" s="24"/>
      <c r="J1235" s="24"/>
      <c r="K1235" s="24"/>
      <c r="L1235" s="26"/>
      <c r="M1235" s="26"/>
      <c r="N1235" s="22"/>
      <c r="O1235" s="21"/>
      <c r="P1235" s="22"/>
      <c r="Q1235" s="29" t="str">
        <f aca="false">IF(C1235="","",IF(O1235&lt;&gt;"",O1235,IFERROR(INDEX(Produk!$J$2:$J$100,MATCH(C1235,Produk!$A$2:$A$100,0)),"PRODUK?")))</f>
        <v/>
      </c>
      <c r="R1235" s="29" t="str">
        <f aca="false">IF(A1235="","",IF(COUNTIF(Anggota!$A$2:$A$2001,A1235)=0,"TIDAK ADA","OK"))</f>
        <v/>
      </c>
      <c r="S1235" s="29" t="str">
        <f aca="false">IF(H1235="","",IF(OR(J1235="",L1235=""),"-",IF(ABS(H1235-J1235*L1235)&gt;Info_Koperasi!$C$10,"SELISIH","OK")))</f>
        <v/>
      </c>
    </row>
    <row r="1236" customFormat="false" ht="15" hidden="false" customHeight="false" outlineLevel="0" collapsed="false">
      <c r="A1236" s="21"/>
      <c r="B1236" s="22"/>
      <c r="C1236" s="21"/>
      <c r="D1236" s="21"/>
      <c r="E1236" s="28"/>
      <c r="F1236" s="24"/>
      <c r="G1236" s="26"/>
      <c r="H1236" s="24"/>
      <c r="I1236" s="24"/>
      <c r="J1236" s="24"/>
      <c r="K1236" s="24"/>
      <c r="L1236" s="26"/>
      <c r="M1236" s="26"/>
      <c r="N1236" s="22"/>
      <c r="O1236" s="21"/>
      <c r="P1236" s="22"/>
      <c r="Q1236" s="29" t="str">
        <f aca="false">IF(C1236="","",IF(O1236&lt;&gt;"",O1236,IFERROR(INDEX(Produk!$J$2:$J$100,MATCH(C1236,Produk!$A$2:$A$100,0)),"PRODUK?")))</f>
        <v/>
      </c>
      <c r="R1236" s="29" t="str">
        <f aca="false">IF(A1236="","",IF(COUNTIF(Anggota!$A$2:$A$2001,A1236)=0,"TIDAK ADA","OK"))</f>
        <v/>
      </c>
      <c r="S1236" s="29" t="str">
        <f aca="false">IF(H1236="","",IF(OR(J1236="",L1236=""),"-",IF(ABS(H1236-J1236*L1236)&gt;Info_Koperasi!$C$10,"SELISIH","OK")))</f>
        <v/>
      </c>
    </row>
    <row r="1237" customFormat="false" ht="15" hidden="false" customHeight="false" outlineLevel="0" collapsed="false">
      <c r="A1237" s="21"/>
      <c r="B1237" s="22"/>
      <c r="C1237" s="21"/>
      <c r="D1237" s="21"/>
      <c r="E1237" s="28"/>
      <c r="F1237" s="24"/>
      <c r="G1237" s="26"/>
      <c r="H1237" s="24"/>
      <c r="I1237" s="24"/>
      <c r="J1237" s="24"/>
      <c r="K1237" s="24"/>
      <c r="L1237" s="26"/>
      <c r="M1237" s="26"/>
      <c r="N1237" s="22"/>
      <c r="O1237" s="21"/>
      <c r="P1237" s="22"/>
      <c r="Q1237" s="29" t="str">
        <f aca="false">IF(C1237="","",IF(O1237&lt;&gt;"",O1237,IFERROR(INDEX(Produk!$J$2:$J$100,MATCH(C1237,Produk!$A$2:$A$100,0)),"PRODUK?")))</f>
        <v/>
      </c>
      <c r="R1237" s="29" t="str">
        <f aca="false">IF(A1237="","",IF(COUNTIF(Anggota!$A$2:$A$2001,A1237)=0,"TIDAK ADA","OK"))</f>
        <v/>
      </c>
      <c r="S1237" s="29" t="str">
        <f aca="false">IF(H1237="","",IF(OR(J1237="",L1237=""),"-",IF(ABS(H1237-J1237*L1237)&gt;Info_Koperasi!$C$10,"SELISIH","OK")))</f>
        <v/>
      </c>
    </row>
    <row r="1238" customFormat="false" ht="15" hidden="false" customHeight="false" outlineLevel="0" collapsed="false">
      <c r="A1238" s="21"/>
      <c r="B1238" s="22"/>
      <c r="C1238" s="21"/>
      <c r="D1238" s="21"/>
      <c r="E1238" s="28"/>
      <c r="F1238" s="24"/>
      <c r="G1238" s="26"/>
      <c r="H1238" s="24"/>
      <c r="I1238" s="24"/>
      <c r="J1238" s="24"/>
      <c r="K1238" s="24"/>
      <c r="L1238" s="26"/>
      <c r="M1238" s="26"/>
      <c r="N1238" s="22"/>
      <c r="O1238" s="21"/>
      <c r="P1238" s="22"/>
      <c r="Q1238" s="29" t="str">
        <f aca="false">IF(C1238="","",IF(O1238&lt;&gt;"",O1238,IFERROR(INDEX(Produk!$J$2:$J$100,MATCH(C1238,Produk!$A$2:$A$100,0)),"PRODUK?")))</f>
        <v/>
      </c>
      <c r="R1238" s="29" t="str">
        <f aca="false">IF(A1238="","",IF(COUNTIF(Anggota!$A$2:$A$2001,A1238)=0,"TIDAK ADA","OK"))</f>
        <v/>
      </c>
      <c r="S1238" s="29" t="str">
        <f aca="false">IF(H1238="","",IF(OR(J1238="",L1238=""),"-",IF(ABS(H1238-J1238*L1238)&gt;Info_Koperasi!$C$10,"SELISIH","OK")))</f>
        <v/>
      </c>
    </row>
    <row r="1239" customFormat="false" ht="15" hidden="false" customHeight="false" outlineLevel="0" collapsed="false">
      <c r="A1239" s="21"/>
      <c r="B1239" s="22"/>
      <c r="C1239" s="21"/>
      <c r="D1239" s="21"/>
      <c r="E1239" s="28"/>
      <c r="F1239" s="24"/>
      <c r="G1239" s="26"/>
      <c r="H1239" s="24"/>
      <c r="I1239" s="24"/>
      <c r="J1239" s="24"/>
      <c r="K1239" s="24"/>
      <c r="L1239" s="26"/>
      <c r="M1239" s="26"/>
      <c r="N1239" s="22"/>
      <c r="O1239" s="21"/>
      <c r="P1239" s="22"/>
      <c r="Q1239" s="29" t="str">
        <f aca="false">IF(C1239="","",IF(O1239&lt;&gt;"",O1239,IFERROR(INDEX(Produk!$J$2:$J$100,MATCH(C1239,Produk!$A$2:$A$100,0)),"PRODUK?")))</f>
        <v/>
      </c>
      <c r="R1239" s="29" t="str">
        <f aca="false">IF(A1239="","",IF(COUNTIF(Anggota!$A$2:$A$2001,A1239)=0,"TIDAK ADA","OK"))</f>
        <v/>
      </c>
      <c r="S1239" s="29" t="str">
        <f aca="false">IF(H1239="","",IF(OR(J1239="",L1239=""),"-",IF(ABS(H1239-J1239*L1239)&gt;Info_Koperasi!$C$10,"SELISIH","OK")))</f>
        <v/>
      </c>
    </row>
    <row r="1240" customFormat="false" ht="15" hidden="false" customHeight="false" outlineLevel="0" collapsed="false">
      <c r="A1240" s="21"/>
      <c r="B1240" s="22"/>
      <c r="C1240" s="21"/>
      <c r="D1240" s="21"/>
      <c r="E1240" s="28"/>
      <c r="F1240" s="24"/>
      <c r="G1240" s="26"/>
      <c r="H1240" s="24"/>
      <c r="I1240" s="24"/>
      <c r="J1240" s="24"/>
      <c r="K1240" s="24"/>
      <c r="L1240" s="26"/>
      <c r="M1240" s="26"/>
      <c r="N1240" s="22"/>
      <c r="O1240" s="21"/>
      <c r="P1240" s="22"/>
      <c r="Q1240" s="29" t="str">
        <f aca="false">IF(C1240="","",IF(O1240&lt;&gt;"",O1240,IFERROR(INDEX(Produk!$J$2:$J$100,MATCH(C1240,Produk!$A$2:$A$100,0)),"PRODUK?")))</f>
        <v/>
      </c>
      <c r="R1240" s="29" t="str">
        <f aca="false">IF(A1240="","",IF(COUNTIF(Anggota!$A$2:$A$2001,A1240)=0,"TIDAK ADA","OK"))</f>
        <v/>
      </c>
      <c r="S1240" s="29" t="str">
        <f aca="false">IF(H1240="","",IF(OR(J1240="",L1240=""),"-",IF(ABS(H1240-J1240*L1240)&gt;Info_Koperasi!$C$10,"SELISIH","OK")))</f>
        <v/>
      </c>
    </row>
    <row r="1241" customFormat="false" ht="15" hidden="false" customHeight="false" outlineLevel="0" collapsed="false">
      <c r="A1241" s="21"/>
      <c r="B1241" s="22"/>
      <c r="C1241" s="21"/>
      <c r="D1241" s="21"/>
      <c r="E1241" s="28"/>
      <c r="F1241" s="24"/>
      <c r="G1241" s="26"/>
      <c r="H1241" s="24"/>
      <c r="I1241" s="24"/>
      <c r="J1241" s="24"/>
      <c r="K1241" s="24"/>
      <c r="L1241" s="26"/>
      <c r="M1241" s="26"/>
      <c r="N1241" s="22"/>
      <c r="O1241" s="21"/>
      <c r="P1241" s="22"/>
      <c r="Q1241" s="29" t="str">
        <f aca="false">IF(C1241="","",IF(O1241&lt;&gt;"",O1241,IFERROR(INDEX(Produk!$J$2:$J$100,MATCH(C1241,Produk!$A$2:$A$100,0)),"PRODUK?")))</f>
        <v/>
      </c>
      <c r="R1241" s="29" t="str">
        <f aca="false">IF(A1241="","",IF(COUNTIF(Anggota!$A$2:$A$2001,A1241)=0,"TIDAK ADA","OK"))</f>
        <v/>
      </c>
      <c r="S1241" s="29" t="str">
        <f aca="false">IF(H1241="","",IF(OR(J1241="",L1241=""),"-",IF(ABS(H1241-J1241*L1241)&gt;Info_Koperasi!$C$10,"SELISIH","OK")))</f>
        <v/>
      </c>
    </row>
    <row r="1242" customFormat="false" ht="15" hidden="false" customHeight="false" outlineLevel="0" collapsed="false">
      <c r="A1242" s="21"/>
      <c r="B1242" s="22"/>
      <c r="C1242" s="21"/>
      <c r="D1242" s="21"/>
      <c r="E1242" s="28"/>
      <c r="F1242" s="24"/>
      <c r="G1242" s="26"/>
      <c r="H1242" s="24"/>
      <c r="I1242" s="24"/>
      <c r="J1242" s="24"/>
      <c r="K1242" s="24"/>
      <c r="L1242" s="26"/>
      <c r="M1242" s="26"/>
      <c r="N1242" s="22"/>
      <c r="O1242" s="21"/>
      <c r="P1242" s="22"/>
      <c r="Q1242" s="29" t="str">
        <f aca="false">IF(C1242="","",IF(O1242&lt;&gt;"",O1242,IFERROR(INDEX(Produk!$J$2:$J$100,MATCH(C1242,Produk!$A$2:$A$100,0)),"PRODUK?")))</f>
        <v/>
      </c>
      <c r="R1242" s="29" t="str">
        <f aca="false">IF(A1242="","",IF(COUNTIF(Anggota!$A$2:$A$2001,A1242)=0,"TIDAK ADA","OK"))</f>
        <v/>
      </c>
      <c r="S1242" s="29" t="str">
        <f aca="false">IF(H1242="","",IF(OR(J1242="",L1242=""),"-",IF(ABS(H1242-J1242*L1242)&gt;Info_Koperasi!$C$10,"SELISIH","OK")))</f>
        <v/>
      </c>
    </row>
    <row r="1243" customFormat="false" ht="15" hidden="false" customHeight="false" outlineLevel="0" collapsed="false">
      <c r="A1243" s="21"/>
      <c r="B1243" s="22"/>
      <c r="C1243" s="21"/>
      <c r="D1243" s="21"/>
      <c r="E1243" s="28"/>
      <c r="F1243" s="24"/>
      <c r="G1243" s="26"/>
      <c r="H1243" s="24"/>
      <c r="I1243" s="24"/>
      <c r="J1243" s="24"/>
      <c r="K1243" s="24"/>
      <c r="L1243" s="26"/>
      <c r="M1243" s="26"/>
      <c r="N1243" s="22"/>
      <c r="O1243" s="21"/>
      <c r="P1243" s="22"/>
      <c r="Q1243" s="29" t="str">
        <f aca="false">IF(C1243="","",IF(O1243&lt;&gt;"",O1243,IFERROR(INDEX(Produk!$J$2:$J$100,MATCH(C1243,Produk!$A$2:$A$100,0)),"PRODUK?")))</f>
        <v/>
      </c>
      <c r="R1243" s="29" t="str">
        <f aca="false">IF(A1243="","",IF(COUNTIF(Anggota!$A$2:$A$2001,A1243)=0,"TIDAK ADA","OK"))</f>
        <v/>
      </c>
      <c r="S1243" s="29" t="str">
        <f aca="false">IF(H1243="","",IF(OR(J1243="",L1243=""),"-",IF(ABS(H1243-J1243*L1243)&gt;Info_Koperasi!$C$10,"SELISIH","OK")))</f>
        <v/>
      </c>
    </row>
    <row r="1244" customFormat="false" ht="15" hidden="false" customHeight="false" outlineLevel="0" collapsed="false">
      <c r="A1244" s="21"/>
      <c r="B1244" s="22"/>
      <c r="C1244" s="21"/>
      <c r="D1244" s="21"/>
      <c r="E1244" s="28"/>
      <c r="F1244" s="24"/>
      <c r="G1244" s="26"/>
      <c r="H1244" s="24"/>
      <c r="I1244" s="24"/>
      <c r="J1244" s="24"/>
      <c r="K1244" s="24"/>
      <c r="L1244" s="26"/>
      <c r="M1244" s="26"/>
      <c r="N1244" s="22"/>
      <c r="O1244" s="21"/>
      <c r="P1244" s="22"/>
      <c r="Q1244" s="29" t="str">
        <f aca="false">IF(C1244="","",IF(O1244&lt;&gt;"",O1244,IFERROR(INDEX(Produk!$J$2:$J$100,MATCH(C1244,Produk!$A$2:$A$100,0)),"PRODUK?")))</f>
        <v/>
      </c>
      <c r="R1244" s="29" t="str">
        <f aca="false">IF(A1244="","",IF(COUNTIF(Anggota!$A$2:$A$2001,A1244)=0,"TIDAK ADA","OK"))</f>
        <v/>
      </c>
      <c r="S1244" s="29" t="str">
        <f aca="false">IF(H1244="","",IF(OR(J1244="",L1244=""),"-",IF(ABS(H1244-J1244*L1244)&gt;Info_Koperasi!$C$10,"SELISIH","OK")))</f>
        <v/>
      </c>
    </row>
    <row r="1245" customFormat="false" ht="15" hidden="false" customHeight="false" outlineLevel="0" collapsed="false">
      <c r="A1245" s="21"/>
      <c r="B1245" s="22"/>
      <c r="C1245" s="21"/>
      <c r="D1245" s="21"/>
      <c r="E1245" s="28"/>
      <c r="F1245" s="24"/>
      <c r="G1245" s="26"/>
      <c r="H1245" s="24"/>
      <c r="I1245" s="24"/>
      <c r="J1245" s="24"/>
      <c r="K1245" s="24"/>
      <c r="L1245" s="26"/>
      <c r="M1245" s="26"/>
      <c r="N1245" s="22"/>
      <c r="O1245" s="21"/>
      <c r="P1245" s="22"/>
      <c r="Q1245" s="29" t="str">
        <f aca="false">IF(C1245="","",IF(O1245&lt;&gt;"",O1245,IFERROR(INDEX(Produk!$J$2:$J$100,MATCH(C1245,Produk!$A$2:$A$100,0)),"PRODUK?")))</f>
        <v/>
      </c>
      <c r="R1245" s="29" t="str">
        <f aca="false">IF(A1245="","",IF(COUNTIF(Anggota!$A$2:$A$2001,A1245)=0,"TIDAK ADA","OK"))</f>
        <v/>
      </c>
      <c r="S1245" s="29" t="str">
        <f aca="false">IF(H1245="","",IF(OR(J1245="",L1245=""),"-",IF(ABS(H1245-J1245*L1245)&gt;Info_Koperasi!$C$10,"SELISIH","OK")))</f>
        <v/>
      </c>
    </row>
    <row r="1246" customFormat="false" ht="15" hidden="false" customHeight="false" outlineLevel="0" collapsed="false">
      <c r="A1246" s="21"/>
      <c r="B1246" s="22"/>
      <c r="C1246" s="21"/>
      <c r="D1246" s="21"/>
      <c r="E1246" s="28"/>
      <c r="F1246" s="24"/>
      <c r="G1246" s="26"/>
      <c r="H1246" s="24"/>
      <c r="I1246" s="24"/>
      <c r="J1246" s="24"/>
      <c r="K1246" s="24"/>
      <c r="L1246" s="26"/>
      <c r="M1246" s="26"/>
      <c r="N1246" s="22"/>
      <c r="O1246" s="21"/>
      <c r="P1246" s="22"/>
      <c r="Q1246" s="29" t="str">
        <f aca="false">IF(C1246="","",IF(O1246&lt;&gt;"",O1246,IFERROR(INDEX(Produk!$J$2:$J$100,MATCH(C1246,Produk!$A$2:$A$100,0)),"PRODUK?")))</f>
        <v/>
      </c>
      <c r="R1246" s="29" t="str">
        <f aca="false">IF(A1246="","",IF(COUNTIF(Anggota!$A$2:$A$2001,A1246)=0,"TIDAK ADA","OK"))</f>
        <v/>
      </c>
      <c r="S1246" s="29" t="str">
        <f aca="false">IF(H1246="","",IF(OR(J1246="",L1246=""),"-",IF(ABS(H1246-J1246*L1246)&gt;Info_Koperasi!$C$10,"SELISIH","OK")))</f>
        <v/>
      </c>
    </row>
    <row r="1247" customFormat="false" ht="15" hidden="false" customHeight="false" outlineLevel="0" collapsed="false">
      <c r="A1247" s="21"/>
      <c r="B1247" s="22"/>
      <c r="C1247" s="21"/>
      <c r="D1247" s="21"/>
      <c r="E1247" s="28"/>
      <c r="F1247" s="24"/>
      <c r="G1247" s="26"/>
      <c r="H1247" s="24"/>
      <c r="I1247" s="24"/>
      <c r="J1247" s="24"/>
      <c r="K1247" s="24"/>
      <c r="L1247" s="26"/>
      <c r="M1247" s="26"/>
      <c r="N1247" s="22"/>
      <c r="O1247" s="21"/>
      <c r="P1247" s="22"/>
      <c r="Q1247" s="29" t="str">
        <f aca="false">IF(C1247="","",IF(O1247&lt;&gt;"",O1247,IFERROR(INDEX(Produk!$J$2:$J$100,MATCH(C1247,Produk!$A$2:$A$100,0)),"PRODUK?")))</f>
        <v/>
      </c>
      <c r="R1247" s="29" t="str">
        <f aca="false">IF(A1247="","",IF(COUNTIF(Anggota!$A$2:$A$2001,A1247)=0,"TIDAK ADA","OK"))</f>
        <v/>
      </c>
      <c r="S1247" s="29" t="str">
        <f aca="false">IF(H1247="","",IF(OR(J1247="",L1247=""),"-",IF(ABS(H1247-J1247*L1247)&gt;Info_Koperasi!$C$10,"SELISIH","OK")))</f>
        <v/>
      </c>
    </row>
    <row r="1248" customFormat="false" ht="15" hidden="false" customHeight="false" outlineLevel="0" collapsed="false">
      <c r="A1248" s="21"/>
      <c r="B1248" s="22"/>
      <c r="C1248" s="21"/>
      <c r="D1248" s="21"/>
      <c r="E1248" s="28"/>
      <c r="F1248" s="24"/>
      <c r="G1248" s="26"/>
      <c r="H1248" s="24"/>
      <c r="I1248" s="24"/>
      <c r="J1248" s="24"/>
      <c r="K1248" s="24"/>
      <c r="L1248" s="26"/>
      <c r="M1248" s="26"/>
      <c r="N1248" s="22"/>
      <c r="O1248" s="21"/>
      <c r="P1248" s="22"/>
      <c r="Q1248" s="29" t="str">
        <f aca="false">IF(C1248="","",IF(O1248&lt;&gt;"",O1248,IFERROR(INDEX(Produk!$J$2:$J$100,MATCH(C1248,Produk!$A$2:$A$100,0)),"PRODUK?")))</f>
        <v/>
      </c>
      <c r="R1248" s="29" t="str">
        <f aca="false">IF(A1248="","",IF(COUNTIF(Anggota!$A$2:$A$2001,A1248)=0,"TIDAK ADA","OK"))</f>
        <v/>
      </c>
      <c r="S1248" s="29" t="str">
        <f aca="false">IF(H1248="","",IF(OR(J1248="",L1248=""),"-",IF(ABS(H1248-J1248*L1248)&gt;Info_Koperasi!$C$10,"SELISIH","OK")))</f>
        <v/>
      </c>
    </row>
    <row r="1249" customFormat="false" ht="15" hidden="false" customHeight="false" outlineLevel="0" collapsed="false">
      <c r="A1249" s="21"/>
      <c r="B1249" s="22"/>
      <c r="C1249" s="21"/>
      <c r="D1249" s="21"/>
      <c r="E1249" s="28"/>
      <c r="F1249" s="24"/>
      <c r="G1249" s="26"/>
      <c r="H1249" s="24"/>
      <c r="I1249" s="24"/>
      <c r="J1249" s="24"/>
      <c r="K1249" s="24"/>
      <c r="L1249" s="26"/>
      <c r="M1249" s="26"/>
      <c r="N1249" s="22"/>
      <c r="O1249" s="21"/>
      <c r="P1249" s="22"/>
      <c r="Q1249" s="29" t="str">
        <f aca="false">IF(C1249="","",IF(O1249&lt;&gt;"",O1249,IFERROR(INDEX(Produk!$J$2:$J$100,MATCH(C1249,Produk!$A$2:$A$100,0)),"PRODUK?")))</f>
        <v/>
      </c>
      <c r="R1249" s="29" t="str">
        <f aca="false">IF(A1249="","",IF(COUNTIF(Anggota!$A$2:$A$2001,A1249)=0,"TIDAK ADA","OK"))</f>
        <v/>
      </c>
      <c r="S1249" s="29" t="str">
        <f aca="false">IF(H1249="","",IF(OR(J1249="",L1249=""),"-",IF(ABS(H1249-J1249*L1249)&gt;Info_Koperasi!$C$10,"SELISIH","OK")))</f>
        <v/>
      </c>
    </row>
    <row r="1250" customFormat="false" ht="15" hidden="false" customHeight="false" outlineLevel="0" collapsed="false">
      <c r="A1250" s="21"/>
      <c r="B1250" s="22"/>
      <c r="C1250" s="21"/>
      <c r="D1250" s="21"/>
      <c r="E1250" s="28"/>
      <c r="F1250" s="24"/>
      <c r="G1250" s="26"/>
      <c r="H1250" s="24"/>
      <c r="I1250" s="24"/>
      <c r="J1250" s="24"/>
      <c r="K1250" s="24"/>
      <c r="L1250" s="26"/>
      <c r="M1250" s="26"/>
      <c r="N1250" s="22"/>
      <c r="O1250" s="21"/>
      <c r="P1250" s="22"/>
      <c r="Q1250" s="29" t="str">
        <f aca="false">IF(C1250="","",IF(O1250&lt;&gt;"",O1250,IFERROR(INDEX(Produk!$J$2:$J$100,MATCH(C1250,Produk!$A$2:$A$100,0)),"PRODUK?")))</f>
        <v/>
      </c>
      <c r="R1250" s="29" t="str">
        <f aca="false">IF(A1250="","",IF(COUNTIF(Anggota!$A$2:$A$2001,A1250)=0,"TIDAK ADA","OK"))</f>
        <v/>
      </c>
      <c r="S1250" s="29" t="str">
        <f aca="false">IF(H1250="","",IF(OR(J1250="",L1250=""),"-",IF(ABS(H1250-J1250*L1250)&gt;Info_Koperasi!$C$10,"SELISIH","OK")))</f>
        <v/>
      </c>
    </row>
    <row r="1251" customFormat="false" ht="15" hidden="false" customHeight="false" outlineLevel="0" collapsed="false">
      <c r="A1251" s="21"/>
      <c r="B1251" s="22"/>
      <c r="C1251" s="21"/>
      <c r="D1251" s="21"/>
      <c r="E1251" s="28"/>
      <c r="F1251" s="24"/>
      <c r="G1251" s="26"/>
      <c r="H1251" s="24"/>
      <c r="I1251" s="24"/>
      <c r="J1251" s="24"/>
      <c r="K1251" s="24"/>
      <c r="L1251" s="26"/>
      <c r="M1251" s="26"/>
      <c r="N1251" s="22"/>
      <c r="O1251" s="21"/>
      <c r="P1251" s="22"/>
      <c r="Q1251" s="29" t="str">
        <f aca="false">IF(C1251="","",IF(O1251&lt;&gt;"",O1251,IFERROR(INDEX(Produk!$J$2:$J$100,MATCH(C1251,Produk!$A$2:$A$100,0)),"PRODUK?")))</f>
        <v/>
      </c>
      <c r="R1251" s="29" t="str">
        <f aca="false">IF(A1251="","",IF(COUNTIF(Anggota!$A$2:$A$2001,A1251)=0,"TIDAK ADA","OK"))</f>
        <v/>
      </c>
      <c r="S1251" s="29" t="str">
        <f aca="false">IF(H1251="","",IF(OR(J1251="",L1251=""),"-",IF(ABS(H1251-J1251*L1251)&gt;Info_Koperasi!$C$10,"SELISIH","OK")))</f>
        <v/>
      </c>
    </row>
    <row r="1252" customFormat="false" ht="15" hidden="false" customHeight="false" outlineLevel="0" collapsed="false">
      <c r="A1252" s="21"/>
      <c r="B1252" s="22"/>
      <c r="C1252" s="21"/>
      <c r="D1252" s="21"/>
      <c r="E1252" s="28"/>
      <c r="F1252" s="24"/>
      <c r="G1252" s="26"/>
      <c r="H1252" s="24"/>
      <c r="I1252" s="24"/>
      <c r="J1252" s="24"/>
      <c r="K1252" s="24"/>
      <c r="L1252" s="26"/>
      <c r="M1252" s="26"/>
      <c r="N1252" s="22"/>
      <c r="O1252" s="21"/>
      <c r="P1252" s="22"/>
      <c r="Q1252" s="29" t="str">
        <f aca="false">IF(C1252="","",IF(O1252&lt;&gt;"",O1252,IFERROR(INDEX(Produk!$J$2:$J$100,MATCH(C1252,Produk!$A$2:$A$100,0)),"PRODUK?")))</f>
        <v/>
      </c>
      <c r="R1252" s="29" t="str">
        <f aca="false">IF(A1252="","",IF(COUNTIF(Anggota!$A$2:$A$2001,A1252)=0,"TIDAK ADA","OK"))</f>
        <v/>
      </c>
      <c r="S1252" s="29" t="str">
        <f aca="false">IF(H1252="","",IF(OR(J1252="",L1252=""),"-",IF(ABS(H1252-J1252*L1252)&gt;Info_Koperasi!$C$10,"SELISIH","OK")))</f>
        <v/>
      </c>
    </row>
    <row r="1253" customFormat="false" ht="15" hidden="false" customHeight="false" outlineLevel="0" collapsed="false">
      <c r="A1253" s="21"/>
      <c r="B1253" s="22"/>
      <c r="C1253" s="21"/>
      <c r="D1253" s="21"/>
      <c r="E1253" s="28"/>
      <c r="F1253" s="24"/>
      <c r="G1253" s="26"/>
      <c r="H1253" s="24"/>
      <c r="I1253" s="24"/>
      <c r="J1253" s="24"/>
      <c r="K1253" s="24"/>
      <c r="L1253" s="26"/>
      <c r="M1253" s="26"/>
      <c r="N1253" s="22"/>
      <c r="O1253" s="21"/>
      <c r="P1253" s="22"/>
      <c r="Q1253" s="29" t="str">
        <f aca="false">IF(C1253="","",IF(O1253&lt;&gt;"",O1253,IFERROR(INDEX(Produk!$J$2:$J$100,MATCH(C1253,Produk!$A$2:$A$100,0)),"PRODUK?")))</f>
        <v/>
      </c>
      <c r="R1253" s="29" t="str">
        <f aca="false">IF(A1253="","",IF(COUNTIF(Anggota!$A$2:$A$2001,A1253)=0,"TIDAK ADA","OK"))</f>
        <v/>
      </c>
      <c r="S1253" s="29" t="str">
        <f aca="false">IF(H1253="","",IF(OR(J1253="",L1253=""),"-",IF(ABS(H1253-J1253*L1253)&gt;Info_Koperasi!$C$10,"SELISIH","OK")))</f>
        <v/>
      </c>
    </row>
    <row r="1254" customFormat="false" ht="15" hidden="false" customHeight="false" outlineLevel="0" collapsed="false">
      <c r="A1254" s="21"/>
      <c r="B1254" s="22"/>
      <c r="C1254" s="21"/>
      <c r="D1254" s="21"/>
      <c r="E1254" s="28"/>
      <c r="F1254" s="24"/>
      <c r="G1254" s="26"/>
      <c r="H1254" s="24"/>
      <c r="I1254" s="24"/>
      <c r="J1254" s="24"/>
      <c r="K1254" s="24"/>
      <c r="L1254" s="26"/>
      <c r="M1254" s="26"/>
      <c r="N1254" s="22"/>
      <c r="O1254" s="21"/>
      <c r="P1254" s="22"/>
      <c r="Q1254" s="29" t="str">
        <f aca="false">IF(C1254="","",IF(O1254&lt;&gt;"",O1254,IFERROR(INDEX(Produk!$J$2:$J$100,MATCH(C1254,Produk!$A$2:$A$100,0)),"PRODUK?")))</f>
        <v/>
      </c>
      <c r="R1254" s="29" t="str">
        <f aca="false">IF(A1254="","",IF(COUNTIF(Anggota!$A$2:$A$2001,A1254)=0,"TIDAK ADA","OK"))</f>
        <v/>
      </c>
      <c r="S1254" s="29" t="str">
        <f aca="false">IF(H1254="","",IF(OR(J1254="",L1254=""),"-",IF(ABS(H1254-J1254*L1254)&gt;Info_Koperasi!$C$10,"SELISIH","OK")))</f>
        <v/>
      </c>
    </row>
    <row r="1255" customFormat="false" ht="15" hidden="false" customHeight="false" outlineLevel="0" collapsed="false">
      <c r="A1255" s="21"/>
      <c r="B1255" s="22"/>
      <c r="C1255" s="21"/>
      <c r="D1255" s="21"/>
      <c r="E1255" s="28"/>
      <c r="F1255" s="24"/>
      <c r="G1255" s="26"/>
      <c r="H1255" s="24"/>
      <c r="I1255" s="24"/>
      <c r="J1255" s="24"/>
      <c r="K1255" s="24"/>
      <c r="L1255" s="26"/>
      <c r="M1255" s="26"/>
      <c r="N1255" s="22"/>
      <c r="O1255" s="21"/>
      <c r="P1255" s="22"/>
      <c r="Q1255" s="29" t="str">
        <f aca="false">IF(C1255="","",IF(O1255&lt;&gt;"",O1255,IFERROR(INDEX(Produk!$J$2:$J$100,MATCH(C1255,Produk!$A$2:$A$100,0)),"PRODUK?")))</f>
        <v/>
      </c>
      <c r="R1255" s="29" t="str">
        <f aca="false">IF(A1255="","",IF(COUNTIF(Anggota!$A$2:$A$2001,A1255)=0,"TIDAK ADA","OK"))</f>
        <v/>
      </c>
      <c r="S1255" s="29" t="str">
        <f aca="false">IF(H1255="","",IF(OR(J1255="",L1255=""),"-",IF(ABS(H1255-J1255*L1255)&gt;Info_Koperasi!$C$10,"SELISIH","OK")))</f>
        <v/>
      </c>
    </row>
    <row r="1256" customFormat="false" ht="15" hidden="false" customHeight="false" outlineLevel="0" collapsed="false">
      <c r="A1256" s="21"/>
      <c r="B1256" s="22"/>
      <c r="C1256" s="21"/>
      <c r="D1256" s="21"/>
      <c r="E1256" s="28"/>
      <c r="F1256" s="24"/>
      <c r="G1256" s="26"/>
      <c r="H1256" s="24"/>
      <c r="I1256" s="24"/>
      <c r="J1256" s="24"/>
      <c r="K1256" s="24"/>
      <c r="L1256" s="26"/>
      <c r="M1256" s="26"/>
      <c r="N1256" s="22"/>
      <c r="O1256" s="21"/>
      <c r="P1256" s="22"/>
      <c r="Q1256" s="29" t="str">
        <f aca="false">IF(C1256="","",IF(O1256&lt;&gt;"",O1256,IFERROR(INDEX(Produk!$J$2:$J$100,MATCH(C1256,Produk!$A$2:$A$100,0)),"PRODUK?")))</f>
        <v/>
      </c>
      <c r="R1256" s="29" t="str">
        <f aca="false">IF(A1256="","",IF(COUNTIF(Anggota!$A$2:$A$2001,A1256)=0,"TIDAK ADA","OK"))</f>
        <v/>
      </c>
      <c r="S1256" s="29" t="str">
        <f aca="false">IF(H1256="","",IF(OR(J1256="",L1256=""),"-",IF(ABS(H1256-J1256*L1256)&gt;Info_Koperasi!$C$10,"SELISIH","OK")))</f>
        <v/>
      </c>
    </row>
    <row r="1257" customFormat="false" ht="15" hidden="false" customHeight="false" outlineLevel="0" collapsed="false">
      <c r="A1257" s="21"/>
      <c r="B1257" s="22"/>
      <c r="C1257" s="21"/>
      <c r="D1257" s="21"/>
      <c r="E1257" s="28"/>
      <c r="F1257" s="24"/>
      <c r="G1257" s="26"/>
      <c r="H1257" s="24"/>
      <c r="I1257" s="24"/>
      <c r="J1257" s="24"/>
      <c r="K1257" s="24"/>
      <c r="L1257" s="26"/>
      <c r="M1257" s="26"/>
      <c r="N1257" s="22"/>
      <c r="O1257" s="21"/>
      <c r="P1257" s="22"/>
      <c r="Q1257" s="29" t="str">
        <f aca="false">IF(C1257="","",IF(O1257&lt;&gt;"",O1257,IFERROR(INDEX(Produk!$J$2:$J$100,MATCH(C1257,Produk!$A$2:$A$100,0)),"PRODUK?")))</f>
        <v/>
      </c>
      <c r="R1257" s="29" t="str">
        <f aca="false">IF(A1257="","",IF(COUNTIF(Anggota!$A$2:$A$2001,A1257)=0,"TIDAK ADA","OK"))</f>
        <v/>
      </c>
      <c r="S1257" s="29" t="str">
        <f aca="false">IF(H1257="","",IF(OR(J1257="",L1257=""),"-",IF(ABS(H1257-J1257*L1257)&gt;Info_Koperasi!$C$10,"SELISIH","OK")))</f>
        <v/>
      </c>
    </row>
    <row r="1258" customFormat="false" ht="15" hidden="false" customHeight="false" outlineLevel="0" collapsed="false">
      <c r="A1258" s="21"/>
      <c r="B1258" s="22"/>
      <c r="C1258" s="21"/>
      <c r="D1258" s="21"/>
      <c r="E1258" s="28"/>
      <c r="F1258" s="24"/>
      <c r="G1258" s="26"/>
      <c r="H1258" s="24"/>
      <c r="I1258" s="24"/>
      <c r="J1258" s="24"/>
      <c r="K1258" s="24"/>
      <c r="L1258" s="26"/>
      <c r="M1258" s="26"/>
      <c r="N1258" s="22"/>
      <c r="O1258" s="21"/>
      <c r="P1258" s="22"/>
      <c r="Q1258" s="29" t="str">
        <f aca="false">IF(C1258="","",IF(O1258&lt;&gt;"",O1258,IFERROR(INDEX(Produk!$J$2:$J$100,MATCH(C1258,Produk!$A$2:$A$100,0)),"PRODUK?")))</f>
        <v/>
      </c>
      <c r="R1258" s="29" t="str">
        <f aca="false">IF(A1258="","",IF(COUNTIF(Anggota!$A$2:$A$2001,A1258)=0,"TIDAK ADA","OK"))</f>
        <v/>
      </c>
      <c r="S1258" s="29" t="str">
        <f aca="false">IF(H1258="","",IF(OR(J1258="",L1258=""),"-",IF(ABS(H1258-J1258*L1258)&gt;Info_Koperasi!$C$10,"SELISIH","OK")))</f>
        <v/>
      </c>
    </row>
    <row r="1259" customFormat="false" ht="15" hidden="false" customHeight="false" outlineLevel="0" collapsed="false">
      <c r="A1259" s="21"/>
      <c r="B1259" s="22"/>
      <c r="C1259" s="21"/>
      <c r="D1259" s="21"/>
      <c r="E1259" s="28"/>
      <c r="F1259" s="24"/>
      <c r="G1259" s="26"/>
      <c r="H1259" s="24"/>
      <c r="I1259" s="24"/>
      <c r="J1259" s="24"/>
      <c r="K1259" s="24"/>
      <c r="L1259" s="26"/>
      <c r="M1259" s="26"/>
      <c r="N1259" s="22"/>
      <c r="O1259" s="21"/>
      <c r="P1259" s="22"/>
      <c r="Q1259" s="29" t="str">
        <f aca="false">IF(C1259="","",IF(O1259&lt;&gt;"",O1259,IFERROR(INDEX(Produk!$J$2:$J$100,MATCH(C1259,Produk!$A$2:$A$100,0)),"PRODUK?")))</f>
        <v/>
      </c>
      <c r="R1259" s="29" t="str">
        <f aca="false">IF(A1259="","",IF(COUNTIF(Anggota!$A$2:$A$2001,A1259)=0,"TIDAK ADA","OK"))</f>
        <v/>
      </c>
      <c r="S1259" s="29" t="str">
        <f aca="false">IF(H1259="","",IF(OR(J1259="",L1259=""),"-",IF(ABS(H1259-J1259*L1259)&gt;Info_Koperasi!$C$10,"SELISIH","OK")))</f>
        <v/>
      </c>
    </row>
    <row r="1260" customFormat="false" ht="15" hidden="false" customHeight="false" outlineLevel="0" collapsed="false">
      <c r="A1260" s="21"/>
      <c r="B1260" s="22"/>
      <c r="C1260" s="21"/>
      <c r="D1260" s="21"/>
      <c r="E1260" s="28"/>
      <c r="F1260" s="24"/>
      <c r="G1260" s="26"/>
      <c r="H1260" s="24"/>
      <c r="I1260" s="24"/>
      <c r="J1260" s="24"/>
      <c r="K1260" s="24"/>
      <c r="L1260" s="26"/>
      <c r="M1260" s="26"/>
      <c r="N1260" s="22"/>
      <c r="O1260" s="21"/>
      <c r="P1260" s="22"/>
      <c r="Q1260" s="29" t="str">
        <f aca="false">IF(C1260="","",IF(O1260&lt;&gt;"",O1260,IFERROR(INDEX(Produk!$J$2:$J$100,MATCH(C1260,Produk!$A$2:$A$100,0)),"PRODUK?")))</f>
        <v/>
      </c>
      <c r="R1260" s="29" t="str">
        <f aca="false">IF(A1260="","",IF(COUNTIF(Anggota!$A$2:$A$2001,A1260)=0,"TIDAK ADA","OK"))</f>
        <v/>
      </c>
      <c r="S1260" s="29" t="str">
        <f aca="false">IF(H1260="","",IF(OR(J1260="",L1260=""),"-",IF(ABS(H1260-J1260*L1260)&gt;Info_Koperasi!$C$10,"SELISIH","OK")))</f>
        <v/>
      </c>
    </row>
    <row r="1261" customFormat="false" ht="15" hidden="false" customHeight="false" outlineLevel="0" collapsed="false">
      <c r="A1261" s="21"/>
      <c r="B1261" s="22"/>
      <c r="C1261" s="21"/>
      <c r="D1261" s="21"/>
      <c r="E1261" s="28"/>
      <c r="F1261" s="24"/>
      <c r="G1261" s="26"/>
      <c r="H1261" s="24"/>
      <c r="I1261" s="24"/>
      <c r="J1261" s="24"/>
      <c r="K1261" s="24"/>
      <c r="L1261" s="26"/>
      <c r="M1261" s="26"/>
      <c r="N1261" s="22"/>
      <c r="O1261" s="21"/>
      <c r="P1261" s="22"/>
      <c r="Q1261" s="29" t="str">
        <f aca="false">IF(C1261="","",IF(O1261&lt;&gt;"",O1261,IFERROR(INDEX(Produk!$J$2:$J$100,MATCH(C1261,Produk!$A$2:$A$100,0)),"PRODUK?")))</f>
        <v/>
      </c>
      <c r="R1261" s="29" t="str">
        <f aca="false">IF(A1261="","",IF(COUNTIF(Anggota!$A$2:$A$2001,A1261)=0,"TIDAK ADA","OK"))</f>
        <v/>
      </c>
      <c r="S1261" s="29" t="str">
        <f aca="false">IF(H1261="","",IF(OR(J1261="",L1261=""),"-",IF(ABS(H1261-J1261*L1261)&gt;Info_Koperasi!$C$10,"SELISIH","OK")))</f>
        <v/>
      </c>
    </row>
    <row r="1262" customFormat="false" ht="15" hidden="false" customHeight="false" outlineLevel="0" collapsed="false">
      <c r="A1262" s="21"/>
      <c r="B1262" s="22"/>
      <c r="C1262" s="21"/>
      <c r="D1262" s="21"/>
      <c r="E1262" s="28"/>
      <c r="F1262" s="24"/>
      <c r="G1262" s="26"/>
      <c r="H1262" s="24"/>
      <c r="I1262" s="24"/>
      <c r="J1262" s="24"/>
      <c r="K1262" s="24"/>
      <c r="L1262" s="26"/>
      <c r="M1262" s="26"/>
      <c r="N1262" s="22"/>
      <c r="O1262" s="21"/>
      <c r="P1262" s="22"/>
      <c r="Q1262" s="29" t="str">
        <f aca="false">IF(C1262="","",IF(O1262&lt;&gt;"",O1262,IFERROR(INDEX(Produk!$J$2:$J$100,MATCH(C1262,Produk!$A$2:$A$100,0)),"PRODUK?")))</f>
        <v/>
      </c>
      <c r="R1262" s="29" t="str">
        <f aca="false">IF(A1262="","",IF(COUNTIF(Anggota!$A$2:$A$2001,A1262)=0,"TIDAK ADA","OK"))</f>
        <v/>
      </c>
      <c r="S1262" s="29" t="str">
        <f aca="false">IF(H1262="","",IF(OR(J1262="",L1262=""),"-",IF(ABS(H1262-J1262*L1262)&gt;Info_Koperasi!$C$10,"SELISIH","OK")))</f>
        <v/>
      </c>
    </row>
    <row r="1263" customFormat="false" ht="15" hidden="false" customHeight="false" outlineLevel="0" collapsed="false">
      <c r="A1263" s="21"/>
      <c r="B1263" s="22"/>
      <c r="C1263" s="21"/>
      <c r="D1263" s="21"/>
      <c r="E1263" s="28"/>
      <c r="F1263" s="24"/>
      <c r="G1263" s="26"/>
      <c r="H1263" s="24"/>
      <c r="I1263" s="24"/>
      <c r="J1263" s="24"/>
      <c r="K1263" s="24"/>
      <c r="L1263" s="26"/>
      <c r="M1263" s="26"/>
      <c r="N1263" s="22"/>
      <c r="O1263" s="21"/>
      <c r="P1263" s="22"/>
      <c r="Q1263" s="29" t="str">
        <f aca="false">IF(C1263="","",IF(O1263&lt;&gt;"",O1263,IFERROR(INDEX(Produk!$J$2:$J$100,MATCH(C1263,Produk!$A$2:$A$100,0)),"PRODUK?")))</f>
        <v/>
      </c>
      <c r="R1263" s="29" t="str">
        <f aca="false">IF(A1263="","",IF(COUNTIF(Anggota!$A$2:$A$2001,A1263)=0,"TIDAK ADA","OK"))</f>
        <v/>
      </c>
      <c r="S1263" s="29" t="str">
        <f aca="false">IF(H1263="","",IF(OR(J1263="",L1263=""),"-",IF(ABS(H1263-J1263*L1263)&gt;Info_Koperasi!$C$10,"SELISIH","OK")))</f>
        <v/>
      </c>
    </row>
    <row r="1264" customFormat="false" ht="15" hidden="false" customHeight="false" outlineLevel="0" collapsed="false">
      <c r="A1264" s="21"/>
      <c r="B1264" s="22"/>
      <c r="C1264" s="21"/>
      <c r="D1264" s="21"/>
      <c r="E1264" s="28"/>
      <c r="F1264" s="24"/>
      <c r="G1264" s="26"/>
      <c r="H1264" s="24"/>
      <c r="I1264" s="24"/>
      <c r="J1264" s="24"/>
      <c r="K1264" s="24"/>
      <c r="L1264" s="26"/>
      <c r="M1264" s="26"/>
      <c r="N1264" s="22"/>
      <c r="O1264" s="21"/>
      <c r="P1264" s="22"/>
      <c r="Q1264" s="29" t="str">
        <f aca="false">IF(C1264="","",IF(O1264&lt;&gt;"",O1264,IFERROR(INDEX(Produk!$J$2:$J$100,MATCH(C1264,Produk!$A$2:$A$100,0)),"PRODUK?")))</f>
        <v/>
      </c>
      <c r="R1264" s="29" t="str">
        <f aca="false">IF(A1264="","",IF(COUNTIF(Anggota!$A$2:$A$2001,A1264)=0,"TIDAK ADA","OK"))</f>
        <v/>
      </c>
      <c r="S1264" s="29" t="str">
        <f aca="false">IF(H1264="","",IF(OR(J1264="",L1264=""),"-",IF(ABS(H1264-J1264*L1264)&gt;Info_Koperasi!$C$10,"SELISIH","OK")))</f>
        <v/>
      </c>
    </row>
    <row r="1265" customFormat="false" ht="15" hidden="false" customHeight="false" outlineLevel="0" collapsed="false">
      <c r="A1265" s="21"/>
      <c r="B1265" s="22"/>
      <c r="C1265" s="21"/>
      <c r="D1265" s="21"/>
      <c r="E1265" s="28"/>
      <c r="F1265" s="24"/>
      <c r="G1265" s="26"/>
      <c r="H1265" s="24"/>
      <c r="I1265" s="24"/>
      <c r="J1265" s="24"/>
      <c r="K1265" s="24"/>
      <c r="L1265" s="26"/>
      <c r="M1265" s="26"/>
      <c r="N1265" s="22"/>
      <c r="O1265" s="21"/>
      <c r="P1265" s="22"/>
      <c r="Q1265" s="29" t="str">
        <f aca="false">IF(C1265="","",IF(O1265&lt;&gt;"",O1265,IFERROR(INDEX(Produk!$J$2:$J$100,MATCH(C1265,Produk!$A$2:$A$100,0)),"PRODUK?")))</f>
        <v/>
      </c>
      <c r="R1265" s="29" t="str">
        <f aca="false">IF(A1265="","",IF(COUNTIF(Anggota!$A$2:$A$2001,A1265)=0,"TIDAK ADA","OK"))</f>
        <v/>
      </c>
      <c r="S1265" s="29" t="str">
        <f aca="false">IF(H1265="","",IF(OR(J1265="",L1265=""),"-",IF(ABS(H1265-J1265*L1265)&gt;Info_Koperasi!$C$10,"SELISIH","OK")))</f>
        <v/>
      </c>
    </row>
    <row r="1266" customFormat="false" ht="15" hidden="false" customHeight="false" outlineLevel="0" collapsed="false">
      <c r="A1266" s="21"/>
      <c r="B1266" s="22"/>
      <c r="C1266" s="21"/>
      <c r="D1266" s="21"/>
      <c r="E1266" s="28"/>
      <c r="F1266" s="24"/>
      <c r="G1266" s="26"/>
      <c r="H1266" s="24"/>
      <c r="I1266" s="24"/>
      <c r="J1266" s="24"/>
      <c r="K1266" s="24"/>
      <c r="L1266" s="26"/>
      <c r="M1266" s="26"/>
      <c r="N1266" s="22"/>
      <c r="O1266" s="21"/>
      <c r="P1266" s="22"/>
      <c r="Q1266" s="29" t="str">
        <f aca="false">IF(C1266="","",IF(O1266&lt;&gt;"",O1266,IFERROR(INDEX(Produk!$J$2:$J$100,MATCH(C1266,Produk!$A$2:$A$100,0)),"PRODUK?")))</f>
        <v/>
      </c>
      <c r="R1266" s="29" t="str">
        <f aca="false">IF(A1266="","",IF(COUNTIF(Anggota!$A$2:$A$2001,A1266)=0,"TIDAK ADA","OK"))</f>
        <v/>
      </c>
      <c r="S1266" s="29" t="str">
        <f aca="false">IF(H1266="","",IF(OR(J1266="",L1266=""),"-",IF(ABS(H1266-J1266*L1266)&gt;Info_Koperasi!$C$10,"SELISIH","OK")))</f>
        <v/>
      </c>
    </row>
    <row r="1267" customFormat="false" ht="15" hidden="false" customHeight="false" outlineLevel="0" collapsed="false">
      <c r="A1267" s="21"/>
      <c r="B1267" s="22"/>
      <c r="C1267" s="21"/>
      <c r="D1267" s="21"/>
      <c r="E1267" s="28"/>
      <c r="F1267" s="24"/>
      <c r="G1267" s="26"/>
      <c r="H1267" s="24"/>
      <c r="I1267" s="24"/>
      <c r="J1267" s="24"/>
      <c r="K1267" s="24"/>
      <c r="L1267" s="26"/>
      <c r="M1267" s="26"/>
      <c r="N1267" s="22"/>
      <c r="O1267" s="21"/>
      <c r="P1267" s="22"/>
      <c r="Q1267" s="29" t="str">
        <f aca="false">IF(C1267="","",IF(O1267&lt;&gt;"",O1267,IFERROR(INDEX(Produk!$J$2:$J$100,MATCH(C1267,Produk!$A$2:$A$100,0)),"PRODUK?")))</f>
        <v/>
      </c>
      <c r="R1267" s="29" t="str">
        <f aca="false">IF(A1267="","",IF(COUNTIF(Anggota!$A$2:$A$2001,A1267)=0,"TIDAK ADA","OK"))</f>
        <v/>
      </c>
      <c r="S1267" s="29" t="str">
        <f aca="false">IF(H1267="","",IF(OR(J1267="",L1267=""),"-",IF(ABS(H1267-J1267*L1267)&gt;Info_Koperasi!$C$10,"SELISIH","OK")))</f>
        <v/>
      </c>
    </row>
    <row r="1268" customFormat="false" ht="15" hidden="false" customHeight="false" outlineLevel="0" collapsed="false">
      <c r="A1268" s="21"/>
      <c r="B1268" s="22"/>
      <c r="C1268" s="21"/>
      <c r="D1268" s="21"/>
      <c r="E1268" s="28"/>
      <c r="F1268" s="24"/>
      <c r="G1268" s="26"/>
      <c r="H1268" s="24"/>
      <c r="I1268" s="24"/>
      <c r="J1268" s="24"/>
      <c r="K1268" s="24"/>
      <c r="L1268" s="26"/>
      <c r="M1268" s="26"/>
      <c r="N1268" s="22"/>
      <c r="O1268" s="21"/>
      <c r="P1268" s="22"/>
      <c r="Q1268" s="29" t="str">
        <f aca="false">IF(C1268="","",IF(O1268&lt;&gt;"",O1268,IFERROR(INDEX(Produk!$J$2:$J$100,MATCH(C1268,Produk!$A$2:$A$100,0)),"PRODUK?")))</f>
        <v/>
      </c>
      <c r="R1268" s="29" t="str">
        <f aca="false">IF(A1268="","",IF(COUNTIF(Anggota!$A$2:$A$2001,A1268)=0,"TIDAK ADA","OK"))</f>
        <v/>
      </c>
      <c r="S1268" s="29" t="str">
        <f aca="false">IF(H1268="","",IF(OR(J1268="",L1268=""),"-",IF(ABS(H1268-J1268*L1268)&gt;Info_Koperasi!$C$10,"SELISIH","OK")))</f>
        <v/>
      </c>
    </row>
    <row r="1269" customFormat="false" ht="15" hidden="false" customHeight="false" outlineLevel="0" collapsed="false">
      <c r="A1269" s="21"/>
      <c r="B1269" s="22"/>
      <c r="C1269" s="21"/>
      <c r="D1269" s="21"/>
      <c r="E1269" s="28"/>
      <c r="F1269" s="24"/>
      <c r="G1269" s="26"/>
      <c r="H1269" s="24"/>
      <c r="I1269" s="24"/>
      <c r="J1269" s="24"/>
      <c r="K1269" s="24"/>
      <c r="L1269" s="26"/>
      <c r="M1269" s="26"/>
      <c r="N1269" s="22"/>
      <c r="O1269" s="21"/>
      <c r="P1269" s="22"/>
      <c r="Q1269" s="29" t="str">
        <f aca="false">IF(C1269="","",IF(O1269&lt;&gt;"",O1269,IFERROR(INDEX(Produk!$J$2:$J$100,MATCH(C1269,Produk!$A$2:$A$100,0)),"PRODUK?")))</f>
        <v/>
      </c>
      <c r="R1269" s="29" t="str">
        <f aca="false">IF(A1269="","",IF(COUNTIF(Anggota!$A$2:$A$2001,A1269)=0,"TIDAK ADA","OK"))</f>
        <v/>
      </c>
      <c r="S1269" s="29" t="str">
        <f aca="false">IF(H1269="","",IF(OR(J1269="",L1269=""),"-",IF(ABS(H1269-J1269*L1269)&gt;Info_Koperasi!$C$10,"SELISIH","OK")))</f>
        <v/>
      </c>
    </row>
    <row r="1270" customFormat="false" ht="15" hidden="false" customHeight="false" outlineLevel="0" collapsed="false">
      <c r="A1270" s="21"/>
      <c r="B1270" s="22"/>
      <c r="C1270" s="21"/>
      <c r="D1270" s="21"/>
      <c r="E1270" s="28"/>
      <c r="F1270" s="24"/>
      <c r="G1270" s="26"/>
      <c r="H1270" s="24"/>
      <c r="I1270" s="24"/>
      <c r="J1270" s="24"/>
      <c r="K1270" s="24"/>
      <c r="L1270" s="26"/>
      <c r="M1270" s="26"/>
      <c r="N1270" s="22"/>
      <c r="O1270" s="21"/>
      <c r="P1270" s="22"/>
      <c r="Q1270" s="29" t="str">
        <f aca="false">IF(C1270="","",IF(O1270&lt;&gt;"",O1270,IFERROR(INDEX(Produk!$J$2:$J$100,MATCH(C1270,Produk!$A$2:$A$100,0)),"PRODUK?")))</f>
        <v/>
      </c>
      <c r="R1270" s="29" t="str">
        <f aca="false">IF(A1270="","",IF(COUNTIF(Anggota!$A$2:$A$2001,A1270)=0,"TIDAK ADA","OK"))</f>
        <v/>
      </c>
      <c r="S1270" s="29" t="str">
        <f aca="false">IF(H1270="","",IF(OR(J1270="",L1270=""),"-",IF(ABS(H1270-J1270*L1270)&gt;Info_Koperasi!$C$10,"SELISIH","OK")))</f>
        <v/>
      </c>
    </row>
    <row r="1271" customFormat="false" ht="15" hidden="false" customHeight="false" outlineLevel="0" collapsed="false">
      <c r="A1271" s="21"/>
      <c r="B1271" s="22"/>
      <c r="C1271" s="21"/>
      <c r="D1271" s="21"/>
      <c r="E1271" s="28"/>
      <c r="F1271" s="24"/>
      <c r="G1271" s="26"/>
      <c r="H1271" s="24"/>
      <c r="I1271" s="24"/>
      <c r="J1271" s="24"/>
      <c r="K1271" s="24"/>
      <c r="L1271" s="26"/>
      <c r="M1271" s="26"/>
      <c r="N1271" s="22"/>
      <c r="O1271" s="21"/>
      <c r="P1271" s="22"/>
      <c r="Q1271" s="29" t="str">
        <f aca="false">IF(C1271="","",IF(O1271&lt;&gt;"",O1271,IFERROR(INDEX(Produk!$J$2:$J$100,MATCH(C1271,Produk!$A$2:$A$100,0)),"PRODUK?")))</f>
        <v/>
      </c>
      <c r="R1271" s="29" t="str">
        <f aca="false">IF(A1271="","",IF(COUNTIF(Anggota!$A$2:$A$2001,A1271)=0,"TIDAK ADA","OK"))</f>
        <v/>
      </c>
      <c r="S1271" s="29" t="str">
        <f aca="false">IF(H1271="","",IF(OR(J1271="",L1271=""),"-",IF(ABS(H1271-J1271*L1271)&gt;Info_Koperasi!$C$10,"SELISIH","OK")))</f>
        <v/>
      </c>
    </row>
    <row r="1272" customFormat="false" ht="15" hidden="false" customHeight="false" outlineLevel="0" collapsed="false">
      <c r="A1272" s="21"/>
      <c r="B1272" s="22"/>
      <c r="C1272" s="21"/>
      <c r="D1272" s="21"/>
      <c r="E1272" s="28"/>
      <c r="F1272" s="24"/>
      <c r="G1272" s="26"/>
      <c r="H1272" s="24"/>
      <c r="I1272" s="24"/>
      <c r="J1272" s="24"/>
      <c r="K1272" s="24"/>
      <c r="L1272" s="26"/>
      <c r="M1272" s="26"/>
      <c r="N1272" s="22"/>
      <c r="O1272" s="21"/>
      <c r="P1272" s="22"/>
      <c r="Q1272" s="29" t="str">
        <f aca="false">IF(C1272="","",IF(O1272&lt;&gt;"",O1272,IFERROR(INDEX(Produk!$J$2:$J$100,MATCH(C1272,Produk!$A$2:$A$100,0)),"PRODUK?")))</f>
        <v/>
      </c>
      <c r="R1272" s="29" t="str">
        <f aca="false">IF(A1272="","",IF(COUNTIF(Anggota!$A$2:$A$2001,A1272)=0,"TIDAK ADA","OK"))</f>
        <v/>
      </c>
      <c r="S1272" s="29" t="str">
        <f aca="false">IF(H1272="","",IF(OR(J1272="",L1272=""),"-",IF(ABS(H1272-J1272*L1272)&gt;Info_Koperasi!$C$10,"SELISIH","OK")))</f>
        <v/>
      </c>
    </row>
    <row r="1273" customFormat="false" ht="15" hidden="false" customHeight="false" outlineLevel="0" collapsed="false">
      <c r="A1273" s="21"/>
      <c r="B1273" s="22"/>
      <c r="C1273" s="21"/>
      <c r="D1273" s="21"/>
      <c r="E1273" s="28"/>
      <c r="F1273" s="24"/>
      <c r="G1273" s="26"/>
      <c r="H1273" s="24"/>
      <c r="I1273" s="24"/>
      <c r="J1273" s="24"/>
      <c r="K1273" s="24"/>
      <c r="L1273" s="26"/>
      <c r="M1273" s="26"/>
      <c r="N1273" s="22"/>
      <c r="O1273" s="21"/>
      <c r="P1273" s="22"/>
      <c r="Q1273" s="29" t="str">
        <f aca="false">IF(C1273="","",IF(O1273&lt;&gt;"",O1273,IFERROR(INDEX(Produk!$J$2:$J$100,MATCH(C1273,Produk!$A$2:$A$100,0)),"PRODUK?")))</f>
        <v/>
      </c>
      <c r="R1273" s="29" t="str">
        <f aca="false">IF(A1273="","",IF(COUNTIF(Anggota!$A$2:$A$2001,A1273)=0,"TIDAK ADA","OK"))</f>
        <v/>
      </c>
      <c r="S1273" s="29" t="str">
        <f aca="false">IF(H1273="","",IF(OR(J1273="",L1273=""),"-",IF(ABS(H1273-J1273*L1273)&gt;Info_Koperasi!$C$10,"SELISIH","OK")))</f>
        <v/>
      </c>
    </row>
    <row r="1274" customFormat="false" ht="15" hidden="false" customHeight="false" outlineLevel="0" collapsed="false">
      <c r="A1274" s="21"/>
      <c r="B1274" s="22"/>
      <c r="C1274" s="21"/>
      <c r="D1274" s="21"/>
      <c r="E1274" s="28"/>
      <c r="F1274" s="24"/>
      <c r="G1274" s="26"/>
      <c r="H1274" s="24"/>
      <c r="I1274" s="24"/>
      <c r="J1274" s="24"/>
      <c r="K1274" s="24"/>
      <c r="L1274" s="26"/>
      <c r="M1274" s="26"/>
      <c r="N1274" s="22"/>
      <c r="O1274" s="21"/>
      <c r="P1274" s="22"/>
      <c r="Q1274" s="29" t="str">
        <f aca="false">IF(C1274="","",IF(O1274&lt;&gt;"",O1274,IFERROR(INDEX(Produk!$J$2:$J$100,MATCH(C1274,Produk!$A$2:$A$100,0)),"PRODUK?")))</f>
        <v/>
      </c>
      <c r="R1274" s="29" t="str">
        <f aca="false">IF(A1274="","",IF(COUNTIF(Anggota!$A$2:$A$2001,A1274)=0,"TIDAK ADA","OK"))</f>
        <v/>
      </c>
      <c r="S1274" s="29" t="str">
        <f aca="false">IF(H1274="","",IF(OR(J1274="",L1274=""),"-",IF(ABS(H1274-J1274*L1274)&gt;Info_Koperasi!$C$10,"SELISIH","OK")))</f>
        <v/>
      </c>
    </row>
    <row r="1275" customFormat="false" ht="15" hidden="false" customHeight="false" outlineLevel="0" collapsed="false">
      <c r="A1275" s="21"/>
      <c r="B1275" s="22"/>
      <c r="C1275" s="21"/>
      <c r="D1275" s="21"/>
      <c r="E1275" s="28"/>
      <c r="F1275" s="24"/>
      <c r="G1275" s="26"/>
      <c r="H1275" s="24"/>
      <c r="I1275" s="24"/>
      <c r="J1275" s="24"/>
      <c r="K1275" s="24"/>
      <c r="L1275" s="26"/>
      <c r="M1275" s="26"/>
      <c r="N1275" s="22"/>
      <c r="O1275" s="21"/>
      <c r="P1275" s="22"/>
      <c r="Q1275" s="29" t="str">
        <f aca="false">IF(C1275="","",IF(O1275&lt;&gt;"",O1275,IFERROR(INDEX(Produk!$J$2:$J$100,MATCH(C1275,Produk!$A$2:$A$100,0)),"PRODUK?")))</f>
        <v/>
      </c>
      <c r="R1275" s="29" t="str">
        <f aca="false">IF(A1275="","",IF(COUNTIF(Anggota!$A$2:$A$2001,A1275)=0,"TIDAK ADA","OK"))</f>
        <v/>
      </c>
      <c r="S1275" s="29" t="str">
        <f aca="false">IF(H1275="","",IF(OR(J1275="",L1275=""),"-",IF(ABS(H1275-J1275*L1275)&gt;Info_Koperasi!$C$10,"SELISIH","OK")))</f>
        <v/>
      </c>
    </row>
    <row r="1276" customFormat="false" ht="15" hidden="false" customHeight="false" outlineLevel="0" collapsed="false">
      <c r="A1276" s="21"/>
      <c r="B1276" s="22"/>
      <c r="C1276" s="21"/>
      <c r="D1276" s="21"/>
      <c r="E1276" s="28"/>
      <c r="F1276" s="24"/>
      <c r="G1276" s="26"/>
      <c r="H1276" s="24"/>
      <c r="I1276" s="24"/>
      <c r="J1276" s="24"/>
      <c r="K1276" s="24"/>
      <c r="L1276" s="26"/>
      <c r="M1276" s="26"/>
      <c r="N1276" s="22"/>
      <c r="O1276" s="21"/>
      <c r="P1276" s="22"/>
      <c r="Q1276" s="29" t="str">
        <f aca="false">IF(C1276="","",IF(O1276&lt;&gt;"",O1276,IFERROR(INDEX(Produk!$J$2:$J$100,MATCH(C1276,Produk!$A$2:$A$100,0)),"PRODUK?")))</f>
        <v/>
      </c>
      <c r="R1276" s="29" t="str">
        <f aca="false">IF(A1276="","",IF(COUNTIF(Anggota!$A$2:$A$2001,A1276)=0,"TIDAK ADA","OK"))</f>
        <v/>
      </c>
      <c r="S1276" s="29" t="str">
        <f aca="false">IF(H1276="","",IF(OR(J1276="",L1276=""),"-",IF(ABS(H1276-J1276*L1276)&gt;Info_Koperasi!$C$10,"SELISIH","OK")))</f>
        <v/>
      </c>
    </row>
    <row r="1277" customFormat="false" ht="15" hidden="false" customHeight="false" outlineLevel="0" collapsed="false">
      <c r="A1277" s="21"/>
      <c r="B1277" s="22"/>
      <c r="C1277" s="21"/>
      <c r="D1277" s="21"/>
      <c r="E1277" s="28"/>
      <c r="F1277" s="24"/>
      <c r="G1277" s="26"/>
      <c r="H1277" s="24"/>
      <c r="I1277" s="24"/>
      <c r="J1277" s="24"/>
      <c r="K1277" s="24"/>
      <c r="L1277" s="26"/>
      <c r="M1277" s="26"/>
      <c r="N1277" s="22"/>
      <c r="O1277" s="21"/>
      <c r="P1277" s="22"/>
      <c r="Q1277" s="29" t="str">
        <f aca="false">IF(C1277="","",IF(O1277&lt;&gt;"",O1277,IFERROR(INDEX(Produk!$J$2:$J$100,MATCH(C1277,Produk!$A$2:$A$100,0)),"PRODUK?")))</f>
        <v/>
      </c>
      <c r="R1277" s="29" t="str">
        <f aca="false">IF(A1277="","",IF(COUNTIF(Anggota!$A$2:$A$2001,A1277)=0,"TIDAK ADA","OK"))</f>
        <v/>
      </c>
      <c r="S1277" s="29" t="str">
        <f aca="false">IF(H1277="","",IF(OR(J1277="",L1277=""),"-",IF(ABS(H1277-J1277*L1277)&gt;Info_Koperasi!$C$10,"SELISIH","OK")))</f>
        <v/>
      </c>
    </row>
    <row r="1278" customFormat="false" ht="15" hidden="false" customHeight="false" outlineLevel="0" collapsed="false">
      <c r="A1278" s="21"/>
      <c r="B1278" s="22"/>
      <c r="C1278" s="21"/>
      <c r="D1278" s="21"/>
      <c r="E1278" s="28"/>
      <c r="F1278" s="24"/>
      <c r="G1278" s="26"/>
      <c r="H1278" s="24"/>
      <c r="I1278" s="24"/>
      <c r="J1278" s="24"/>
      <c r="K1278" s="24"/>
      <c r="L1278" s="26"/>
      <c r="M1278" s="26"/>
      <c r="N1278" s="22"/>
      <c r="O1278" s="21"/>
      <c r="P1278" s="22"/>
      <c r="Q1278" s="29" t="str">
        <f aca="false">IF(C1278="","",IF(O1278&lt;&gt;"",O1278,IFERROR(INDEX(Produk!$J$2:$J$100,MATCH(C1278,Produk!$A$2:$A$100,0)),"PRODUK?")))</f>
        <v/>
      </c>
      <c r="R1278" s="29" t="str">
        <f aca="false">IF(A1278="","",IF(COUNTIF(Anggota!$A$2:$A$2001,A1278)=0,"TIDAK ADA","OK"))</f>
        <v/>
      </c>
      <c r="S1278" s="29" t="str">
        <f aca="false">IF(H1278="","",IF(OR(J1278="",L1278=""),"-",IF(ABS(H1278-J1278*L1278)&gt;Info_Koperasi!$C$10,"SELISIH","OK")))</f>
        <v/>
      </c>
    </row>
    <row r="1279" customFormat="false" ht="15" hidden="false" customHeight="false" outlineLevel="0" collapsed="false">
      <c r="A1279" s="21"/>
      <c r="B1279" s="22"/>
      <c r="C1279" s="21"/>
      <c r="D1279" s="21"/>
      <c r="E1279" s="28"/>
      <c r="F1279" s="24"/>
      <c r="G1279" s="26"/>
      <c r="H1279" s="24"/>
      <c r="I1279" s="24"/>
      <c r="J1279" s="24"/>
      <c r="K1279" s="24"/>
      <c r="L1279" s="26"/>
      <c r="M1279" s="26"/>
      <c r="N1279" s="22"/>
      <c r="O1279" s="21"/>
      <c r="P1279" s="22"/>
      <c r="Q1279" s="29" t="str">
        <f aca="false">IF(C1279="","",IF(O1279&lt;&gt;"",O1279,IFERROR(INDEX(Produk!$J$2:$J$100,MATCH(C1279,Produk!$A$2:$A$100,0)),"PRODUK?")))</f>
        <v/>
      </c>
      <c r="R1279" s="29" t="str">
        <f aca="false">IF(A1279="","",IF(COUNTIF(Anggota!$A$2:$A$2001,A1279)=0,"TIDAK ADA","OK"))</f>
        <v/>
      </c>
      <c r="S1279" s="29" t="str">
        <f aca="false">IF(H1279="","",IF(OR(J1279="",L1279=""),"-",IF(ABS(H1279-J1279*L1279)&gt;Info_Koperasi!$C$10,"SELISIH","OK")))</f>
        <v/>
      </c>
    </row>
    <row r="1280" customFormat="false" ht="15" hidden="false" customHeight="false" outlineLevel="0" collapsed="false">
      <c r="A1280" s="21"/>
      <c r="B1280" s="22"/>
      <c r="C1280" s="21"/>
      <c r="D1280" s="21"/>
      <c r="E1280" s="28"/>
      <c r="F1280" s="24"/>
      <c r="G1280" s="26"/>
      <c r="H1280" s="24"/>
      <c r="I1280" s="24"/>
      <c r="J1280" s="24"/>
      <c r="K1280" s="24"/>
      <c r="L1280" s="26"/>
      <c r="M1280" s="26"/>
      <c r="N1280" s="22"/>
      <c r="O1280" s="21"/>
      <c r="P1280" s="22"/>
      <c r="Q1280" s="29" t="str">
        <f aca="false">IF(C1280="","",IF(O1280&lt;&gt;"",O1280,IFERROR(INDEX(Produk!$J$2:$J$100,MATCH(C1280,Produk!$A$2:$A$100,0)),"PRODUK?")))</f>
        <v/>
      </c>
      <c r="R1280" s="29" t="str">
        <f aca="false">IF(A1280="","",IF(COUNTIF(Anggota!$A$2:$A$2001,A1280)=0,"TIDAK ADA","OK"))</f>
        <v/>
      </c>
      <c r="S1280" s="29" t="str">
        <f aca="false">IF(H1280="","",IF(OR(J1280="",L1280=""),"-",IF(ABS(H1280-J1280*L1280)&gt;Info_Koperasi!$C$10,"SELISIH","OK")))</f>
        <v/>
      </c>
    </row>
    <row r="1281" customFormat="false" ht="15" hidden="false" customHeight="false" outlineLevel="0" collapsed="false">
      <c r="A1281" s="21"/>
      <c r="B1281" s="22"/>
      <c r="C1281" s="21"/>
      <c r="D1281" s="21"/>
      <c r="E1281" s="28"/>
      <c r="F1281" s="24"/>
      <c r="G1281" s="26"/>
      <c r="H1281" s="24"/>
      <c r="I1281" s="24"/>
      <c r="J1281" s="24"/>
      <c r="K1281" s="24"/>
      <c r="L1281" s="26"/>
      <c r="M1281" s="26"/>
      <c r="N1281" s="22"/>
      <c r="O1281" s="21"/>
      <c r="P1281" s="22"/>
      <c r="Q1281" s="29" t="str">
        <f aca="false">IF(C1281="","",IF(O1281&lt;&gt;"",O1281,IFERROR(INDEX(Produk!$J$2:$J$100,MATCH(C1281,Produk!$A$2:$A$100,0)),"PRODUK?")))</f>
        <v/>
      </c>
      <c r="R1281" s="29" t="str">
        <f aca="false">IF(A1281="","",IF(COUNTIF(Anggota!$A$2:$A$2001,A1281)=0,"TIDAK ADA","OK"))</f>
        <v/>
      </c>
      <c r="S1281" s="29" t="str">
        <f aca="false">IF(H1281="","",IF(OR(J1281="",L1281=""),"-",IF(ABS(H1281-J1281*L1281)&gt;Info_Koperasi!$C$10,"SELISIH","OK")))</f>
        <v/>
      </c>
    </row>
    <row r="1282" customFormat="false" ht="15" hidden="false" customHeight="false" outlineLevel="0" collapsed="false">
      <c r="A1282" s="21"/>
      <c r="B1282" s="22"/>
      <c r="C1282" s="21"/>
      <c r="D1282" s="21"/>
      <c r="E1282" s="28"/>
      <c r="F1282" s="24"/>
      <c r="G1282" s="26"/>
      <c r="H1282" s="24"/>
      <c r="I1282" s="24"/>
      <c r="J1282" s="24"/>
      <c r="K1282" s="24"/>
      <c r="L1282" s="26"/>
      <c r="M1282" s="26"/>
      <c r="N1282" s="22"/>
      <c r="O1282" s="21"/>
      <c r="P1282" s="22"/>
      <c r="Q1282" s="29" t="str">
        <f aca="false">IF(C1282="","",IF(O1282&lt;&gt;"",O1282,IFERROR(INDEX(Produk!$J$2:$J$100,MATCH(C1282,Produk!$A$2:$A$100,0)),"PRODUK?")))</f>
        <v/>
      </c>
      <c r="R1282" s="29" t="str">
        <f aca="false">IF(A1282="","",IF(COUNTIF(Anggota!$A$2:$A$2001,A1282)=0,"TIDAK ADA","OK"))</f>
        <v/>
      </c>
      <c r="S1282" s="29" t="str">
        <f aca="false">IF(H1282="","",IF(OR(J1282="",L1282=""),"-",IF(ABS(H1282-J1282*L1282)&gt;Info_Koperasi!$C$10,"SELISIH","OK")))</f>
        <v/>
      </c>
    </row>
    <row r="1283" customFormat="false" ht="15" hidden="false" customHeight="false" outlineLevel="0" collapsed="false">
      <c r="A1283" s="21"/>
      <c r="B1283" s="22"/>
      <c r="C1283" s="21"/>
      <c r="D1283" s="21"/>
      <c r="E1283" s="28"/>
      <c r="F1283" s="24"/>
      <c r="G1283" s="26"/>
      <c r="H1283" s="24"/>
      <c r="I1283" s="24"/>
      <c r="J1283" s="24"/>
      <c r="K1283" s="24"/>
      <c r="L1283" s="26"/>
      <c r="M1283" s="26"/>
      <c r="N1283" s="22"/>
      <c r="O1283" s="21"/>
      <c r="P1283" s="22"/>
      <c r="Q1283" s="29" t="str">
        <f aca="false">IF(C1283="","",IF(O1283&lt;&gt;"",O1283,IFERROR(INDEX(Produk!$J$2:$J$100,MATCH(C1283,Produk!$A$2:$A$100,0)),"PRODUK?")))</f>
        <v/>
      </c>
      <c r="R1283" s="29" t="str">
        <f aca="false">IF(A1283="","",IF(COUNTIF(Anggota!$A$2:$A$2001,A1283)=0,"TIDAK ADA","OK"))</f>
        <v/>
      </c>
      <c r="S1283" s="29" t="str">
        <f aca="false">IF(H1283="","",IF(OR(J1283="",L1283=""),"-",IF(ABS(H1283-J1283*L1283)&gt;Info_Koperasi!$C$10,"SELISIH","OK")))</f>
        <v/>
      </c>
    </row>
    <row r="1284" customFormat="false" ht="15" hidden="false" customHeight="false" outlineLevel="0" collapsed="false">
      <c r="A1284" s="21"/>
      <c r="B1284" s="22"/>
      <c r="C1284" s="21"/>
      <c r="D1284" s="21"/>
      <c r="E1284" s="28"/>
      <c r="F1284" s="24"/>
      <c r="G1284" s="26"/>
      <c r="H1284" s="24"/>
      <c r="I1284" s="24"/>
      <c r="J1284" s="24"/>
      <c r="K1284" s="24"/>
      <c r="L1284" s="26"/>
      <c r="M1284" s="26"/>
      <c r="N1284" s="22"/>
      <c r="O1284" s="21"/>
      <c r="P1284" s="22"/>
      <c r="Q1284" s="29" t="str">
        <f aca="false">IF(C1284="","",IF(O1284&lt;&gt;"",O1284,IFERROR(INDEX(Produk!$J$2:$J$100,MATCH(C1284,Produk!$A$2:$A$100,0)),"PRODUK?")))</f>
        <v/>
      </c>
      <c r="R1284" s="29" t="str">
        <f aca="false">IF(A1284="","",IF(COUNTIF(Anggota!$A$2:$A$2001,A1284)=0,"TIDAK ADA","OK"))</f>
        <v/>
      </c>
      <c r="S1284" s="29" t="str">
        <f aca="false">IF(H1284="","",IF(OR(J1284="",L1284=""),"-",IF(ABS(H1284-J1284*L1284)&gt;Info_Koperasi!$C$10,"SELISIH","OK")))</f>
        <v/>
      </c>
    </row>
    <row r="1285" customFormat="false" ht="15" hidden="false" customHeight="false" outlineLevel="0" collapsed="false">
      <c r="A1285" s="21"/>
      <c r="B1285" s="22"/>
      <c r="C1285" s="21"/>
      <c r="D1285" s="21"/>
      <c r="E1285" s="28"/>
      <c r="F1285" s="24"/>
      <c r="G1285" s="26"/>
      <c r="H1285" s="24"/>
      <c r="I1285" s="24"/>
      <c r="J1285" s="24"/>
      <c r="K1285" s="24"/>
      <c r="L1285" s="26"/>
      <c r="M1285" s="26"/>
      <c r="N1285" s="22"/>
      <c r="O1285" s="21"/>
      <c r="P1285" s="22"/>
      <c r="Q1285" s="29" t="str">
        <f aca="false">IF(C1285="","",IF(O1285&lt;&gt;"",O1285,IFERROR(INDEX(Produk!$J$2:$J$100,MATCH(C1285,Produk!$A$2:$A$100,0)),"PRODUK?")))</f>
        <v/>
      </c>
      <c r="R1285" s="29" t="str">
        <f aca="false">IF(A1285="","",IF(COUNTIF(Anggota!$A$2:$A$2001,A1285)=0,"TIDAK ADA","OK"))</f>
        <v/>
      </c>
      <c r="S1285" s="29" t="str">
        <f aca="false">IF(H1285="","",IF(OR(J1285="",L1285=""),"-",IF(ABS(H1285-J1285*L1285)&gt;Info_Koperasi!$C$10,"SELISIH","OK")))</f>
        <v/>
      </c>
    </row>
    <row r="1286" customFormat="false" ht="15" hidden="false" customHeight="false" outlineLevel="0" collapsed="false">
      <c r="A1286" s="21"/>
      <c r="B1286" s="22"/>
      <c r="C1286" s="21"/>
      <c r="D1286" s="21"/>
      <c r="E1286" s="28"/>
      <c r="F1286" s="24"/>
      <c r="G1286" s="26"/>
      <c r="H1286" s="24"/>
      <c r="I1286" s="24"/>
      <c r="J1286" s="24"/>
      <c r="K1286" s="24"/>
      <c r="L1286" s="26"/>
      <c r="M1286" s="26"/>
      <c r="N1286" s="22"/>
      <c r="O1286" s="21"/>
      <c r="P1286" s="22"/>
      <c r="Q1286" s="29" t="str">
        <f aca="false">IF(C1286="","",IF(O1286&lt;&gt;"",O1286,IFERROR(INDEX(Produk!$J$2:$J$100,MATCH(C1286,Produk!$A$2:$A$100,0)),"PRODUK?")))</f>
        <v/>
      </c>
      <c r="R1286" s="29" t="str">
        <f aca="false">IF(A1286="","",IF(COUNTIF(Anggota!$A$2:$A$2001,A1286)=0,"TIDAK ADA","OK"))</f>
        <v/>
      </c>
      <c r="S1286" s="29" t="str">
        <f aca="false">IF(H1286="","",IF(OR(J1286="",L1286=""),"-",IF(ABS(H1286-J1286*L1286)&gt;Info_Koperasi!$C$10,"SELISIH","OK")))</f>
        <v/>
      </c>
    </row>
    <row r="1287" customFormat="false" ht="15" hidden="false" customHeight="false" outlineLevel="0" collapsed="false">
      <c r="A1287" s="21"/>
      <c r="B1287" s="22"/>
      <c r="C1287" s="21"/>
      <c r="D1287" s="21"/>
      <c r="E1287" s="28"/>
      <c r="F1287" s="24"/>
      <c r="G1287" s="26"/>
      <c r="H1287" s="24"/>
      <c r="I1287" s="24"/>
      <c r="J1287" s="24"/>
      <c r="K1287" s="24"/>
      <c r="L1287" s="26"/>
      <c r="M1287" s="26"/>
      <c r="N1287" s="22"/>
      <c r="O1287" s="21"/>
      <c r="P1287" s="22"/>
      <c r="Q1287" s="29" t="str">
        <f aca="false">IF(C1287="","",IF(O1287&lt;&gt;"",O1287,IFERROR(INDEX(Produk!$J$2:$J$100,MATCH(C1287,Produk!$A$2:$A$100,0)),"PRODUK?")))</f>
        <v/>
      </c>
      <c r="R1287" s="29" t="str">
        <f aca="false">IF(A1287="","",IF(COUNTIF(Anggota!$A$2:$A$2001,A1287)=0,"TIDAK ADA","OK"))</f>
        <v/>
      </c>
      <c r="S1287" s="29" t="str">
        <f aca="false">IF(H1287="","",IF(OR(J1287="",L1287=""),"-",IF(ABS(H1287-J1287*L1287)&gt;Info_Koperasi!$C$10,"SELISIH","OK")))</f>
        <v/>
      </c>
    </row>
    <row r="1288" customFormat="false" ht="15" hidden="false" customHeight="false" outlineLevel="0" collapsed="false">
      <c r="A1288" s="21"/>
      <c r="B1288" s="22"/>
      <c r="C1288" s="21"/>
      <c r="D1288" s="21"/>
      <c r="E1288" s="28"/>
      <c r="F1288" s="24"/>
      <c r="G1288" s="26"/>
      <c r="H1288" s="24"/>
      <c r="I1288" s="24"/>
      <c r="J1288" s="24"/>
      <c r="K1288" s="24"/>
      <c r="L1288" s="26"/>
      <c r="M1288" s="26"/>
      <c r="N1288" s="22"/>
      <c r="O1288" s="21"/>
      <c r="P1288" s="22"/>
      <c r="Q1288" s="29" t="str">
        <f aca="false">IF(C1288="","",IF(O1288&lt;&gt;"",O1288,IFERROR(INDEX(Produk!$J$2:$J$100,MATCH(C1288,Produk!$A$2:$A$100,0)),"PRODUK?")))</f>
        <v/>
      </c>
      <c r="R1288" s="29" t="str">
        <f aca="false">IF(A1288="","",IF(COUNTIF(Anggota!$A$2:$A$2001,A1288)=0,"TIDAK ADA","OK"))</f>
        <v/>
      </c>
      <c r="S1288" s="29" t="str">
        <f aca="false">IF(H1288="","",IF(OR(J1288="",L1288=""),"-",IF(ABS(H1288-J1288*L1288)&gt;Info_Koperasi!$C$10,"SELISIH","OK")))</f>
        <v/>
      </c>
    </row>
    <row r="1289" customFormat="false" ht="15" hidden="false" customHeight="false" outlineLevel="0" collapsed="false">
      <c r="A1289" s="21"/>
      <c r="B1289" s="22"/>
      <c r="C1289" s="21"/>
      <c r="D1289" s="21"/>
      <c r="E1289" s="28"/>
      <c r="F1289" s="24"/>
      <c r="G1289" s="26"/>
      <c r="H1289" s="24"/>
      <c r="I1289" s="24"/>
      <c r="J1289" s="24"/>
      <c r="K1289" s="24"/>
      <c r="L1289" s="26"/>
      <c r="M1289" s="26"/>
      <c r="N1289" s="22"/>
      <c r="O1289" s="21"/>
      <c r="P1289" s="22"/>
      <c r="Q1289" s="29" t="str">
        <f aca="false">IF(C1289="","",IF(O1289&lt;&gt;"",O1289,IFERROR(INDEX(Produk!$J$2:$J$100,MATCH(C1289,Produk!$A$2:$A$100,0)),"PRODUK?")))</f>
        <v/>
      </c>
      <c r="R1289" s="29" t="str">
        <f aca="false">IF(A1289="","",IF(COUNTIF(Anggota!$A$2:$A$2001,A1289)=0,"TIDAK ADA","OK"))</f>
        <v/>
      </c>
      <c r="S1289" s="29" t="str">
        <f aca="false">IF(H1289="","",IF(OR(J1289="",L1289=""),"-",IF(ABS(H1289-J1289*L1289)&gt;Info_Koperasi!$C$10,"SELISIH","OK")))</f>
        <v/>
      </c>
    </row>
    <row r="1290" customFormat="false" ht="15" hidden="false" customHeight="false" outlineLevel="0" collapsed="false">
      <c r="A1290" s="21"/>
      <c r="B1290" s="22"/>
      <c r="C1290" s="21"/>
      <c r="D1290" s="21"/>
      <c r="E1290" s="28"/>
      <c r="F1290" s="24"/>
      <c r="G1290" s="26"/>
      <c r="H1290" s="24"/>
      <c r="I1290" s="24"/>
      <c r="J1290" s="24"/>
      <c r="K1290" s="24"/>
      <c r="L1290" s="26"/>
      <c r="M1290" s="26"/>
      <c r="N1290" s="22"/>
      <c r="O1290" s="21"/>
      <c r="P1290" s="22"/>
      <c r="Q1290" s="29" t="str">
        <f aca="false">IF(C1290="","",IF(O1290&lt;&gt;"",O1290,IFERROR(INDEX(Produk!$J$2:$J$100,MATCH(C1290,Produk!$A$2:$A$100,0)),"PRODUK?")))</f>
        <v/>
      </c>
      <c r="R1290" s="29" t="str">
        <f aca="false">IF(A1290="","",IF(COUNTIF(Anggota!$A$2:$A$2001,A1290)=0,"TIDAK ADA","OK"))</f>
        <v/>
      </c>
      <c r="S1290" s="29" t="str">
        <f aca="false">IF(H1290="","",IF(OR(J1290="",L1290=""),"-",IF(ABS(H1290-J1290*L1290)&gt;Info_Koperasi!$C$10,"SELISIH","OK")))</f>
        <v/>
      </c>
    </row>
    <row r="1291" customFormat="false" ht="15" hidden="false" customHeight="false" outlineLevel="0" collapsed="false">
      <c r="A1291" s="21"/>
      <c r="B1291" s="22"/>
      <c r="C1291" s="21"/>
      <c r="D1291" s="21"/>
      <c r="E1291" s="28"/>
      <c r="F1291" s="24"/>
      <c r="G1291" s="26"/>
      <c r="H1291" s="24"/>
      <c r="I1291" s="24"/>
      <c r="J1291" s="24"/>
      <c r="K1291" s="24"/>
      <c r="L1291" s="26"/>
      <c r="M1291" s="26"/>
      <c r="N1291" s="22"/>
      <c r="O1291" s="21"/>
      <c r="P1291" s="22"/>
      <c r="Q1291" s="29" t="str">
        <f aca="false">IF(C1291="","",IF(O1291&lt;&gt;"",O1291,IFERROR(INDEX(Produk!$J$2:$J$100,MATCH(C1291,Produk!$A$2:$A$100,0)),"PRODUK?")))</f>
        <v/>
      </c>
      <c r="R1291" s="29" t="str">
        <f aca="false">IF(A1291="","",IF(COUNTIF(Anggota!$A$2:$A$2001,A1291)=0,"TIDAK ADA","OK"))</f>
        <v/>
      </c>
      <c r="S1291" s="29" t="str">
        <f aca="false">IF(H1291="","",IF(OR(J1291="",L1291=""),"-",IF(ABS(H1291-J1291*L1291)&gt;Info_Koperasi!$C$10,"SELISIH","OK")))</f>
        <v/>
      </c>
    </row>
    <row r="1292" customFormat="false" ht="15" hidden="false" customHeight="false" outlineLevel="0" collapsed="false">
      <c r="A1292" s="21"/>
      <c r="B1292" s="22"/>
      <c r="C1292" s="21"/>
      <c r="D1292" s="21"/>
      <c r="E1292" s="28"/>
      <c r="F1292" s="24"/>
      <c r="G1292" s="26"/>
      <c r="H1292" s="24"/>
      <c r="I1292" s="24"/>
      <c r="J1292" s="24"/>
      <c r="K1292" s="24"/>
      <c r="L1292" s="26"/>
      <c r="M1292" s="26"/>
      <c r="N1292" s="22"/>
      <c r="O1292" s="21"/>
      <c r="P1292" s="22"/>
      <c r="Q1292" s="29" t="str">
        <f aca="false">IF(C1292="","",IF(O1292&lt;&gt;"",O1292,IFERROR(INDEX(Produk!$J$2:$J$100,MATCH(C1292,Produk!$A$2:$A$100,0)),"PRODUK?")))</f>
        <v/>
      </c>
      <c r="R1292" s="29" t="str">
        <f aca="false">IF(A1292="","",IF(COUNTIF(Anggota!$A$2:$A$2001,A1292)=0,"TIDAK ADA","OK"))</f>
        <v/>
      </c>
      <c r="S1292" s="29" t="str">
        <f aca="false">IF(H1292="","",IF(OR(J1292="",L1292=""),"-",IF(ABS(H1292-J1292*L1292)&gt;Info_Koperasi!$C$10,"SELISIH","OK")))</f>
        <v/>
      </c>
    </row>
    <row r="1293" customFormat="false" ht="15" hidden="false" customHeight="false" outlineLevel="0" collapsed="false">
      <c r="A1293" s="21"/>
      <c r="B1293" s="22"/>
      <c r="C1293" s="21"/>
      <c r="D1293" s="21"/>
      <c r="E1293" s="28"/>
      <c r="F1293" s="24"/>
      <c r="G1293" s="26"/>
      <c r="H1293" s="24"/>
      <c r="I1293" s="24"/>
      <c r="J1293" s="24"/>
      <c r="K1293" s="24"/>
      <c r="L1293" s="26"/>
      <c r="M1293" s="26"/>
      <c r="N1293" s="22"/>
      <c r="O1293" s="21"/>
      <c r="P1293" s="22"/>
      <c r="Q1293" s="29" t="str">
        <f aca="false">IF(C1293="","",IF(O1293&lt;&gt;"",O1293,IFERROR(INDEX(Produk!$J$2:$J$100,MATCH(C1293,Produk!$A$2:$A$100,0)),"PRODUK?")))</f>
        <v/>
      </c>
      <c r="R1293" s="29" t="str">
        <f aca="false">IF(A1293="","",IF(COUNTIF(Anggota!$A$2:$A$2001,A1293)=0,"TIDAK ADA","OK"))</f>
        <v/>
      </c>
      <c r="S1293" s="29" t="str">
        <f aca="false">IF(H1293="","",IF(OR(J1293="",L1293=""),"-",IF(ABS(H1293-J1293*L1293)&gt;Info_Koperasi!$C$10,"SELISIH","OK")))</f>
        <v/>
      </c>
    </row>
    <row r="1294" customFormat="false" ht="15" hidden="false" customHeight="false" outlineLevel="0" collapsed="false">
      <c r="A1294" s="21"/>
      <c r="B1294" s="22"/>
      <c r="C1294" s="21"/>
      <c r="D1294" s="21"/>
      <c r="E1294" s="28"/>
      <c r="F1294" s="24"/>
      <c r="G1294" s="26"/>
      <c r="H1294" s="24"/>
      <c r="I1294" s="24"/>
      <c r="J1294" s="24"/>
      <c r="K1294" s="24"/>
      <c r="L1294" s="26"/>
      <c r="M1294" s="26"/>
      <c r="N1294" s="22"/>
      <c r="O1294" s="21"/>
      <c r="P1294" s="22"/>
      <c r="Q1294" s="29" t="str">
        <f aca="false">IF(C1294="","",IF(O1294&lt;&gt;"",O1294,IFERROR(INDEX(Produk!$J$2:$J$100,MATCH(C1294,Produk!$A$2:$A$100,0)),"PRODUK?")))</f>
        <v/>
      </c>
      <c r="R1294" s="29" t="str">
        <f aca="false">IF(A1294="","",IF(COUNTIF(Anggota!$A$2:$A$2001,A1294)=0,"TIDAK ADA","OK"))</f>
        <v/>
      </c>
      <c r="S1294" s="29" t="str">
        <f aca="false">IF(H1294="","",IF(OR(J1294="",L1294=""),"-",IF(ABS(H1294-J1294*L1294)&gt;Info_Koperasi!$C$10,"SELISIH","OK")))</f>
        <v/>
      </c>
    </row>
    <row r="1295" customFormat="false" ht="15" hidden="false" customHeight="false" outlineLevel="0" collapsed="false">
      <c r="A1295" s="21"/>
      <c r="B1295" s="22"/>
      <c r="C1295" s="21"/>
      <c r="D1295" s="21"/>
      <c r="E1295" s="28"/>
      <c r="F1295" s="24"/>
      <c r="G1295" s="26"/>
      <c r="H1295" s="24"/>
      <c r="I1295" s="24"/>
      <c r="J1295" s="24"/>
      <c r="K1295" s="24"/>
      <c r="L1295" s="26"/>
      <c r="M1295" s="26"/>
      <c r="N1295" s="22"/>
      <c r="O1295" s="21"/>
      <c r="P1295" s="22"/>
      <c r="Q1295" s="29" t="str">
        <f aca="false">IF(C1295="","",IF(O1295&lt;&gt;"",O1295,IFERROR(INDEX(Produk!$J$2:$J$100,MATCH(C1295,Produk!$A$2:$A$100,0)),"PRODUK?")))</f>
        <v/>
      </c>
      <c r="R1295" s="29" t="str">
        <f aca="false">IF(A1295="","",IF(COUNTIF(Anggota!$A$2:$A$2001,A1295)=0,"TIDAK ADA","OK"))</f>
        <v/>
      </c>
      <c r="S1295" s="29" t="str">
        <f aca="false">IF(H1295="","",IF(OR(J1295="",L1295=""),"-",IF(ABS(H1295-J1295*L1295)&gt;Info_Koperasi!$C$10,"SELISIH","OK")))</f>
        <v/>
      </c>
    </row>
    <row r="1296" customFormat="false" ht="15" hidden="false" customHeight="false" outlineLevel="0" collapsed="false">
      <c r="A1296" s="21"/>
      <c r="B1296" s="22"/>
      <c r="C1296" s="21"/>
      <c r="D1296" s="21"/>
      <c r="E1296" s="28"/>
      <c r="F1296" s="24"/>
      <c r="G1296" s="26"/>
      <c r="H1296" s="24"/>
      <c r="I1296" s="24"/>
      <c r="J1296" s="24"/>
      <c r="K1296" s="24"/>
      <c r="L1296" s="26"/>
      <c r="M1296" s="26"/>
      <c r="N1296" s="22"/>
      <c r="O1296" s="21"/>
      <c r="P1296" s="22"/>
      <c r="Q1296" s="29" t="str">
        <f aca="false">IF(C1296="","",IF(O1296&lt;&gt;"",O1296,IFERROR(INDEX(Produk!$J$2:$J$100,MATCH(C1296,Produk!$A$2:$A$100,0)),"PRODUK?")))</f>
        <v/>
      </c>
      <c r="R1296" s="29" t="str">
        <f aca="false">IF(A1296="","",IF(COUNTIF(Anggota!$A$2:$A$2001,A1296)=0,"TIDAK ADA","OK"))</f>
        <v/>
      </c>
      <c r="S1296" s="29" t="str">
        <f aca="false">IF(H1296="","",IF(OR(J1296="",L1296=""),"-",IF(ABS(H1296-J1296*L1296)&gt;Info_Koperasi!$C$10,"SELISIH","OK")))</f>
        <v/>
      </c>
    </row>
    <row r="1297" customFormat="false" ht="15" hidden="false" customHeight="false" outlineLevel="0" collapsed="false">
      <c r="A1297" s="21"/>
      <c r="B1297" s="22"/>
      <c r="C1297" s="21"/>
      <c r="D1297" s="21"/>
      <c r="E1297" s="28"/>
      <c r="F1297" s="24"/>
      <c r="G1297" s="26"/>
      <c r="H1297" s="24"/>
      <c r="I1297" s="24"/>
      <c r="J1297" s="24"/>
      <c r="K1297" s="24"/>
      <c r="L1297" s="26"/>
      <c r="M1297" s="26"/>
      <c r="N1297" s="22"/>
      <c r="O1297" s="21"/>
      <c r="P1297" s="22"/>
      <c r="Q1297" s="29" t="str">
        <f aca="false">IF(C1297="","",IF(O1297&lt;&gt;"",O1297,IFERROR(INDEX(Produk!$J$2:$J$100,MATCH(C1297,Produk!$A$2:$A$100,0)),"PRODUK?")))</f>
        <v/>
      </c>
      <c r="R1297" s="29" t="str">
        <f aca="false">IF(A1297="","",IF(COUNTIF(Anggota!$A$2:$A$2001,A1297)=0,"TIDAK ADA","OK"))</f>
        <v/>
      </c>
      <c r="S1297" s="29" t="str">
        <f aca="false">IF(H1297="","",IF(OR(J1297="",L1297=""),"-",IF(ABS(H1297-J1297*L1297)&gt;Info_Koperasi!$C$10,"SELISIH","OK")))</f>
        <v/>
      </c>
    </row>
    <row r="1298" customFormat="false" ht="15" hidden="false" customHeight="false" outlineLevel="0" collapsed="false">
      <c r="A1298" s="21"/>
      <c r="B1298" s="22"/>
      <c r="C1298" s="21"/>
      <c r="D1298" s="21"/>
      <c r="E1298" s="28"/>
      <c r="F1298" s="24"/>
      <c r="G1298" s="26"/>
      <c r="H1298" s="24"/>
      <c r="I1298" s="24"/>
      <c r="J1298" s="24"/>
      <c r="K1298" s="24"/>
      <c r="L1298" s="26"/>
      <c r="M1298" s="26"/>
      <c r="N1298" s="22"/>
      <c r="O1298" s="21"/>
      <c r="P1298" s="22"/>
      <c r="Q1298" s="29" t="str">
        <f aca="false">IF(C1298="","",IF(O1298&lt;&gt;"",O1298,IFERROR(INDEX(Produk!$J$2:$J$100,MATCH(C1298,Produk!$A$2:$A$100,0)),"PRODUK?")))</f>
        <v/>
      </c>
      <c r="R1298" s="29" t="str">
        <f aca="false">IF(A1298="","",IF(COUNTIF(Anggota!$A$2:$A$2001,A1298)=0,"TIDAK ADA","OK"))</f>
        <v/>
      </c>
      <c r="S1298" s="29" t="str">
        <f aca="false">IF(H1298="","",IF(OR(J1298="",L1298=""),"-",IF(ABS(H1298-J1298*L1298)&gt;Info_Koperasi!$C$10,"SELISIH","OK")))</f>
        <v/>
      </c>
    </row>
    <row r="1299" customFormat="false" ht="15" hidden="false" customHeight="false" outlineLevel="0" collapsed="false">
      <c r="A1299" s="21"/>
      <c r="B1299" s="22"/>
      <c r="C1299" s="21"/>
      <c r="D1299" s="21"/>
      <c r="E1299" s="28"/>
      <c r="F1299" s="24"/>
      <c r="G1299" s="26"/>
      <c r="H1299" s="24"/>
      <c r="I1299" s="24"/>
      <c r="J1299" s="24"/>
      <c r="K1299" s="24"/>
      <c r="L1299" s="26"/>
      <c r="M1299" s="26"/>
      <c r="N1299" s="22"/>
      <c r="O1299" s="21"/>
      <c r="P1299" s="22"/>
      <c r="Q1299" s="29" t="str">
        <f aca="false">IF(C1299="","",IF(O1299&lt;&gt;"",O1299,IFERROR(INDEX(Produk!$J$2:$J$100,MATCH(C1299,Produk!$A$2:$A$100,0)),"PRODUK?")))</f>
        <v/>
      </c>
      <c r="R1299" s="29" t="str">
        <f aca="false">IF(A1299="","",IF(COUNTIF(Anggota!$A$2:$A$2001,A1299)=0,"TIDAK ADA","OK"))</f>
        <v/>
      </c>
      <c r="S1299" s="29" t="str">
        <f aca="false">IF(H1299="","",IF(OR(J1299="",L1299=""),"-",IF(ABS(H1299-J1299*L1299)&gt;Info_Koperasi!$C$10,"SELISIH","OK")))</f>
        <v/>
      </c>
    </row>
    <row r="1300" customFormat="false" ht="15" hidden="false" customHeight="false" outlineLevel="0" collapsed="false">
      <c r="A1300" s="21"/>
      <c r="B1300" s="22"/>
      <c r="C1300" s="21"/>
      <c r="D1300" s="21"/>
      <c r="E1300" s="28"/>
      <c r="F1300" s="24"/>
      <c r="G1300" s="26"/>
      <c r="H1300" s="24"/>
      <c r="I1300" s="24"/>
      <c r="J1300" s="24"/>
      <c r="K1300" s="24"/>
      <c r="L1300" s="26"/>
      <c r="M1300" s="26"/>
      <c r="N1300" s="22"/>
      <c r="O1300" s="21"/>
      <c r="P1300" s="22"/>
      <c r="Q1300" s="29" t="str">
        <f aca="false">IF(C1300="","",IF(O1300&lt;&gt;"",O1300,IFERROR(INDEX(Produk!$J$2:$J$100,MATCH(C1300,Produk!$A$2:$A$100,0)),"PRODUK?")))</f>
        <v/>
      </c>
      <c r="R1300" s="29" t="str">
        <f aca="false">IF(A1300="","",IF(COUNTIF(Anggota!$A$2:$A$2001,A1300)=0,"TIDAK ADA","OK"))</f>
        <v/>
      </c>
      <c r="S1300" s="29" t="str">
        <f aca="false">IF(H1300="","",IF(OR(J1300="",L1300=""),"-",IF(ABS(H1300-J1300*L1300)&gt;Info_Koperasi!$C$10,"SELISIH","OK")))</f>
        <v/>
      </c>
    </row>
    <row r="1301" customFormat="false" ht="15" hidden="false" customHeight="false" outlineLevel="0" collapsed="false">
      <c r="A1301" s="21"/>
      <c r="B1301" s="22"/>
      <c r="C1301" s="21"/>
      <c r="D1301" s="21"/>
      <c r="E1301" s="28"/>
      <c r="F1301" s="24"/>
      <c r="G1301" s="26"/>
      <c r="H1301" s="24"/>
      <c r="I1301" s="24"/>
      <c r="J1301" s="24"/>
      <c r="K1301" s="24"/>
      <c r="L1301" s="26"/>
      <c r="M1301" s="26"/>
      <c r="N1301" s="22"/>
      <c r="O1301" s="21"/>
      <c r="P1301" s="22"/>
      <c r="Q1301" s="29" t="str">
        <f aca="false">IF(C1301="","",IF(O1301&lt;&gt;"",O1301,IFERROR(INDEX(Produk!$J$2:$J$100,MATCH(C1301,Produk!$A$2:$A$100,0)),"PRODUK?")))</f>
        <v/>
      </c>
      <c r="R1301" s="29" t="str">
        <f aca="false">IF(A1301="","",IF(COUNTIF(Anggota!$A$2:$A$2001,A1301)=0,"TIDAK ADA","OK"))</f>
        <v/>
      </c>
      <c r="S1301" s="29" t="str">
        <f aca="false">IF(H1301="","",IF(OR(J1301="",L1301=""),"-",IF(ABS(H1301-J1301*L1301)&gt;Info_Koperasi!$C$10,"SELISIH","OK")))</f>
        <v/>
      </c>
    </row>
    <row r="1302" customFormat="false" ht="15" hidden="false" customHeight="false" outlineLevel="0" collapsed="false">
      <c r="A1302" s="21"/>
      <c r="B1302" s="22"/>
      <c r="C1302" s="21"/>
      <c r="D1302" s="21"/>
      <c r="E1302" s="28"/>
      <c r="F1302" s="24"/>
      <c r="G1302" s="26"/>
      <c r="H1302" s="24"/>
      <c r="I1302" s="24"/>
      <c r="J1302" s="24"/>
      <c r="K1302" s="24"/>
      <c r="L1302" s="26"/>
      <c r="M1302" s="26"/>
      <c r="N1302" s="22"/>
      <c r="O1302" s="21"/>
      <c r="P1302" s="22"/>
      <c r="Q1302" s="29" t="str">
        <f aca="false">IF(C1302="","",IF(O1302&lt;&gt;"",O1302,IFERROR(INDEX(Produk!$J$2:$J$100,MATCH(C1302,Produk!$A$2:$A$100,0)),"PRODUK?")))</f>
        <v/>
      </c>
      <c r="R1302" s="29" t="str">
        <f aca="false">IF(A1302="","",IF(COUNTIF(Anggota!$A$2:$A$2001,A1302)=0,"TIDAK ADA","OK"))</f>
        <v/>
      </c>
      <c r="S1302" s="29" t="str">
        <f aca="false">IF(H1302="","",IF(OR(J1302="",L1302=""),"-",IF(ABS(H1302-J1302*L1302)&gt;Info_Koperasi!$C$10,"SELISIH","OK")))</f>
        <v/>
      </c>
    </row>
    <row r="1303" customFormat="false" ht="15" hidden="false" customHeight="false" outlineLevel="0" collapsed="false">
      <c r="A1303" s="21"/>
      <c r="B1303" s="22"/>
      <c r="C1303" s="21"/>
      <c r="D1303" s="21"/>
      <c r="E1303" s="28"/>
      <c r="F1303" s="24"/>
      <c r="G1303" s="26"/>
      <c r="H1303" s="24"/>
      <c r="I1303" s="24"/>
      <c r="J1303" s="24"/>
      <c r="K1303" s="24"/>
      <c r="L1303" s="26"/>
      <c r="M1303" s="26"/>
      <c r="N1303" s="22"/>
      <c r="O1303" s="21"/>
      <c r="P1303" s="22"/>
      <c r="Q1303" s="29" t="str">
        <f aca="false">IF(C1303="","",IF(O1303&lt;&gt;"",O1303,IFERROR(INDEX(Produk!$J$2:$J$100,MATCH(C1303,Produk!$A$2:$A$100,0)),"PRODUK?")))</f>
        <v/>
      </c>
      <c r="R1303" s="29" t="str">
        <f aca="false">IF(A1303="","",IF(COUNTIF(Anggota!$A$2:$A$2001,A1303)=0,"TIDAK ADA","OK"))</f>
        <v/>
      </c>
      <c r="S1303" s="29" t="str">
        <f aca="false">IF(H1303="","",IF(OR(J1303="",L1303=""),"-",IF(ABS(H1303-J1303*L1303)&gt;Info_Koperasi!$C$10,"SELISIH","OK")))</f>
        <v/>
      </c>
    </row>
    <row r="1304" customFormat="false" ht="15" hidden="false" customHeight="false" outlineLevel="0" collapsed="false">
      <c r="A1304" s="21"/>
      <c r="B1304" s="22"/>
      <c r="C1304" s="21"/>
      <c r="D1304" s="21"/>
      <c r="E1304" s="28"/>
      <c r="F1304" s="24"/>
      <c r="G1304" s="26"/>
      <c r="H1304" s="24"/>
      <c r="I1304" s="24"/>
      <c r="J1304" s="24"/>
      <c r="K1304" s="24"/>
      <c r="L1304" s="26"/>
      <c r="M1304" s="26"/>
      <c r="N1304" s="22"/>
      <c r="O1304" s="21"/>
      <c r="P1304" s="22"/>
      <c r="Q1304" s="29" t="str">
        <f aca="false">IF(C1304="","",IF(O1304&lt;&gt;"",O1304,IFERROR(INDEX(Produk!$J$2:$J$100,MATCH(C1304,Produk!$A$2:$A$100,0)),"PRODUK?")))</f>
        <v/>
      </c>
      <c r="R1304" s="29" t="str">
        <f aca="false">IF(A1304="","",IF(COUNTIF(Anggota!$A$2:$A$2001,A1304)=0,"TIDAK ADA","OK"))</f>
        <v/>
      </c>
      <c r="S1304" s="29" t="str">
        <f aca="false">IF(H1304="","",IF(OR(J1304="",L1304=""),"-",IF(ABS(H1304-J1304*L1304)&gt;Info_Koperasi!$C$10,"SELISIH","OK")))</f>
        <v/>
      </c>
    </row>
    <row r="1305" customFormat="false" ht="15" hidden="false" customHeight="false" outlineLevel="0" collapsed="false">
      <c r="A1305" s="21"/>
      <c r="B1305" s="22"/>
      <c r="C1305" s="21"/>
      <c r="D1305" s="21"/>
      <c r="E1305" s="28"/>
      <c r="F1305" s="24"/>
      <c r="G1305" s="26"/>
      <c r="H1305" s="24"/>
      <c r="I1305" s="24"/>
      <c r="J1305" s="24"/>
      <c r="K1305" s="24"/>
      <c r="L1305" s="26"/>
      <c r="M1305" s="26"/>
      <c r="N1305" s="22"/>
      <c r="O1305" s="21"/>
      <c r="P1305" s="22"/>
      <c r="Q1305" s="29" t="str">
        <f aca="false">IF(C1305="","",IF(O1305&lt;&gt;"",O1305,IFERROR(INDEX(Produk!$J$2:$J$100,MATCH(C1305,Produk!$A$2:$A$100,0)),"PRODUK?")))</f>
        <v/>
      </c>
      <c r="R1305" s="29" t="str">
        <f aca="false">IF(A1305="","",IF(COUNTIF(Anggota!$A$2:$A$2001,A1305)=0,"TIDAK ADA","OK"))</f>
        <v/>
      </c>
      <c r="S1305" s="29" t="str">
        <f aca="false">IF(H1305="","",IF(OR(J1305="",L1305=""),"-",IF(ABS(H1305-J1305*L1305)&gt;Info_Koperasi!$C$10,"SELISIH","OK")))</f>
        <v/>
      </c>
    </row>
    <row r="1306" customFormat="false" ht="15" hidden="false" customHeight="false" outlineLevel="0" collapsed="false">
      <c r="A1306" s="21"/>
      <c r="B1306" s="22"/>
      <c r="C1306" s="21"/>
      <c r="D1306" s="21"/>
      <c r="E1306" s="28"/>
      <c r="F1306" s="24"/>
      <c r="G1306" s="26"/>
      <c r="H1306" s="24"/>
      <c r="I1306" s="24"/>
      <c r="J1306" s="24"/>
      <c r="K1306" s="24"/>
      <c r="L1306" s="26"/>
      <c r="M1306" s="26"/>
      <c r="N1306" s="22"/>
      <c r="O1306" s="21"/>
      <c r="P1306" s="22"/>
      <c r="Q1306" s="29" t="str">
        <f aca="false">IF(C1306="","",IF(O1306&lt;&gt;"",O1306,IFERROR(INDEX(Produk!$J$2:$J$100,MATCH(C1306,Produk!$A$2:$A$100,0)),"PRODUK?")))</f>
        <v/>
      </c>
      <c r="R1306" s="29" t="str">
        <f aca="false">IF(A1306="","",IF(COUNTIF(Anggota!$A$2:$A$2001,A1306)=0,"TIDAK ADA","OK"))</f>
        <v/>
      </c>
      <c r="S1306" s="29" t="str">
        <f aca="false">IF(H1306="","",IF(OR(J1306="",L1306=""),"-",IF(ABS(H1306-J1306*L1306)&gt;Info_Koperasi!$C$10,"SELISIH","OK")))</f>
        <v/>
      </c>
    </row>
    <row r="1307" customFormat="false" ht="15" hidden="false" customHeight="false" outlineLevel="0" collapsed="false">
      <c r="A1307" s="21"/>
      <c r="B1307" s="22"/>
      <c r="C1307" s="21"/>
      <c r="D1307" s="21"/>
      <c r="E1307" s="28"/>
      <c r="F1307" s="24"/>
      <c r="G1307" s="26"/>
      <c r="H1307" s="24"/>
      <c r="I1307" s="24"/>
      <c r="J1307" s="24"/>
      <c r="K1307" s="24"/>
      <c r="L1307" s="26"/>
      <c r="M1307" s="26"/>
      <c r="N1307" s="22"/>
      <c r="O1307" s="21"/>
      <c r="P1307" s="22"/>
      <c r="Q1307" s="29" t="str">
        <f aca="false">IF(C1307="","",IF(O1307&lt;&gt;"",O1307,IFERROR(INDEX(Produk!$J$2:$J$100,MATCH(C1307,Produk!$A$2:$A$100,0)),"PRODUK?")))</f>
        <v/>
      </c>
      <c r="R1307" s="29" t="str">
        <f aca="false">IF(A1307="","",IF(COUNTIF(Anggota!$A$2:$A$2001,A1307)=0,"TIDAK ADA","OK"))</f>
        <v/>
      </c>
      <c r="S1307" s="29" t="str">
        <f aca="false">IF(H1307="","",IF(OR(J1307="",L1307=""),"-",IF(ABS(H1307-J1307*L1307)&gt;Info_Koperasi!$C$10,"SELISIH","OK")))</f>
        <v/>
      </c>
    </row>
    <row r="1308" customFormat="false" ht="15" hidden="false" customHeight="false" outlineLevel="0" collapsed="false">
      <c r="A1308" s="21"/>
      <c r="B1308" s="22"/>
      <c r="C1308" s="21"/>
      <c r="D1308" s="21"/>
      <c r="E1308" s="28"/>
      <c r="F1308" s="24"/>
      <c r="G1308" s="26"/>
      <c r="H1308" s="24"/>
      <c r="I1308" s="24"/>
      <c r="J1308" s="24"/>
      <c r="K1308" s="24"/>
      <c r="L1308" s="26"/>
      <c r="M1308" s="26"/>
      <c r="N1308" s="22"/>
      <c r="O1308" s="21"/>
      <c r="P1308" s="22"/>
      <c r="Q1308" s="29" t="str">
        <f aca="false">IF(C1308="","",IF(O1308&lt;&gt;"",O1308,IFERROR(INDEX(Produk!$J$2:$J$100,MATCH(C1308,Produk!$A$2:$A$100,0)),"PRODUK?")))</f>
        <v/>
      </c>
      <c r="R1308" s="29" t="str">
        <f aca="false">IF(A1308="","",IF(COUNTIF(Anggota!$A$2:$A$2001,A1308)=0,"TIDAK ADA","OK"))</f>
        <v/>
      </c>
      <c r="S1308" s="29" t="str">
        <f aca="false">IF(H1308="","",IF(OR(J1308="",L1308=""),"-",IF(ABS(H1308-J1308*L1308)&gt;Info_Koperasi!$C$10,"SELISIH","OK")))</f>
        <v/>
      </c>
    </row>
    <row r="1309" customFormat="false" ht="15" hidden="false" customHeight="false" outlineLevel="0" collapsed="false">
      <c r="A1309" s="21"/>
      <c r="B1309" s="22"/>
      <c r="C1309" s="21"/>
      <c r="D1309" s="21"/>
      <c r="E1309" s="28"/>
      <c r="F1309" s="24"/>
      <c r="G1309" s="26"/>
      <c r="H1309" s="24"/>
      <c r="I1309" s="24"/>
      <c r="J1309" s="24"/>
      <c r="K1309" s="24"/>
      <c r="L1309" s="26"/>
      <c r="M1309" s="26"/>
      <c r="N1309" s="22"/>
      <c r="O1309" s="21"/>
      <c r="P1309" s="22"/>
      <c r="Q1309" s="29" t="str">
        <f aca="false">IF(C1309="","",IF(O1309&lt;&gt;"",O1309,IFERROR(INDEX(Produk!$J$2:$J$100,MATCH(C1309,Produk!$A$2:$A$100,0)),"PRODUK?")))</f>
        <v/>
      </c>
      <c r="R1309" s="29" t="str">
        <f aca="false">IF(A1309="","",IF(COUNTIF(Anggota!$A$2:$A$2001,A1309)=0,"TIDAK ADA","OK"))</f>
        <v/>
      </c>
      <c r="S1309" s="29" t="str">
        <f aca="false">IF(H1309="","",IF(OR(J1309="",L1309=""),"-",IF(ABS(H1309-J1309*L1309)&gt;Info_Koperasi!$C$10,"SELISIH","OK")))</f>
        <v/>
      </c>
    </row>
    <row r="1310" customFormat="false" ht="15" hidden="false" customHeight="false" outlineLevel="0" collapsed="false">
      <c r="A1310" s="21"/>
      <c r="B1310" s="22"/>
      <c r="C1310" s="21"/>
      <c r="D1310" s="21"/>
      <c r="E1310" s="28"/>
      <c r="F1310" s="24"/>
      <c r="G1310" s="26"/>
      <c r="H1310" s="24"/>
      <c r="I1310" s="24"/>
      <c r="J1310" s="24"/>
      <c r="K1310" s="24"/>
      <c r="L1310" s="26"/>
      <c r="M1310" s="26"/>
      <c r="N1310" s="22"/>
      <c r="O1310" s="21"/>
      <c r="P1310" s="22"/>
      <c r="Q1310" s="29" t="str">
        <f aca="false">IF(C1310="","",IF(O1310&lt;&gt;"",O1310,IFERROR(INDEX(Produk!$J$2:$J$100,MATCH(C1310,Produk!$A$2:$A$100,0)),"PRODUK?")))</f>
        <v/>
      </c>
      <c r="R1310" s="29" t="str">
        <f aca="false">IF(A1310="","",IF(COUNTIF(Anggota!$A$2:$A$2001,A1310)=0,"TIDAK ADA","OK"))</f>
        <v/>
      </c>
      <c r="S1310" s="29" t="str">
        <f aca="false">IF(H1310="","",IF(OR(J1310="",L1310=""),"-",IF(ABS(H1310-J1310*L1310)&gt;Info_Koperasi!$C$10,"SELISIH","OK")))</f>
        <v/>
      </c>
    </row>
    <row r="1311" customFormat="false" ht="15" hidden="false" customHeight="false" outlineLevel="0" collapsed="false">
      <c r="A1311" s="21"/>
      <c r="B1311" s="22"/>
      <c r="C1311" s="21"/>
      <c r="D1311" s="21"/>
      <c r="E1311" s="28"/>
      <c r="F1311" s="24"/>
      <c r="G1311" s="26"/>
      <c r="H1311" s="24"/>
      <c r="I1311" s="24"/>
      <c r="J1311" s="24"/>
      <c r="K1311" s="24"/>
      <c r="L1311" s="26"/>
      <c r="M1311" s="26"/>
      <c r="N1311" s="22"/>
      <c r="O1311" s="21"/>
      <c r="P1311" s="22"/>
      <c r="Q1311" s="29" t="str">
        <f aca="false">IF(C1311="","",IF(O1311&lt;&gt;"",O1311,IFERROR(INDEX(Produk!$J$2:$J$100,MATCH(C1311,Produk!$A$2:$A$100,0)),"PRODUK?")))</f>
        <v/>
      </c>
      <c r="R1311" s="29" t="str">
        <f aca="false">IF(A1311="","",IF(COUNTIF(Anggota!$A$2:$A$2001,A1311)=0,"TIDAK ADA","OK"))</f>
        <v/>
      </c>
      <c r="S1311" s="29" t="str">
        <f aca="false">IF(H1311="","",IF(OR(J1311="",L1311=""),"-",IF(ABS(H1311-J1311*L1311)&gt;Info_Koperasi!$C$10,"SELISIH","OK")))</f>
        <v/>
      </c>
    </row>
    <row r="1312" customFormat="false" ht="15" hidden="false" customHeight="false" outlineLevel="0" collapsed="false">
      <c r="A1312" s="21"/>
      <c r="B1312" s="22"/>
      <c r="C1312" s="21"/>
      <c r="D1312" s="21"/>
      <c r="E1312" s="28"/>
      <c r="F1312" s="24"/>
      <c r="G1312" s="26"/>
      <c r="H1312" s="24"/>
      <c r="I1312" s="24"/>
      <c r="J1312" s="24"/>
      <c r="K1312" s="24"/>
      <c r="L1312" s="26"/>
      <c r="M1312" s="26"/>
      <c r="N1312" s="22"/>
      <c r="O1312" s="21"/>
      <c r="P1312" s="22"/>
      <c r="Q1312" s="29" t="str">
        <f aca="false">IF(C1312="","",IF(O1312&lt;&gt;"",O1312,IFERROR(INDEX(Produk!$J$2:$J$100,MATCH(C1312,Produk!$A$2:$A$100,0)),"PRODUK?")))</f>
        <v/>
      </c>
      <c r="R1312" s="29" t="str">
        <f aca="false">IF(A1312="","",IF(COUNTIF(Anggota!$A$2:$A$2001,A1312)=0,"TIDAK ADA","OK"))</f>
        <v/>
      </c>
      <c r="S1312" s="29" t="str">
        <f aca="false">IF(H1312="","",IF(OR(J1312="",L1312=""),"-",IF(ABS(H1312-J1312*L1312)&gt;Info_Koperasi!$C$10,"SELISIH","OK")))</f>
        <v/>
      </c>
    </row>
    <row r="1313" customFormat="false" ht="15" hidden="false" customHeight="false" outlineLevel="0" collapsed="false">
      <c r="A1313" s="21"/>
      <c r="B1313" s="22"/>
      <c r="C1313" s="21"/>
      <c r="D1313" s="21"/>
      <c r="E1313" s="28"/>
      <c r="F1313" s="24"/>
      <c r="G1313" s="26"/>
      <c r="H1313" s="24"/>
      <c r="I1313" s="24"/>
      <c r="J1313" s="24"/>
      <c r="K1313" s="24"/>
      <c r="L1313" s="26"/>
      <c r="M1313" s="26"/>
      <c r="N1313" s="22"/>
      <c r="O1313" s="21"/>
      <c r="P1313" s="22"/>
      <c r="Q1313" s="29" t="str">
        <f aca="false">IF(C1313="","",IF(O1313&lt;&gt;"",O1313,IFERROR(INDEX(Produk!$J$2:$J$100,MATCH(C1313,Produk!$A$2:$A$100,0)),"PRODUK?")))</f>
        <v/>
      </c>
      <c r="R1313" s="29" t="str">
        <f aca="false">IF(A1313="","",IF(COUNTIF(Anggota!$A$2:$A$2001,A1313)=0,"TIDAK ADA","OK"))</f>
        <v/>
      </c>
      <c r="S1313" s="29" t="str">
        <f aca="false">IF(H1313="","",IF(OR(J1313="",L1313=""),"-",IF(ABS(H1313-J1313*L1313)&gt;Info_Koperasi!$C$10,"SELISIH","OK")))</f>
        <v/>
      </c>
    </row>
    <row r="1314" customFormat="false" ht="15" hidden="false" customHeight="false" outlineLevel="0" collapsed="false">
      <c r="A1314" s="21"/>
      <c r="B1314" s="22"/>
      <c r="C1314" s="21"/>
      <c r="D1314" s="21"/>
      <c r="E1314" s="28"/>
      <c r="F1314" s="24"/>
      <c r="G1314" s="26"/>
      <c r="H1314" s="24"/>
      <c r="I1314" s="24"/>
      <c r="J1314" s="24"/>
      <c r="K1314" s="24"/>
      <c r="L1314" s="26"/>
      <c r="M1314" s="26"/>
      <c r="N1314" s="22"/>
      <c r="O1314" s="21"/>
      <c r="P1314" s="22"/>
      <c r="Q1314" s="29" t="str">
        <f aca="false">IF(C1314="","",IF(O1314&lt;&gt;"",O1314,IFERROR(INDEX(Produk!$J$2:$J$100,MATCH(C1314,Produk!$A$2:$A$100,0)),"PRODUK?")))</f>
        <v/>
      </c>
      <c r="R1314" s="29" t="str">
        <f aca="false">IF(A1314="","",IF(COUNTIF(Anggota!$A$2:$A$2001,A1314)=0,"TIDAK ADA","OK"))</f>
        <v/>
      </c>
      <c r="S1314" s="29" t="str">
        <f aca="false">IF(H1314="","",IF(OR(J1314="",L1314=""),"-",IF(ABS(H1314-J1314*L1314)&gt;Info_Koperasi!$C$10,"SELISIH","OK")))</f>
        <v/>
      </c>
    </row>
    <row r="1315" customFormat="false" ht="15" hidden="false" customHeight="false" outlineLevel="0" collapsed="false">
      <c r="A1315" s="21"/>
      <c r="B1315" s="22"/>
      <c r="C1315" s="21"/>
      <c r="D1315" s="21"/>
      <c r="E1315" s="28"/>
      <c r="F1315" s="24"/>
      <c r="G1315" s="26"/>
      <c r="H1315" s="24"/>
      <c r="I1315" s="24"/>
      <c r="J1315" s="24"/>
      <c r="K1315" s="24"/>
      <c r="L1315" s="26"/>
      <c r="M1315" s="26"/>
      <c r="N1315" s="22"/>
      <c r="O1315" s="21"/>
      <c r="P1315" s="22"/>
      <c r="Q1315" s="29" t="str">
        <f aca="false">IF(C1315="","",IF(O1315&lt;&gt;"",O1315,IFERROR(INDEX(Produk!$J$2:$J$100,MATCH(C1315,Produk!$A$2:$A$100,0)),"PRODUK?")))</f>
        <v/>
      </c>
      <c r="R1315" s="29" t="str">
        <f aca="false">IF(A1315="","",IF(COUNTIF(Anggota!$A$2:$A$2001,A1315)=0,"TIDAK ADA","OK"))</f>
        <v/>
      </c>
      <c r="S1315" s="29" t="str">
        <f aca="false">IF(H1315="","",IF(OR(J1315="",L1315=""),"-",IF(ABS(H1315-J1315*L1315)&gt;Info_Koperasi!$C$10,"SELISIH","OK")))</f>
        <v/>
      </c>
    </row>
    <row r="1316" customFormat="false" ht="15" hidden="false" customHeight="false" outlineLevel="0" collapsed="false">
      <c r="A1316" s="21"/>
      <c r="B1316" s="22"/>
      <c r="C1316" s="21"/>
      <c r="D1316" s="21"/>
      <c r="E1316" s="28"/>
      <c r="F1316" s="24"/>
      <c r="G1316" s="26"/>
      <c r="H1316" s="24"/>
      <c r="I1316" s="24"/>
      <c r="J1316" s="24"/>
      <c r="K1316" s="24"/>
      <c r="L1316" s="26"/>
      <c r="M1316" s="26"/>
      <c r="N1316" s="22"/>
      <c r="O1316" s="21"/>
      <c r="P1316" s="22"/>
      <c r="Q1316" s="29" t="str">
        <f aca="false">IF(C1316="","",IF(O1316&lt;&gt;"",O1316,IFERROR(INDEX(Produk!$J$2:$J$100,MATCH(C1316,Produk!$A$2:$A$100,0)),"PRODUK?")))</f>
        <v/>
      </c>
      <c r="R1316" s="29" t="str">
        <f aca="false">IF(A1316="","",IF(COUNTIF(Anggota!$A$2:$A$2001,A1316)=0,"TIDAK ADA","OK"))</f>
        <v/>
      </c>
      <c r="S1316" s="29" t="str">
        <f aca="false">IF(H1316="","",IF(OR(J1316="",L1316=""),"-",IF(ABS(H1316-J1316*L1316)&gt;Info_Koperasi!$C$10,"SELISIH","OK")))</f>
        <v/>
      </c>
    </row>
    <row r="1317" customFormat="false" ht="15" hidden="false" customHeight="false" outlineLevel="0" collapsed="false">
      <c r="A1317" s="21"/>
      <c r="B1317" s="22"/>
      <c r="C1317" s="21"/>
      <c r="D1317" s="21"/>
      <c r="E1317" s="28"/>
      <c r="F1317" s="24"/>
      <c r="G1317" s="26"/>
      <c r="H1317" s="24"/>
      <c r="I1317" s="24"/>
      <c r="J1317" s="24"/>
      <c r="K1317" s="24"/>
      <c r="L1317" s="26"/>
      <c r="M1317" s="26"/>
      <c r="N1317" s="22"/>
      <c r="O1317" s="21"/>
      <c r="P1317" s="22"/>
      <c r="Q1317" s="29" t="str">
        <f aca="false">IF(C1317="","",IF(O1317&lt;&gt;"",O1317,IFERROR(INDEX(Produk!$J$2:$J$100,MATCH(C1317,Produk!$A$2:$A$100,0)),"PRODUK?")))</f>
        <v/>
      </c>
      <c r="R1317" s="29" t="str">
        <f aca="false">IF(A1317="","",IF(COUNTIF(Anggota!$A$2:$A$2001,A1317)=0,"TIDAK ADA","OK"))</f>
        <v/>
      </c>
      <c r="S1317" s="29" t="str">
        <f aca="false">IF(H1317="","",IF(OR(J1317="",L1317=""),"-",IF(ABS(H1317-J1317*L1317)&gt;Info_Koperasi!$C$10,"SELISIH","OK")))</f>
        <v/>
      </c>
    </row>
    <row r="1318" customFormat="false" ht="15" hidden="false" customHeight="false" outlineLevel="0" collapsed="false">
      <c r="A1318" s="21"/>
      <c r="B1318" s="22"/>
      <c r="C1318" s="21"/>
      <c r="D1318" s="21"/>
      <c r="E1318" s="28"/>
      <c r="F1318" s="24"/>
      <c r="G1318" s="26"/>
      <c r="H1318" s="24"/>
      <c r="I1318" s="24"/>
      <c r="J1318" s="24"/>
      <c r="K1318" s="24"/>
      <c r="L1318" s="26"/>
      <c r="M1318" s="26"/>
      <c r="N1318" s="22"/>
      <c r="O1318" s="21"/>
      <c r="P1318" s="22"/>
      <c r="Q1318" s="29" t="str">
        <f aca="false">IF(C1318="","",IF(O1318&lt;&gt;"",O1318,IFERROR(INDEX(Produk!$J$2:$J$100,MATCH(C1318,Produk!$A$2:$A$100,0)),"PRODUK?")))</f>
        <v/>
      </c>
      <c r="R1318" s="29" t="str">
        <f aca="false">IF(A1318="","",IF(COUNTIF(Anggota!$A$2:$A$2001,A1318)=0,"TIDAK ADA","OK"))</f>
        <v/>
      </c>
      <c r="S1318" s="29" t="str">
        <f aca="false">IF(H1318="","",IF(OR(J1318="",L1318=""),"-",IF(ABS(H1318-J1318*L1318)&gt;Info_Koperasi!$C$10,"SELISIH","OK")))</f>
        <v/>
      </c>
    </row>
    <row r="1319" customFormat="false" ht="15" hidden="false" customHeight="false" outlineLevel="0" collapsed="false">
      <c r="A1319" s="21"/>
      <c r="B1319" s="22"/>
      <c r="C1319" s="21"/>
      <c r="D1319" s="21"/>
      <c r="E1319" s="28"/>
      <c r="F1319" s="24"/>
      <c r="G1319" s="26"/>
      <c r="H1319" s="24"/>
      <c r="I1319" s="24"/>
      <c r="J1319" s="24"/>
      <c r="K1319" s="24"/>
      <c r="L1319" s="26"/>
      <c r="M1319" s="26"/>
      <c r="N1319" s="22"/>
      <c r="O1319" s="21"/>
      <c r="P1319" s="22"/>
      <c r="Q1319" s="29" t="str">
        <f aca="false">IF(C1319="","",IF(O1319&lt;&gt;"",O1319,IFERROR(INDEX(Produk!$J$2:$J$100,MATCH(C1319,Produk!$A$2:$A$100,0)),"PRODUK?")))</f>
        <v/>
      </c>
      <c r="R1319" s="29" t="str">
        <f aca="false">IF(A1319="","",IF(COUNTIF(Anggota!$A$2:$A$2001,A1319)=0,"TIDAK ADA","OK"))</f>
        <v/>
      </c>
      <c r="S1319" s="29" t="str">
        <f aca="false">IF(H1319="","",IF(OR(J1319="",L1319=""),"-",IF(ABS(H1319-J1319*L1319)&gt;Info_Koperasi!$C$10,"SELISIH","OK")))</f>
        <v/>
      </c>
    </row>
    <row r="1320" customFormat="false" ht="15" hidden="false" customHeight="false" outlineLevel="0" collapsed="false">
      <c r="A1320" s="21"/>
      <c r="B1320" s="22"/>
      <c r="C1320" s="21"/>
      <c r="D1320" s="21"/>
      <c r="E1320" s="28"/>
      <c r="F1320" s="24"/>
      <c r="G1320" s="26"/>
      <c r="H1320" s="24"/>
      <c r="I1320" s="24"/>
      <c r="J1320" s="24"/>
      <c r="K1320" s="24"/>
      <c r="L1320" s="26"/>
      <c r="M1320" s="26"/>
      <c r="N1320" s="22"/>
      <c r="O1320" s="21"/>
      <c r="P1320" s="22"/>
      <c r="Q1320" s="29" t="str">
        <f aca="false">IF(C1320="","",IF(O1320&lt;&gt;"",O1320,IFERROR(INDEX(Produk!$J$2:$J$100,MATCH(C1320,Produk!$A$2:$A$100,0)),"PRODUK?")))</f>
        <v/>
      </c>
      <c r="R1320" s="29" t="str">
        <f aca="false">IF(A1320="","",IF(COUNTIF(Anggota!$A$2:$A$2001,A1320)=0,"TIDAK ADA","OK"))</f>
        <v/>
      </c>
      <c r="S1320" s="29" t="str">
        <f aca="false">IF(H1320="","",IF(OR(J1320="",L1320=""),"-",IF(ABS(H1320-J1320*L1320)&gt;Info_Koperasi!$C$10,"SELISIH","OK")))</f>
        <v/>
      </c>
    </row>
    <row r="1321" customFormat="false" ht="15" hidden="false" customHeight="false" outlineLevel="0" collapsed="false">
      <c r="A1321" s="21"/>
      <c r="B1321" s="22"/>
      <c r="C1321" s="21"/>
      <c r="D1321" s="21"/>
      <c r="E1321" s="28"/>
      <c r="F1321" s="24"/>
      <c r="G1321" s="26"/>
      <c r="H1321" s="24"/>
      <c r="I1321" s="24"/>
      <c r="J1321" s="24"/>
      <c r="K1321" s="24"/>
      <c r="L1321" s="26"/>
      <c r="M1321" s="26"/>
      <c r="N1321" s="22"/>
      <c r="O1321" s="21"/>
      <c r="P1321" s="22"/>
      <c r="Q1321" s="29" t="str">
        <f aca="false">IF(C1321="","",IF(O1321&lt;&gt;"",O1321,IFERROR(INDEX(Produk!$J$2:$J$100,MATCH(C1321,Produk!$A$2:$A$100,0)),"PRODUK?")))</f>
        <v/>
      </c>
      <c r="R1321" s="29" t="str">
        <f aca="false">IF(A1321="","",IF(COUNTIF(Anggota!$A$2:$A$2001,A1321)=0,"TIDAK ADA","OK"))</f>
        <v/>
      </c>
      <c r="S1321" s="29" t="str">
        <f aca="false">IF(H1321="","",IF(OR(J1321="",L1321=""),"-",IF(ABS(H1321-J1321*L1321)&gt;Info_Koperasi!$C$10,"SELISIH","OK")))</f>
        <v/>
      </c>
    </row>
    <row r="1322" customFormat="false" ht="15" hidden="false" customHeight="false" outlineLevel="0" collapsed="false">
      <c r="A1322" s="21"/>
      <c r="B1322" s="22"/>
      <c r="C1322" s="21"/>
      <c r="D1322" s="21"/>
      <c r="E1322" s="28"/>
      <c r="F1322" s="24"/>
      <c r="G1322" s="26"/>
      <c r="H1322" s="24"/>
      <c r="I1322" s="24"/>
      <c r="J1322" s="24"/>
      <c r="K1322" s="24"/>
      <c r="L1322" s="26"/>
      <c r="M1322" s="26"/>
      <c r="N1322" s="22"/>
      <c r="O1322" s="21"/>
      <c r="P1322" s="22"/>
      <c r="Q1322" s="29" t="str">
        <f aca="false">IF(C1322="","",IF(O1322&lt;&gt;"",O1322,IFERROR(INDEX(Produk!$J$2:$J$100,MATCH(C1322,Produk!$A$2:$A$100,0)),"PRODUK?")))</f>
        <v/>
      </c>
      <c r="R1322" s="29" t="str">
        <f aca="false">IF(A1322="","",IF(COUNTIF(Anggota!$A$2:$A$2001,A1322)=0,"TIDAK ADA","OK"))</f>
        <v/>
      </c>
      <c r="S1322" s="29" t="str">
        <f aca="false">IF(H1322="","",IF(OR(J1322="",L1322=""),"-",IF(ABS(H1322-J1322*L1322)&gt;Info_Koperasi!$C$10,"SELISIH","OK")))</f>
        <v/>
      </c>
    </row>
    <row r="1323" customFormat="false" ht="15" hidden="false" customHeight="false" outlineLevel="0" collapsed="false">
      <c r="A1323" s="21"/>
      <c r="B1323" s="22"/>
      <c r="C1323" s="21"/>
      <c r="D1323" s="21"/>
      <c r="E1323" s="28"/>
      <c r="F1323" s="24"/>
      <c r="G1323" s="26"/>
      <c r="H1323" s="24"/>
      <c r="I1323" s="24"/>
      <c r="J1323" s="24"/>
      <c r="K1323" s="24"/>
      <c r="L1323" s="26"/>
      <c r="M1323" s="26"/>
      <c r="N1323" s="22"/>
      <c r="O1323" s="21"/>
      <c r="P1323" s="22"/>
      <c r="Q1323" s="29" t="str">
        <f aca="false">IF(C1323="","",IF(O1323&lt;&gt;"",O1323,IFERROR(INDEX(Produk!$J$2:$J$100,MATCH(C1323,Produk!$A$2:$A$100,0)),"PRODUK?")))</f>
        <v/>
      </c>
      <c r="R1323" s="29" t="str">
        <f aca="false">IF(A1323="","",IF(COUNTIF(Anggota!$A$2:$A$2001,A1323)=0,"TIDAK ADA","OK"))</f>
        <v/>
      </c>
      <c r="S1323" s="29" t="str">
        <f aca="false">IF(H1323="","",IF(OR(J1323="",L1323=""),"-",IF(ABS(H1323-J1323*L1323)&gt;Info_Koperasi!$C$10,"SELISIH","OK")))</f>
        <v/>
      </c>
    </row>
    <row r="1324" customFormat="false" ht="15" hidden="false" customHeight="false" outlineLevel="0" collapsed="false">
      <c r="A1324" s="21"/>
      <c r="B1324" s="22"/>
      <c r="C1324" s="21"/>
      <c r="D1324" s="21"/>
      <c r="E1324" s="28"/>
      <c r="F1324" s="24"/>
      <c r="G1324" s="26"/>
      <c r="H1324" s="24"/>
      <c r="I1324" s="24"/>
      <c r="J1324" s="24"/>
      <c r="K1324" s="24"/>
      <c r="L1324" s="26"/>
      <c r="M1324" s="26"/>
      <c r="N1324" s="22"/>
      <c r="O1324" s="21"/>
      <c r="P1324" s="22"/>
      <c r="Q1324" s="29" t="str">
        <f aca="false">IF(C1324="","",IF(O1324&lt;&gt;"",O1324,IFERROR(INDEX(Produk!$J$2:$J$100,MATCH(C1324,Produk!$A$2:$A$100,0)),"PRODUK?")))</f>
        <v/>
      </c>
      <c r="R1324" s="29" t="str">
        <f aca="false">IF(A1324="","",IF(COUNTIF(Anggota!$A$2:$A$2001,A1324)=0,"TIDAK ADA","OK"))</f>
        <v/>
      </c>
      <c r="S1324" s="29" t="str">
        <f aca="false">IF(H1324="","",IF(OR(J1324="",L1324=""),"-",IF(ABS(H1324-J1324*L1324)&gt;Info_Koperasi!$C$10,"SELISIH","OK")))</f>
        <v/>
      </c>
    </row>
    <row r="1325" customFormat="false" ht="15" hidden="false" customHeight="false" outlineLevel="0" collapsed="false">
      <c r="A1325" s="21"/>
      <c r="B1325" s="22"/>
      <c r="C1325" s="21"/>
      <c r="D1325" s="21"/>
      <c r="E1325" s="28"/>
      <c r="F1325" s="24"/>
      <c r="G1325" s="26"/>
      <c r="H1325" s="24"/>
      <c r="I1325" s="24"/>
      <c r="J1325" s="24"/>
      <c r="K1325" s="24"/>
      <c r="L1325" s="26"/>
      <c r="M1325" s="26"/>
      <c r="N1325" s="22"/>
      <c r="O1325" s="21"/>
      <c r="P1325" s="22"/>
      <c r="Q1325" s="29" t="str">
        <f aca="false">IF(C1325="","",IF(O1325&lt;&gt;"",O1325,IFERROR(INDEX(Produk!$J$2:$J$100,MATCH(C1325,Produk!$A$2:$A$100,0)),"PRODUK?")))</f>
        <v/>
      </c>
      <c r="R1325" s="29" t="str">
        <f aca="false">IF(A1325="","",IF(COUNTIF(Anggota!$A$2:$A$2001,A1325)=0,"TIDAK ADA","OK"))</f>
        <v/>
      </c>
      <c r="S1325" s="29" t="str">
        <f aca="false">IF(H1325="","",IF(OR(J1325="",L1325=""),"-",IF(ABS(H1325-J1325*L1325)&gt;Info_Koperasi!$C$10,"SELISIH","OK")))</f>
        <v/>
      </c>
    </row>
    <row r="1326" customFormat="false" ht="15" hidden="false" customHeight="false" outlineLevel="0" collapsed="false">
      <c r="A1326" s="21"/>
      <c r="B1326" s="22"/>
      <c r="C1326" s="21"/>
      <c r="D1326" s="21"/>
      <c r="E1326" s="28"/>
      <c r="F1326" s="24"/>
      <c r="G1326" s="26"/>
      <c r="H1326" s="24"/>
      <c r="I1326" s="24"/>
      <c r="J1326" s="24"/>
      <c r="K1326" s="24"/>
      <c r="L1326" s="26"/>
      <c r="M1326" s="26"/>
      <c r="N1326" s="22"/>
      <c r="O1326" s="21"/>
      <c r="P1326" s="22"/>
      <c r="Q1326" s="29" t="str">
        <f aca="false">IF(C1326="","",IF(O1326&lt;&gt;"",O1326,IFERROR(INDEX(Produk!$J$2:$J$100,MATCH(C1326,Produk!$A$2:$A$100,0)),"PRODUK?")))</f>
        <v/>
      </c>
      <c r="R1326" s="29" t="str">
        <f aca="false">IF(A1326="","",IF(COUNTIF(Anggota!$A$2:$A$2001,A1326)=0,"TIDAK ADA","OK"))</f>
        <v/>
      </c>
      <c r="S1326" s="29" t="str">
        <f aca="false">IF(H1326="","",IF(OR(J1326="",L1326=""),"-",IF(ABS(H1326-J1326*L1326)&gt;Info_Koperasi!$C$10,"SELISIH","OK")))</f>
        <v/>
      </c>
    </row>
    <row r="1327" customFormat="false" ht="15" hidden="false" customHeight="false" outlineLevel="0" collapsed="false">
      <c r="A1327" s="21"/>
      <c r="B1327" s="22"/>
      <c r="C1327" s="21"/>
      <c r="D1327" s="21"/>
      <c r="E1327" s="28"/>
      <c r="F1327" s="24"/>
      <c r="G1327" s="26"/>
      <c r="H1327" s="24"/>
      <c r="I1327" s="24"/>
      <c r="J1327" s="24"/>
      <c r="K1327" s="24"/>
      <c r="L1327" s="26"/>
      <c r="M1327" s="26"/>
      <c r="N1327" s="22"/>
      <c r="O1327" s="21"/>
      <c r="P1327" s="22"/>
      <c r="Q1327" s="29" t="str">
        <f aca="false">IF(C1327="","",IF(O1327&lt;&gt;"",O1327,IFERROR(INDEX(Produk!$J$2:$J$100,MATCH(C1327,Produk!$A$2:$A$100,0)),"PRODUK?")))</f>
        <v/>
      </c>
      <c r="R1327" s="29" t="str">
        <f aca="false">IF(A1327="","",IF(COUNTIF(Anggota!$A$2:$A$2001,A1327)=0,"TIDAK ADA","OK"))</f>
        <v/>
      </c>
      <c r="S1327" s="29" t="str">
        <f aca="false">IF(H1327="","",IF(OR(J1327="",L1327=""),"-",IF(ABS(H1327-J1327*L1327)&gt;Info_Koperasi!$C$10,"SELISIH","OK")))</f>
        <v/>
      </c>
    </row>
    <row r="1328" customFormat="false" ht="15" hidden="false" customHeight="false" outlineLevel="0" collapsed="false">
      <c r="A1328" s="21"/>
      <c r="B1328" s="22"/>
      <c r="C1328" s="21"/>
      <c r="D1328" s="21"/>
      <c r="E1328" s="28"/>
      <c r="F1328" s="24"/>
      <c r="G1328" s="26"/>
      <c r="H1328" s="24"/>
      <c r="I1328" s="24"/>
      <c r="J1328" s="24"/>
      <c r="K1328" s="24"/>
      <c r="L1328" s="26"/>
      <c r="M1328" s="26"/>
      <c r="N1328" s="22"/>
      <c r="O1328" s="21"/>
      <c r="P1328" s="22"/>
      <c r="Q1328" s="29" t="str">
        <f aca="false">IF(C1328="","",IF(O1328&lt;&gt;"",O1328,IFERROR(INDEX(Produk!$J$2:$J$100,MATCH(C1328,Produk!$A$2:$A$100,0)),"PRODUK?")))</f>
        <v/>
      </c>
      <c r="R1328" s="29" t="str">
        <f aca="false">IF(A1328="","",IF(COUNTIF(Anggota!$A$2:$A$2001,A1328)=0,"TIDAK ADA","OK"))</f>
        <v/>
      </c>
      <c r="S1328" s="29" t="str">
        <f aca="false">IF(H1328="","",IF(OR(J1328="",L1328=""),"-",IF(ABS(H1328-J1328*L1328)&gt;Info_Koperasi!$C$10,"SELISIH","OK")))</f>
        <v/>
      </c>
    </row>
    <row r="1329" customFormat="false" ht="15" hidden="false" customHeight="false" outlineLevel="0" collapsed="false">
      <c r="A1329" s="21"/>
      <c r="B1329" s="22"/>
      <c r="C1329" s="21"/>
      <c r="D1329" s="21"/>
      <c r="E1329" s="28"/>
      <c r="F1329" s="24"/>
      <c r="G1329" s="26"/>
      <c r="H1329" s="24"/>
      <c r="I1329" s="24"/>
      <c r="J1329" s="24"/>
      <c r="K1329" s="24"/>
      <c r="L1329" s="26"/>
      <c r="M1329" s="26"/>
      <c r="N1329" s="22"/>
      <c r="O1329" s="21"/>
      <c r="P1329" s="22"/>
      <c r="Q1329" s="29" t="str">
        <f aca="false">IF(C1329="","",IF(O1329&lt;&gt;"",O1329,IFERROR(INDEX(Produk!$J$2:$J$100,MATCH(C1329,Produk!$A$2:$A$100,0)),"PRODUK?")))</f>
        <v/>
      </c>
      <c r="R1329" s="29" t="str">
        <f aca="false">IF(A1329="","",IF(COUNTIF(Anggota!$A$2:$A$2001,A1329)=0,"TIDAK ADA","OK"))</f>
        <v/>
      </c>
      <c r="S1329" s="29" t="str">
        <f aca="false">IF(H1329="","",IF(OR(J1329="",L1329=""),"-",IF(ABS(H1329-J1329*L1329)&gt;Info_Koperasi!$C$10,"SELISIH","OK")))</f>
        <v/>
      </c>
    </row>
    <row r="1330" customFormat="false" ht="15" hidden="false" customHeight="false" outlineLevel="0" collapsed="false">
      <c r="A1330" s="21"/>
      <c r="B1330" s="22"/>
      <c r="C1330" s="21"/>
      <c r="D1330" s="21"/>
      <c r="E1330" s="28"/>
      <c r="F1330" s="24"/>
      <c r="G1330" s="26"/>
      <c r="H1330" s="24"/>
      <c r="I1330" s="24"/>
      <c r="J1330" s="24"/>
      <c r="K1330" s="24"/>
      <c r="L1330" s="26"/>
      <c r="M1330" s="26"/>
      <c r="N1330" s="22"/>
      <c r="O1330" s="21"/>
      <c r="P1330" s="22"/>
      <c r="Q1330" s="29" t="str">
        <f aca="false">IF(C1330="","",IF(O1330&lt;&gt;"",O1330,IFERROR(INDEX(Produk!$J$2:$J$100,MATCH(C1330,Produk!$A$2:$A$100,0)),"PRODUK?")))</f>
        <v/>
      </c>
      <c r="R1330" s="29" t="str">
        <f aca="false">IF(A1330="","",IF(COUNTIF(Anggota!$A$2:$A$2001,A1330)=0,"TIDAK ADA","OK"))</f>
        <v/>
      </c>
      <c r="S1330" s="29" t="str">
        <f aca="false">IF(H1330="","",IF(OR(J1330="",L1330=""),"-",IF(ABS(H1330-J1330*L1330)&gt;Info_Koperasi!$C$10,"SELISIH","OK")))</f>
        <v/>
      </c>
    </row>
    <row r="1331" customFormat="false" ht="15" hidden="false" customHeight="false" outlineLevel="0" collapsed="false">
      <c r="A1331" s="21"/>
      <c r="B1331" s="22"/>
      <c r="C1331" s="21"/>
      <c r="D1331" s="21"/>
      <c r="E1331" s="28"/>
      <c r="F1331" s="24"/>
      <c r="G1331" s="26"/>
      <c r="H1331" s="24"/>
      <c r="I1331" s="24"/>
      <c r="J1331" s="24"/>
      <c r="K1331" s="24"/>
      <c r="L1331" s="26"/>
      <c r="M1331" s="26"/>
      <c r="N1331" s="22"/>
      <c r="O1331" s="21"/>
      <c r="P1331" s="22"/>
      <c r="Q1331" s="29" t="str">
        <f aca="false">IF(C1331="","",IF(O1331&lt;&gt;"",O1331,IFERROR(INDEX(Produk!$J$2:$J$100,MATCH(C1331,Produk!$A$2:$A$100,0)),"PRODUK?")))</f>
        <v/>
      </c>
      <c r="R1331" s="29" t="str">
        <f aca="false">IF(A1331="","",IF(COUNTIF(Anggota!$A$2:$A$2001,A1331)=0,"TIDAK ADA","OK"))</f>
        <v/>
      </c>
      <c r="S1331" s="29" t="str">
        <f aca="false">IF(H1331="","",IF(OR(J1331="",L1331=""),"-",IF(ABS(H1331-J1331*L1331)&gt;Info_Koperasi!$C$10,"SELISIH","OK")))</f>
        <v/>
      </c>
    </row>
    <row r="1332" customFormat="false" ht="15" hidden="false" customHeight="false" outlineLevel="0" collapsed="false">
      <c r="A1332" s="21"/>
      <c r="B1332" s="22"/>
      <c r="C1332" s="21"/>
      <c r="D1332" s="21"/>
      <c r="E1332" s="28"/>
      <c r="F1332" s="24"/>
      <c r="G1332" s="26"/>
      <c r="H1332" s="24"/>
      <c r="I1332" s="24"/>
      <c r="J1332" s="24"/>
      <c r="K1332" s="24"/>
      <c r="L1332" s="26"/>
      <c r="M1332" s="26"/>
      <c r="N1332" s="22"/>
      <c r="O1332" s="21"/>
      <c r="P1332" s="22"/>
      <c r="Q1332" s="29" t="str">
        <f aca="false">IF(C1332="","",IF(O1332&lt;&gt;"",O1332,IFERROR(INDEX(Produk!$J$2:$J$100,MATCH(C1332,Produk!$A$2:$A$100,0)),"PRODUK?")))</f>
        <v/>
      </c>
      <c r="R1332" s="29" t="str">
        <f aca="false">IF(A1332="","",IF(COUNTIF(Anggota!$A$2:$A$2001,A1332)=0,"TIDAK ADA","OK"))</f>
        <v/>
      </c>
      <c r="S1332" s="29" t="str">
        <f aca="false">IF(H1332="","",IF(OR(J1332="",L1332=""),"-",IF(ABS(H1332-J1332*L1332)&gt;Info_Koperasi!$C$10,"SELISIH","OK")))</f>
        <v/>
      </c>
    </row>
    <row r="1333" customFormat="false" ht="15" hidden="false" customHeight="false" outlineLevel="0" collapsed="false">
      <c r="A1333" s="21"/>
      <c r="B1333" s="22"/>
      <c r="C1333" s="21"/>
      <c r="D1333" s="21"/>
      <c r="E1333" s="28"/>
      <c r="F1333" s="24"/>
      <c r="G1333" s="26"/>
      <c r="H1333" s="24"/>
      <c r="I1333" s="24"/>
      <c r="J1333" s="24"/>
      <c r="K1333" s="24"/>
      <c r="L1333" s="26"/>
      <c r="M1333" s="26"/>
      <c r="N1333" s="22"/>
      <c r="O1333" s="21"/>
      <c r="P1333" s="22"/>
      <c r="Q1333" s="29" t="str">
        <f aca="false">IF(C1333="","",IF(O1333&lt;&gt;"",O1333,IFERROR(INDEX(Produk!$J$2:$J$100,MATCH(C1333,Produk!$A$2:$A$100,0)),"PRODUK?")))</f>
        <v/>
      </c>
      <c r="R1333" s="29" t="str">
        <f aca="false">IF(A1333="","",IF(COUNTIF(Anggota!$A$2:$A$2001,A1333)=0,"TIDAK ADA","OK"))</f>
        <v/>
      </c>
      <c r="S1333" s="29" t="str">
        <f aca="false">IF(H1333="","",IF(OR(J1333="",L1333=""),"-",IF(ABS(H1333-J1333*L1333)&gt;Info_Koperasi!$C$10,"SELISIH","OK")))</f>
        <v/>
      </c>
    </row>
    <row r="1334" customFormat="false" ht="15" hidden="false" customHeight="false" outlineLevel="0" collapsed="false">
      <c r="A1334" s="21"/>
      <c r="B1334" s="22"/>
      <c r="C1334" s="21"/>
      <c r="D1334" s="21"/>
      <c r="E1334" s="28"/>
      <c r="F1334" s="24"/>
      <c r="G1334" s="26"/>
      <c r="H1334" s="24"/>
      <c r="I1334" s="24"/>
      <c r="J1334" s="24"/>
      <c r="K1334" s="24"/>
      <c r="L1334" s="26"/>
      <c r="M1334" s="26"/>
      <c r="N1334" s="22"/>
      <c r="O1334" s="21"/>
      <c r="P1334" s="22"/>
      <c r="Q1334" s="29" t="str">
        <f aca="false">IF(C1334="","",IF(O1334&lt;&gt;"",O1334,IFERROR(INDEX(Produk!$J$2:$J$100,MATCH(C1334,Produk!$A$2:$A$100,0)),"PRODUK?")))</f>
        <v/>
      </c>
      <c r="R1334" s="29" t="str">
        <f aca="false">IF(A1334="","",IF(COUNTIF(Anggota!$A$2:$A$2001,A1334)=0,"TIDAK ADA","OK"))</f>
        <v/>
      </c>
      <c r="S1334" s="29" t="str">
        <f aca="false">IF(H1334="","",IF(OR(J1334="",L1334=""),"-",IF(ABS(H1334-J1334*L1334)&gt;Info_Koperasi!$C$10,"SELISIH","OK")))</f>
        <v/>
      </c>
    </row>
    <row r="1335" customFormat="false" ht="15" hidden="false" customHeight="false" outlineLevel="0" collapsed="false">
      <c r="A1335" s="21"/>
      <c r="B1335" s="22"/>
      <c r="C1335" s="21"/>
      <c r="D1335" s="21"/>
      <c r="E1335" s="28"/>
      <c r="F1335" s="24"/>
      <c r="G1335" s="26"/>
      <c r="H1335" s="24"/>
      <c r="I1335" s="24"/>
      <c r="J1335" s="24"/>
      <c r="K1335" s="24"/>
      <c r="L1335" s="26"/>
      <c r="M1335" s="26"/>
      <c r="N1335" s="22"/>
      <c r="O1335" s="21"/>
      <c r="P1335" s="22"/>
      <c r="Q1335" s="29" t="str">
        <f aca="false">IF(C1335="","",IF(O1335&lt;&gt;"",O1335,IFERROR(INDEX(Produk!$J$2:$J$100,MATCH(C1335,Produk!$A$2:$A$100,0)),"PRODUK?")))</f>
        <v/>
      </c>
      <c r="R1335" s="29" t="str">
        <f aca="false">IF(A1335="","",IF(COUNTIF(Anggota!$A$2:$A$2001,A1335)=0,"TIDAK ADA","OK"))</f>
        <v/>
      </c>
      <c r="S1335" s="29" t="str">
        <f aca="false">IF(H1335="","",IF(OR(J1335="",L1335=""),"-",IF(ABS(H1335-J1335*L1335)&gt;Info_Koperasi!$C$10,"SELISIH","OK")))</f>
        <v/>
      </c>
    </row>
    <row r="1336" customFormat="false" ht="15" hidden="false" customHeight="false" outlineLevel="0" collapsed="false">
      <c r="A1336" s="21"/>
      <c r="B1336" s="22"/>
      <c r="C1336" s="21"/>
      <c r="D1336" s="21"/>
      <c r="E1336" s="28"/>
      <c r="F1336" s="24"/>
      <c r="G1336" s="26"/>
      <c r="H1336" s="24"/>
      <c r="I1336" s="24"/>
      <c r="J1336" s="24"/>
      <c r="K1336" s="24"/>
      <c r="L1336" s="26"/>
      <c r="M1336" s="26"/>
      <c r="N1336" s="22"/>
      <c r="O1336" s="21"/>
      <c r="P1336" s="22"/>
      <c r="Q1336" s="29" t="str">
        <f aca="false">IF(C1336="","",IF(O1336&lt;&gt;"",O1336,IFERROR(INDEX(Produk!$J$2:$J$100,MATCH(C1336,Produk!$A$2:$A$100,0)),"PRODUK?")))</f>
        <v/>
      </c>
      <c r="R1336" s="29" t="str">
        <f aca="false">IF(A1336="","",IF(COUNTIF(Anggota!$A$2:$A$2001,A1336)=0,"TIDAK ADA","OK"))</f>
        <v/>
      </c>
      <c r="S1336" s="29" t="str">
        <f aca="false">IF(H1336="","",IF(OR(J1336="",L1336=""),"-",IF(ABS(H1336-J1336*L1336)&gt;Info_Koperasi!$C$10,"SELISIH","OK")))</f>
        <v/>
      </c>
    </row>
    <row r="1337" customFormat="false" ht="15" hidden="false" customHeight="false" outlineLevel="0" collapsed="false">
      <c r="A1337" s="21"/>
      <c r="B1337" s="22"/>
      <c r="C1337" s="21"/>
      <c r="D1337" s="21"/>
      <c r="E1337" s="28"/>
      <c r="F1337" s="24"/>
      <c r="G1337" s="26"/>
      <c r="H1337" s="24"/>
      <c r="I1337" s="24"/>
      <c r="J1337" s="24"/>
      <c r="K1337" s="24"/>
      <c r="L1337" s="26"/>
      <c r="M1337" s="26"/>
      <c r="N1337" s="22"/>
      <c r="O1337" s="21"/>
      <c r="P1337" s="22"/>
      <c r="Q1337" s="29" t="str">
        <f aca="false">IF(C1337="","",IF(O1337&lt;&gt;"",O1337,IFERROR(INDEX(Produk!$J$2:$J$100,MATCH(C1337,Produk!$A$2:$A$100,0)),"PRODUK?")))</f>
        <v/>
      </c>
      <c r="R1337" s="29" t="str">
        <f aca="false">IF(A1337="","",IF(COUNTIF(Anggota!$A$2:$A$2001,A1337)=0,"TIDAK ADA","OK"))</f>
        <v/>
      </c>
      <c r="S1337" s="29" t="str">
        <f aca="false">IF(H1337="","",IF(OR(J1337="",L1337=""),"-",IF(ABS(H1337-J1337*L1337)&gt;Info_Koperasi!$C$10,"SELISIH","OK")))</f>
        <v/>
      </c>
    </row>
    <row r="1338" customFormat="false" ht="15" hidden="false" customHeight="false" outlineLevel="0" collapsed="false">
      <c r="A1338" s="21"/>
      <c r="B1338" s="22"/>
      <c r="C1338" s="21"/>
      <c r="D1338" s="21"/>
      <c r="E1338" s="28"/>
      <c r="F1338" s="24"/>
      <c r="G1338" s="26"/>
      <c r="H1338" s="24"/>
      <c r="I1338" s="24"/>
      <c r="J1338" s="24"/>
      <c r="K1338" s="24"/>
      <c r="L1338" s="26"/>
      <c r="M1338" s="26"/>
      <c r="N1338" s="22"/>
      <c r="O1338" s="21"/>
      <c r="P1338" s="22"/>
      <c r="Q1338" s="29" t="str">
        <f aca="false">IF(C1338="","",IF(O1338&lt;&gt;"",O1338,IFERROR(INDEX(Produk!$J$2:$J$100,MATCH(C1338,Produk!$A$2:$A$100,0)),"PRODUK?")))</f>
        <v/>
      </c>
      <c r="R1338" s="29" t="str">
        <f aca="false">IF(A1338="","",IF(COUNTIF(Anggota!$A$2:$A$2001,A1338)=0,"TIDAK ADA","OK"))</f>
        <v/>
      </c>
      <c r="S1338" s="29" t="str">
        <f aca="false">IF(H1338="","",IF(OR(J1338="",L1338=""),"-",IF(ABS(H1338-J1338*L1338)&gt;Info_Koperasi!$C$10,"SELISIH","OK")))</f>
        <v/>
      </c>
    </row>
    <row r="1339" customFormat="false" ht="15" hidden="false" customHeight="false" outlineLevel="0" collapsed="false">
      <c r="A1339" s="21"/>
      <c r="B1339" s="22"/>
      <c r="C1339" s="21"/>
      <c r="D1339" s="21"/>
      <c r="E1339" s="28"/>
      <c r="F1339" s="24"/>
      <c r="G1339" s="26"/>
      <c r="H1339" s="24"/>
      <c r="I1339" s="24"/>
      <c r="J1339" s="24"/>
      <c r="K1339" s="24"/>
      <c r="L1339" s="26"/>
      <c r="M1339" s="26"/>
      <c r="N1339" s="22"/>
      <c r="O1339" s="21"/>
      <c r="P1339" s="22"/>
      <c r="Q1339" s="29" t="str">
        <f aca="false">IF(C1339="","",IF(O1339&lt;&gt;"",O1339,IFERROR(INDEX(Produk!$J$2:$J$100,MATCH(C1339,Produk!$A$2:$A$100,0)),"PRODUK?")))</f>
        <v/>
      </c>
      <c r="R1339" s="29" t="str">
        <f aca="false">IF(A1339="","",IF(COUNTIF(Anggota!$A$2:$A$2001,A1339)=0,"TIDAK ADA","OK"))</f>
        <v/>
      </c>
      <c r="S1339" s="29" t="str">
        <f aca="false">IF(H1339="","",IF(OR(J1339="",L1339=""),"-",IF(ABS(H1339-J1339*L1339)&gt;Info_Koperasi!$C$10,"SELISIH","OK")))</f>
        <v/>
      </c>
    </row>
    <row r="1340" customFormat="false" ht="15" hidden="false" customHeight="false" outlineLevel="0" collapsed="false">
      <c r="A1340" s="21"/>
      <c r="B1340" s="22"/>
      <c r="C1340" s="21"/>
      <c r="D1340" s="21"/>
      <c r="E1340" s="28"/>
      <c r="F1340" s="24"/>
      <c r="G1340" s="26"/>
      <c r="H1340" s="24"/>
      <c r="I1340" s="24"/>
      <c r="J1340" s="24"/>
      <c r="K1340" s="24"/>
      <c r="L1340" s="26"/>
      <c r="M1340" s="26"/>
      <c r="N1340" s="22"/>
      <c r="O1340" s="21"/>
      <c r="P1340" s="22"/>
      <c r="Q1340" s="29" t="str">
        <f aca="false">IF(C1340="","",IF(O1340&lt;&gt;"",O1340,IFERROR(INDEX(Produk!$J$2:$J$100,MATCH(C1340,Produk!$A$2:$A$100,0)),"PRODUK?")))</f>
        <v/>
      </c>
      <c r="R1340" s="29" t="str">
        <f aca="false">IF(A1340="","",IF(COUNTIF(Anggota!$A$2:$A$2001,A1340)=0,"TIDAK ADA","OK"))</f>
        <v/>
      </c>
      <c r="S1340" s="29" t="str">
        <f aca="false">IF(H1340="","",IF(OR(J1340="",L1340=""),"-",IF(ABS(H1340-J1340*L1340)&gt;Info_Koperasi!$C$10,"SELISIH","OK")))</f>
        <v/>
      </c>
    </row>
    <row r="1341" customFormat="false" ht="15" hidden="false" customHeight="false" outlineLevel="0" collapsed="false">
      <c r="A1341" s="21"/>
      <c r="B1341" s="22"/>
      <c r="C1341" s="21"/>
      <c r="D1341" s="21"/>
      <c r="E1341" s="28"/>
      <c r="F1341" s="24"/>
      <c r="G1341" s="26"/>
      <c r="H1341" s="24"/>
      <c r="I1341" s="24"/>
      <c r="J1341" s="24"/>
      <c r="K1341" s="24"/>
      <c r="L1341" s="26"/>
      <c r="M1341" s="26"/>
      <c r="N1341" s="22"/>
      <c r="O1341" s="21"/>
      <c r="P1341" s="22"/>
      <c r="Q1341" s="29" t="str">
        <f aca="false">IF(C1341="","",IF(O1341&lt;&gt;"",O1341,IFERROR(INDEX(Produk!$J$2:$J$100,MATCH(C1341,Produk!$A$2:$A$100,0)),"PRODUK?")))</f>
        <v/>
      </c>
      <c r="R1341" s="29" t="str">
        <f aca="false">IF(A1341="","",IF(COUNTIF(Anggota!$A$2:$A$2001,A1341)=0,"TIDAK ADA","OK"))</f>
        <v/>
      </c>
      <c r="S1341" s="29" t="str">
        <f aca="false">IF(H1341="","",IF(OR(J1341="",L1341=""),"-",IF(ABS(H1341-J1341*L1341)&gt;Info_Koperasi!$C$10,"SELISIH","OK")))</f>
        <v/>
      </c>
    </row>
    <row r="1342" customFormat="false" ht="15" hidden="false" customHeight="false" outlineLevel="0" collapsed="false">
      <c r="A1342" s="21"/>
      <c r="B1342" s="22"/>
      <c r="C1342" s="21"/>
      <c r="D1342" s="21"/>
      <c r="E1342" s="28"/>
      <c r="F1342" s="24"/>
      <c r="G1342" s="26"/>
      <c r="H1342" s="24"/>
      <c r="I1342" s="24"/>
      <c r="J1342" s="24"/>
      <c r="K1342" s="24"/>
      <c r="L1342" s="26"/>
      <c r="M1342" s="26"/>
      <c r="N1342" s="22"/>
      <c r="O1342" s="21"/>
      <c r="P1342" s="22"/>
      <c r="Q1342" s="29" t="str">
        <f aca="false">IF(C1342="","",IF(O1342&lt;&gt;"",O1342,IFERROR(INDEX(Produk!$J$2:$J$100,MATCH(C1342,Produk!$A$2:$A$100,0)),"PRODUK?")))</f>
        <v/>
      </c>
      <c r="R1342" s="29" t="str">
        <f aca="false">IF(A1342="","",IF(COUNTIF(Anggota!$A$2:$A$2001,A1342)=0,"TIDAK ADA","OK"))</f>
        <v/>
      </c>
      <c r="S1342" s="29" t="str">
        <f aca="false">IF(H1342="","",IF(OR(J1342="",L1342=""),"-",IF(ABS(H1342-J1342*L1342)&gt;Info_Koperasi!$C$10,"SELISIH","OK")))</f>
        <v/>
      </c>
    </row>
    <row r="1343" customFormat="false" ht="15" hidden="false" customHeight="false" outlineLevel="0" collapsed="false">
      <c r="A1343" s="21"/>
      <c r="B1343" s="22"/>
      <c r="C1343" s="21"/>
      <c r="D1343" s="21"/>
      <c r="E1343" s="28"/>
      <c r="F1343" s="24"/>
      <c r="G1343" s="26"/>
      <c r="H1343" s="24"/>
      <c r="I1343" s="24"/>
      <c r="J1343" s="24"/>
      <c r="K1343" s="24"/>
      <c r="L1343" s="26"/>
      <c r="M1343" s="26"/>
      <c r="N1343" s="22"/>
      <c r="O1343" s="21"/>
      <c r="P1343" s="22"/>
      <c r="Q1343" s="29" t="str">
        <f aca="false">IF(C1343="","",IF(O1343&lt;&gt;"",O1343,IFERROR(INDEX(Produk!$J$2:$J$100,MATCH(C1343,Produk!$A$2:$A$100,0)),"PRODUK?")))</f>
        <v/>
      </c>
      <c r="R1343" s="29" t="str">
        <f aca="false">IF(A1343="","",IF(COUNTIF(Anggota!$A$2:$A$2001,A1343)=0,"TIDAK ADA","OK"))</f>
        <v/>
      </c>
      <c r="S1343" s="29" t="str">
        <f aca="false">IF(H1343="","",IF(OR(J1343="",L1343=""),"-",IF(ABS(H1343-J1343*L1343)&gt;Info_Koperasi!$C$10,"SELISIH","OK")))</f>
        <v/>
      </c>
    </row>
    <row r="1344" customFormat="false" ht="15" hidden="false" customHeight="false" outlineLevel="0" collapsed="false">
      <c r="A1344" s="21"/>
      <c r="B1344" s="22"/>
      <c r="C1344" s="21"/>
      <c r="D1344" s="21"/>
      <c r="E1344" s="28"/>
      <c r="F1344" s="24"/>
      <c r="G1344" s="26"/>
      <c r="H1344" s="24"/>
      <c r="I1344" s="24"/>
      <c r="J1344" s="24"/>
      <c r="K1344" s="24"/>
      <c r="L1344" s="26"/>
      <c r="M1344" s="26"/>
      <c r="N1344" s="22"/>
      <c r="O1344" s="21"/>
      <c r="P1344" s="22"/>
      <c r="Q1344" s="29" t="str">
        <f aca="false">IF(C1344="","",IF(O1344&lt;&gt;"",O1344,IFERROR(INDEX(Produk!$J$2:$J$100,MATCH(C1344,Produk!$A$2:$A$100,0)),"PRODUK?")))</f>
        <v/>
      </c>
      <c r="R1344" s="29" t="str">
        <f aca="false">IF(A1344="","",IF(COUNTIF(Anggota!$A$2:$A$2001,A1344)=0,"TIDAK ADA","OK"))</f>
        <v/>
      </c>
      <c r="S1344" s="29" t="str">
        <f aca="false">IF(H1344="","",IF(OR(J1344="",L1344=""),"-",IF(ABS(H1344-J1344*L1344)&gt;Info_Koperasi!$C$10,"SELISIH","OK")))</f>
        <v/>
      </c>
    </row>
    <row r="1345" customFormat="false" ht="15" hidden="false" customHeight="false" outlineLevel="0" collapsed="false">
      <c r="A1345" s="21"/>
      <c r="B1345" s="22"/>
      <c r="C1345" s="21"/>
      <c r="D1345" s="21"/>
      <c r="E1345" s="28"/>
      <c r="F1345" s="24"/>
      <c r="G1345" s="26"/>
      <c r="H1345" s="24"/>
      <c r="I1345" s="24"/>
      <c r="J1345" s="24"/>
      <c r="K1345" s="24"/>
      <c r="L1345" s="26"/>
      <c r="M1345" s="26"/>
      <c r="N1345" s="22"/>
      <c r="O1345" s="21"/>
      <c r="P1345" s="22"/>
      <c r="Q1345" s="29" t="str">
        <f aca="false">IF(C1345="","",IF(O1345&lt;&gt;"",O1345,IFERROR(INDEX(Produk!$J$2:$J$100,MATCH(C1345,Produk!$A$2:$A$100,0)),"PRODUK?")))</f>
        <v/>
      </c>
      <c r="R1345" s="29" t="str">
        <f aca="false">IF(A1345="","",IF(COUNTIF(Anggota!$A$2:$A$2001,A1345)=0,"TIDAK ADA","OK"))</f>
        <v/>
      </c>
      <c r="S1345" s="29" t="str">
        <f aca="false">IF(H1345="","",IF(OR(J1345="",L1345=""),"-",IF(ABS(H1345-J1345*L1345)&gt;Info_Koperasi!$C$10,"SELISIH","OK")))</f>
        <v/>
      </c>
    </row>
    <row r="1346" customFormat="false" ht="15" hidden="false" customHeight="false" outlineLevel="0" collapsed="false">
      <c r="A1346" s="21"/>
      <c r="B1346" s="22"/>
      <c r="C1346" s="21"/>
      <c r="D1346" s="21"/>
      <c r="E1346" s="28"/>
      <c r="F1346" s="24"/>
      <c r="G1346" s="26"/>
      <c r="H1346" s="24"/>
      <c r="I1346" s="24"/>
      <c r="J1346" s="24"/>
      <c r="K1346" s="24"/>
      <c r="L1346" s="26"/>
      <c r="M1346" s="26"/>
      <c r="N1346" s="22"/>
      <c r="O1346" s="21"/>
      <c r="P1346" s="22"/>
      <c r="Q1346" s="29" t="str">
        <f aca="false">IF(C1346="","",IF(O1346&lt;&gt;"",O1346,IFERROR(INDEX(Produk!$J$2:$J$100,MATCH(C1346,Produk!$A$2:$A$100,0)),"PRODUK?")))</f>
        <v/>
      </c>
      <c r="R1346" s="29" t="str">
        <f aca="false">IF(A1346="","",IF(COUNTIF(Anggota!$A$2:$A$2001,A1346)=0,"TIDAK ADA","OK"))</f>
        <v/>
      </c>
      <c r="S1346" s="29" t="str">
        <f aca="false">IF(H1346="","",IF(OR(J1346="",L1346=""),"-",IF(ABS(H1346-J1346*L1346)&gt;Info_Koperasi!$C$10,"SELISIH","OK")))</f>
        <v/>
      </c>
    </row>
    <row r="1347" customFormat="false" ht="15" hidden="false" customHeight="false" outlineLevel="0" collapsed="false">
      <c r="A1347" s="21"/>
      <c r="B1347" s="22"/>
      <c r="C1347" s="21"/>
      <c r="D1347" s="21"/>
      <c r="E1347" s="28"/>
      <c r="F1347" s="24"/>
      <c r="G1347" s="26"/>
      <c r="H1347" s="24"/>
      <c r="I1347" s="24"/>
      <c r="J1347" s="24"/>
      <c r="K1347" s="24"/>
      <c r="L1347" s="26"/>
      <c r="M1347" s="26"/>
      <c r="N1347" s="22"/>
      <c r="O1347" s="21"/>
      <c r="P1347" s="22"/>
      <c r="Q1347" s="29" t="str">
        <f aca="false">IF(C1347="","",IF(O1347&lt;&gt;"",O1347,IFERROR(INDEX(Produk!$J$2:$J$100,MATCH(C1347,Produk!$A$2:$A$100,0)),"PRODUK?")))</f>
        <v/>
      </c>
      <c r="R1347" s="29" t="str">
        <f aca="false">IF(A1347="","",IF(COUNTIF(Anggota!$A$2:$A$2001,A1347)=0,"TIDAK ADA","OK"))</f>
        <v/>
      </c>
      <c r="S1347" s="29" t="str">
        <f aca="false">IF(H1347="","",IF(OR(J1347="",L1347=""),"-",IF(ABS(H1347-J1347*L1347)&gt;Info_Koperasi!$C$10,"SELISIH","OK")))</f>
        <v/>
      </c>
    </row>
    <row r="1348" customFormat="false" ht="15" hidden="false" customHeight="false" outlineLevel="0" collapsed="false">
      <c r="A1348" s="21"/>
      <c r="B1348" s="22"/>
      <c r="C1348" s="21"/>
      <c r="D1348" s="21"/>
      <c r="E1348" s="28"/>
      <c r="F1348" s="24"/>
      <c r="G1348" s="26"/>
      <c r="H1348" s="24"/>
      <c r="I1348" s="24"/>
      <c r="J1348" s="24"/>
      <c r="K1348" s="24"/>
      <c r="L1348" s="26"/>
      <c r="M1348" s="26"/>
      <c r="N1348" s="22"/>
      <c r="O1348" s="21"/>
      <c r="P1348" s="22"/>
      <c r="Q1348" s="29" t="str">
        <f aca="false">IF(C1348="","",IF(O1348&lt;&gt;"",O1348,IFERROR(INDEX(Produk!$J$2:$J$100,MATCH(C1348,Produk!$A$2:$A$100,0)),"PRODUK?")))</f>
        <v/>
      </c>
      <c r="R1348" s="29" t="str">
        <f aca="false">IF(A1348="","",IF(COUNTIF(Anggota!$A$2:$A$2001,A1348)=0,"TIDAK ADA","OK"))</f>
        <v/>
      </c>
      <c r="S1348" s="29" t="str">
        <f aca="false">IF(H1348="","",IF(OR(J1348="",L1348=""),"-",IF(ABS(H1348-J1348*L1348)&gt;Info_Koperasi!$C$10,"SELISIH","OK")))</f>
        <v/>
      </c>
    </row>
    <row r="1349" customFormat="false" ht="15" hidden="false" customHeight="false" outlineLevel="0" collapsed="false">
      <c r="A1349" s="21"/>
      <c r="B1349" s="22"/>
      <c r="C1349" s="21"/>
      <c r="D1349" s="21"/>
      <c r="E1349" s="28"/>
      <c r="F1349" s="24"/>
      <c r="G1349" s="26"/>
      <c r="H1349" s="24"/>
      <c r="I1349" s="24"/>
      <c r="J1349" s="24"/>
      <c r="K1349" s="24"/>
      <c r="L1349" s="26"/>
      <c r="M1349" s="26"/>
      <c r="N1349" s="22"/>
      <c r="O1349" s="21"/>
      <c r="P1349" s="22"/>
      <c r="Q1349" s="29" t="str">
        <f aca="false">IF(C1349="","",IF(O1349&lt;&gt;"",O1349,IFERROR(INDEX(Produk!$J$2:$J$100,MATCH(C1349,Produk!$A$2:$A$100,0)),"PRODUK?")))</f>
        <v/>
      </c>
      <c r="R1349" s="29" t="str">
        <f aca="false">IF(A1349="","",IF(COUNTIF(Anggota!$A$2:$A$2001,A1349)=0,"TIDAK ADA","OK"))</f>
        <v/>
      </c>
      <c r="S1349" s="29" t="str">
        <f aca="false">IF(H1349="","",IF(OR(J1349="",L1349=""),"-",IF(ABS(H1349-J1349*L1349)&gt;Info_Koperasi!$C$10,"SELISIH","OK")))</f>
        <v/>
      </c>
    </row>
    <row r="1350" customFormat="false" ht="15" hidden="false" customHeight="false" outlineLevel="0" collapsed="false">
      <c r="A1350" s="21"/>
      <c r="B1350" s="22"/>
      <c r="C1350" s="21"/>
      <c r="D1350" s="21"/>
      <c r="E1350" s="28"/>
      <c r="F1350" s="24"/>
      <c r="G1350" s="26"/>
      <c r="H1350" s="24"/>
      <c r="I1350" s="24"/>
      <c r="J1350" s="24"/>
      <c r="K1350" s="24"/>
      <c r="L1350" s="26"/>
      <c r="M1350" s="26"/>
      <c r="N1350" s="22"/>
      <c r="O1350" s="21"/>
      <c r="P1350" s="22"/>
      <c r="Q1350" s="29" t="str">
        <f aca="false">IF(C1350="","",IF(O1350&lt;&gt;"",O1350,IFERROR(INDEX(Produk!$J$2:$J$100,MATCH(C1350,Produk!$A$2:$A$100,0)),"PRODUK?")))</f>
        <v/>
      </c>
      <c r="R1350" s="29" t="str">
        <f aca="false">IF(A1350="","",IF(COUNTIF(Anggota!$A$2:$A$2001,A1350)=0,"TIDAK ADA","OK"))</f>
        <v/>
      </c>
      <c r="S1350" s="29" t="str">
        <f aca="false">IF(H1350="","",IF(OR(J1350="",L1350=""),"-",IF(ABS(H1350-J1350*L1350)&gt;Info_Koperasi!$C$10,"SELISIH","OK")))</f>
        <v/>
      </c>
    </row>
    <row r="1351" customFormat="false" ht="15" hidden="false" customHeight="false" outlineLevel="0" collapsed="false">
      <c r="A1351" s="21"/>
      <c r="B1351" s="22"/>
      <c r="C1351" s="21"/>
      <c r="D1351" s="21"/>
      <c r="E1351" s="28"/>
      <c r="F1351" s="24"/>
      <c r="G1351" s="26"/>
      <c r="H1351" s="24"/>
      <c r="I1351" s="24"/>
      <c r="J1351" s="24"/>
      <c r="K1351" s="24"/>
      <c r="L1351" s="26"/>
      <c r="M1351" s="26"/>
      <c r="N1351" s="22"/>
      <c r="O1351" s="21"/>
      <c r="P1351" s="22"/>
      <c r="Q1351" s="29" t="str">
        <f aca="false">IF(C1351="","",IF(O1351&lt;&gt;"",O1351,IFERROR(INDEX(Produk!$J$2:$J$100,MATCH(C1351,Produk!$A$2:$A$100,0)),"PRODUK?")))</f>
        <v/>
      </c>
      <c r="R1351" s="29" t="str">
        <f aca="false">IF(A1351="","",IF(COUNTIF(Anggota!$A$2:$A$2001,A1351)=0,"TIDAK ADA","OK"))</f>
        <v/>
      </c>
      <c r="S1351" s="29" t="str">
        <f aca="false">IF(H1351="","",IF(OR(J1351="",L1351=""),"-",IF(ABS(H1351-J1351*L1351)&gt;Info_Koperasi!$C$10,"SELISIH","OK")))</f>
        <v/>
      </c>
    </row>
    <row r="1352" customFormat="false" ht="15" hidden="false" customHeight="false" outlineLevel="0" collapsed="false">
      <c r="A1352" s="21"/>
      <c r="B1352" s="22"/>
      <c r="C1352" s="21"/>
      <c r="D1352" s="21"/>
      <c r="E1352" s="28"/>
      <c r="F1352" s="24"/>
      <c r="G1352" s="26"/>
      <c r="H1352" s="24"/>
      <c r="I1352" s="24"/>
      <c r="J1352" s="24"/>
      <c r="K1352" s="24"/>
      <c r="L1352" s="26"/>
      <c r="M1352" s="26"/>
      <c r="N1352" s="22"/>
      <c r="O1352" s="21"/>
      <c r="P1352" s="22"/>
      <c r="Q1352" s="29" t="str">
        <f aca="false">IF(C1352="","",IF(O1352&lt;&gt;"",O1352,IFERROR(INDEX(Produk!$J$2:$J$100,MATCH(C1352,Produk!$A$2:$A$100,0)),"PRODUK?")))</f>
        <v/>
      </c>
      <c r="R1352" s="29" t="str">
        <f aca="false">IF(A1352="","",IF(COUNTIF(Anggota!$A$2:$A$2001,A1352)=0,"TIDAK ADA","OK"))</f>
        <v/>
      </c>
      <c r="S1352" s="29" t="str">
        <f aca="false">IF(H1352="","",IF(OR(J1352="",L1352=""),"-",IF(ABS(H1352-J1352*L1352)&gt;Info_Koperasi!$C$10,"SELISIH","OK")))</f>
        <v/>
      </c>
    </row>
    <row r="1353" customFormat="false" ht="15" hidden="false" customHeight="false" outlineLevel="0" collapsed="false">
      <c r="A1353" s="21"/>
      <c r="B1353" s="22"/>
      <c r="C1353" s="21"/>
      <c r="D1353" s="21"/>
      <c r="E1353" s="28"/>
      <c r="F1353" s="24"/>
      <c r="G1353" s="26"/>
      <c r="H1353" s="24"/>
      <c r="I1353" s="24"/>
      <c r="J1353" s="24"/>
      <c r="K1353" s="24"/>
      <c r="L1353" s="26"/>
      <c r="M1353" s="26"/>
      <c r="N1353" s="22"/>
      <c r="O1353" s="21"/>
      <c r="P1353" s="22"/>
      <c r="Q1353" s="29" t="str">
        <f aca="false">IF(C1353="","",IF(O1353&lt;&gt;"",O1353,IFERROR(INDEX(Produk!$J$2:$J$100,MATCH(C1353,Produk!$A$2:$A$100,0)),"PRODUK?")))</f>
        <v/>
      </c>
      <c r="R1353" s="29" t="str">
        <f aca="false">IF(A1353="","",IF(COUNTIF(Anggota!$A$2:$A$2001,A1353)=0,"TIDAK ADA","OK"))</f>
        <v/>
      </c>
      <c r="S1353" s="29" t="str">
        <f aca="false">IF(H1353="","",IF(OR(J1353="",L1353=""),"-",IF(ABS(H1353-J1353*L1353)&gt;Info_Koperasi!$C$10,"SELISIH","OK")))</f>
        <v/>
      </c>
    </row>
    <row r="1354" customFormat="false" ht="15" hidden="false" customHeight="false" outlineLevel="0" collapsed="false">
      <c r="A1354" s="21"/>
      <c r="B1354" s="22"/>
      <c r="C1354" s="21"/>
      <c r="D1354" s="21"/>
      <c r="E1354" s="28"/>
      <c r="F1354" s="24"/>
      <c r="G1354" s="26"/>
      <c r="H1354" s="24"/>
      <c r="I1354" s="24"/>
      <c r="J1354" s="24"/>
      <c r="K1354" s="24"/>
      <c r="L1354" s="26"/>
      <c r="M1354" s="26"/>
      <c r="N1354" s="22"/>
      <c r="O1354" s="21"/>
      <c r="P1354" s="22"/>
      <c r="Q1354" s="29" t="str">
        <f aca="false">IF(C1354="","",IF(O1354&lt;&gt;"",O1354,IFERROR(INDEX(Produk!$J$2:$J$100,MATCH(C1354,Produk!$A$2:$A$100,0)),"PRODUK?")))</f>
        <v/>
      </c>
      <c r="R1354" s="29" t="str">
        <f aca="false">IF(A1354="","",IF(COUNTIF(Anggota!$A$2:$A$2001,A1354)=0,"TIDAK ADA","OK"))</f>
        <v/>
      </c>
      <c r="S1354" s="29" t="str">
        <f aca="false">IF(H1354="","",IF(OR(J1354="",L1354=""),"-",IF(ABS(H1354-J1354*L1354)&gt;Info_Koperasi!$C$10,"SELISIH","OK")))</f>
        <v/>
      </c>
    </row>
    <row r="1355" customFormat="false" ht="15" hidden="false" customHeight="false" outlineLevel="0" collapsed="false">
      <c r="A1355" s="21"/>
      <c r="B1355" s="22"/>
      <c r="C1355" s="21"/>
      <c r="D1355" s="21"/>
      <c r="E1355" s="28"/>
      <c r="F1355" s="24"/>
      <c r="G1355" s="26"/>
      <c r="H1355" s="24"/>
      <c r="I1355" s="24"/>
      <c r="J1355" s="24"/>
      <c r="K1355" s="24"/>
      <c r="L1355" s="26"/>
      <c r="M1355" s="26"/>
      <c r="N1355" s="22"/>
      <c r="O1355" s="21"/>
      <c r="P1355" s="22"/>
      <c r="Q1355" s="29" t="str">
        <f aca="false">IF(C1355="","",IF(O1355&lt;&gt;"",O1355,IFERROR(INDEX(Produk!$J$2:$J$100,MATCH(C1355,Produk!$A$2:$A$100,0)),"PRODUK?")))</f>
        <v/>
      </c>
      <c r="R1355" s="29" t="str">
        <f aca="false">IF(A1355="","",IF(COUNTIF(Anggota!$A$2:$A$2001,A1355)=0,"TIDAK ADA","OK"))</f>
        <v/>
      </c>
      <c r="S1355" s="29" t="str">
        <f aca="false">IF(H1355="","",IF(OR(J1355="",L1355=""),"-",IF(ABS(H1355-J1355*L1355)&gt;Info_Koperasi!$C$10,"SELISIH","OK")))</f>
        <v/>
      </c>
    </row>
    <row r="1356" customFormat="false" ht="15" hidden="false" customHeight="false" outlineLevel="0" collapsed="false">
      <c r="A1356" s="21"/>
      <c r="B1356" s="22"/>
      <c r="C1356" s="21"/>
      <c r="D1356" s="21"/>
      <c r="E1356" s="28"/>
      <c r="F1356" s="24"/>
      <c r="G1356" s="26"/>
      <c r="H1356" s="24"/>
      <c r="I1356" s="24"/>
      <c r="J1356" s="24"/>
      <c r="K1356" s="24"/>
      <c r="L1356" s="26"/>
      <c r="M1356" s="26"/>
      <c r="N1356" s="22"/>
      <c r="O1356" s="21"/>
      <c r="P1356" s="22"/>
      <c r="Q1356" s="29" t="str">
        <f aca="false">IF(C1356="","",IF(O1356&lt;&gt;"",O1356,IFERROR(INDEX(Produk!$J$2:$J$100,MATCH(C1356,Produk!$A$2:$A$100,0)),"PRODUK?")))</f>
        <v/>
      </c>
      <c r="R1356" s="29" t="str">
        <f aca="false">IF(A1356="","",IF(COUNTIF(Anggota!$A$2:$A$2001,A1356)=0,"TIDAK ADA","OK"))</f>
        <v/>
      </c>
      <c r="S1356" s="29" t="str">
        <f aca="false">IF(H1356="","",IF(OR(J1356="",L1356=""),"-",IF(ABS(H1356-J1356*L1356)&gt;Info_Koperasi!$C$10,"SELISIH","OK")))</f>
        <v/>
      </c>
    </row>
    <row r="1357" customFormat="false" ht="15" hidden="false" customHeight="false" outlineLevel="0" collapsed="false">
      <c r="A1357" s="21"/>
      <c r="B1357" s="22"/>
      <c r="C1357" s="21"/>
      <c r="D1357" s="21"/>
      <c r="E1357" s="28"/>
      <c r="F1357" s="24"/>
      <c r="G1357" s="26"/>
      <c r="H1357" s="24"/>
      <c r="I1357" s="24"/>
      <c r="J1357" s="24"/>
      <c r="K1357" s="24"/>
      <c r="L1357" s="26"/>
      <c r="M1357" s="26"/>
      <c r="N1357" s="22"/>
      <c r="O1357" s="21"/>
      <c r="P1357" s="22"/>
      <c r="Q1357" s="29" t="str">
        <f aca="false">IF(C1357="","",IF(O1357&lt;&gt;"",O1357,IFERROR(INDEX(Produk!$J$2:$J$100,MATCH(C1357,Produk!$A$2:$A$100,0)),"PRODUK?")))</f>
        <v/>
      </c>
      <c r="R1357" s="29" t="str">
        <f aca="false">IF(A1357="","",IF(COUNTIF(Anggota!$A$2:$A$2001,A1357)=0,"TIDAK ADA","OK"))</f>
        <v/>
      </c>
      <c r="S1357" s="29" t="str">
        <f aca="false">IF(H1357="","",IF(OR(J1357="",L1357=""),"-",IF(ABS(H1357-J1357*L1357)&gt;Info_Koperasi!$C$10,"SELISIH","OK")))</f>
        <v/>
      </c>
    </row>
    <row r="1358" customFormat="false" ht="15" hidden="false" customHeight="false" outlineLevel="0" collapsed="false">
      <c r="A1358" s="21"/>
      <c r="B1358" s="22"/>
      <c r="C1358" s="21"/>
      <c r="D1358" s="21"/>
      <c r="E1358" s="28"/>
      <c r="F1358" s="24"/>
      <c r="G1358" s="26"/>
      <c r="H1358" s="24"/>
      <c r="I1358" s="24"/>
      <c r="J1358" s="24"/>
      <c r="K1358" s="24"/>
      <c r="L1358" s="26"/>
      <c r="M1358" s="26"/>
      <c r="N1358" s="22"/>
      <c r="O1358" s="21"/>
      <c r="P1358" s="22"/>
      <c r="Q1358" s="29" t="str">
        <f aca="false">IF(C1358="","",IF(O1358&lt;&gt;"",O1358,IFERROR(INDEX(Produk!$J$2:$J$100,MATCH(C1358,Produk!$A$2:$A$100,0)),"PRODUK?")))</f>
        <v/>
      </c>
      <c r="R1358" s="29" t="str">
        <f aca="false">IF(A1358="","",IF(COUNTIF(Anggota!$A$2:$A$2001,A1358)=0,"TIDAK ADA","OK"))</f>
        <v/>
      </c>
      <c r="S1358" s="29" t="str">
        <f aca="false">IF(H1358="","",IF(OR(J1358="",L1358=""),"-",IF(ABS(H1358-J1358*L1358)&gt;Info_Koperasi!$C$10,"SELISIH","OK")))</f>
        <v/>
      </c>
    </row>
    <row r="1359" customFormat="false" ht="15" hidden="false" customHeight="false" outlineLevel="0" collapsed="false">
      <c r="A1359" s="21"/>
      <c r="B1359" s="22"/>
      <c r="C1359" s="21"/>
      <c r="D1359" s="21"/>
      <c r="E1359" s="28"/>
      <c r="F1359" s="24"/>
      <c r="G1359" s="26"/>
      <c r="H1359" s="24"/>
      <c r="I1359" s="24"/>
      <c r="J1359" s="24"/>
      <c r="K1359" s="24"/>
      <c r="L1359" s="26"/>
      <c r="M1359" s="26"/>
      <c r="N1359" s="22"/>
      <c r="O1359" s="21"/>
      <c r="P1359" s="22"/>
      <c r="Q1359" s="29" t="str">
        <f aca="false">IF(C1359="","",IF(O1359&lt;&gt;"",O1359,IFERROR(INDEX(Produk!$J$2:$J$100,MATCH(C1359,Produk!$A$2:$A$100,0)),"PRODUK?")))</f>
        <v/>
      </c>
      <c r="R1359" s="29" t="str">
        <f aca="false">IF(A1359="","",IF(COUNTIF(Anggota!$A$2:$A$2001,A1359)=0,"TIDAK ADA","OK"))</f>
        <v/>
      </c>
      <c r="S1359" s="29" t="str">
        <f aca="false">IF(H1359="","",IF(OR(J1359="",L1359=""),"-",IF(ABS(H1359-J1359*L1359)&gt;Info_Koperasi!$C$10,"SELISIH","OK")))</f>
        <v/>
      </c>
    </row>
    <row r="1360" customFormat="false" ht="15" hidden="false" customHeight="false" outlineLevel="0" collapsed="false">
      <c r="A1360" s="21"/>
      <c r="B1360" s="22"/>
      <c r="C1360" s="21"/>
      <c r="D1360" s="21"/>
      <c r="E1360" s="28"/>
      <c r="F1360" s="24"/>
      <c r="G1360" s="26"/>
      <c r="H1360" s="24"/>
      <c r="I1360" s="24"/>
      <c r="J1360" s="24"/>
      <c r="K1360" s="24"/>
      <c r="L1360" s="26"/>
      <c r="M1360" s="26"/>
      <c r="N1360" s="22"/>
      <c r="O1360" s="21"/>
      <c r="P1360" s="22"/>
      <c r="Q1360" s="29" t="str">
        <f aca="false">IF(C1360="","",IF(O1360&lt;&gt;"",O1360,IFERROR(INDEX(Produk!$J$2:$J$100,MATCH(C1360,Produk!$A$2:$A$100,0)),"PRODUK?")))</f>
        <v/>
      </c>
      <c r="R1360" s="29" t="str">
        <f aca="false">IF(A1360="","",IF(COUNTIF(Anggota!$A$2:$A$2001,A1360)=0,"TIDAK ADA","OK"))</f>
        <v/>
      </c>
      <c r="S1360" s="29" t="str">
        <f aca="false">IF(H1360="","",IF(OR(J1360="",L1360=""),"-",IF(ABS(H1360-J1360*L1360)&gt;Info_Koperasi!$C$10,"SELISIH","OK")))</f>
        <v/>
      </c>
    </row>
    <row r="1361" customFormat="false" ht="15" hidden="false" customHeight="false" outlineLevel="0" collapsed="false">
      <c r="A1361" s="21"/>
      <c r="B1361" s="22"/>
      <c r="C1361" s="21"/>
      <c r="D1361" s="21"/>
      <c r="E1361" s="28"/>
      <c r="F1361" s="24"/>
      <c r="G1361" s="26"/>
      <c r="H1361" s="24"/>
      <c r="I1361" s="24"/>
      <c r="J1361" s="24"/>
      <c r="K1361" s="24"/>
      <c r="L1361" s="26"/>
      <c r="M1361" s="26"/>
      <c r="N1361" s="22"/>
      <c r="O1361" s="21"/>
      <c r="P1361" s="22"/>
      <c r="Q1361" s="29" t="str">
        <f aca="false">IF(C1361="","",IF(O1361&lt;&gt;"",O1361,IFERROR(INDEX(Produk!$J$2:$J$100,MATCH(C1361,Produk!$A$2:$A$100,0)),"PRODUK?")))</f>
        <v/>
      </c>
      <c r="R1361" s="29" t="str">
        <f aca="false">IF(A1361="","",IF(COUNTIF(Anggota!$A$2:$A$2001,A1361)=0,"TIDAK ADA","OK"))</f>
        <v/>
      </c>
      <c r="S1361" s="29" t="str">
        <f aca="false">IF(H1361="","",IF(OR(J1361="",L1361=""),"-",IF(ABS(H1361-J1361*L1361)&gt;Info_Koperasi!$C$10,"SELISIH","OK")))</f>
        <v/>
      </c>
    </row>
    <row r="1362" customFormat="false" ht="15" hidden="false" customHeight="false" outlineLevel="0" collapsed="false">
      <c r="A1362" s="21"/>
      <c r="B1362" s="22"/>
      <c r="C1362" s="21"/>
      <c r="D1362" s="21"/>
      <c r="E1362" s="28"/>
      <c r="F1362" s="24"/>
      <c r="G1362" s="26"/>
      <c r="H1362" s="24"/>
      <c r="I1362" s="24"/>
      <c r="J1362" s="24"/>
      <c r="K1362" s="24"/>
      <c r="L1362" s="26"/>
      <c r="M1362" s="26"/>
      <c r="N1362" s="22"/>
      <c r="O1362" s="21"/>
      <c r="P1362" s="22"/>
      <c r="Q1362" s="29" t="str">
        <f aca="false">IF(C1362="","",IF(O1362&lt;&gt;"",O1362,IFERROR(INDEX(Produk!$J$2:$J$100,MATCH(C1362,Produk!$A$2:$A$100,0)),"PRODUK?")))</f>
        <v/>
      </c>
      <c r="R1362" s="29" t="str">
        <f aca="false">IF(A1362="","",IF(COUNTIF(Anggota!$A$2:$A$2001,A1362)=0,"TIDAK ADA","OK"))</f>
        <v/>
      </c>
      <c r="S1362" s="29" t="str">
        <f aca="false">IF(H1362="","",IF(OR(J1362="",L1362=""),"-",IF(ABS(H1362-J1362*L1362)&gt;Info_Koperasi!$C$10,"SELISIH","OK")))</f>
        <v/>
      </c>
    </row>
    <row r="1363" customFormat="false" ht="15" hidden="false" customHeight="false" outlineLevel="0" collapsed="false">
      <c r="A1363" s="21"/>
      <c r="B1363" s="22"/>
      <c r="C1363" s="21"/>
      <c r="D1363" s="21"/>
      <c r="E1363" s="28"/>
      <c r="F1363" s="24"/>
      <c r="G1363" s="26"/>
      <c r="H1363" s="24"/>
      <c r="I1363" s="24"/>
      <c r="J1363" s="24"/>
      <c r="K1363" s="24"/>
      <c r="L1363" s="26"/>
      <c r="M1363" s="26"/>
      <c r="N1363" s="22"/>
      <c r="O1363" s="21"/>
      <c r="P1363" s="22"/>
      <c r="Q1363" s="29" t="str">
        <f aca="false">IF(C1363="","",IF(O1363&lt;&gt;"",O1363,IFERROR(INDEX(Produk!$J$2:$J$100,MATCH(C1363,Produk!$A$2:$A$100,0)),"PRODUK?")))</f>
        <v/>
      </c>
      <c r="R1363" s="29" t="str">
        <f aca="false">IF(A1363="","",IF(COUNTIF(Anggota!$A$2:$A$2001,A1363)=0,"TIDAK ADA","OK"))</f>
        <v/>
      </c>
      <c r="S1363" s="29" t="str">
        <f aca="false">IF(H1363="","",IF(OR(J1363="",L1363=""),"-",IF(ABS(H1363-J1363*L1363)&gt;Info_Koperasi!$C$10,"SELISIH","OK")))</f>
        <v/>
      </c>
    </row>
    <row r="1364" customFormat="false" ht="15" hidden="false" customHeight="false" outlineLevel="0" collapsed="false">
      <c r="A1364" s="21"/>
      <c r="B1364" s="22"/>
      <c r="C1364" s="21"/>
      <c r="D1364" s="21"/>
      <c r="E1364" s="28"/>
      <c r="F1364" s="24"/>
      <c r="G1364" s="26"/>
      <c r="H1364" s="24"/>
      <c r="I1364" s="24"/>
      <c r="J1364" s="24"/>
      <c r="K1364" s="24"/>
      <c r="L1364" s="26"/>
      <c r="M1364" s="26"/>
      <c r="N1364" s="22"/>
      <c r="O1364" s="21"/>
      <c r="P1364" s="22"/>
      <c r="Q1364" s="29" t="str">
        <f aca="false">IF(C1364="","",IF(O1364&lt;&gt;"",O1364,IFERROR(INDEX(Produk!$J$2:$J$100,MATCH(C1364,Produk!$A$2:$A$100,0)),"PRODUK?")))</f>
        <v/>
      </c>
      <c r="R1364" s="29" t="str">
        <f aca="false">IF(A1364="","",IF(COUNTIF(Anggota!$A$2:$A$2001,A1364)=0,"TIDAK ADA","OK"))</f>
        <v/>
      </c>
      <c r="S1364" s="29" t="str">
        <f aca="false">IF(H1364="","",IF(OR(J1364="",L1364=""),"-",IF(ABS(H1364-J1364*L1364)&gt;Info_Koperasi!$C$10,"SELISIH","OK")))</f>
        <v/>
      </c>
    </row>
    <row r="1365" customFormat="false" ht="15" hidden="false" customHeight="false" outlineLevel="0" collapsed="false">
      <c r="A1365" s="21"/>
      <c r="B1365" s="22"/>
      <c r="C1365" s="21"/>
      <c r="D1365" s="21"/>
      <c r="E1365" s="28"/>
      <c r="F1365" s="24"/>
      <c r="G1365" s="26"/>
      <c r="H1365" s="24"/>
      <c r="I1365" s="24"/>
      <c r="J1365" s="24"/>
      <c r="K1365" s="24"/>
      <c r="L1365" s="26"/>
      <c r="M1365" s="26"/>
      <c r="N1365" s="22"/>
      <c r="O1365" s="21"/>
      <c r="P1365" s="22"/>
      <c r="Q1365" s="29" t="str">
        <f aca="false">IF(C1365="","",IF(O1365&lt;&gt;"",O1365,IFERROR(INDEX(Produk!$J$2:$J$100,MATCH(C1365,Produk!$A$2:$A$100,0)),"PRODUK?")))</f>
        <v/>
      </c>
      <c r="R1365" s="29" t="str">
        <f aca="false">IF(A1365="","",IF(COUNTIF(Anggota!$A$2:$A$2001,A1365)=0,"TIDAK ADA","OK"))</f>
        <v/>
      </c>
      <c r="S1365" s="29" t="str">
        <f aca="false">IF(H1365="","",IF(OR(J1365="",L1365=""),"-",IF(ABS(H1365-J1365*L1365)&gt;Info_Koperasi!$C$10,"SELISIH","OK")))</f>
        <v/>
      </c>
    </row>
    <row r="1366" customFormat="false" ht="15" hidden="false" customHeight="false" outlineLevel="0" collapsed="false">
      <c r="A1366" s="21"/>
      <c r="B1366" s="22"/>
      <c r="C1366" s="21"/>
      <c r="D1366" s="21"/>
      <c r="E1366" s="28"/>
      <c r="F1366" s="24"/>
      <c r="G1366" s="26"/>
      <c r="H1366" s="24"/>
      <c r="I1366" s="24"/>
      <c r="J1366" s="24"/>
      <c r="K1366" s="24"/>
      <c r="L1366" s="26"/>
      <c r="M1366" s="26"/>
      <c r="N1366" s="22"/>
      <c r="O1366" s="21"/>
      <c r="P1366" s="22"/>
      <c r="Q1366" s="29" t="str">
        <f aca="false">IF(C1366="","",IF(O1366&lt;&gt;"",O1366,IFERROR(INDEX(Produk!$J$2:$J$100,MATCH(C1366,Produk!$A$2:$A$100,0)),"PRODUK?")))</f>
        <v/>
      </c>
      <c r="R1366" s="29" t="str">
        <f aca="false">IF(A1366="","",IF(COUNTIF(Anggota!$A$2:$A$2001,A1366)=0,"TIDAK ADA","OK"))</f>
        <v/>
      </c>
      <c r="S1366" s="29" t="str">
        <f aca="false">IF(H1366="","",IF(OR(J1366="",L1366=""),"-",IF(ABS(H1366-J1366*L1366)&gt;Info_Koperasi!$C$10,"SELISIH","OK")))</f>
        <v/>
      </c>
    </row>
    <row r="1367" customFormat="false" ht="15" hidden="false" customHeight="false" outlineLevel="0" collapsed="false">
      <c r="A1367" s="21"/>
      <c r="B1367" s="22"/>
      <c r="C1367" s="21"/>
      <c r="D1367" s="21"/>
      <c r="E1367" s="28"/>
      <c r="F1367" s="24"/>
      <c r="G1367" s="26"/>
      <c r="H1367" s="24"/>
      <c r="I1367" s="24"/>
      <c r="J1367" s="24"/>
      <c r="K1367" s="24"/>
      <c r="L1367" s="26"/>
      <c r="M1367" s="26"/>
      <c r="N1367" s="22"/>
      <c r="O1367" s="21"/>
      <c r="P1367" s="22"/>
      <c r="Q1367" s="29" t="str">
        <f aca="false">IF(C1367="","",IF(O1367&lt;&gt;"",O1367,IFERROR(INDEX(Produk!$J$2:$J$100,MATCH(C1367,Produk!$A$2:$A$100,0)),"PRODUK?")))</f>
        <v/>
      </c>
      <c r="R1367" s="29" t="str">
        <f aca="false">IF(A1367="","",IF(COUNTIF(Anggota!$A$2:$A$2001,A1367)=0,"TIDAK ADA","OK"))</f>
        <v/>
      </c>
      <c r="S1367" s="29" t="str">
        <f aca="false">IF(H1367="","",IF(OR(J1367="",L1367=""),"-",IF(ABS(H1367-J1367*L1367)&gt;Info_Koperasi!$C$10,"SELISIH","OK")))</f>
        <v/>
      </c>
    </row>
    <row r="1368" customFormat="false" ht="15" hidden="false" customHeight="false" outlineLevel="0" collapsed="false">
      <c r="A1368" s="21"/>
      <c r="B1368" s="22"/>
      <c r="C1368" s="21"/>
      <c r="D1368" s="21"/>
      <c r="E1368" s="28"/>
      <c r="F1368" s="24"/>
      <c r="G1368" s="26"/>
      <c r="H1368" s="24"/>
      <c r="I1368" s="24"/>
      <c r="J1368" s="24"/>
      <c r="K1368" s="24"/>
      <c r="L1368" s="26"/>
      <c r="M1368" s="26"/>
      <c r="N1368" s="22"/>
      <c r="O1368" s="21"/>
      <c r="P1368" s="22"/>
      <c r="Q1368" s="29" t="str">
        <f aca="false">IF(C1368="","",IF(O1368&lt;&gt;"",O1368,IFERROR(INDEX(Produk!$J$2:$J$100,MATCH(C1368,Produk!$A$2:$A$100,0)),"PRODUK?")))</f>
        <v/>
      </c>
      <c r="R1368" s="29" t="str">
        <f aca="false">IF(A1368="","",IF(COUNTIF(Anggota!$A$2:$A$2001,A1368)=0,"TIDAK ADA","OK"))</f>
        <v/>
      </c>
      <c r="S1368" s="29" t="str">
        <f aca="false">IF(H1368="","",IF(OR(J1368="",L1368=""),"-",IF(ABS(H1368-J1368*L1368)&gt;Info_Koperasi!$C$10,"SELISIH","OK")))</f>
        <v/>
      </c>
    </row>
    <row r="1369" customFormat="false" ht="15" hidden="false" customHeight="false" outlineLevel="0" collapsed="false">
      <c r="A1369" s="21"/>
      <c r="B1369" s="22"/>
      <c r="C1369" s="21"/>
      <c r="D1369" s="21"/>
      <c r="E1369" s="28"/>
      <c r="F1369" s="24"/>
      <c r="G1369" s="26"/>
      <c r="H1369" s="24"/>
      <c r="I1369" s="24"/>
      <c r="J1369" s="24"/>
      <c r="K1369" s="24"/>
      <c r="L1369" s="26"/>
      <c r="M1369" s="26"/>
      <c r="N1369" s="22"/>
      <c r="O1369" s="21"/>
      <c r="P1369" s="22"/>
      <c r="Q1369" s="29" t="str">
        <f aca="false">IF(C1369="","",IF(O1369&lt;&gt;"",O1369,IFERROR(INDEX(Produk!$J$2:$J$100,MATCH(C1369,Produk!$A$2:$A$100,0)),"PRODUK?")))</f>
        <v/>
      </c>
      <c r="R1369" s="29" t="str">
        <f aca="false">IF(A1369="","",IF(COUNTIF(Anggota!$A$2:$A$2001,A1369)=0,"TIDAK ADA","OK"))</f>
        <v/>
      </c>
      <c r="S1369" s="29" t="str">
        <f aca="false">IF(H1369="","",IF(OR(J1369="",L1369=""),"-",IF(ABS(H1369-J1369*L1369)&gt;Info_Koperasi!$C$10,"SELISIH","OK")))</f>
        <v/>
      </c>
    </row>
    <row r="1370" customFormat="false" ht="15" hidden="false" customHeight="false" outlineLevel="0" collapsed="false">
      <c r="A1370" s="21"/>
      <c r="B1370" s="22"/>
      <c r="C1370" s="21"/>
      <c r="D1370" s="21"/>
      <c r="E1370" s="28"/>
      <c r="F1370" s="24"/>
      <c r="G1370" s="26"/>
      <c r="H1370" s="24"/>
      <c r="I1370" s="24"/>
      <c r="J1370" s="24"/>
      <c r="K1370" s="24"/>
      <c r="L1370" s="26"/>
      <c r="M1370" s="26"/>
      <c r="N1370" s="22"/>
      <c r="O1370" s="21"/>
      <c r="P1370" s="22"/>
      <c r="Q1370" s="29" t="str">
        <f aca="false">IF(C1370="","",IF(O1370&lt;&gt;"",O1370,IFERROR(INDEX(Produk!$J$2:$J$100,MATCH(C1370,Produk!$A$2:$A$100,0)),"PRODUK?")))</f>
        <v/>
      </c>
      <c r="R1370" s="29" t="str">
        <f aca="false">IF(A1370="","",IF(COUNTIF(Anggota!$A$2:$A$2001,A1370)=0,"TIDAK ADA","OK"))</f>
        <v/>
      </c>
      <c r="S1370" s="29" t="str">
        <f aca="false">IF(H1370="","",IF(OR(J1370="",L1370=""),"-",IF(ABS(H1370-J1370*L1370)&gt;Info_Koperasi!$C$10,"SELISIH","OK")))</f>
        <v/>
      </c>
    </row>
    <row r="1371" customFormat="false" ht="15" hidden="false" customHeight="false" outlineLevel="0" collapsed="false">
      <c r="A1371" s="21"/>
      <c r="B1371" s="22"/>
      <c r="C1371" s="21"/>
      <c r="D1371" s="21"/>
      <c r="E1371" s="28"/>
      <c r="F1371" s="24"/>
      <c r="G1371" s="26"/>
      <c r="H1371" s="24"/>
      <c r="I1371" s="24"/>
      <c r="J1371" s="24"/>
      <c r="K1371" s="24"/>
      <c r="L1371" s="26"/>
      <c r="M1371" s="26"/>
      <c r="N1371" s="22"/>
      <c r="O1371" s="21"/>
      <c r="P1371" s="22"/>
      <c r="Q1371" s="29" t="str">
        <f aca="false">IF(C1371="","",IF(O1371&lt;&gt;"",O1371,IFERROR(INDEX(Produk!$J$2:$J$100,MATCH(C1371,Produk!$A$2:$A$100,0)),"PRODUK?")))</f>
        <v/>
      </c>
      <c r="R1371" s="29" t="str">
        <f aca="false">IF(A1371="","",IF(COUNTIF(Anggota!$A$2:$A$2001,A1371)=0,"TIDAK ADA","OK"))</f>
        <v/>
      </c>
      <c r="S1371" s="29" t="str">
        <f aca="false">IF(H1371="","",IF(OR(J1371="",L1371=""),"-",IF(ABS(H1371-J1371*L1371)&gt;Info_Koperasi!$C$10,"SELISIH","OK")))</f>
        <v/>
      </c>
    </row>
    <row r="1372" customFormat="false" ht="15" hidden="false" customHeight="false" outlineLevel="0" collapsed="false">
      <c r="A1372" s="21"/>
      <c r="B1372" s="22"/>
      <c r="C1372" s="21"/>
      <c r="D1372" s="21"/>
      <c r="E1372" s="28"/>
      <c r="F1372" s="24"/>
      <c r="G1372" s="26"/>
      <c r="H1372" s="24"/>
      <c r="I1372" s="24"/>
      <c r="J1372" s="24"/>
      <c r="K1372" s="24"/>
      <c r="L1372" s="26"/>
      <c r="M1372" s="26"/>
      <c r="N1372" s="22"/>
      <c r="O1372" s="21"/>
      <c r="P1372" s="22"/>
      <c r="Q1372" s="29" t="str">
        <f aca="false">IF(C1372="","",IF(O1372&lt;&gt;"",O1372,IFERROR(INDEX(Produk!$J$2:$J$100,MATCH(C1372,Produk!$A$2:$A$100,0)),"PRODUK?")))</f>
        <v/>
      </c>
      <c r="R1372" s="29" t="str">
        <f aca="false">IF(A1372="","",IF(COUNTIF(Anggota!$A$2:$A$2001,A1372)=0,"TIDAK ADA","OK"))</f>
        <v/>
      </c>
      <c r="S1372" s="29" t="str">
        <f aca="false">IF(H1372="","",IF(OR(J1372="",L1372=""),"-",IF(ABS(H1372-J1372*L1372)&gt;Info_Koperasi!$C$10,"SELISIH","OK")))</f>
        <v/>
      </c>
    </row>
    <row r="1373" customFormat="false" ht="15" hidden="false" customHeight="false" outlineLevel="0" collapsed="false">
      <c r="A1373" s="21"/>
      <c r="B1373" s="22"/>
      <c r="C1373" s="21"/>
      <c r="D1373" s="21"/>
      <c r="E1373" s="28"/>
      <c r="F1373" s="24"/>
      <c r="G1373" s="26"/>
      <c r="H1373" s="24"/>
      <c r="I1373" s="24"/>
      <c r="J1373" s="24"/>
      <c r="K1373" s="24"/>
      <c r="L1373" s="26"/>
      <c r="M1373" s="26"/>
      <c r="N1373" s="22"/>
      <c r="O1373" s="21"/>
      <c r="P1373" s="22"/>
      <c r="Q1373" s="29" t="str">
        <f aca="false">IF(C1373="","",IF(O1373&lt;&gt;"",O1373,IFERROR(INDEX(Produk!$J$2:$J$100,MATCH(C1373,Produk!$A$2:$A$100,0)),"PRODUK?")))</f>
        <v/>
      </c>
      <c r="R1373" s="29" t="str">
        <f aca="false">IF(A1373="","",IF(COUNTIF(Anggota!$A$2:$A$2001,A1373)=0,"TIDAK ADA","OK"))</f>
        <v/>
      </c>
      <c r="S1373" s="29" t="str">
        <f aca="false">IF(H1373="","",IF(OR(J1373="",L1373=""),"-",IF(ABS(H1373-J1373*L1373)&gt;Info_Koperasi!$C$10,"SELISIH","OK")))</f>
        <v/>
      </c>
    </row>
    <row r="1374" customFormat="false" ht="15" hidden="false" customHeight="false" outlineLevel="0" collapsed="false">
      <c r="A1374" s="21"/>
      <c r="B1374" s="22"/>
      <c r="C1374" s="21"/>
      <c r="D1374" s="21"/>
      <c r="E1374" s="28"/>
      <c r="F1374" s="24"/>
      <c r="G1374" s="26"/>
      <c r="H1374" s="24"/>
      <c r="I1374" s="24"/>
      <c r="J1374" s="24"/>
      <c r="K1374" s="24"/>
      <c r="L1374" s="26"/>
      <c r="M1374" s="26"/>
      <c r="N1374" s="22"/>
      <c r="O1374" s="21"/>
      <c r="P1374" s="22"/>
      <c r="Q1374" s="29" t="str">
        <f aca="false">IF(C1374="","",IF(O1374&lt;&gt;"",O1374,IFERROR(INDEX(Produk!$J$2:$J$100,MATCH(C1374,Produk!$A$2:$A$100,0)),"PRODUK?")))</f>
        <v/>
      </c>
      <c r="R1374" s="29" t="str">
        <f aca="false">IF(A1374="","",IF(COUNTIF(Anggota!$A$2:$A$2001,A1374)=0,"TIDAK ADA","OK"))</f>
        <v/>
      </c>
      <c r="S1374" s="29" t="str">
        <f aca="false">IF(H1374="","",IF(OR(J1374="",L1374=""),"-",IF(ABS(H1374-J1374*L1374)&gt;Info_Koperasi!$C$10,"SELISIH","OK")))</f>
        <v/>
      </c>
    </row>
    <row r="1375" customFormat="false" ht="15" hidden="false" customHeight="false" outlineLevel="0" collapsed="false">
      <c r="A1375" s="21"/>
      <c r="B1375" s="22"/>
      <c r="C1375" s="21"/>
      <c r="D1375" s="21"/>
      <c r="E1375" s="28"/>
      <c r="F1375" s="24"/>
      <c r="G1375" s="26"/>
      <c r="H1375" s="24"/>
      <c r="I1375" s="24"/>
      <c r="J1375" s="24"/>
      <c r="K1375" s="24"/>
      <c r="L1375" s="26"/>
      <c r="M1375" s="26"/>
      <c r="N1375" s="22"/>
      <c r="O1375" s="21"/>
      <c r="P1375" s="22"/>
      <c r="Q1375" s="29" t="str">
        <f aca="false">IF(C1375="","",IF(O1375&lt;&gt;"",O1375,IFERROR(INDEX(Produk!$J$2:$J$100,MATCH(C1375,Produk!$A$2:$A$100,0)),"PRODUK?")))</f>
        <v/>
      </c>
      <c r="R1375" s="29" t="str">
        <f aca="false">IF(A1375="","",IF(COUNTIF(Anggota!$A$2:$A$2001,A1375)=0,"TIDAK ADA","OK"))</f>
        <v/>
      </c>
      <c r="S1375" s="29" t="str">
        <f aca="false">IF(H1375="","",IF(OR(J1375="",L1375=""),"-",IF(ABS(H1375-J1375*L1375)&gt;Info_Koperasi!$C$10,"SELISIH","OK")))</f>
        <v/>
      </c>
    </row>
    <row r="1376" customFormat="false" ht="15" hidden="false" customHeight="false" outlineLevel="0" collapsed="false">
      <c r="A1376" s="21"/>
      <c r="B1376" s="22"/>
      <c r="C1376" s="21"/>
      <c r="D1376" s="21"/>
      <c r="E1376" s="28"/>
      <c r="F1376" s="24"/>
      <c r="G1376" s="26"/>
      <c r="H1376" s="24"/>
      <c r="I1376" s="24"/>
      <c r="J1376" s="24"/>
      <c r="K1376" s="24"/>
      <c r="L1376" s="26"/>
      <c r="M1376" s="26"/>
      <c r="N1376" s="22"/>
      <c r="O1376" s="21"/>
      <c r="P1376" s="22"/>
      <c r="Q1376" s="29" t="str">
        <f aca="false">IF(C1376="","",IF(O1376&lt;&gt;"",O1376,IFERROR(INDEX(Produk!$J$2:$J$100,MATCH(C1376,Produk!$A$2:$A$100,0)),"PRODUK?")))</f>
        <v/>
      </c>
      <c r="R1376" s="29" t="str">
        <f aca="false">IF(A1376="","",IF(COUNTIF(Anggota!$A$2:$A$2001,A1376)=0,"TIDAK ADA","OK"))</f>
        <v/>
      </c>
      <c r="S1376" s="29" t="str">
        <f aca="false">IF(H1376="","",IF(OR(J1376="",L1376=""),"-",IF(ABS(H1376-J1376*L1376)&gt;Info_Koperasi!$C$10,"SELISIH","OK")))</f>
        <v/>
      </c>
    </row>
    <row r="1377" customFormat="false" ht="15" hidden="false" customHeight="false" outlineLevel="0" collapsed="false">
      <c r="A1377" s="21"/>
      <c r="B1377" s="22"/>
      <c r="C1377" s="21"/>
      <c r="D1377" s="21"/>
      <c r="E1377" s="28"/>
      <c r="F1377" s="24"/>
      <c r="G1377" s="26"/>
      <c r="H1377" s="24"/>
      <c r="I1377" s="24"/>
      <c r="J1377" s="24"/>
      <c r="K1377" s="24"/>
      <c r="L1377" s="26"/>
      <c r="M1377" s="26"/>
      <c r="N1377" s="22"/>
      <c r="O1377" s="21"/>
      <c r="P1377" s="22"/>
      <c r="Q1377" s="29" t="str">
        <f aca="false">IF(C1377="","",IF(O1377&lt;&gt;"",O1377,IFERROR(INDEX(Produk!$J$2:$J$100,MATCH(C1377,Produk!$A$2:$A$100,0)),"PRODUK?")))</f>
        <v/>
      </c>
      <c r="R1377" s="29" t="str">
        <f aca="false">IF(A1377="","",IF(COUNTIF(Anggota!$A$2:$A$2001,A1377)=0,"TIDAK ADA","OK"))</f>
        <v/>
      </c>
      <c r="S1377" s="29" t="str">
        <f aca="false">IF(H1377="","",IF(OR(J1377="",L1377=""),"-",IF(ABS(H1377-J1377*L1377)&gt;Info_Koperasi!$C$10,"SELISIH","OK")))</f>
        <v/>
      </c>
    </row>
    <row r="1378" customFormat="false" ht="15" hidden="false" customHeight="false" outlineLevel="0" collapsed="false">
      <c r="A1378" s="21"/>
      <c r="B1378" s="22"/>
      <c r="C1378" s="21"/>
      <c r="D1378" s="21"/>
      <c r="E1378" s="28"/>
      <c r="F1378" s="24"/>
      <c r="G1378" s="26"/>
      <c r="H1378" s="24"/>
      <c r="I1378" s="24"/>
      <c r="J1378" s="24"/>
      <c r="K1378" s="24"/>
      <c r="L1378" s="26"/>
      <c r="M1378" s="26"/>
      <c r="N1378" s="22"/>
      <c r="O1378" s="21"/>
      <c r="P1378" s="22"/>
      <c r="Q1378" s="29" t="str">
        <f aca="false">IF(C1378="","",IF(O1378&lt;&gt;"",O1378,IFERROR(INDEX(Produk!$J$2:$J$100,MATCH(C1378,Produk!$A$2:$A$100,0)),"PRODUK?")))</f>
        <v/>
      </c>
      <c r="R1378" s="29" t="str">
        <f aca="false">IF(A1378="","",IF(COUNTIF(Anggota!$A$2:$A$2001,A1378)=0,"TIDAK ADA","OK"))</f>
        <v/>
      </c>
      <c r="S1378" s="29" t="str">
        <f aca="false">IF(H1378="","",IF(OR(J1378="",L1378=""),"-",IF(ABS(H1378-J1378*L1378)&gt;Info_Koperasi!$C$10,"SELISIH","OK")))</f>
        <v/>
      </c>
    </row>
    <row r="1379" customFormat="false" ht="15" hidden="false" customHeight="false" outlineLevel="0" collapsed="false">
      <c r="A1379" s="21"/>
      <c r="B1379" s="22"/>
      <c r="C1379" s="21"/>
      <c r="D1379" s="21"/>
      <c r="E1379" s="28"/>
      <c r="F1379" s="24"/>
      <c r="G1379" s="26"/>
      <c r="H1379" s="24"/>
      <c r="I1379" s="24"/>
      <c r="J1379" s="24"/>
      <c r="K1379" s="24"/>
      <c r="L1379" s="26"/>
      <c r="M1379" s="26"/>
      <c r="N1379" s="22"/>
      <c r="O1379" s="21"/>
      <c r="P1379" s="22"/>
      <c r="Q1379" s="29" t="str">
        <f aca="false">IF(C1379="","",IF(O1379&lt;&gt;"",O1379,IFERROR(INDEX(Produk!$J$2:$J$100,MATCH(C1379,Produk!$A$2:$A$100,0)),"PRODUK?")))</f>
        <v/>
      </c>
      <c r="R1379" s="29" t="str">
        <f aca="false">IF(A1379="","",IF(COUNTIF(Anggota!$A$2:$A$2001,A1379)=0,"TIDAK ADA","OK"))</f>
        <v/>
      </c>
      <c r="S1379" s="29" t="str">
        <f aca="false">IF(H1379="","",IF(OR(J1379="",L1379=""),"-",IF(ABS(H1379-J1379*L1379)&gt;Info_Koperasi!$C$10,"SELISIH","OK")))</f>
        <v/>
      </c>
    </row>
    <row r="1380" customFormat="false" ht="15" hidden="false" customHeight="false" outlineLevel="0" collapsed="false">
      <c r="A1380" s="21"/>
      <c r="B1380" s="22"/>
      <c r="C1380" s="21"/>
      <c r="D1380" s="21"/>
      <c r="E1380" s="28"/>
      <c r="F1380" s="24"/>
      <c r="G1380" s="26"/>
      <c r="H1380" s="24"/>
      <c r="I1380" s="24"/>
      <c r="J1380" s="24"/>
      <c r="K1380" s="24"/>
      <c r="L1380" s="26"/>
      <c r="M1380" s="26"/>
      <c r="N1380" s="22"/>
      <c r="O1380" s="21"/>
      <c r="P1380" s="22"/>
      <c r="Q1380" s="29" t="str">
        <f aca="false">IF(C1380="","",IF(O1380&lt;&gt;"",O1380,IFERROR(INDEX(Produk!$J$2:$J$100,MATCH(C1380,Produk!$A$2:$A$100,0)),"PRODUK?")))</f>
        <v/>
      </c>
      <c r="R1380" s="29" t="str">
        <f aca="false">IF(A1380="","",IF(COUNTIF(Anggota!$A$2:$A$2001,A1380)=0,"TIDAK ADA","OK"))</f>
        <v/>
      </c>
      <c r="S1380" s="29" t="str">
        <f aca="false">IF(H1380="","",IF(OR(J1380="",L1380=""),"-",IF(ABS(H1380-J1380*L1380)&gt;Info_Koperasi!$C$10,"SELISIH","OK")))</f>
        <v/>
      </c>
    </row>
    <row r="1381" customFormat="false" ht="15" hidden="false" customHeight="false" outlineLevel="0" collapsed="false">
      <c r="A1381" s="21"/>
      <c r="B1381" s="22"/>
      <c r="C1381" s="21"/>
      <c r="D1381" s="21"/>
      <c r="E1381" s="28"/>
      <c r="F1381" s="24"/>
      <c r="G1381" s="26"/>
      <c r="H1381" s="24"/>
      <c r="I1381" s="24"/>
      <c r="J1381" s="24"/>
      <c r="K1381" s="24"/>
      <c r="L1381" s="26"/>
      <c r="M1381" s="26"/>
      <c r="N1381" s="22"/>
      <c r="O1381" s="21"/>
      <c r="P1381" s="22"/>
      <c r="Q1381" s="29" t="str">
        <f aca="false">IF(C1381="","",IF(O1381&lt;&gt;"",O1381,IFERROR(INDEX(Produk!$J$2:$J$100,MATCH(C1381,Produk!$A$2:$A$100,0)),"PRODUK?")))</f>
        <v/>
      </c>
      <c r="R1381" s="29" t="str">
        <f aca="false">IF(A1381="","",IF(COUNTIF(Anggota!$A$2:$A$2001,A1381)=0,"TIDAK ADA","OK"))</f>
        <v/>
      </c>
      <c r="S1381" s="29" t="str">
        <f aca="false">IF(H1381="","",IF(OR(J1381="",L1381=""),"-",IF(ABS(H1381-J1381*L1381)&gt;Info_Koperasi!$C$10,"SELISIH","OK")))</f>
        <v/>
      </c>
    </row>
    <row r="1382" customFormat="false" ht="15" hidden="false" customHeight="false" outlineLevel="0" collapsed="false">
      <c r="A1382" s="21"/>
      <c r="B1382" s="22"/>
      <c r="C1382" s="21"/>
      <c r="D1382" s="21"/>
      <c r="E1382" s="28"/>
      <c r="F1382" s="24"/>
      <c r="G1382" s="26"/>
      <c r="H1382" s="24"/>
      <c r="I1382" s="24"/>
      <c r="J1382" s="24"/>
      <c r="K1382" s="24"/>
      <c r="L1382" s="26"/>
      <c r="M1382" s="26"/>
      <c r="N1382" s="22"/>
      <c r="O1382" s="21"/>
      <c r="P1382" s="22"/>
      <c r="Q1382" s="29" t="str">
        <f aca="false">IF(C1382="","",IF(O1382&lt;&gt;"",O1382,IFERROR(INDEX(Produk!$J$2:$J$100,MATCH(C1382,Produk!$A$2:$A$100,0)),"PRODUK?")))</f>
        <v/>
      </c>
      <c r="R1382" s="29" t="str">
        <f aca="false">IF(A1382="","",IF(COUNTIF(Anggota!$A$2:$A$2001,A1382)=0,"TIDAK ADA","OK"))</f>
        <v/>
      </c>
      <c r="S1382" s="29" t="str">
        <f aca="false">IF(H1382="","",IF(OR(J1382="",L1382=""),"-",IF(ABS(H1382-J1382*L1382)&gt;Info_Koperasi!$C$10,"SELISIH","OK")))</f>
        <v/>
      </c>
    </row>
    <row r="1383" customFormat="false" ht="15" hidden="false" customHeight="false" outlineLevel="0" collapsed="false">
      <c r="A1383" s="21"/>
      <c r="B1383" s="22"/>
      <c r="C1383" s="21"/>
      <c r="D1383" s="21"/>
      <c r="E1383" s="28"/>
      <c r="F1383" s="24"/>
      <c r="G1383" s="26"/>
      <c r="H1383" s="24"/>
      <c r="I1383" s="24"/>
      <c r="J1383" s="24"/>
      <c r="K1383" s="24"/>
      <c r="L1383" s="26"/>
      <c r="M1383" s="26"/>
      <c r="N1383" s="22"/>
      <c r="O1383" s="21"/>
      <c r="P1383" s="22"/>
      <c r="Q1383" s="29" t="str">
        <f aca="false">IF(C1383="","",IF(O1383&lt;&gt;"",O1383,IFERROR(INDEX(Produk!$J$2:$J$100,MATCH(C1383,Produk!$A$2:$A$100,0)),"PRODUK?")))</f>
        <v/>
      </c>
      <c r="R1383" s="29" t="str">
        <f aca="false">IF(A1383="","",IF(COUNTIF(Anggota!$A$2:$A$2001,A1383)=0,"TIDAK ADA","OK"))</f>
        <v/>
      </c>
      <c r="S1383" s="29" t="str">
        <f aca="false">IF(H1383="","",IF(OR(J1383="",L1383=""),"-",IF(ABS(H1383-J1383*L1383)&gt;Info_Koperasi!$C$10,"SELISIH","OK")))</f>
        <v/>
      </c>
    </row>
    <row r="1384" customFormat="false" ht="15" hidden="false" customHeight="false" outlineLevel="0" collapsed="false">
      <c r="A1384" s="21"/>
      <c r="B1384" s="22"/>
      <c r="C1384" s="21"/>
      <c r="D1384" s="21"/>
      <c r="E1384" s="28"/>
      <c r="F1384" s="24"/>
      <c r="G1384" s="26"/>
      <c r="H1384" s="24"/>
      <c r="I1384" s="24"/>
      <c r="J1384" s="24"/>
      <c r="K1384" s="24"/>
      <c r="L1384" s="26"/>
      <c r="M1384" s="26"/>
      <c r="N1384" s="22"/>
      <c r="O1384" s="21"/>
      <c r="P1384" s="22"/>
      <c r="Q1384" s="29" t="str">
        <f aca="false">IF(C1384="","",IF(O1384&lt;&gt;"",O1384,IFERROR(INDEX(Produk!$J$2:$J$100,MATCH(C1384,Produk!$A$2:$A$100,0)),"PRODUK?")))</f>
        <v/>
      </c>
      <c r="R1384" s="29" t="str">
        <f aca="false">IF(A1384="","",IF(COUNTIF(Anggota!$A$2:$A$2001,A1384)=0,"TIDAK ADA","OK"))</f>
        <v/>
      </c>
      <c r="S1384" s="29" t="str">
        <f aca="false">IF(H1384="","",IF(OR(J1384="",L1384=""),"-",IF(ABS(H1384-J1384*L1384)&gt;Info_Koperasi!$C$10,"SELISIH","OK")))</f>
        <v/>
      </c>
    </row>
    <row r="1385" customFormat="false" ht="15" hidden="false" customHeight="false" outlineLevel="0" collapsed="false">
      <c r="A1385" s="21"/>
      <c r="B1385" s="22"/>
      <c r="C1385" s="21"/>
      <c r="D1385" s="21"/>
      <c r="E1385" s="28"/>
      <c r="F1385" s="24"/>
      <c r="G1385" s="26"/>
      <c r="H1385" s="24"/>
      <c r="I1385" s="24"/>
      <c r="J1385" s="24"/>
      <c r="K1385" s="24"/>
      <c r="L1385" s="26"/>
      <c r="M1385" s="26"/>
      <c r="N1385" s="22"/>
      <c r="O1385" s="21"/>
      <c r="P1385" s="22"/>
      <c r="Q1385" s="29" t="str">
        <f aca="false">IF(C1385="","",IF(O1385&lt;&gt;"",O1385,IFERROR(INDEX(Produk!$J$2:$J$100,MATCH(C1385,Produk!$A$2:$A$100,0)),"PRODUK?")))</f>
        <v/>
      </c>
      <c r="R1385" s="29" t="str">
        <f aca="false">IF(A1385="","",IF(COUNTIF(Anggota!$A$2:$A$2001,A1385)=0,"TIDAK ADA","OK"))</f>
        <v/>
      </c>
      <c r="S1385" s="29" t="str">
        <f aca="false">IF(H1385="","",IF(OR(J1385="",L1385=""),"-",IF(ABS(H1385-J1385*L1385)&gt;Info_Koperasi!$C$10,"SELISIH","OK")))</f>
        <v/>
      </c>
    </row>
    <row r="1386" customFormat="false" ht="15" hidden="false" customHeight="false" outlineLevel="0" collapsed="false">
      <c r="A1386" s="21"/>
      <c r="B1386" s="22"/>
      <c r="C1386" s="21"/>
      <c r="D1386" s="21"/>
      <c r="E1386" s="28"/>
      <c r="F1386" s="24"/>
      <c r="G1386" s="26"/>
      <c r="H1386" s="24"/>
      <c r="I1386" s="24"/>
      <c r="J1386" s="24"/>
      <c r="K1386" s="24"/>
      <c r="L1386" s="26"/>
      <c r="M1386" s="26"/>
      <c r="N1386" s="22"/>
      <c r="O1386" s="21"/>
      <c r="P1386" s="22"/>
      <c r="Q1386" s="29" t="str">
        <f aca="false">IF(C1386="","",IF(O1386&lt;&gt;"",O1386,IFERROR(INDEX(Produk!$J$2:$J$100,MATCH(C1386,Produk!$A$2:$A$100,0)),"PRODUK?")))</f>
        <v/>
      </c>
      <c r="R1386" s="29" t="str">
        <f aca="false">IF(A1386="","",IF(COUNTIF(Anggota!$A$2:$A$2001,A1386)=0,"TIDAK ADA","OK"))</f>
        <v/>
      </c>
      <c r="S1386" s="29" t="str">
        <f aca="false">IF(H1386="","",IF(OR(J1386="",L1386=""),"-",IF(ABS(H1386-J1386*L1386)&gt;Info_Koperasi!$C$10,"SELISIH","OK")))</f>
        <v/>
      </c>
    </row>
    <row r="1387" customFormat="false" ht="15" hidden="false" customHeight="false" outlineLevel="0" collapsed="false">
      <c r="A1387" s="21"/>
      <c r="B1387" s="22"/>
      <c r="C1387" s="21"/>
      <c r="D1387" s="21"/>
      <c r="E1387" s="28"/>
      <c r="F1387" s="24"/>
      <c r="G1387" s="26"/>
      <c r="H1387" s="24"/>
      <c r="I1387" s="24"/>
      <c r="J1387" s="24"/>
      <c r="K1387" s="24"/>
      <c r="L1387" s="26"/>
      <c r="M1387" s="26"/>
      <c r="N1387" s="22"/>
      <c r="O1387" s="21"/>
      <c r="P1387" s="22"/>
      <c r="Q1387" s="29" t="str">
        <f aca="false">IF(C1387="","",IF(O1387&lt;&gt;"",O1387,IFERROR(INDEX(Produk!$J$2:$J$100,MATCH(C1387,Produk!$A$2:$A$100,0)),"PRODUK?")))</f>
        <v/>
      </c>
      <c r="R1387" s="29" t="str">
        <f aca="false">IF(A1387="","",IF(COUNTIF(Anggota!$A$2:$A$2001,A1387)=0,"TIDAK ADA","OK"))</f>
        <v/>
      </c>
      <c r="S1387" s="29" t="str">
        <f aca="false">IF(H1387="","",IF(OR(J1387="",L1387=""),"-",IF(ABS(H1387-J1387*L1387)&gt;Info_Koperasi!$C$10,"SELISIH","OK")))</f>
        <v/>
      </c>
    </row>
    <row r="1388" customFormat="false" ht="15" hidden="false" customHeight="false" outlineLevel="0" collapsed="false">
      <c r="A1388" s="21"/>
      <c r="B1388" s="22"/>
      <c r="C1388" s="21"/>
      <c r="D1388" s="21"/>
      <c r="E1388" s="28"/>
      <c r="F1388" s="24"/>
      <c r="G1388" s="26"/>
      <c r="H1388" s="24"/>
      <c r="I1388" s="24"/>
      <c r="J1388" s="24"/>
      <c r="K1388" s="24"/>
      <c r="L1388" s="26"/>
      <c r="M1388" s="26"/>
      <c r="N1388" s="22"/>
      <c r="O1388" s="21"/>
      <c r="P1388" s="22"/>
      <c r="Q1388" s="29" t="str">
        <f aca="false">IF(C1388="","",IF(O1388&lt;&gt;"",O1388,IFERROR(INDEX(Produk!$J$2:$J$100,MATCH(C1388,Produk!$A$2:$A$100,0)),"PRODUK?")))</f>
        <v/>
      </c>
      <c r="R1388" s="29" t="str">
        <f aca="false">IF(A1388="","",IF(COUNTIF(Anggota!$A$2:$A$2001,A1388)=0,"TIDAK ADA","OK"))</f>
        <v/>
      </c>
      <c r="S1388" s="29" t="str">
        <f aca="false">IF(H1388="","",IF(OR(J1388="",L1388=""),"-",IF(ABS(H1388-J1388*L1388)&gt;Info_Koperasi!$C$10,"SELISIH","OK")))</f>
        <v/>
      </c>
    </row>
    <row r="1389" customFormat="false" ht="15" hidden="false" customHeight="false" outlineLevel="0" collapsed="false">
      <c r="A1389" s="21"/>
      <c r="B1389" s="22"/>
      <c r="C1389" s="21"/>
      <c r="D1389" s="21"/>
      <c r="E1389" s="28"/>
      <c r="F1389" s="24"/>
      <c r="G1389" s="26"/>
      <c r="H1389" s="24"/>
      <c r="I1389" s="24"/>
      <c r="J1389" s="24"/>
      <c r="K1389" s="24"/>
      <c r="L1389" s="26"/>
      <c r="M1389" s="26"/>
      <c r="N1389" s="22"/>
      <c r="O1389" s="21"/>
      <c r="P1389" s="22"/>
      <c r="Q1389" s="29" t="str">
        <f aca="false">IF(C1389="","",IF(O1389&lt;&gt;"",O1389,IFERROR(INDEX(Produk!$J$2:$J$100,MATCH(C1389,Produk!$A$2:$A$100,0)),"PRODUK?")))</f>
        <v/>
      </c>
      <c r="R1389" s="29" t="str">
        <f aca="false">IF(A1389="","",IF(COUNTIF(Anggota!$A$2:$A$2001,A1389)=0,"TIDAK ADA","OK"))</f>
        <v/>
      </c>
      <c r="S1389" s="29" t="str">
        <f aca="false">IF(H1389="","",IF(OR(J1389="",L1389=""),"-",IF(ABS(H1389-J1389*L1389)&gt;Info_Koperasi!$C$10,"SELISIH","OK")))</f>
        <v/>
      </c>
    </row>
    <row r="1390" customFormat="false" ht="15" hidden="false" customHeight="false" outlineLevel="0" collapsed="false">
      <c r="A1390" s="21"/>
      <c r="B1390" s="22"/>
      <c r="C1390" s="21"/>
      <c r="D1390" s="21"/>
      <c r="E1390" s="28"/>
      <c r="F1390" s="24"/>
      <c r="G1390" s="26"/>
      <c r="H1390" s="24"/>
      <c r="I1390" s="24"/>
      <c r="J1390" s="24"/>
      <c r="K1390" s="24"/>
      <c r="L1390" s="26"/>
      <c r="M1390" s="26"/>
      <c r="N1390" s="22"/>
      <c r="O1390" s="21"/>
      <c r="P1390" s="22"/>
      <c r="Q1390" s="29" t="str">
        <f aca="false">IF(C1390="","",IF(O1390&lt;&gt;"",O1390,IFERROR(INDEX(Produk!$J$2:$J$100,MATCH(C1390,Produk!$A$2:$A$100,0)),"PRODUK?")))</f>
        <v/>
      </c>
      <c r="R1390" s="29" t="str">
        <f aca="false">IF(A1390="","",IF(COUNTIF(Anggota!$A$2:$A$2001,A1390)=0,"TIDAK ADA","OK"))</f>
        <v/>
      </c>
      <c r="S1390" s="29" t="str">
        <f aca="false">IF(H1390="","",IF(OR(J1390="",L1390=""),"-",IF(ABS(H1390-J1390*L1390)&gt;Info_Koperasi!$C$10,"SELISIH","OK")))</f>
        <v/>
      </c>
    </row>
    <row r="1391" customFormat="false" ht="15" hidden="false" customHeight="false" outlineLevel="0" collapsed="false">
      <c r="A1391" s="21"/>
      <c r="B1391" s="22"/>
      <c r="C1391" s="21"/>
      <c r="D1391" s="21"/>
      <c r="E1391" s="28"/>
      <c r="F1391" s="24"/>
      <c r="G1391" s="26"/>
      <c r="H1391" s="24"/>
      <c r="I1391" s="24"/>
      <c r="J1391" s="24"/>
      <c r="K1391" s="24"/>
      <c r="L1391" s="26"/>
      <c r="M1391" s="26"/>
      <c r="N1391" s="22"/>
      <c r="O1391" s="21"/>
      <c r="P1391" s="22"/>
      <c r="Q1391" s="29" t="str">
        <f aca="false">IF(C1391="","",IF(O1391&lt;&gt;"",O1391,IFERROR(INDEX(Produk!$J$2:$J$100,MATCH(C1391,Produk!$A$2:$A$100,0)),"PRODUK?")))</f>
        <v/>
      </c>
      <c r="R1391" s="29" t="str">
        <f aca="false">IF(A1391="","",IF(COUNTIF(Anggota!$A$2:$A$2001,A1391)=0,"TIDAK ADA","OK"))</f>
        <v/>
      </c>
      <c r="S1391" s="29" t="str">
        <f aca="false">IF(H1391="","",IF(OR(J1391="",L1391=""),"-",IF(ABS(H1391-J1391*L1391)&gt;Info_Koperasi!$C$10,"SELISIH","OK")))</f>
        <v/>
      </c>
    </row>
    <row r="1392" customFormat="false" ht="15" hidden="false" customHeight="false" outlineLevel="0" collapsed="false">
      <c r="A1392" s="21"/>
      <c r="B1392" s="22"/>
      <c r="C1392" s="21"/>
      <c r="D1392" s="21"/>
      <c r="E1392" s="28"/>
      <c r="F1392" s="24"/>
      <c r="G1392" s="26"/>
      <c r="H1392" s="24"/>
      <c r="I1392" s="24"/>
      <c r="J1392" s="24"/>
      <c r="K1392" s="24"/>
      <c r="L1392" s="26"/>
      <c r="M1392" s="26"/>
      <c r="N1392" s="22"/>
      <c r="O1392" s="21"/>
      <c r="P1392" s="22"/>
      <c r="Q1392" s="29" t="str">
        <f aca="false">IF(C1392="","",IF(O1392&lt;&gt;"",O1392,IFERROR(INDEX(Produk!$J$2:$J$100,MATCH(C1392,Produk!$A$2:$A$100,0)),"PRODUK?")))</f>
        <v/>
      </c>
      <c r="R1392" s="29" t="str">
        <f aca="false">IF(A1392="","",IF(COUNTIF(Anggota!$A$2:$A$2001,A1392)=0,"TIDAK ADA","OK"))</f>
        <v/>
      </c>
      <c r="S1392" s="29" t="str">
        <f aca="false">IF(H1392="","",IF(OR(J1392="",L1392=""),"-",IF(ABS(H1392-J1392*L1392)&gt;Info_Koperasi!$C$10,"SELISIH","OK")))</f>
        <v/>
      </c>
    </row>
    <row r="1393" customFormat="false" ht="15" hidden="false" customHeight="false" outlineLevel="0" collapsed="false">
      <c r="A1393" s="21"/>
      <c r="B1393" s="22"/>
      <c r="C1393" s="21"/>
      <c r="D1393" s="21"/>
      <c r="E1393" s="28"/>
      <c r="F1393" s="24"/>
      <c r="G1393" s="26"/>
      <c r="H1393" s="24"/>
      <c r="I1393" s="24"/>
      <c r="J1393" s="24"/>
      <c r="K1393" s="24"/>
      <c r="L1393" s="26"/>
      <c r="M1393" s="26"/>
      <c r="N1393" s="22"/>
      <c r="O1393" s="21"/>
      <c r="P1393" s="22"/>
      <c r="Q1393" s="29" t="str">
        <f aca="false">IF(C1393="","",IF(O1393&lt;&gt;"",O1393,IFERROR(INDEX(Produk!$J$2:$J$100,MATCH(C1393,Produk!$A$2:$A$100,0)),"PRODUK?")))</f>
        <v/>
      </c>
      <c r="R1393" s="29" t="str">
        <f aca="false">IF(A1393="","",IF(COUNTIF(Anggota!$A$2:$A$2001,A1393)=0,"TIDAK ADA","OK"))</f>
        <v/>
      </c>
      <c r="S1393" s="29" t="str">
        <f aca="false">IF(H1393="","",IF(OR(J1393="",L1393=""),"-",IF(ABS(H1393-J1393*L1393)&gt;Info_Koperasi!$C$10,"SELISIH","OK")))</f>
        <v/>
      </c>
    </row>
    <row r="1394" customFormat="false" ht="15" hidden="false" customHeight="false" outlineLevel="0" collapsed="false">
      <c r="A1394" s="21"/>
      <c r="B1394" s="22"/>
      <c r="C1394" s="21"/>
      <c r="D1394" s="21"/>
      <c r="E1394" s="28"/>
      <c r="F1394" s="24"/>
      <c r="G1394" s="26"/>
      <c r="H1394" s="24"/>
      <c r="I1394" s="24"/>
      <c r="J1394" s="24"/>
      <c r="K1394" s="24"/>
      <c r="L1394" s="26"/>
      <c r="M1394" s="26"/>
      <c r="N1394" s="22"/>
      <c r="O1394" s="21"/>
      <c r="P1394" s="22"/>
      <c r="Q1394" s="29" t="str">
        <f aca="false">IF(C1394="","",IF(O1394&lt;&gt;"",O1394,IFERROR(INDEX(Produk!$J$2:$J$100,MATCH(C1394,Produk!$A$2:$A$100,0)),"PRODUK?")))</f>
        <v/>
      </c>
      <c r="R1394" s="29" t="str">
        <f aca="false">IF(A1394="","",IF(COUNTIF(Anggota!$A$2:$A$2001,A1394)=0,"TIDAK ADA","OK"))</f>
        <v/>
      </c>
      <c r="S1394" s="29" t="str">
        <f aca="false">IF(H1394="","",IF(OR(J1394="",L1394=""),"-",IF(ABS(H1394-J1394*L1394)&gt;Info_Koperasi!$C$10,"SELISIH","OK")))</f>
        <v/>
      </c>
    </row>
    <row r="1395" customFormat="false" ht="15" hidden="false" customHeight="false" outlineLevel="0" collapsed="false">
      <c r="A1395" s="21"/>
      <c r="B1395" s="22"/>
      <c r="C1395" s="21"/>
      <c r="D1395" s="21"/>
      <c r="E1395" s="28"/>
      <c r="F1395" s="24"/>
      <c r="G1395" s="26"/>
      <c r="H1395" s="24"/>
      <c r="I1395" s="24"/>
      <c r="J1395" s="24"/>
      <c r="K1395" s="24"/>
      <c r="L1395" s="26"/>
      <c r="M1395" s="26"/>
      <c r="N1395" s="22"/>
      <c r="O1395" s="21"/>
      <c r="P1395" s="22"/>
      <c r="Q1395" s="29" t="str">
        <f aca="false">IF(C1395="","",IF(O1395&lt;&gt;"",O1395,IFERROR(INDEX(Produk!$J$2:$J$100,MATCH(C1395,Produk!$A$2:$A$100,0)),"PRODUK?")))</f>
        <v/>
      </c>
      <c r="R1395" s="29" t="str">
        <f aca="false">IF(A1395="","",IF(COUNTIF(Anggota!$A$2:$A$2001,A1395)=0,"TIDAK ADA","OK"))</f>
        <v/>
      </c>
      <c r="S1395" s="29" t="str">
        <f aca="false">IF(H1395="","",IF(OR(J1395="",L1395=""),"-",IF(ABS(H1395-J1395*L1395)&gt;Info_Koperasi!$C$10,"SELISIH","OK")))</f>
        <v/>
      </c>
    </row>
    <row r="1396" customFormat="false" ht="15" hidden="false" customHeight="false" outlineLevel="0" collapsed="false">
      <c r="A1396" s="21"/>
      <c r="B1396" s="22"/>
      <c r="C1396" s="21"/>
      <c r="D1396" s="21"/>
      <c r="E1396" s="28"/>
      <c r="F1396" s="24"/>
      <c r="G1396" s="26"/>
      <c r="H1396" s="24"/>
      <c r="I1396" s="24"/>
      <c r="J1396" s="24"/>
      <c r="K1396" s="24"/>
      <c r="L1396" s="26"/>
      <c r="M1396" s="26"/>
      <c r="N1396" s="22"/>
      <c r="O1396" s="21"/>
      <c r="P1396" s="22"/>
      <c r="Q1396" s="29" t="str">
        <f aca="false">IF(C1396="","",IF(O1396&lt;&gt;"",O1396,IFERROR(INDEX(Produk!$J$2:$J$100,MATCH(C1396,Produk!$A$2:$A$100,0)),"PRODUK?")))</f>
        <v/>
      </c>
      <c r="R1396" s="29" t="str">
        <f aca="false">IF(A1396="","",IF(COUNTIF(Anggota!$A$2:$A$2001,A1396)=0,"TIDAK ADA","OK"))</f>
        <v/>
      </c>
      <c r="S1396" s="29" t="str">
        <f aca="false">IF(H1396="","",IF(OR(J1396="",L1396=""),"-",IF(ABS(H1396-J1396*L1396)&gt;Info_Koperasi!$C$10,"SELISIH","OK")))</f>
        <v/>
      </c>
    </row>
    <row r="1397" customFormat="false" ht="15" hidden="false" customHeight="false" outlineLevel="0" collapsed="false">
      <c r="A1397" s="21"/>
      <c r="B1397" s="22"/>
      <c r="C1397" s="21"/>
      <c r="D1397" s="21"/>
      <c r="E1397" s="28"/>
      <c r="F1397" s="24"/>
      <c r="G1397" s="26"/>
      <c r="H1397" s="24"/>
      <c r="I1397" s="24"/>
      <c r="J1397" s="24"/>
      <c r="K1397" s="24"/>
      <c r="L1397" s="26"/>
      <c r="M1397" s="26"/>
      <c r="N1397" s="22"/>
      <c r="O1397" s="21"/>
      <c r="P1397" s="22"/>
      <c r="Q1397" s="29" t="str">
        <f aca="false">IF(C1397="","",IF(O1397&lt;&gt;"",O1397,IFERROR(INDEX(Produk!$J$2:$J$100,MATCH(C1397,Produk!$A$2:$A$100,0)),"PRODUK?")))</f>
        <v/>
      </c>
      <c r="R1397" s="29" t="str">
        <f aca="false">IF(A1397="","",IF(COUNTIF(Anggota!$A$2:$A$2001,A1397)=0,"TIDAK ADA","OK"))</f>
        <v/>
      </c>
      <c r="S1397" s="29" t="str">
        <f aca="false">IF(H1397="","",IF(OR(J1397="",L1397=""),"-",IF(ABS(H1397-J1397*L1397)&gt;Info_Koperasi!$C$10,"SELISIH","OK")))</f>
        <v/>
      </c>
    </row>
    <row r="1398" customFormat="false" ht="15" hidden="false" customHeight="false" outlineLevel="0" collapsed="false">
      <c r="A1398" s="21"/>
      <c r="B1398" s="22"/>
      <c r="C1398" s="21"/>
      <c r="D1398" s="21"/>
      <c r="E1398" s="28"/>
      <c r="F1398" s="24"/>
      <c r="G1398" s="26"/>
      <c r="H1398" s="24"/>
      <c r="I1398" s="24"/>
      <c r="J1398" s="24"/>
      <c r="K1398" s="24"/>
      <c r="L1398" s="26"/>
      <c r="M1398" s="26"/>
      <c r="N1398" s="22"/>
      <c r="O1398" s="21"/>
      <c r="P1398" s="22"/>
      <c r="Q1398" s="29" t="str">
        <f aca="false">IF(C1398="","",IF(O1398&lt;&gt;"",O1398,IFERROR(INDEX(Produk!$J$2:$J$100,MATCH(C1398,Produk!$A$2:$A$100,0)),"PRODUK?")))</f>
        <v/>
      </c>
      <c r="R1398" s="29" t="str">
        <f aca="false">IF(A1398="","",IF(COUNTIF(Anggota!$A$2:$A$2001,A1398)=0,"TIDAK ADA","OK"))</f>
        <v/>
      </c>
      <c r="S1398" s="29" t="str">
        <f aca="false">IF(H1398="","",IF(OR(J1398="",L1398=""),"-",IF(ABS(H1398-J1398*L1398)&gt;Info_Koperasi!$C$10,"SELISIH","OK")))</f>
        <v/>
      </c>
    </row>
    <row r="1399" customFormat="false" ht="15" hidden="false" customHeight="false" outlineLevel="0" collapsed="false">
      <c r="A1399" s="21"/>
      <c r="B1399" s="22"/>
      <c r="C1399" s="21"/>
      <c r="D1399" s="21"/>
      <c r="E1399" s="28"/>
      <c r="F1399" s="24"/>
      <c r="G1399" s="26"/>
      <c r="H1399" s="24"/>
      <c r="I1399" s="24"/>
      <c r="J1399" s="24"/>
      <c r="K1399" s="24"/>
      <c r="L1399" s="26"/>
      <c r="M1399" s="26"/>
      <c r="N1399" s="22"/>
      <c r="O1399" s="21"/>
      <c r="P1399" s="22"/>
      <c r="Q1399" s="29" t="str">
        <f aca="false">IF(C1399="","",IF(O1399&lt;&gt;"",O1399,IFERROR(INDEX(Produk!$J$2:$J$100,MATCH(C1399,Produk!$A$2:$A$100,0)),"PRODUK?")))</f>
        <v/>
      </c>
      <c r="R1399" s="29" t="str">
        <f aca="false">IF(A1399="","",IF(COUNTIF(Anggota!$A$2:$A$2001,A1399)=0,"TIDAK ADA","OK"))</f>
        <v/>
      </c>
      <c r="S1399" s="29" t="str">
        <f aca="false">IF(H1399="","",IF(OR(J1399="",L1399=""),"-",IF(ABS(H1399-J1399*L1399)&gt;Info_Koperasi!$C$10,"SELISIH","OK")))</f>
        <v/>
      </c>
    </row>
    <row r="1400" customFormat="false" ht="15" hidden="false" customHeight="false" outlineLevel="0" collapsed="false">
      <c r="A1400" s="21"/>
      <c r="B1400" s="22"/>
      <c r="C1400" s="21"/>
      <c r="D1400" s="21"/>
      <c r="E1400" s="28"/>
      <c r="F1400" s="24"/>
      <c r="G1400" s="26"/>
      <c r="H1400" s="24"/>
      <c r="I1400" s="24"/>
      <c r="J1400" s="24"/>
      <c r="K1400" s="24"/>
      <c r="L1400" s="26"/>
      <c r="M1400" s="26"/>
      <c r="N1400" s="22"/>
      <c r="O1400" s="21"/>
      <c r="P1400" s="22"/>
      <c r="Q1400" s="29" t="str">
        <f aca="false">IF(C1400="","",IF(O1400&lt;&gt;"",O1400,IFERROR(INDEX(Produk!$J$2:$J$100,MATCH(C1400,Produk!$A$2:$A$100,0)),"PRODUK?")))</f>
        <v/>
      </c>
      <c r="R1400" s="29" t="str">
        <f aca="false">IF(A1400="","",IF(COUNTIF(Anggota!$A$2:$A$2001,A1400)=0,"TIDAK ADA","OK"))</f>
        <v/>
      </c>
      <c r="S1400" s="29" t="str">
        <f aca="false">IF(H1400="","",IF(OR(J1400="",L1400=""),"-",IF(ABS(H1400-J1400*L1400)&gt;Info_Koperasi!$C$10,"SELISIH","OK")))</f>
        <v/>
      </c>
    </row>
    <row r="1401" customFormat="false" ht="15" hidden="false" customHeight="false" outlineLevel="0" collapsed="false">
      <c r="A1401" s="21"/>
      <c r="B1401" s="22"/>
      <c r="C1401" s="21"/>
      <c r="D1401" s="21"/>
      <c r="E1401" s="28"/>
      <c r="F1401" s="24"/>
      <c r="G1401" s="26"/>
      <c r="H1401" s="24"/>
      <c r="I1401" s="24"/>
      <c r="J1401" s="24"/>
      <c r="K1401" s="24"/>
      <c r="L1401" s="26"/>
      <c r="M1401" s="26"/>
      <c r="N1401" s="22"/>
      <c r="O1401" s="21"/>
      <c r="P1401" s="22"/>
      <c r="Q1401" s="29" t="str">
        <f aca="false">IF(C1401="","",IF(O1401&lt;&gt;"",O1401,IFERROR(INDEX(Produk!$J$2:$J$100,MATCH(C1401,Produk!$A$2:$A$100,0)),"PRODUK?")))</f>
        <v/>
      </c>
      <c r="R1401" s="29" t="str">
        <f aca="false">IF(A1401="","",IF(COUNTIF(Anggota!$A$2:$A$2001,A1401)=0,"TIDAK ADA","OK"))</f>
        <v/>
      </c>
      <c r="S1401" s="29" t="str">
        <f aca="false">IF(H1401="","",IF(OR(J1401="",L1401=""),"-",IF(ABS(H1401-J1401*L1401)&gt;Info_Koperasi!$C$10,"SELISIH","OK")))</f>
        <v/>
      </c>
    </row>
    <row r="1402" customFormat="false" ht="15" hidden="false" customHeight="false" outlineLevel="0" collapsed="false">
      <c r="A1402" s="21"/>
      <c r="B1402" s="22"/>
      <c r="C1402" s="21"/>
      <c r="D1402" s="21"/>
      <c r="E1402" s="28"/>
      <c r="F1402" s="24"/>
      <c r="G1402" s="26"/>
      <c r="H1402" s="24"/>
      <c r="I1402" s="24"/>
      <c r="J1402" s="24"/>
      <c r="K1402" s="24"/>
      <c r="L1402" s="26"/>
      <c r="M1402" s="26"/>
      <c r="N1402" s="22"/>
      <c r="O1402" s="21"/>
      <c r="P1402" s="22"/>
      <c r="Q1402" s="29" t="str">
        <f aca="false">IF(C1402="","",IF(O1402&lt;&gt;"",O1402,IFERROR(INDEX(Produk!$J$2:$J$100,MATCH(C1402,Produk!$A$2:$A$100,0)),"PRODUK?")))</f>
        <v/>
      </c>
      <c r="R1402" s="29" t="str">
        <f aca="false">IF(A1402="","",IF(COUNTIF(Anggota!$A$2:$A$2001,A1402)=0,"TIDAK ADA","OK"))</f>
        <v/>
      </c>
      <c r="S1402" s="29" t="str">
        <f aca="false">IF(H1402="","",IF(OR(J1402="",L1402=""),"-",IF(ABS(H1402-J1402*L1402)&gt;Info_Koperasi!$C$10,"SELISIH","OK")))</f>
        <v/>
      </c>
    </row>
    <row r="1403" customFormat="false" ht="15" hidden="false" customHeight="false" outlineLevel="0" collapsed="false">
      <c r="A1403" s="21"/>
      <c r="B1403" s="22"/>
      <c r="C1403" s="21"/>
      <c r="D1403" s="21"/>
      <c r="E1403" s="28"/>
      <c r="F1403" s="24"/>
      <c r="G1403" s="26"/>
      <c r="H1403" s="24"/>
      <c r="I1403" s="24"/>
      <c r="J1403" s="24"/>
      <c r="K1403" s="24"/>
      <c r="L1403" s="26"/>
      <c r="M1403" s="26"/>
      <c r="N1403" s="22"/>
      <c r="O1403" s="21"/>
      <c r="P1403" s="22"/>
      <c r="Q1403" s="29" t="str">
        <f aca="false">IF(C1403="","",IF(O1403&lt;&gt;"",O1403,IFERROR(INDEX(Produk!$J$2:$J$100,MATCH(C1403,Produk!$A$2:$A$100,0)),"PRODUK?")))</f>
        <v/>
      </c>
      <c r="R1403" s="29" t="str">
        <f aca="false">IF(A1403="","",IF(COUNTIF(Anggota!$A$2:$A$2001,A1403)=0,"TIDAK ADA","OK"))</f>
        <v/>
      </c>
      <c r="S1403" s="29" t="str">
        <f aca="false">IF(H1403="","",IF(OR(J1403="",L1403=""),"-",IF(ABS(H1403-J1403*L1403)&gt;Info_Koperasi!$C$10,"SELISIH","OK")))</f>
        <v/>
      </c>
    </row>
    <row r="1404" customFormat="false" ht="15" hidden="false" customHeight="false" outlineLevel="0" collapsed="false">
      <c r="A1404" s="21"/>
      <c r="B1404" s="22"/>
      <c r="C1404" s="21"/>
      <c r="D1404" s="21"/>
      <c r="E1404" s="28"/>
      <c r="F1404" s="24"/>
      <c r="G1404" s="26"/>
      <c r="H1404" s="24"/>
      <c r="I1404" s="24"/>
      <c r="J1404" s="24"/>
      <c r="K1404" s="24"/>
      <c r="L1404" s="26"/>
      <c r="M1404" s="26"/>
      <c r="N1404" s="22"/>
      <c r="O1404" s="21"/>
      <c r="P1404" s="22"/>
      <c r="Q1404" s="29" t="str">
        <f aca="false">IF(C1404="","",IF(O1404&lt;&gt;"",O1404,IFERROR(INDEX(Produk!$J$2:$J$100,MATCH(C1404,Produk!$A$2:$A$100,0)),"PRODUK?")))</f>
        <v/>
      </c>
      <c r="R1404" s="29" t="str">
        <f aca="false">IF(A1404="","",IF(COUNTIF(Anggota!$A$2:$A$2001,A1404)=0,"TIDAK ADA","OK"))</f>
        <v/>
      </c>
      <c r="S1404" s="29" t="str">
        <f aca="false">IF(H1404="","",IF(OR(J1404="",L1404=""),"-",IF(ABS(H1404-J1404*L1404)&gt;Info_Koperasi!$C$10,"SELISIH","OK")))</f>
        <v/>
      </c>
    </row>
    <row r="1405" customFormat="false" ht="15" hidden="false" customHeight="false" outlineLevel="0" collapsed="false">
      <c r="A1405" s="21"/>
      <c r="B1405" s="22"/>
      <c r="C1405" s="21"/>
      <c r="D1405" s="21"/>
      <c r="E1405" s="28"/>
      <c r="F1405" s="24"/>
      <c r="G1405" s="26"/>
      <c r="H1405" s="24"/>
      <c r="I1405" s="24"/>
      <c r="J1405" s="24"/>
      <c r="K1405" s="24"/>
      <c r="L1405" s="26"/>
      <c r="M1405" s="26"/>
      <c r="N1405" s="22"/>
      <c r="O1405" s="21"/>
      <c r="P1405" s="22"/>
      <c r="Q1405" s="29" t="str">
        <f aca="false">IF(C1405="","",IF(O1405&lt;&gt;"",O1405,IFERROR(INDEX(Produk!$J$2:$J$100,MATCH(C1405,Produk!$A$2:$A$100,0)),"PRODUK?")))</f>
        <v/>
      </c>
      <c r="R1405" s="29" t="str">
        <f aca="false">IF(A1405="","",IF(COUNTIF(Anggota!$A$2:$A$2001,A1405)=0,"TIDAK ADA","OK"))</f>
        <v/>
      </c>
      <c r="S1405" s="29" t="str">
        <f aca="false">IF(H1405="","",IF(OR(J1405="",L1405=""),"-",IF(ABS(H1405-J1405*L1405)&gt;Info_Koperasi!$C$10,"SELISIH","OK")))</f>
        <v/>
      </c>
    </row>
    <row r="1406" customFormat="false" ht="15" hidden="false" customHeight="false" outlineLevel="0" collapsed="false">
      <c r="A1406" s="21"/>
      <c r="B1406" s="22"/>
      <c r="C1406" s="21"/>
      <c r="D1406" s="21"/>
      <c r="E1406" s="28"/>
      <c r="F1406" s="24"/>
      <c r="G1406" s="26"/>
      <c r="H1406" s="24"/>
      <c r="I1406" s="24"/>
      <c r="J1406" s="24"/>
      <c r="K1406" s="24"/>
      <c r="L1406" s="26"/>
      <c r="M1406" s="26"/>
      <c r="N1406" s="22"/>
      <c r="O1406" s="21"/>
      <c r="P1406" s="22"/>
      <c r="Q1406" s="29" t="str">
        <f aca="false">IF(C1406="","",IF(O1406&lt;&gt;"",O1406,IFERROR(INDEX(Produk!$J$2:$J$100,MATCH(C1406,Produk!$A$2:$A$100,0)),"PRODUK?")))</f>
        <v/>
      </c>
      <c r="R1406" s="29" t="str">
        <f aca="false">IF(A1406="","",IF(COUNTIF(Anggota!$A$2:$A$2001,A1406)=0,"TIDAK ADA","OK"))</f>
        <v/>
      </c>
      <c r="S1406" s="29" t="str">
        <f aca="false">IF(H1406="","",IF(OR(J1406="",L1406=""),"-",IF(ABS(H1406-J1406*L1406)&gt;Info_Koperasi!$C$10,"SELISIH","OK")))</f>
        <v/>
      </c>
    </row>
    <row r="1407" customFormat="false" ht="15" hidden="false" customHeight="false" outlineLevel="0" collapsed="false">
      <c r="A1407" s="21"/>
      <c r="B1407" s="22"/>
      <c r="C1407" s="21"/>
      <c r="D1407" s="21"/>
      <c r="E1407" s="28"/>
      <c r="F1407" s="24"/>
      <c r="G1407" s="26"/>
      <c r="H1407" s="24"/>
      <c r="I1407" s="24"/>
      <c r="J1407" s="24"/>
      <c r="K1407" s="24"/>
      <c r="L1407" s="26"/>
      <c r="M1407" s="26"/>
      <c r="N1407" s="22"/>
      <c r="O1407" s="21"/>
      <c r="P1407" s="22"/>
      <c r="Q1407" s="29" t="str">
        <f aca="false">IF(C1407="","",IF(O1407&lt;&gt;"",O1407,IFERROR(INDEX(Produk!$J$2:$J$100,MATCH(C1407,Produk!$A$2:$A$100,0)),"PRODUK?")))</f>
        <v/>
      </c>
      <c r="R1407" s="29" t="str">
        <f aca="false">IF(A1407="","",IF(COUNTIF(Anggota!$A$2:$A$2001,A1407)=0,"TIDAK ADA","OK"))</f>
        <v/>
      </c>
      <c r="S1407" s="29" t="str">
        <f aca="false">IF(H1407="","",IF(OR(J1407="",L1407=""),"-",IF(ABS(H1407-J1407*L1407)&gt;Info_Koperasi!$C$10,"SELISIH","OK")))</f>
        <v/>
      </c>
    </row>
    <row r="1408" customFormat="false" ht="15" hidden="false" customHeight="false" outlineLevel="0" collapsed="false">
      <c r="A1408" s="21"/>
      <c r="B1408" s="22"/>
      <c r="C1408" s="21"/>
      <c r="D1408" s="21"/>
      <c r="E1408" s="28"/>
      <c r="F1408" s="24"/>
      <c r="G1408" s="26"/>
      <c r="H1408" s="24"/>
      <c r="I1408" s="24"/>
      <c r="J1408" s="24"/>
      <c r="K1408" s="24"/>
      <c r="L1408" s="26"/>
      <c r="M1408" s="26"/>
      <c r="N1408" s="22"/>
      <c r="O1408" s="21"/>
      <c r="P1408" s="22"/>
      <c r="Q1408" s="29" t="str">
        <f aca="false">IF(C1408="","",IF(O1408&lt;&gt;"",O1408,IFERROR(INDEX(Produk!$J$2:$J$100,MATCH(C1408,Produk!$A$2:$A$100,0)),"PRODUK?")))</f>
        <v/>
      </c>
      <c r="R1408" s="29" t="str">
        <f aca="false">IF(A1408="","",IF(COUNTIF(Anggota!$A$2:$A$2001,A1408)=0,"TIDAK ADA","OK"))</f>
        <v/>
      </c>
      <c r="S1408" s="29" t="str">
        <f aca="false">IF(H1408="","",IF(OR(J1408="",L1408=""),"-",IF(ABS(H1408-J1408*L1408)&gt;Info_Koperasi!$C$10,"SELISIH","OK")))</f>
        <v/>
      </c>
    </row>
    <row r="1409" customFormat="false" ht="15" hidden="false" customHeight="false" outlineLevel="0" collapsed="false">
      <c r="A1409" s="21"/>
      <c r="B1409" s="22"/>
      <c r="C1409" s="21"/>
      <c r="D1409" s="21"/>
      <c r="E1409" s="28"/>
      <c r="F1409" s="24"/>
      <c r="G1409" s="26"/>
      <c r="H1409" s="24"/>
      <c r="I1409" s="24"/>
      <c r="J1409" s="24"/>
      <c r="K1409" s="24"/>
      <c r="L1409" s="26"/>
      <c r="M1409" s="26"/>
      <c r="N1409" s="22"/>
      <c r="O1409" s="21"/>
      <c r="P1409" s="22"/>
      <c r="Q1409" s="29" t="str">
        <f aca="false">IF(C1409="","",IF(O1409&lt;&gt;"",O1409,IFERROR(INDEX(Produk!$J$2:$J$100,MATCH(C1409,Produk!$A$2:$A$100,0)),"PRODUK?")))</f>
        <v/>
      </c>
      <c r="R1409" s="29" t="str">
        <f aca="false">IF(A1409="","",IF(COUNTIF(Anggota!$A$2:$A$2001,A1409)=0,"TIDAK ADA","OK"))</f>
        <v/>
      </c>
      <c r="S1409" s="29" t="str">
        <f aca="false">IF(H1409="","",IF(OR(J1409="",L1409=""),"-",IF(ABS(H1409-J1409*L1409)&gt;Info_Koperasi!$C$10,"SELISIH","OK")))</f>
        <v/>
      </c>
    </row>
    <row r="1410" customFormat="false" ht="15" hidden="false" customHeight="false" outlineLevel="0" collapsed="false">
      <c r="A1410" s="21"/>
      <c r="B1410" s="22"/>
      <c r="C1410" s="21"/>
      <c r="D1410" s="21"/>
      <c r="E1410" s="28"/>
      <c r="F1410" s="24"/>
      <c r="G1410" s="26"/>
      <c r="H1410" s="24"/>
      <c r="I1410" s="24"/>
      <c r="J1410" s="24"/>
      <c r="K1410" s="24"/>
      <c r="L1410" s="26"/>
      <c r="M1410" s="26"/>
      <c r="N1410" s="22"/>
      <c r="O1410" s="21"/>
      <c r="P1410" s="22"/>
      <c r="Q1410" s="29" t="str">
        <f aca="false">IF(C1410="","",IF(O1410&lt;&gt;"",O1410,IFERROR(INDEX(Produk!$J$2:$J$100,MATCH(C1410,Produk!$A$2:$A$100,0)),"PRODUK?")))</f>
        <v/>
      </c>
      <c r="R1410" s="29" t="str">
        <f aca="false">IF(A1410="","",IF(COUNTIF(Anggota!$A$2:$A$2001,A1410)=0,"TIDAK ADA","OK"))</f>
        <v/>
      </c>
      <c r="S1410" s="29" t="str">
        <f aca="false">IF(H1410="","",IF(OR(J1410="",L1410=""),"-",IF(ABS(H1410-J1410*L1410)&gt;Info_Koperasi!$C$10,"SELISIH","OK")))</f>
        <v/>
      </c>
    </row>
    <row r="1411" customFormat="false" ht="15" hidden="false" customHeight="false" outlineLevel="0" collapsed="false">
      <c r="A1411" s="21"/>
      <c r="B1411" s="22"/>
      <c r="C1411" s="21"/>
      <c r="D1411" s="21"/>
      <c r="E1411" s="28"/>
      <c r="F1411" s="24"/>
      <c r="G1411" s="26"/>
      <c r="H1411" s="24"/>
      <c r="I1411" s="24"/>
      <c r="J1411" s="24"/>
      <c r="K1411" s="24"/>
      <c r="L1411" s="26"/>
      <c r="M1411" s="26"/>
      <c r="N1411" s="22"/>
      <c r="O1411" s="21"/>
      <c r="P1411" s="22"/>
      <c r="Q1411" s="29" t="str">
        <f aca="false">IF(C1411="","",IF(O1411&lt;&gt;"",O1411,IFERROR(INDEX(Produk!$J$2:$J$100,MATCH(C1411,Produk!$A$2:$A$100,0)),"PRODUK?")))</f>
        <v/>
      </c>
      <c r="R1411" s="29" t="str">
        <f aca="false">IF(A1411="","",IF(COUNTIF(Anggota!$A$2:$A$2001,A1411)=0,"TIDAK ADA","OK"))</f>
        <v/>
      </c>
      <c r="S1411" s="29" t="str">
        <f aca="false">IF(H1411="","",IF(OR(J1411="",L1411=""),"-",IF(ABS(H1411-J1411*L1411)&gt;Info_Koperasi!$C$10,"SELISIH","OK")))</f>
        <v/>
      </c>
    </row>
    <row r="1412" customFormat="false" ht="15" hidden="false" customHeight="false" outlineLevel="0" collapsed="false">
      <c r="A1412" s="21"/>
      <c r="B1412" s="22"/>
      <c r="C1412" s="21"/>
      <c r="D1412" s="21"/>
      <c r="E1412" s="28"/>
      <c r="F1412" s="24"/>
      <c r="G1412" s="26"/>
      <c r="H1412" s="24"/>
      <c r="I1412" s="24"/>
      <c r="J1412" s="24"/>
      <c r="K1412" s="24"/>
      <c r="L1412" s="26"/>
      <c r="M1412" s="26"/>
      <c r="N1412" s="22"/>
      <c r="O1412" s="21"/>
      <c r="P1412" s="22"/>
      <c r="Q1412" s="29" t="str">
        <f aca="false">IF(C1412="","",IF(O1412&lt;&gt;"",O1412,IFERROR(INDEX(Produk!$J$2:$J$100,MATCH(C1412,Produk!$A$2:$A$100,0)),"PRODUK?")))</f>
        <v/>
      </c>
      <c r="R1412" s="29" t="str">
        <f aca="false">IF(A1412="","",IF(COUNTIF(Anggota!$A$2:$A$2001,A1412)=0,"TIDAK ADA","OK"))</f>
        <v/>
      </c>
      <c r="S1412" s="29" t="str">
        <f aca="false">IF(H1412="","",IF(OR(J1412="",L1412=""),"-",IF(ABS(H1412-J1412*L1412)&gt;Info_Koperasi!$C$10,"SELISIH","OK")))</f>
        <v/>
      </c>
    </row>
    <row r="1413" customFormat="false" ht="15" hidden="false" customHeight="false" outlineLevel="0" collapsed="false">
      <c r="A1413" s="21"/>
      <c r="B1413" s="22"/>
      <c r="C1413" s="21"/>
      <c r="D1413" s="21"/>
      <c r="E1413" s="28"/>
      <c r="F1413" s="24"/>
      <c r="G1413" s="26"/>
      <c r="H1413" s="24"/>
      <c r="I1413" s="24"/>
      <c r="J1413" s="24"/>
      <c r="K1413" s="24"/>
      <c r="L1413" s="26"/>
      <c r="M1413" s="26"/>
      <c r="N1413" s="22"/>
      <c r="O1413" s="21"/>
      <c r="P1413" s="22"/>
      <c r="Q1413" s="29" t="str">
        <f aca="false">IF(C1413="","",IF(O1413&lt;&gt;"",O1413,IFERROR(INDEX(Produk!$J$2:$J$100,MATCH(C1413,Produk!$A$2:$A$100,0)),"PRODUK?")))</f>
        <v/>
      </c>
      <c r="R1413" s="29" t="str">
        <f aca="false">IF(A1413="","",IF(COUNTIF(Anggota!$A$2:$A$2001,A1413)=0,"TIDAK ADA","OK"))</f>
        <v/>
      </c>
      <c r="S1413" s="29" t="str">
        <f aca="false">IF(H1413="","",IF(OR(J1413="",L1413=""),"-",IF(ABS(H1413-J1413*L1413)&gt;Info_Koperasi!$C$10,"SELISIH","OK")))</f>
        <v/>
      </c>
    </row>
    <row r="1414" customFormat="false" ht="15" hidden="false" customHeight="false" outlineLevel="0" collapsed="false">
      <c r="A1414" s="21"/>
      <c r="B1414" s="22"/>
      <c r="C1414" s="21"/>
      <c r="D1414" s="21"/>
      <c r="E1414" s="28"/>
      <c r="F1414" s="24"/>
      <c r="G1414" s="26"/>
      <c r="H1414" s="24"/>
      <c r="I1414" s="24"/>
      <c r="J1414" s="24"/>
      <c r="K1414" s="24"/>
      <c r="L1414" s="26"/>
      <c r="M1414" s="26"/>
      <c r="N1414" s="22"/>
      <c r="O1414" s="21"/>
      <c r="P1414" s="22"/>
      <c r="Q1414" s="29" t="str">
        <f aca="false">IF(C1414="","",IF(O1414&lt;&gt;"",O1414,IFERROR(INDEX(Produk!$J$2:$J$100,MATCH(C1414,Produk!$A$2:$A$100,0)),"PRODUK?")))</f>
        <v/>
      </c>
      <c r="R1414" s="29" t="str">
        <f aca="false">IF(A1414="","",IF(COUNTIF(Anggota!$A$2:$A$2001,A1414)=0,"TIDAK ADA","OK"))</f>
        <v/>
      </c>
      <c r="S1414" s="29" t="str">
        <f aca="false">IF(H1414="","",IF(OR(J1414="",L1414=""),"-",IF(ABS(H1414-J1414*L1414)&gt;Info_Koperasi!$C$10,"SELISIH","OK")))</f>
        <v/>
      </c>
    </row>
    <row r="1415" customFormat="false" ht="15" hidden="false" customHeight="false" outlineLevel="0" collapsed="false">
      <c r="A1415" s="21"/>
      <c r="B1415" s="22"/>
      <c r="C1415" s="21"/>
      <c r="D1415" s="21"/>
      <c r="E1415" s="28"/>
      <c r="F1415" s="24"/>
      <c r="G1415" s="26"/>
      <c r="H1415" s="24"/>
      <c r="I1415" s="24"/>
      <c r="J1415" s="24"/>
      <c r="K1415" s="24"/>
      <c r="L1415" s="26"/>
      <c r="M1415" s="26"/>
      <c r="N1415" s="22"/>
      <c r="O1415" s="21"/>
      <c r="P1415" s="22"/>
      <c r="Q1415" s="29" t="str">
        <f aca="false">IF(C1415="","",IF(O1415&lt;&gt;"",O1415,IFERROR(INDEX(Produk!$J$2:$J$100,MATCH(C1415,Produk!$A$2:$A$100,0)),"PRODUK?")))</f>
        <v/>
      </c>
      <c r="R1415" s="29" t="str">
        <f aca="false">IF(A1415="","",IF(COUNTIF(Anggota!$A$2:$A$2001,A1415)=0,"TIDAK ADA","OK"))</f>
        <v/>
      </c>
      <c r="S1415" s="29" t="str">
        <f aca="false">IF(H1415="","",IF(OR(J1415="",L1415=""),"-",IF(ABS(H1415-J1415*L1415)&gt;Info_Koperasi!$C$10,"SELISIH","OK")))</f>
        <v/>
      </c>
    </row>
    <row r="1416" customFormat="false" ht="15" hidden="false" customHeight="false" outlineLevel="0" collapsed="false">
      <c r="A1416" s="21"/>
      <c r="B1416" s="22"/>
      <c r="C1416" s="21"/>
      <c r="D1416" s="21"/>
      <c r="E1416" s="28"/>
      <c r="F1416" s="24"/>
      <c r="G1416" s="26"/>
      <c r="H1416" s="24"/>
      <c r="I1416" s="24"/>
      <c r="J1416" s="24"/>
      <c r="K1416" s="24"/>
      <c r="L1416" s="26"/>
      <c r="M1416" s="26"/>
      <c r="N1416" s="22"/>
      <c r="O1416" s="21"/>
      <c r="P1416" s="22"/>
      <c r="Q1416" s="29" t="str">
        <f aca="false">IF(C1416="","",IF(O1416&lt;&gt;"",O1416,IFERROR(INDEX(Produk!$J$2:$J$100,MATCH(C1416,Produk!$A$2:$A$100,0)),"PRODUK?")))</f>
        <v/>
      </c>
      <c r="R1416" s="29" t="str">
        <f aca="false">IF(A1416="","",IF(COUNTIF(Anggota!$A$2:$A$2001,A1416)=0,"TIDAK ADA","OK"))</f>
        <v/>
      </c>
      <c r="S1416" s="29" t="str">
        <f aca="false">IF(H1416="","",IF(OR(J1416="",L1416=""),"-",IF(ABS(H1416-J1416*L1416)&gt;Info_Koperasi!$C$10,"SELISIH","OK")))</f>
        <v/>
      </c>
    </row>
    <row r="1417" customFormat="false" ht="15" hidden="false" customHeight="false" outlineLevel="0" collapsed="false">
      <c r="A1417" s="21"/>
      <c r="B1417" s="22"/>
      <c r="C1417" s="21"/>
      <c r="D1417" s="21"/>
      <c r="E1417" s="28"/>
      <c r="F1417" s="24"/>
      <c r="G1417" s="26"/>
      <c r="H1417" s="24"/>
      <c r="I1417" s="24"/>
      <c r="J1417" s="24"/>
      <c r="K1417" s="24"/>
      <c r="L1417" s="26"/>
      <c r="M1417" s="26"/>
      <c r="N1417" s="22"/>
      <c r="O1417" s="21"/>
      <c r="P1417" s="22"/>
      <c r="Q1417" s="29" t="str">
        <f aca="false">IF(C1417="","",IF(O1417&lt;&gt;"",O1417,IFERROR(INDEX(Produk!$J$2:$J$100,MATCH(C1417,Produk!$A$2:$A$100,0)),"PRODUK?")))</f>
        <v/>
      </c>
      <c r="R1417" s="29" t="str">
        <f aca="false">IF(A1417="","",IF(COUNTIF(Anggota!$A$2:$A$2001,A1417)=0,"TIDAK ADA","OK"))</f>
        <v/>
      </c>
      <c r="S1417" s="29" t="str">
        <f aca="false">IF(H1417="","",IF(OR(J1417="",L1417=""),"-",IF(ABS(H1417-J1417*L1417)&gt;Info_Koperasi!$C$10,"SELISIH","OK")))</f>
        <v/>
      </c>
    </row>
    <row r="1418" customFormat="false" ht="15" hidden="false" customHeight="false" outlineLevel="0" collapsed="false">
      <c r="A1418" s="21"/>
      <c r="B1418" s="22"/>
      <c r="C1418" s="21"/>
      <c r="D1418" s="21"/>
      <c r="E1418" s="28"/>
      <c r="F1418" s="24"/>
      <c r="G1418" s="26"/>
      <c r="H1418" s="24"/>
      <c r="I1418" s="24"/>
      <c r="J1418" s="24"/>
      <c r="K1418" s="24"/>
      <c r="L1418" s="26"/>
      <c r="M1418" s="26"/>
      <c r="N1418" s="22"/>
      <c r="O1418" s="21"/>
      <c r="P1418" s="22"/>
      <c r="Q1418" s="29" t="str">
        <f aca="false">IF(C1418="","",IF(O1418&lt;&gt;"",O1418,IFERROR(INDEX(Produk!$J$2:$J$100,MATCH(C1418,Produk!$A$2:$A$100,0)),"PRODUK?")))</f>
        <v/>
      </c>
      <c r="R1418" s="29" t="str">
        <f aca="false">IF(A1418="","",IF(COUNTIF(Anggota!$A$2:$A$2001,A1418)=0,"TIDAK ADA","OK"))</f>
        <v/>
      </c>
      <c r="S1418" s="29" t="str">
        <f aca="false">IF(H1418="","",IF(OR(J1418="",L1418=""),"-",IF(ABS(H1418-J1418*L1418)&gt;Info_Koperasi!$C$10,"SELISIH","OK")))</f>
        <v/>
      </c>
    </row>
    <row r="1419" customFormat="false" ht="15" hidden="false" customHeight="false" outlineLevel="0" collapsed="false">
      <c r="A1419" s="21"/>
      <c r="B1419" s="22"/>
      <c r="C1419" s="21"/>
      <c r="D1419" s="21"/>
      <c r="E1419" s="28"/>
      <c r="F1419" s="24"/>
      <c r="G1419" s="26"/>
      <c r="H1419" s="24"/>
      <c r="I1419" s="24"/>
      <c r="J1419" s="24"/>
      <c r="K1419" s="24"/>
      <c r="L1419" s="26"/>
      <c r="M1419" s="26"/>
      <c r="N1419" s="22"/>
      <c r="O1419" s="21"/>
      <c r="P1419" s="22"/>
      <c r="Q1419" s="29" t="str">
        <f aca="false">IF(C1419="","",IF(O1419&lt;&gt;"",O1419,IFERROR(INDEX(Produk!$J$2:$J$100,MATCH(C1419,Produk!$A$2:$A$100,0)),"PRODUK?")))</f>
        <v/>
      </c>
      <c r="R1419" s="29" t="str">
        <f aca="false">IF(A1419="","",IF(COUNTIF(Anggota!$A$2:$A$2001,A1419)=0,"TIDAK ADA","OK"))</f>
        <v/>
      </c>
      <c r="S1419" s="29" t="str">
        <f aca="false">IF(H1419="","",IF(OR(J1419="",L1419=""),"-",IF(ABS(H1419-J1419*L1419)&gt;Info_Koperasi!$C$10,"SELISIH","OK")))</f>
        <v/>
      </c>
    </row>
    <row r="1420" customFormat="false" ht="15" hidden="false" customHeight="false" outlineLevel="0" collapsed="false">
      <c r="A1420" s="21"/>
      <c r="B1420" s="22"/>
      <c r="C1420" s="21"/>
      <c r="D1420" s="21"/>
      <c r="E1420" s="28"/>
      <c r="F1420" s="24"/>
      <c r="G1420" s="26"/>
      <c r="H1420" s="24"/>
      <c r="I1420" s="24"/>
      <c r="J1420" s="24"/>
      <c r="K1420" s="24"/>
      <c r="L1420" s="26"/>
      <c r="M1420" s="26"/>
      <c r="N1420" s="22"/>
      <c r="O1420" s="21"/>
      <c r="P1420" s="22"/>
      <c r="Q1420" s="29" t="str">
        <f aca="false">IF(C1420="","",IF(O1420&lt;&gt;"",O1420,IFERROR(INDEX(Produk!$J$2:$J$100,MATCH(C1420,Produk!$A$2:$A$100,0)),"PRODUK?")))</f>
        <v/>
      </c>
      <c r="R1420" s="29" t="str">
        <f aca="false">IF(A1420="","",IF(COUNTIF(Anggota!$A$2:$A$2001,A1420)=0,"TIDAK ADA","OK"))</f>
        <v/>
      </c>
      <c r="S1420" s="29" t="str">
        <f aca="false">IF(H1420="","",IF(OR(J1420="",L1420=""),"-",IF(ABS(H1420-J1420*L1420)&gt;Info_Koperasi!$C$10,"SELISIH","OK")))</f>
        <v/>
      </c>
    </row>
    <row r="1421" customFormat="false" ht="15" hidden="false" customHeight="false" outlineLevel="0" collapsed="false">
      <c r="A1421" s="21"/>
      <c r="B1421" s="22"/>
      <c r="C1421" s="21"/>
      <c r="D1421" s="21"/>
      <c r="E1421" s="28"/>
      <c r="F1421" s="24"/>
      <c r="G1421" s="26"/>
      <c r="H1421" s="24"/>
      <c r="I1421" s="24"/>
      <c r="J1421" s="24"/>
      <c r="K1421" s="24"/>
      <c r="L1421" s="26"/>
      <c r="M1421" s="26"/>
      <c r="N1421" s="22"/>
      <c r="O1421" s="21"/>
      <c r="P1421" s="22"/>
      <c r="Q1421" s="29" t="str">
        <f aca="false">IF(C1421="","",IF(O1421&lt;&gt;"",O1421,IFERROR(INDEX(Produk!$J$2:$J$100,MATCH(C1421,Produk!$A$2:$A$100,0)),"PRODUK?")))</f>
        <v/>
      </c>
      <c r="R1421" s="29" t="str">
        <f aca="false">IF(A1421="","",IF(COUNTIF(Anggota!$A$2:$A$2001,A1421)=0,"TIDAK ADA","OK"))</f>
        <v/>
      </c>
      <c r="S1421" s="29" t="str">
        <f aca="false">IF(H1421="","",IF(OR(J1421="",L1421=""),"-",IF(ABS(H1421-J1421*L1421)&gt;Info_Koperasi!$C$10,"SELISIH","OK")))</f>
        <v/>
      </c>
    </row>
    <row r="1422" customFormat="false" ht="15" hidden="false" customHeight="false" outlineLevel="0" collapsed="false">
      <c r="A1422" s="21"/>
      <c r="B1422" s="22"/>
      <c r="C1422" s="21"/>
      <c r="D1422" s="21"/>
      <c r="E1422" s="28"/>
      <c r="F1422" s="24"/>
      <c r="G1422" s="26"/>
      <c r="H1422" s="24"/>
      <c r="I1422" s="24"/>
      <c r="J1422" s="24"/>
      <c r="K1422" s="24"/>
      <c r="L1422" s="26"/>
      <c r="M1422" s="26"/>
      <c r="N1422" s="22"/>
      <c r="O1422" s="21"/>
      <c r="P1422" s="22"/>
      <c r="Q1422" s="29" t="str">
        <f aca="false">IF(C1422="","",IF(O1422&lt;&gt;"",O1422,IFERROR(INDEX(Produk!$J$2:$J$100,MATCH(C1422,Produk!$A$2:$A$100,0)),"PRODUK?")))</f>
        <v/>
      </c>
      <c r="R1422" s="29" t="str">
        <f aca="false">IF(A1422="","",IF(COUNTIF(Anggota!$A$2:$A$2001,A1422)=0,"TIDAK ADA","OK"))</f>
        <v/>
      </c>
      <c r="S1422" s="29" t="str">
        <f aca="false">IF(H1422="","",IF(OR(J1422="",L1422=""),"-",IF(ABS(H1422-J1422*L1422)&gt;Info_Koperasi!$C$10,"SELISIH","OK")))</f>
        <v/>
      </c>
    </row>
    <row r="1423" customFormat="false" ht="15" hidden="false" customHeight="false" outlineLevel="0" collapsed="false">
      <c r="A1423" s="21"/>
      <c r="B1423" s="22"/>
      <c r="C1423" s="21"/>
      <c r="D1423" s="21"/>
      <c r="E1423" s="28"/>
      <c r="F1423" s="24"/>
      <c r="G1423" s="26"/>
      <c r="H1423" s="24"/>
      <c r="I1423" s="24"/>
      <c r="J1423" s="24"/>
      <c r="K1423" s="24"/>
      <c r="L1423" s="26"/>
      <c r="M1423" s="26"/>
      <c r="N1423" s="22"/>
      <c r="O1423" s="21"/>
      <c r="P1423" s="22"/>
      <c r="Q1423" s="29" t="str">
        <f aca="false">IF(C1423="","",IF(O1423&lt;&gt;"",O1423,IFERROR(INDEX(Produk!$J$2:$J$100,MATCH(C1423,Produk!$A$2:$A$100,0)),"PRODUK?")))</f>
        <v/>
      </c>
      <c r="R1423" s="29" t="str">
        <f aca="false">IF(A1423="","",IF(COUNTIF(Anggota!$A$2:$A$2001,A1423)=0,"TIDAK ADA","OK"))</f>
        <v/>
      </c>
      <c r="S1423" s="29" t="str">
        <f aca="false">IF(H1423="","",IF(OR(J1423="",L1423=""),"-",IF(ABS(H1423-J1423*L1423)&gt;Info_Koperasi!$C$10,"SELISIH","OK")))</f>
        <v/>
      </c>
    </row>
    <row r="1424" customFormat="false" ht="15" hidden="false" customHeight="false" outlineLevel="0" collapsed="false">
      <c r="A1424" s="21"/>
      <c r="B1424" s="22"/>
      <c r="C1424" s="21"/>
      <c r="D1424" s="21"/>
      <c r="E1424" s="28"/>
      <c r="F1424" s="24"/>
      <c r="G1424" s="26"/>
      <c r="H1424" s="24"/>
      <c r="I1424" s="24"/>
      <c r="J1424" s="24"/>
      <c r="K1424" s="24"/>
      <c r="L1424" s="26"/>
      <c r="M1424" s="26"/>
      <c r="N1424" s="22"/>
      <c r="O1424" s="21"/>
      <c r="P1424" s="22"/>
      <c r="Q1424" s="29" t="str">
        <f aca="false">IF(C1424="","",IF(O1424&lt;&gt;"",O1424,IFERROR(INDEX(Produk!$J$2:$J$100,MATCH(C1424,Produk!$A$2:$A$100,0)),"PRODUK?")))</f>
        <v/>
      </c>
      <c r="R1424" s="29" t="str">
        <f aca="false">IF(A1424="","",IF(COUNTIF(Anggota!$A$2:$A$2001,A1424)=0,"TIDAK ADA","OK"))</f>
        <v/>
      </c>
      <c r="S1424" s="29" t="str">
        <f aca="false">IF(H1424="","",IF(OR(J1424="",L1424=""),"-",IF(ABS(H1424-J1424*L1424)&gt;Info_Koperasi!$C$10,"SELISIH","OK")))</f>
        <v/>
      </c>
    </row>
    <row r="1425" customFormat="false" ht="15" hidden="false" customHeight="false" outlineLevel="0" collapsed="false">
      <c r="A1425" s="21"/>
      <c r="B1425" s="22"/>
      <c r="C1425" s="21"/>
      <c r="D1425" s="21"/>
      <c r="E1425" s="28"/>
      <c r="F1425" s="24"/>
      <c r="G1425" s="26"/>
      <c r="H1425" s="24"/>
      <c r="I1425" s="24"/>
      <c r="J1425" s="24"/>
      <c r="K1425" s="24"/>
      <c r="L1425" s="26"/>
      <c r="M1425" s="26"/>
      <c r="N1425" s="22"/>
      <c r="O1425" s="21"/>
      <c r="P1425" s="22"/>
      <c r="Q1425" s="29" t="str">
        <f aca="false">IF(C1425="","",IF(O1425&lt;&gt;"",O1425,IFERROR(INDEX(Produk!$J$2:$J$100,MATCH(C1425,Produk!$A$2:$A$100,0)),"PRODUK?")))</f>
        <v/>
      </c>
      <c r="R1425" s="29" t="str">
        <f aca="false">IF(A1425="","",IF(COUNTIF(Anggota!$A$2:$A$2001,A1425)=0,"TIDAK ADA","OK"))</f>
        <v/>
      </c>
      <c r="S1425" s="29" t="str">
        <f aca="false">IF(H1425="","",IF(OR(J1425="",L1425=""),"-",IF(ABS(H1425-J1425*L1425)&gt;Info_Koperasi!$C$10,"SELISIH","OK")))</f>
        <v/>
      </c>
    </row>
    <row r="1426" customFormat="false" ht="15" hidden="false" customHeight="false" outlineLevel="0" collapsed="false">
      <c r="A1426" s="21"/>
      <c r="B1426" s="22"/>
      <c r="C1426" s="21"/>
      <c r="D1426" s="21"/>
      <c r="E1426" s="28"/>
      <c r="F1426" s="24"/>
      <c r="G1426" s="26"/>
      <c r="H1426" s="24"/>
      <c r="I1426" s="24"/>
      <c r="J1426" s="24"/>
      <c r="K1426" s="24"/>
      <c r="L1426" s="26"/>
      <c r="M1426" s="26"/>
      <c r="N1426" s="22"/>
      <c r="O1426" s="21"/>
      <c r="P1426" s="22"/>
      <c r="Q1426" s="29" t="str">
        <f aca="false">IF(C1426="","",IF(O1426&lt;&gt;"",O1426,IFERROR(INDEX(Produk!$J$2:$J$100,MATCH(C1426,Produk!$A$2:$A$100,0)),"PRODUK?")))</f>
        <v/>
      </c>
      <c r="R1426" s="29" t="str">
        <f aca="false">IF(A1426="","",IF(COUNTIF(Anggota!$A$2:$A$2001,A1426)=0,"TIDAK ADA","OK"))</f>
        <v/>
      </c>
      <c r="S1426" s="29" t="str">
        <f aca="false">IF(H1426="","",IF(OR(J1426="",L1426=""),"-",IF(ABS(H1426-J1426*L1426)&gt;Info_Koperasi!$C$10,"SELISIH","OK")))</f>
        <v/>
      </c>
    </row>
    <row r="1427" customFormat="false" ht="15" hidden="false" customHeight="false" outlineLevel="0" collapsed="false">
      <c r="A1427" s="21"/>
      <c r="B1427" s="22"/>
      <c r="C1427" s="21"/>
      <c r="D1427" s="21"/>
      <c r="E1427" s="28"/>
      <c r="F1427" s="24"/>
      <c r="G1427" s="26"/>
      <c r="H1427" s="24"/>
      <c r="I1427" s="24"/>
      <c r="J1427" s="24"/>
      <c r="K1427" s="24"/>
      <c r="L1427" s="26"/>
      <c r="M1427" s="26"/>
      <c r="N1427" s="22"/>
      <c r="O1427" s="21"/>
      <c r="P1427" s="22"/>
      <c r="Q1427" s="29" t="str">
        <f aca="false">IF(C1427="","",IF(O1427&lt;&gt;"",O1427,IFERROR(INDEX(Produk!$J$2:$J$100,MATCH(C1427,Produk!$A$2:$A$100,0)),"PRODUK?")))</f>
        <v/>
      </c>
      <c r="R1427" s="29" t="str">
        <f aca="false">IF(A1427="","",IF(COUNTIF(Anggota!$A$2:$A$2001,A1427)=0,"TIDAK ADA","OK"))</f>
        <v/>
      </c>
      <c r="S1427" s="29" t="str">
        <f aca="false">IF(H1427="","",IF(OR(J1427="",L1427=""),"-",IF(ABS(H1427-J1427*L1427)&gt;Info_Koperasi!$C$10,"SELISIH","OK")))</f>
        <v/>
      </c>
    </row>
    <row r="1428" customFormat="false" ht="15" hidden="false" customHeight="false" outlineLevel="0" collapsed="false">
      <c r="A1428" s="21"/>
      <c r="B1428" s="22"/>
      <c r="C1428" s="21"/>
      <c r="D1428" s="21"/>
      <c r="E1428" s="28"/>
      <c r="F1428" s="24"/>
      <c r="G1428" s="26"/>
      <c r="H1428" s="24"/>
      <c r="I1428" s="24"/>
      <c r="J1428" s="24"/>
      <c r="K1428" s="24"/>
      <c r="L1428" s="26"/>
      <c r="M1428" s="26"/>
      <c r="N1428" s="22"/>
      <c r="O1428" s="21"/>
      <c r="P1428" s="22"/>
      <c r="Q1428" s="29" t="str">
        <f aca="false">IF(C1428="","",IF(O1428&lt;&gt;"",O1428,IFERROR(INDEX(Produk!$J$2:$J$100,MATCH(C1428,Produk!$A$2:$A$100,0)),"PRODUK?")))</f>
        <v/>
      </c>
      <c r="R1428" s="29" t="str">
        <f aca="false">IF(A1428="","",IF(COUNTIF(Anggota!$A$2:$A$2001,A1428)=0,"TIDAK ADA","OK"))</f>
        <v/>
      </c>
      <c r="S1428" s="29" t="str">
        <f aca="false">IF(H1428="","",IF(OR(J1428="",L1428=""),"-",IF(ABS(H1428-J1428*L1428)&gt;Info_Koperasi!$C$10,"SELISIH","OK")))</f>
        <v/>
      </c>
    </row>
    <row r="1429" customFormat="false" ht="15" hidden="false" customHeight="false" outlineLevel="0" collapsed="false">
      <c r="A1429" s="21"/>
      <c r="B1429" s="22"/>
      <c r="C1429" s="21"/>
      <c r="D1429" s="21"/>
      <c r="E1429" s="28"/>
      <c r="F1429" s="24"/>
      <c r="G1429" s="26"/>
      <c r="H1429" s="24"/>
      <c r="I1429" s="24"/>
      <c r="J1429" s="24"/>
      <c r="K1429" s="24"/>
      <c r="L1429" s="26"/>
      <c r="M1429" s="26"/>
      <c r="N1429" s="22"/>
      <c r="O1429" s="21"/>
      <c r="P1429" s="22"/>
      <c r="Q1429" s="29" t="str">
        <f aca="false">IF(C1429="","",IF(O1429&lt;&gt;"",O1429,IFERROR(INDEX(Produk!$J$2:$J$100,MATCH(C1429,Produk!$A$2:$A$100,0)),"PRODUK?")))</f>
        <v/>
      </c>
      <c r="R1429" s="29" t="str">
        <f aca="false">IF(A1429="","",IF(COUNTIF(Anggota!$A$2:$A$2001,A1429)=0,"TIDAK ADA","OK"))</f>
        <v/>
      </c>
      <c r="S1429" s="29" t="str">
        <f aca="false">IF(H1429="","",IF(OR(J1429="",L1429=""),"-",IF(ABS(H1429-J1429*L1429)&gt;Info_Koperasi!$C$10,"SELISIH","OK")))</f>
        <v/>
      </c>
    </row>
    <row r="1430" customFormat="false" ht="15" hidden="false" customHeight="false" outlineLevel="0" collapsed="false">
      <c r="A1430" s="21"/>
      <c r="B1430" s="22"/>
      <c r="C1430" s="21"/>
      <c r="D1430" s="21"/>
      <c r="E1430" s="28"/>
      <c r="F1430" s="24"/>
      <c r="G1430" s="26"/>
      <c r="H1430" s="24"/>
      <c r="I1430" s="24"/>
      <c r="J1430" s="24"/>
      <c r="K1430" s="24"/>
      <c r="L1430" s="26"/>
      <c r="M1430" s="26"/>
      <c r="N1430" s="22"/>
      <c r="O1430" s="21"/>
      <c r="P1430" s="22"/>
      <c r="Q1430" s="29" t="str">
        <f aca="false">IF(C1430="","",IF(O1430&lt;&gt;"",O1430,IFERROR(INDEX(Produk!$J$2:$J$100,MATCH(C1430,Produk!$A$2:$A$100,0)),"PRODUK?")))</f>
        <v/>
      </c>
      <c r="R1430" s="29" t="str">
        <f aca="false">IF(A1430="","",IF(COUNTIF(Anggota!$A$2:$A$2001,A1430)=0,"TIDAK ADA","OK"))</f>
        <v/>
      </c>
      <c r="S1430" s="29" t="str">
        <f aca="false">IF(H1430="","",IF(OR(J1430="",L1430=""),"-",IF(ABS(H1430-J1430*L1430)&gt;Info_Koperasi!$C$10,"SELISIH","OK")))</f>
        <v/>
      </c>
    </row>
    <row r="1431" customFormat="false" ht="15" hidden="false" customHeight="false" outlineLevel="0" collapsed="false">
      <c r="A1431" s="21"/>
      <c r="B1431" s="22"/>
      <c r="C1431" s="21"/>
      <c r="D1431" s="21"/>
      <c r="E1431" s="28"/>
      <c r="F1431" s="24"/>
      <c r="G1431" s="26"/>
      <c r="H1431" s="24"/>
      <c r="I1431" s="24"/>
      <c r="J1431" s="24"/>
      <c r="K1431" s="24"/>
      <c r="L1431" s="26"/>
      <c r="M1431" s="26"/>
      <c r="N1431" s="22"/>
      <c r="O1431" s="21"/>
      <c r="P1431" s="22"/>
      <c r="Q1431" s="29" t="str">
        <f aca="false">IF(C1431="","",IF(O1431&lt;&gt;"",O1431,IFERROR(INDEX(Produk!$J$2:$J$100,MATCH(C1431,Produk!$A$2:$A$100,0)),"PRODUK?")))</f>
        <v/>
      </c>
      <c r="R1431" s="29" t="str">
        <f aca="false">IF(A1431="","",IF(COUNTIF(Anggota!$A$2:$A$2001,A1431)=0,"TIDAK ADA","OK"))</f>
        <v/>
      </c>
      <c r="S1431" s="29" t="str">
        <f aca="false">IF(H1431="","",IF(OR(J1431="",L1431=""),"-",IF(ABS(H1431-J1431*L1431)&gt;Info_Koperasi!$C$10,"SELISIH","OK")))</f>
        <v/>
      </c>
    </row>
    <row r="1432" customFormat="false" ht="15" hidden="false" customHeight="false" outlineLevel="0" collapsed="false">
      <c r="A1432" s="21"/>
      <c r="B1432" s="22"/>
      <c r="C1432" s="21"/>
      <c r="D1432" s="21"/>
      <c r="E1432" s="28"/>
      <c r="F1432" s="24"/>
      <c r="G1432" s="26"/>
      <c r="H1432" s="24"/>
      <c r="I1432" s="24"/>
      <c r="J1432" s="24"/>
      <c r="K1432" s="24"/>
      <c r="L1432" s="26"/>
      <c r="M1432" s="26"/>
      <c r="N1432" s="22"/>
      <c r="O1432" s="21"/>
      <c r="P1432" s="22"/>
      <c r="Q1432" s="29" t="str">
        <f aca="false">IF(C1432="","",IF(O1432&lt;&gt;"",O1432,IFERROR(INDEX(Produk!$J$2:$J$100,MATCH(C1432,Produk!$A$2:$A$100,0)),"PRODUK?")))</f>
        <v/>
      </c>
      <c r="R1432" s="29" t="str">
        <f aca="false">IF(A1432="","",IF(COUNTIF(Anggota!$A$2:$A$2001,A1432)=0,"TIDAK ADA","OK"))</f>
        <v/>
      </c>
      <c r="S1432" s="29" t="str">
        <f aca="false">IF(H1432="","",IF(OR(J1432="",L1432=""),"-",IF(ABS(H1432-J1432*L1432)&gt;Info_Koperasi!$C$10,"SELISIH","OK")))</f>
        <v/>
      </c>
    </row>
    <row r="1433" customFormat="false" ht="15" hidden="false" customHeight="false" outlineLevel="0" collapsed="false">
      <c r="A1433" s="21"/>
      <c r="B1433" s="22"/>
      <c r="C1433" s="21"/>
      <c r="D1433" s="21"/>
      <c r="E1433" s="28"/>
      <c r="F1433" s="24"/>
      <c r="G1433" s="26"/>
      <c r="H1433" s="24"/>
      <c r="I1433" s="24"/>
      <c r="J1433" s="24"/>
      <c r="K1433" s="24"/>
      <c r="L1433" s="26"/>
      <c r="M1433" s="26"/>
      <c r="N1433" s="22"/>
      <c r="O1433" s="21"/>
      <c r="P1433" s="22"/>
      <c r="Q1433" s="29" t="str">
        <f aca="false">IF(C1433="","",IF(O1433&lt;&gt;"",O1433,IFERROR(INDEX(Produk!$J$2:$J$100,MATCH(C1433,Produk!$A$2:$A$100,0)),"PRODUK?")))</f>
        <v/>
      </c>
      <c r="R1433" s="29" t="str">
        <f aca="false">IF(A1433="","",IF(COUNTIF(Anggota!$A$2:$A$2001,A1433)=0,"TIDAK ADA","OK"))</f>
        <v/>
      </c>
      <c r="S1433" s="29" t="str">
        <f aca="false">IF(H1433="","",IF(OR(J1433="",L1433=""),"-",IF(ABS(H1433-J1433*L1433)&gt;Info_Koperasi!$C$10,"SELISIH","OK")))</f>
        <v/>
      </c>
    </row>
    <row r="1434" customFormat="false" ht="15" hidden="false" customHeight="false" outlineLevel="0" collapsed="false">
      <c r="A1434" s="21"/>
      <c r="B1434" s="22"/>
      <c r="C1434" s="21"/>
      <c r="D1434" s="21"/>
      <c r="E1434" s="28"/>
      <c r="F1434" s="24"/>
      <c r="G1434" s="26"/>
      <c r="H1434" s="24"/>
      <c r="I1434" s="24"/>
      <c r="J1434" s="24"/>
      <c r="K1434" s="24"/>
      <c r="L1434" s="26"/>
      <c r="M1434" s="26"/>
      <c r="N1434" s="22"/>
      <c r="O1434" s="21"/>
      <c r="P1434" s="22"/>
      <c r="Q1434" s="29" t="str">
        <f aca="false">IF(C1434="","",IF(O1434&lt;&gt;"",O1434,IFERROR(INDEX(Produk!$J$2:$J$100,MATCH(C1434,Produk!$A$2:$A$100,0)),"PRODUK?")))</f>
        <v/>
      </c>
      <c r="R1434" s="29" t="str">
        <f aca="false">IF(A1434="","",IF(COUNTIF(Anggota!$A$2:$A$2001,A1434)=0,"TIDAK ADA","OK"))</f>
        <v/>
      </c>
      <c r="S1434" s="29" t="str">
        <f aca="false">IF(H1434="","",IF(OR(J1434="",L1434=""),"-",IF(ABS(H1434-J1434*L1434)&gt;Info_Koperasi!$C$10,"SELISIH","OK")))</f>
        <v/>
      </c>
    </row>
    <row r="1435" customFormat="false" ht="15" hidden="false" customHeight="false" outlineLevel="0" collapsed="false">
      <c r="A1435" s="21"/>
      <c r="B1435" s="22"/>
      <c r="C1435" s="21"/>
      <c r="D1435" s="21"/>
      <c r="E1435" s="28"/>
      <c r="F1435" s="24"/>
      <c r="G1435" s="26"/>
      <c r="H1435" s="24"/>
      <c r="I1435" s="24"/>
      <c r="J1435" s="24"/>
      <c r="K1435" s="24"/>
      <c r="L1435" s="26"/>
      <c r="M1435" s="26"/>
      <c r="N1435" s="22"/>
      <c r="O1435" s="21"/>
      <c r="P1435" s="22"/>
      <c r="Q1435" s="29" t="str">
        <f aca="false">IF(C1435="","",IF(O1435&lt;&gt;"",O1435,IFERROR(INDEX(Produk!$J$2:$J$100,MATCH(C1435,Produk!$A$2:$A$100,0)),"PRODUK?")))</f>
        <v/>
      </c>
      <c r="R1435" s="29" t="str">
        <f aca="false">IF(A1435="","",IF(COUNTIF(Anggota!$A$2:$A$2001,A1435)=0,"TIDAK ADA","OK"))</f>
        <v/>
      </c>
      <c r="S1435" s="29" t="str">
        <f aca="false">IF(H1435="","",IF(OR(J1435="",L1435=""),"-",IF(ABS(H1435-J1435*L1435)&gt;Info_Koperasi!$C$10,"SELISIH","OK")))</f>
        <v/>
      </c>
    </row>
    <row r="1436" customFormat="false" ht="15" hidden="false" customHeight="false" outlineLevel="0" collapsed="false">
      <c r="A1436" s="21"/>
      <c r="B1436" s="22"/>
      <c r="C1436" s="21"/>
      <c r="D1436" s="21"/>
      <c r="E1436" s="28"/>
      <c r="F1436" s="24"/>
      <c r="G1436" s="26"/>
      <c r="H1436" s="24"/>
      <c r="I1436" s="24"/>
      <c r="J1436" s="24"/>
      <c r="K1436" s="24"/>
      <c r="L1436" s="26"/>
      <c r="M1436" s="26"/>
      <c r="N1436" s="22"/>
      <c r="O1436" s="21"/>
      <c r="P1436" s="22"/>
      <c r="Q1436" s="29" t="str">
        <f aca="false">IF(C1436="","",IF(O1436&lt;&gt;"",O1436,IFERROR(INDEX(Produk!$J$2:$J$100,MATCH(C1436,Produk!$A$2:$A$100,0)),"PRODUK?")))</f>
        <v/>
      </c>
      <c r="R1436" s="29" t="str">
        <f aca="false">IF(A1436="","",IF(COUNTIF(Anggota!$A$2:$A$2001,A1436)=0,"TIDAK ADA","OK"))</f>
        <v/>
      </c>
      <c r="S1436" s="29" t="str">
        <f aca="false">IF(H1436="","",IF(OR(J1436="",L1436=""),"-",IF(ABS(H1436-J1436*L1436)&gt;Info_Koperasi!$C$10,"SELISIH","OK")))</f>
        <v/>
      </c>
    </row>
    <row r="1437" customFormat="false" ht="15" hidden="false" customHeight="false" outlineLevel="0" collapsed="false">
      <c r="A1437" s="21"/>
      <c r="B1437" s="22"/>
      <c r="C1437" s="21"/>
      <c r="D1437" s="21"/>
      <c r="E1437" s="28"/>
      <c r="F1437" s="24"/>
      <c r="G1437" s="26"/>
      <c r="H1437" s="24"/>
      <c r="I1437" s="24"/>
      <c r="J1437" s="24"/>
      <c r="K1437" s="24"/>
      <c r="L1437" s="26"/>
      <c r="M1437" s="26"/>
      <c r="N1437" s="22"/>
      <c r="O1437" s="21"/>
      <c r="P1437" s="22"/>
      <c r="Q1437" s="29" t="str">
        <f aca="false">IF(C1437="","",IF(O1437&lt;&gt;"",O1437,IFERROR(INDEX(Produk!$J$2:$J$100,MATCH(C1437,Produk!$A$2:$A$100,0)),"PRODUK?")))</f>
        <v/>
      </c>
      <c r="R1437" s="29" t="str">
        <f aca="false">IF(A1437="","",IF(COUNTIF(Anggota!$A$2:$A$2001,A1437)=0,"TIDAK ADA","OK"))</f>
        <v/>
      </c>
      <c r="S1437" s="29" t="str">
        <f aca="false">IF(H1437="","",IF(OR(J1437="",L1437=""),"-",IF(ABS(H1437-J1437*L1437)&gt;Info_Koperasi!$C$10,"SELISIH","OK")))</f>
        <v/>
      </c>
    </row>
    <row r="1438" customFormat="false" ht="15" hidden="false" customHeight="false" outlineLevel="0" collapsed="false">
      <c r="A1438" s="21"/>
      <c r="B1438" s="22"/>
      <c r="C1438" s="21"/>
      <c r="D1438" s="21"/>
      <c r="E1438" s="28"/>
      <c r="F1438" s="24"/>
      <c r="G1438" s="26"/>
      <c r="H1438" s="24"/>
      <c r="I1438" s="24"/>
      <c r="J1438" s="24"/>
      <c r="K1438" s="24"/>
      <c r="L1438" s="26"/>
      <c r="M1438" s="26"/>
      <c r="N1438" s="22"/>
      <c r="O1438" s="21"/>
      <c r="P1438" s="22"/>
      <c r="Q1438" s="29" t="str">
        <f aca="false">IF(C1438="","",IF(O1438&lt;&gt;"",O1438,IFERROR(INDEX(Produk!$J$2:$J$100,MATCH(C1438,Produk!$A$2:$A$100,0)),"PRODUK?")))</f>
        <v/>
      </c>
      <c r="R1438" s="29" t="str">
        <f aca="false">IF(A1438="","",IF(COUNTIF(Anggota!$A$2:$A$2001,A1438)=0,"TIDAK ADA","OK"))</f>
        <v/>
      </c>
      <c r="S1438" s="29" t="str">
        <f aca="false">IF(H1438="","",IF(OR(J1438="",L1438=""),"-",IF(ABS(H1438-J1438*L1438)&gt;Info_Koperasi!$C$10,"SELISIH","OK")))</f>
        <v/>
      </c>
    </row>
    <row r="1439" customFormat="false" ht="15" hidden="false" customHeight="false" outlineLevel="0" collapsed="false">
      <c r="A1439" s="21"/>
      <c r="B1439" s="22"/>
      <c r="C1439" s="21"/>
      <c r="D1439" s="21"/>
      <c r="E1439" s="28"/>
      <c r="F1439" s="24"/>
      <c r="G1439" s="26"/>
      <c r="H1439" s="24"/>
      <c r="I1439" s="24"/>
      <c r="J1439" s="24"/>
      <c r="K1439" s="24"/>
      <c r="L1439" s="26"/>
      <c r="M1439" s="26"/>
      <c r="N1439" s="22"/>
      <c r="O1439" s="21"/>
      <c r="P1439" s="22"/>
      <c r="Q1439" s="29" t="str">
        <f aca="false">IF(C1439="","",IF(O1439&lt;&gt;"",O1439,IFERROR(INDEX(Produk!$J$2:$J$100,MATCH(C1439,Produk!$A$2:$A$100,0)),"PRODUK?")))</f>
        <v/>
      </c>
      <c r="R1439" s="29" t="str">
        <f aca="false">IF(A1439="","",IF(COUNTIF(Anggota!$A$2:$A$2001,A1439)=0,"TIDAK ADA","OK"))</f>
        <v/>
      </c>
      <c r="S1439" s="29" t="str">
        <f aca="false">IF(H1439="","",IF(OR(J1439="",L1439=""),"-",IF(ABS(H1439-J1439*L1439)&gt;Info_Koperasi!$C$10,"SELISIH","OK")))</f>
        <v/>
      </c>
    </row>
    <row r="1440" customFormat="false" ht="15" hidden="false" customHeight="false" outlineLevel="0" collapsed="false">
      <c r="A1440" s="21"/>
      <c r="B1440" s="22"/>
      <c r="C1440" s="21"/>
      <c r="D1440" s="21"/>
      <c r="E1440" s="28"/>
      <c r="F1440" s="24"/>
      <c r="G1440" s="26"/>
      <c r="H1440" s="24"/>
      <c r="I1440" s="24"/>
      <c r="J1440" s="24"/>
      <c r="K1440" s="24"/>
      <c r="L1440" s="26"/>
      <c r="M1440" s="26"/>
      <c r="N1440" s="22"/>
      <c r="O1440" s="21"/>
      <c r="P1440" s="22"/>
      <c r="Q1440" s="29" t="str">
        <f aca="false">IF(C1440="","",IF(O1440&lt;&gt;"",O1440,IFERROR(INDEX(Produk!$J$2:$J$100,MATCH(C1440,Produk!$A$2:$A$100,0)),"PRODUK?")))</f>
        <v/>
      </c>
      <c r="R1440" s="29" t="str">
        <f aca="false">IF(A1440="","",IF(COUNTIF(Anggota!$A$2:$A$2001,A1440)=0,"TIDAK ADA","OK"))</f>
        <v/>
      </c>
      <c r="S1440" s="29" t="str">
        <f aca="false">IF(H1440="","",IF(OR(J1440="",L1440=""),"-",IF(ABS(H1440-J1440*L1440)&gt;Info_Koperasi!$C$10,"SELISIH","OK")))</f>
        <v/>
      </c>
    </row>
    <row r="1441" customFormat="false" ht="15" hidden="false" customHeight="false" outlineLevel="0" collapsed="false">
      <c r="A1441" s="21"/>
      <c r="B1441" s="22"/>
      <c r="C1441" s="21"/>
      <c r="D1441" s="21"/>
      <c r="E1441" s="28"/>
      <c r="F1441" s="24"/>
      <c r="G1441" s="26"/>
      <c r="H1441" s="24"/>
      <c r="I1441" s="24"/>
      <c r="J1441" s="24"/>
      <c r="K1441" s="24"/>
      <c r="L1441" s="26"/>
      <c r="M1441" s="26"/>
      <c r="N1441" s="22"/>
      <c r="O1441" s="21"/>
      <c r="P1441" s="22"/>
      <c r="Q1441" s="29" t="str">
        <f aca="false">IF(C1441="","",IF(O1441&lt;&gt;"",O1441,IFERROR(INDEX(Produk!$J$2:$J$100,MATCH(C1441,Produk!$A$2:$A$100,0)),"PRODUK?")))</f>
        <v/>
      </c>
      <c r="R1441" s="29" t="str">
        <f aca="false">IF(A1441="","",IF(COUNTIF(Anggota!$A$2:$A$2001,A1441)=0,"TIDAK ADA","OK"))</f>
        <v/>
      </c>
      <c r="S1441" s="29" t="str">
        <f aca="false">IF(H1441="","",IF(OR(J1441="",L1441=""),"-",IF(ABS(H1441-J1441*L1441)&gt;Info_Koperasi!$C$10,"SELISIH","OK")))</f>
        <v/>
      </c>
    </row>
    <row r="1442" customFormat="false" ht="15" hidden="false" customHeight="false" outlineLevel="0" collapsed="false">
      <c r="A1442" s="21"/>
      <c r="B1442" s="22"/>
      <c r="C1442" s="21"/>
      <c r="D1442" s="21"/>
      <c r="E1442" s="28"/>
      <c r="F1442" s="24"/>
      <c r="G1442" s="26"/>
      <c r="H1442" s="24"/>
      <c r="I1442" s="24"/>
      <c r="J1442" s="24"/>
      <c r="K1442" s="24"/>
      <c r="L1442" s="26"/>
      <c r="M1442" s="26"/>
      <c r="N1442" s="22"/>
      <c r="O1442" s="21"/>
      <c r="P1442" s="22"/>
      <c r="Q1442" s="29" t="str">
        <f aca="false">IF(C1442="","",IF(O1442&lt;&gt;"",O1442,IFERROR(INDEX(Produk!$J$2:$J$100,MATCH(C1442,Produk!$A$2:$A$100,0)),"PRODUK?")))</f>
        <v/>
      </c>
      <c r="R1442" s="29" t="str">
        <f aca="false">IF(A1442="","",IF(COUNTIF(Anggota!$A$2:$A$2001,A1442)=0,"TIDAK ADA","OK"))</f>
        <v/>
      </c>
      <c r="S1442" s="29" t="str">
        <f aca="false">IF(H1442="","",IF(OR(J1442="",L1442=""),"-",IF(ABS(H1442-J1442*L1442)&gt;Info_Koperasi!$C$10,"SELISIH","OK")))</f>
        <v/>
      </c>
    </row>
    <row r="1443" customFormat="false" ht="15" hidden="false" customHeight="false" outlineLevel="0" collapsed="false">
      <c r="A1443" s="21"/>
      <c r="B1443" s="22"/>
      <c r="C1443" s="21"/>
      <c r="D1443" s="21"/>
      <c r="E1443" s="28"/>
      <c r="F1443" s="24"/>
      <c r="G1443" s="26"/>
      <c r="H1443" s="24"/>
      <c r="I1443" s="24"/>
      <c r="J1443" s="24"/>
      <c r="K1443" s="24"/>
      <c r="L1443" s="26"/>
      <c r="M1443" s="26"/>
      <c r="N1443" s="22"/>
      <c r="O1443" s="21"/>
      <c r="P1443" s="22"/>
      <c r="Q1443" s="29" t="str">
        <f aca="false">IF(C1443="","",IF(O1443&lt;&gt;"",O1443,IFERROR(INDEX(Produk!$J$2:$J$100,MATCH(C1443,Produk!$A$2:$A$100,0)),"PRODUK?")))</f>
        <v/>
      </c>
      <c r="R1443" s="29" t="str">
        <f aca="false">IF(A1443="","",IF(COUNTIF(Anggota!$A$2:$A$2001,A1443)=0,"TIDAK ADA","OK"))</f>
        <v/>
      </c>
      <c r="S1443" s="29" t="str">
        <f aca="false">IF(H1443="","",IF(OR(J1443="",L1443=""),"-",IF(ABS(H1443-J1443*L1443)&gt;Info_Koperasi!$C$10,"SELISIH","OK")))</f>
        <v/>
      </c>
    </row>
    <row r="1444" customFormat="false" ht="15" hidden="false" customHeight="false" outlineLevel="0" collapsed="false">
      <c r="A1444" s="21"/>
      <c r="B1444" s="22"/>
      <c r="C1444" s="21"/>
      <c r="D1444" s="21"/>
      <c r="E1444" s="28"/>
      <c r="F1444" s="24"/>
      <c r="G1444" s="26"/>
      <c r="H1444" s="24"/>
      <c r="I1444" s="24"/>
      <c r="J1444" s="24"/>
      <c r="K1444" s="24"/>
      <c r="L1444" s="26"/>
      <c r="M1444" s="26"/>
      <c r="N1444" s="22"/>
      <c r="O1444" s="21"/>
      <c r="P1444" s="22"/>
      <c r="Q1444" s="29" t="str">
        <f aca="false">IF(C1444="","",IF(O1444&lt;&gt;"",O1444,IFERROR(INDEX(Produk!$J$2:$J$100,MATCH(C1444,Produk!$A$2:$A$100,0)),"PRODUK?")))</f>
        <v/>
      </c>
      <c r="R1444" s="29" t="str">
        <f aca="false">IF(A1444="","",IF(COUNTIF(Anggota!$A$2:$A$2001,A1444)=0,"TIDAK ADA","OK"))</f>
        <v/>
      </c>
      <c r="S1444" s="29" t="str">
        <f aca="false">IF(H1444="","",IF(OR(J1444="",L1444=""),"-",IF(ABS(H1444-J1444*L1444)&gt;Info_Koperasi!$C$10,"SELISIH","OK")))</f>
        <v/>
      </c>
    </row>
    <row r="1445" customFormat="false" ht="15" hidden="false" customHeight="false" outlineLevel="0" collapsed="false">
      <c r="A1445" s="21"/>
      <c r="B1445" s="22"/>
      <c r="C1445" s="21"/>
      <c r="D1445" s="21"/>
      <c r="E1445" s="28"/>
      <c r="F1445" s="24"/>
      <c r="G1445" s="26"/>
      <c r="H1445" s="24"/>
      <c r="I1445" s="24"/>
      <c r="J1445" s="24"/>
      <c r="K1445" s="24"/>
      <c r="L1445" s="26"/>
      <c r="M1445" s="26"/>
      <c r="N1445" s="22"/>
      <c r="O1445" s="21"/>
      <c r="P1445" s="22"/>
      <c r="Q1445" s="29" t="str">
        <f aca="false">IF(C1445="","",IF(O1445&lt;&gt;"",O1445,IFERROR(INDEX(Produk!$J$2:$J$100,MATCH(C1445,Produk!$A$2:$A$100,0)),"PRODUK?")))</f>
        <v/>
      </c>
      <c r="R1445" s="29" t="str">
        <f aca="false">IF(A1445="","",IF(COUNTIF(Anggota!$A$2:$A$2001,A1445)=0,"TIDAK ADA","OK"))</f>
        <v/>
      </c>
      <c r="S1445" s="29" t="str">
        <f aca="false">IF(H1445="","",IF(OR(J1445="",L1445=""),"-",IF(ABS(H1445-J1445*L1445)&gt;Info_Koperasi!$C$10,"SELISIH","OK")))</f>
        <v/>
      </c>
    </row>
    <row r="1446" customFormat="false" ht="15" hidden="false" customHeight="false" outlineLevel="0" collapsed="false">
      <c r="A1446" s="21"/>
      <c r="B1446" s="22"/>
      <c r="C1446" s="21"/>
      <c r="D1446" s="21"/>
      <c r="E1446" s="28"/>
      <c r="F1446" s="24"/>
      <c r="G1446" s="26"/>
      <c r="H1446" s="24"/>
      <c r="I1446" s="24"/>
      <c r="J1446" s="24"/>
      <c r="K1446" s="24"/>
      <c r="L1446" s="26"/>
      <c r="M1446" s="26"/>
      <c r="N1446" s="22"/>
      <c r="O1446" s="21"/>
      <c r="P1446" s="22"/>
      <c r="Q1446" s="29" t="str">
        <f aca="false">IF(C1446="","",IF(O1446&lt;&gt;"",O1446,IFERROR(INDEX(Produk!$J$2:$J$100,MATCH(C1446,Produk!$A$2:$A$100,0)),"PRODUK?")))</f>
        <v/>
      </c>
      <c r="R1446" s="29" t="str">
        <f aca="false">IF(A1446="","",IF(COUNTIF(Anggota!$A$2:$A$2001,A1446)=0,"TIDAK ADA","OK"))</f>
        <v/>
      </c>
      <c r="S1446" s="29" t="str">
        <f aca="false">IF(H1446="","",IF(OR(J1446="",L1446=""),"-",IF(ABS(H1446-J1446*L1446)&gt;Info_Koperasi!$C$10,"SELISIH","OK")))</f>
        <v/>
      </c>
    </row>
    <row r="1447" customFormat="false" ht="15" hidden="false" customHeight="false" outlineLevel="0" collapsed="false">
      <c r="A1447" s="21"/>
      <c r="B1447" s="22"/>
      <c r="C1447" s="21"/>
      <c r="D1447" s="21"/>
      <c r="E1447" s="28"/>
      <c r="F1447" s="24"/>
      <c r="G1447" s="26"/>
      <c r="H1447" s="24"/>
      <c r="I1447" s="24"/>
      <c r="J1447" s="24"/>
      <c r="K1447" s="24"/>
      <c r="L1447" s="26"/>
      <c r="M1447" s="26"/>
      <c r="N1447" s="22"/>
      <c r="O1447" s="21"/>
      <c r="P1447" s="22"/>
      <c r="Q1447" s="29" t="str">
        <f aca="false">IF(C1447="","",IF(O1447&lt;&gt;"",O1447,IFERROR(INDEX(Produk!$J$2:$J$100,MATCH(C1447,Produk!$A$2:$A$100,0)),"PRODUK?")))</f>
        <v/>
      </c>
      <c r="R1447" s="29" t="str">
        <f aca="false">IF(A1447="","",IF(COUNTIF(Anggota!$A$2:$A$2001,A1447)=0,"TIDAK ADA","OK"))</f>
        <v/>
      </c>
      <c r="S1447" s="29" t="str">
        <f aca="false">IF(H1447="","",IF(OR(J1447="",L1447=""),"-",IF(ABS(H1447-J1447*L1447)&gt;Info_Koperasi!$C$10,"SELISIH","OK")))</f>
        <v/>
      </c>
    </row>
    <row r="1448" customFormat="false" ht="15" hidden="false" customHeight="false" outlineLevel="0" collapsed="false">
      <c r="A1448" s="21"/>
      <c r="B1448" s="22"/>
      <c r="C1448" s="21"/>
      <c r="D1448" s="21"/>
      <c r="E1448" s="28"/>
      <c r="F1448" s="24"/>
      <c r="G1448" s="26"/>
      <c r="H1448" s="24"/>
      <c r="I1448" s="24"/>
      <c r="J1448" s="24"/>
      <c r="K1448" s="24"/>
      <c r="L1448" s="26"/>
      <c r="M1448" s="26"/>
      <c r="N1448" s="22"/>
      <c r="O1448" s="21"/>
      <c r="P1448" s="22"/>
      <c r="Q1448" s="29" t="str">
        <f aca="false">IF(C1448="","",IF(O1448&lt;&gt;"",O1448,IFERROR(INDEX(Produk!$J$2:$J$100,MATCH(C1448,Produk!$A$2:$A$100,0)),"PRODUK?")))</f>
        <v/>
      </c>
      <c r="R1448" s="29" t="str">
        <f aca="false">IF(A1448="","",IF(COUNTIF(Anggota!$A$2:$A$2001,A1448)=0,"TIDAK ADA","OK"))</f>
        <v/>
      </c>
      <c r="S1448" s="29" t="str">
        <f aca="false">IF(H1448="","",IF(OR(J1448="",L1448=""),"-",IF(ABS(H1448-J1448*L1448)&gt;Info_Koperasi!$C$10,"SELISIH","OK")))</f>
        <v/>
      </c>
    </row>
    <row r="1449" customFormat="false" ht="15" hidden="false" customHeight="false" outlineLevel="0" collapsed="false">
      <c r="A1449" s="21"/>
      <c r="B1449" s="22"/>
      <c r="C1449" s="21"/>
      <c r="D1449" s="21"/>
      <c r="E1449" s="28"/>
      <c r="F1449" s="24"/>
      <c r="G1449" s="26"/>
      <c r="H1449" s="24"/>
      <c r="I1449" s="24"/>
      <c r="J1449" s="24"/>
      <c r="K1449" s="24"/>
      <c r="L1449" s="26"/>
      <c r="M1449" s="26"/>
      <c r="N1449" s="22"/>
      <c r="O1449" s="21"/>
      <c r="P1449" s="22"/>
      <c r="Q1449" s="29" t="str">
        <f aca="false">IF(C1449="","",IF(O1449&lt;&gt;"",O1449,IFERROR(INDEX(Produk!$J$2:$J$100,MATCH(C1449,Produk!$A$2:$A$100,0)),"PRODUK?")))</f>
        <v/>
      </c>
      <c r="R1449" s="29" t="str">
        <f aca="false">IF(A1449="","",IF(COUNTIF(Anggota!$A$2:$A$2001,A1449)=0,"TIDAK ADA","OK"))</f>
        <v/>
      </c>
      <c r="S1449" s="29" t="str">
        <f aca="false">IF(H1449="","",IF(OR(J1449="",L1449=""),"-",IF(ABS(H1449-J1449*L1449)&gt;Info_Koperasi!$C$10,"SELISIH","OK")))</f>
        <v/>
      </c>
    </row>
    <row r="1450" customFormat="false" ht="15" hidden="false" customHeight="false" outlineLevel="0" collapsed="false">
      <c r="A1450" s="21"/>
      <c r="B1450" s="22"/>
      <c r="C1450" s="21"/>
      <c r="D1450" s="21"/>
      <c r="E1450" s="28"/>
      <c r="F1450" s="24"/>
      <c r="G1450" s="26"/>
      <c r="H1450" s="24"/>
      <c r="I1450" s="24"/>
      <c r="J1450" s="24"/>
      <c r="K1450" s="24"/>
      <c r="L1450" s="26"/>
      <c r="M1450" s="26"/>
      <c r="N1450" s="22"/>
      <c r="O1450" s="21"/>
      <c r="P1450" s="22"/>
      <c r="Q1450" s="29" t="str">
        <f aca="false">IF(C1450="","",IF(O1450&lt;&gt;"",O1450,IFERROR(INDEX(Produk!$J$2:$J$100,MATCH(C1450,Produk!$A$2:$A$100,0)),"PRODUK?")))</f>
        <v/>
      </c>
      <c r="R1450" s="29" t="str">
        <f aca="false">IF(A1450="","",IF(COUNTIF(Anggota!$A$2:$A$2001,A1450)=0,"TIDAK ADA","OK"))</f>
        <v/>
      </c>
      <c r="S1450" s="29" t="str">
        <f aca="false">IF(H1450="","",IF(OR(J1450="",L1450=""),"-",IF(ABS(H1450-J1450*L1450)&gt;Info_Koperasi!$C$10,"SELISIH","OK")))</f>
        <v/>
      </c>
    </row>
    <row r="1451" customFormat="false" ht="15" hidden="false" customHeight="false" outlineLevel="0" collapsed="false">
      <c r="A1451" s="21"/>
      <c r="B1451" s="22"/>
      <c r="C1451" s="21"/>
      <c r="D1451" s="21"/>
      <c r="E1451" s="28"/>
      <c r="F1451" s="24"/>
      <c r="G1451" s="26"/>
      <c r="H1451" s="24"/>
      <c r="I1451" s="24"/>
      <c r="J1451" s="24"/>
      <c r="K1451" s="24"/>
      <c r="L1451" s="26"/>
      <c r="M1451" s="26"/>
      <c r="N1451" s="22"/>
      <c r="O1451" s="21"/>
      <c r="P1451" s="22"/>
      <c r="Q1451" s="29" t="str">
        <f aca="false">IF(C1451="","",IF(O1451&lt;&gt;"",O1451,IFERROR(INDEX(Produk!$J$2:$J$100,MATCH(C1451,Produk!$A$2:$A$100,0)),"PRODUK?")))</f>
        <v/>
      </c>
      <c r="R1451" s="29" t="str">
        <f aca="false">IF(A1451="","",IF(COUNTIF(Anggota!$A$2:$A$2001,A1451)=0,"TIDAK ADA","OK"))</f>
        <v/>
      </c>
      <c r="S1451" s="29" t="str">
        <f aca="false">IF(H1451="","",IF(OR(J1451="",L1451=""),"-",IF(ABS(H1451-J1451*L1451)&gt;Info_Koperasi!$C$10,"SELISIH","OK")))</f>
        <v/>
      </c>
    </row>
    <row r="1452" customFormat="false" ht="15" hidden="false" customHeight="false" outlineLevel="0" collapsed="false">
      <c r="A1452" s="21"/>
      <c r="B1452" s="22"/>
      <c r="C1452" s="21"/>
      <c r="D1452" s="21"/>
      <c r="E1452" s="28"/>
      <c r="F1452" s="24"/>
      <c r="G1452" s="26"/>
      <c r="H1452" s="24"/>
      <c r="I1452" s="24"/>
      <c r="J1452" s="24"/>
      <c r="K1452" s="24"/>
      <c r="L1452" s="26"/>
      <c r="M1452" s="26"/>
      <c r="N1452" s="22"/>
      <c r="O1452" s="21"/>
      <c r="P1452" s="22"/>
      <c r="Q1452" s="29" t="str">
        <f aca="false">IF(C1452="","",IF(O1452&lt;&gt;"",O1452,IFERROR(INDEX(Produk!$J$2:$J$100,MATCH(C1452,Produk!$A$2:$A$100,0)),"PRODUK?")))</f>
        <v/>
      </c>
      <c r="R1452" s="29" t="str">
        <f aca="false">IF(A1452="","",IF(COUNTIF(Anggota!$A$2:$A$2001,A1452)=0,"TIDAK ADA","OK"))</f>
        <v/>
      </c>
      <c r="S1452" s="29" t="str">
        <f aca="false">IF(H1452="","",IF(OR(J1452="",L1452=""),"-",IF(ABS(H1452-J1452*L1452)&gt;Info_Koperasi!$C$10,"SELISIH","OK")))</f>
        <v/>
      </c>
    </row>
    <row r="1453" customFormat="false" ht="15" hidden="false" customHeight="false" outlineLevel="0" collapsed="false">
      <c r="A1453" s="21"/>
      <c r="B1453" s="22"/>
      <c r="C1453" s="21"/>
      <c r="D1453" s="21"/>
      <c r="E1453" s="28"/>
      <c r="F1453" s="24"/>
      <c r="G1453" s="26"/>
      <c r="H1453" s="24"/>
      <c r="I1453" s="24"/>
      <c r="J1453" s="24"/>
      <c r="K1453" s="24"/>
      <c r="L1453" s="26"/>
      <c r="M1453" s="26"/>
      <c r="N1453" s="22"/>
      <c r="O1453" s="21"/>
      <c r="P1453" s="22"/>
      <c r="Q1453" s="29" t="str">
        <f aca="false">IF(C1453="","",IF(O1453&lt;&gt;"",O1453,IFERROR(INDEX(Produk!$J$2:$J$100,MATCH(C1453,Produk!$A$2:$A$100,0)),"PRODUK?")))</f>
        <v/>
      </c>
      <c r="R1453" s="29" t="str">
        <f aca="false">IF(A1453="","",IF(COUNTIF(Anggota!$A$2:$A$2001,A1453)=0,"TIDAK ADA","OK"))</f>
        <v/>
      </c>
      <c r="S1453" s="29" t="str">
        <f aca="false">IF(H1453="","",IF(OR(J1453="",L1453=""),"-",IF(ABS(H1453-J1453*L1453)&gt;Info_Koperasi!$C$10,"SELISIH","OK")))</f>
        <v/>
      </c>
    </row>
    <row r="1454" customFormat="false" ht="15" hidden="false" customHeight="false" outlineLevel="0" collapsed="false">
      <c r="A1454" s="21"/>
      <c r="B1454" s="22"/>
      <c r="C1454" s="21"/>
      <c r="D1454" s="21"/>
      <c r="E1454" s="28"/>
      <c r="F1454" s="24"/>
      <c r="G1454" s="26"/>
      <c r="H1454" s="24"/>
      <c r="I1454" s="24"/>
      <c r="J1454" s="24"/>
      <c r="K1454" s="24"/>
      <c r="L1454" s="26"/>
      <c r="M1454" s="26"/>
      <c r="N1454" s="22"/>
      <c r="O1454" s="21"/>
      <c r="P1454" s="22"/>
      <c r="Q1454" s="29" t="str">
        <f aca="false">IF(C1454="","",IF(O1454&lt;&gt;"",O1454,IFERROR(INDEX(Produk!$J$2:$J$100,MATCH(C1454,Produk!$A$2:$A$100,0)),"PRODUK?")))</f>
        <v/>
      </c>
      <c r="R1454" s="29" t="str">
        <f aca="false">IF(A1454="","",IF(COUNTIF(Anggota!$A$2:$A$2001,A1454)=0,"TIDAK ADA","OK"))</f>
        <v/>
      </c>
      <c r="S1454" s="29" t="str">
        <f aca="false">IF(H1454="","",IF(OR(J1454="",L1454=""),"-",IF(ABS(H1454-J1454*L1454)&gt;Info_Koperasi!$C$10,"SELISIH","OK")))</f>
        <v/>
      </c>
    </row>
    <row r="1455" customFormat="false" ht="15" hidden="false" customHeight="false" outlineLevel="0" collapsed="false">
      <c r="A1455" s="21"/>
      <c r="B1455" s="22"/>
      <c r="C1455" s="21"/>
      <c r="D1455" s="21"/>
      <c r="E1455" s="28"/>
      <c r="F1455" s="24"/>
      <c r="G1455" s="26"/>
      <c r="H1455" s="24"/>
      <c r="I1455" s="24"/>
      <c r="J1455" s="24"/>
      <c r="K1455" s="24"/>
      <c r="L1455" s="26"/>
      <c r="M1455" s="26"/>
      <c r="N1455" s="22"/>
      <c r="O1455" s="21"/>
      <c r="P1455" s="22"/>
      <c r="Q1455" s="29" t="str">
        <f aca="false">IF(C1455="","",IF(O1455&lt;&gt;"",O1455,IFERROR(INDEX(Produk!$J$2:$J$100,MATCH(C1455,Produk!$A$2:$A$100,0)),"PRODUK?")))</f>
        <v/>
      </c>
      <c r="R1455" s="29" t="str">
        <f aca="false">IF(A1455="","",IF(COUNTIF(Anggota!$A$2:$A$2001,A1455)=0,"TIDAK ADA","OK"))</f>
        <v/>
      </c>
      <c r="S1455" s="29" t="str">
        <f aca="false">IF(H1455="","",IF(OR(J1455="",L1455=""),"-",IF(ABS(H1455-J1455*L1455)&gt;Info_Koperasi!$C$10,"SELISIH","OK")))</f>
        <v/>
      </c>
    </row>
    <row r="1456" customFormat="false" ht="15" hidden="false" customHeight="false" outlineLevel="0" collapsed="false">
      <c r="A1456" s="21"/>
      <c r="B1456" s="22"/>
      <c r="C1456" s="21"/>
      <c r="D1456" s="21"/>
      <c r="E1456" s="28"/>
      <c r="F1456" s="24"/>
      <c r="G1456" s="26"/>
      <c r="H1456" s="24"/>
      <c r="I1456" s="24"/>
      <c r="J1456" s="24"/>
      <c r="K1456" s="24"/>
      <c r="L1456" s="26"/>
      <c r="M1456" s="26"/>
      <c r="N1456" s="22"/>
      <c r="O1456" s="21"/>
      <c r="P1456" s="22"/>
      <c r="Q1456" s="29" t="str">
        <f aca="false">IF(C1456="","",IF(O1456&lt;&gt;"",O1456,IFERROR(INDEX(Produk!$J$2:$J$100,MATCH(C1456,Produk!$A$2:$A$100,0)),"PRODUK?")))</f>
        <v/>
      </c>
      <c r="R1456" s="29" t="str">
        <f aca="false">IF(A1456="","",IF(COUNTIF(Anggota!$A$2:$A$2001,A1456)=0,"TIDAK ADA","OK"))</f>
        <v/>
      </c>
      <c r="S1456" s="29" t="str">
        <f aca="false">IF(H1456="","",IF(OR(J1456="",L1456=""),"-",IF(ABS(H1456-J1456*L1456)&gt;Info_Koperasi!$C$10,"SELISIH","OK")))</f>
        <v/>
      </c>
    </row>
    <row r="1457" customFormat="false" ht="15" hidden="false" customHeight="false" outlineLevel="0" collapsed="false">
      <c r="A1457" s="21"/>
      <c r="B1457" s="22"/>
      <c r="C1457" s="21"/>
      <c r="D1457" s="21"/>
      <c r="E1457" s="28"/>
      <c r="F1457" s="24"/>
      <c r="G1457" s="26"/>
      <c r="H1457" s="24"/>
      <c r="I1457" s="24"/>
      <c r="J1457" s="24"/>
      <c r="K1457" s="24"/>
      <c r="L1457" s="26"/>
      <c r="M1457" s="26"/>
      <c r="N1457" s="22"/>
      <c r="O1457" s="21"/>
      <c r="P1457" s="22"/>
      <c r="Q1457" s="29" t="str">
        <f aca="false">IF(C1457="","",IF(O1457&lt;&gt;"",O1457,IFERROR(INDEX(Produk!$J$2:$J$100,MATCH(C1457,Produk!$A$2:$A$100,0)),"PRODUK?")))</f>
        <v/>
      </c>
      <c r="R1457" s="29" t="str">
        <f aca="false">IF(A1457="","",IF(COUNTIF(Anggota!$A$2:$A$2001,A1457)=0,"TIDAK ADA","OK"))</f>
        <v/>
      </c>
      <c r="S1457" s="29" t="str">
        <f aca="false">IF(H1457="","",IF(OR(J1457="",L1457=""),"-",IF(ABS(H1457-J1457*L1457)&gt;Info_Koperasi!$C$10,"SELISIH","OK")))</f>
        <v/>
      </c>
    </row>
    <row r="1458" customFormat="false" ht="15" hidden="false" customHeight="false" outlineLevel="0" collapsed="false">
      <c r="A1458" s="21"/>
      <c r="B1458" s="22"/>
      <c r="C1458" s="21"/>
      <c r="D1458" s="21"/>
      <c r="E1458" s="28"/>
      <c r="F1458" s="24"/>
      <c r="G1458" s="26"/>
      <c r="H1458" s="24"/>
      <c r="I1458" s="24"/>
      <c r="J1458" s="24"/>
      <c r="K1458" s="24"/>
      <c r="L1458" s="26"/>
      <c r="M1458" s="26"/>
      <c r="N1458" s="22"/>
      <c r="O1458" s="21"/>
      <c r="P1458" s="22"/>
      <c r="Q1458" s="29" t="str">
        <f aca="false">IF(C1458="","",IF(O1458&lt;&gt;"",O1458,IFERROR(INDEX(Produk!$J$2:$J$100,MATCH(C1458,Produk!$A$2:$A$100,0)),"PRODUK?")))</f>
        <v/>
      </c>
      <c r="R1458" s="29" t="str">
        <f aca="false">IF(A1458="","",IF(COUNTIF(Anggota!$A$2:$A$2001,A1458)=0,"TIDAK ADA","OK"))</f>
        <v/>
      </c>
      <c r="S1458" s="29" t="str">
        <f aca="false">IF(H1458="","",IF(OR(J1458="",L1458=""),"-",IF(ABS(H1458-J1458*L1458)&gt;Info_Koperasi!$C$10,"SELISIH","OK")))</f>
        <v/>
      </c>
    </row>
    <row r="1459" customFormat="false" ht="15" hidden="false" customHeight="false" outlineLevel="0" collapsed="false">
      <c r="A1459" s="21"/>
      <c r="B1459" s="22"/>
      <c r="C1459" s="21"/>
      <c r="D1459" s="21"/>
      <c r="E1459" s="28"/>
      <c r="F1459" s="24"/>
      <c r="G1459" s="26"/>
      <c r="H1459" s="24"/>
      <c r="I1459" s="24"/>
      <c r="J1459" s="24"/>
      <c r="K1459" s="24"/>
      <c r="L1459" s="26"/>
      <c r="M1459" s="26"/>
      <c r="N1459" s="22"/>
      <c r="O1459" s="21"/>
      <c r="P1459" s="22"/>
      <c r="Q1459" s="29" t="str">
        <f aca="false">IF(C1459="","",IF(O1459&lt;&gt;"",O1459,IFERROR(INDEX(Produk!$J$2:$J$100,MATCH(C1459,Produk!$A$2:$A$100,0)),"PRODUK?")))</f>
        <v/>
      </c>
      <c r="R1459" s="29" t="str">
        <f aca="false">IF(A1459="","",IF(COUNTIF(Anggota!$A$2:$A$2001,A1459)=0,"TIDAK ADA","OK"))</f>
        <v/>
      </c>
      <c r="S1459" s="29" t="str">
        <f aca="false">IF(H1459="","",IF(OR(J1459="",L1459=""),"-",IF(ABS(H1459-J1459*L1459)&gt;Info_Koperasi!$C$10,"SELISIH","OK")))</f>
        <v/>
      </c>
    </row>
    <row r="1460" customFormat="false" ht="15" hidden="false" customHeight="false" outlineLevel="0" collapsed="false">
      <c r="A1460" s="21"/>
      <c r="B1460" s="22"/>
      <c r="C1460" s="21"/>
      <c r="D1460" s="21"/>
      <c r="E1460" s="28"/>
      <c r="F1460" s="24"/>
      <c r="G1460" s="26"/>
      <c r="H1460" s="24"/>
      <c r="I1460" s="24"/>
      <c r="J1460" s="24"/>
      <c r="K1460" s="24"/>
      <c r="L1460" s="26"/>
      <c r="M1460" s="26"/>
      <c r="N1460" s="22"/>
      <c r="O1460" s="21"/>
      <c r="P1460" s="22"/>
      <c r="Q1460" s="29" t="str">
        <f aca="false">IF(C1460="","",IF(O1460&lt;&gt;"",O1460,IFERROR(INDEX(Produk!$J$2:$J$100,MATCH(C1460,Produk!$A$2:$A$100,0)),"PRODUK?")))</f>
        <v/>
      </c>
      <c r="R1460" s="29" t="str">
        <f aca="false">IF(A1460="","",IF(COUNTIF(Anggota!$A$2:$A$2001,A1460)=0,"TIDAK ADA","OK"))</f>
        <v/>
      </c>
      <c r="S1460" s="29" t="str">
        <f aca="false">IF(H1460="","",IF(OR(J1460="",L1460=""),"-",IF(ABS(H1460-J1460*L1460)&gt;Info_Koperasi!$C$10,"SELISIH","OK")))</f>
        <v/>
      </c>
    </row>
    <row r="1461" customFormat="false" ht="15" hidden="false" customHeight="false" outlineLevel="0" collapsed="false">
      <c r="A1461" s="21"/>
      <c r="B1461" s="22"/>
      <c r="C1461" s="21"/>
      <c r="D1461" s="21"/>
      <c r="E1461" s="28"/>
      <c r="F1461" s="24"/>
      <c r="G1461" s="26"/>
      <c r="H1461" s="24"/>
      <c r="I1461" s="24"/>
      <c r="J1461" s="24"/>
      <c r="K1461" s="24"/>
      <c r="L1461" s="26"/>
      <c r="M1461" s="26"/>
      <c r="N1461" s="22"/>
      <c r="O1461" s="21"/>
      <c r="P1461" s="22"/>
      <c r="Q1461" s="29" t="str">
        <f aca="false">IF(C1461="","",IF(O1461&lt;&gt;"",O1461,IFERROR(INDEX(Produk!$J$2:$J$100,MATCH(C1461,Produk!$A$2:$A$100,0)),"PRODUK?")))</f>
        <v/>
      </c>
      <c r="R1461" s="29" t="str">
        <f aca="false">IF(A1461="","",IF(COUNTIF(Anggota!$A$2:$A$2001,A1461)=0,"TIDAK ADA","OK"))</f>
        <v/>
      </c>
      <c r="S1461" s="29" t="str">
        <f aca="false">IF(H1461="","",IF(OR(J1461="",L1461=""),"-",IF(ABS(H1461-J1461*L1461)&gt;Info_Koperasi!$C$10,"SELISIH","OK")))</f>
        <v/>
      </c>
    </row>
    <row r="1462" customFormat="false" ht="15" hidden="false" customHeight="false" outlineLevel="0" collapsed="false">
      <c r="A1462" s="21"/>
      <c r="B1462" s="22"/>
      <c r="C1462" s="21"/>
      <c r="D1462" s="21"/>
      <c r="E1462" s="28"/>
      <c r="F1462" s="24"/>
      <c r="G1462" s="26"/>
      <c r="H1462" s="24"/>
      <c r="I1462" s="24"/>
      <c r="J1462" s="24"/>
      <c r="K1462" s="24"/>
      <c r="L1462" s="26"/>
      <c r="M1462" s="26"/>
      <c r="N1462" s="22"/>
      <c r="O1462" s="21"/>
      <c r="P1462" s="22"/>
      <c r="Q1462" s="29" t="str">
        <f aca="false">IF(C1462="","",IF(O1462&lt;&gt;"",O1462,IFERROR(INDEX(Produk!$J$2:$J$100,MATCH(C1462,Produk!$A$2:$A$100,0)),"PRODUK?")))</f>
        <v/>
      </c>
      <c r="R1462" s="29" t="str">
        <f aca="false">IF(A1462="","",IF(COUNTIF(Anggota!$A$2:$A$2001,A1462)=0,"TIDAK ADA","OK"))</f>
        <v/>
      </c>
      <c r="S1462" s="29" t="str">
        <f aca="false">IF(H1462="","",IF(OR(J1462="",L1462=""),"-",IF(ABS(H1462-J1462*L1462)&gt;Info_Koperasi!$C$10,"SELISIH","OK")))</f>
        <v/>
      </c>
    </row>
    <row r="1463" customFormat="false" ht="15" hidden="false" customHeight="false" outlineLevel="0" collapsed="false">
      <c r="A1463" s="21"/>
      <c r="B1463" s="22"/>
      <c r="C1463" s="21"/>
      <c r="D1463" s="21"/>
      <c r="E1463" s="28"/>
      <c r="F1463" s="24"/>
      <c r="G1463" s="26"/>
      <c r="H1463" s="24"/>
      <c r="I1463" s="24"/>
      <c r="J1463" s="24"/>
      <c r="K1463" s="24"/>
      <c r="L1463" s="26"/>
      <c r="M1463" s="26"/>
      <c r="N1463" s="22"/>
      <c r="O1463" s="21"/>
      <c r="P1463" s="22"/>
      <c r="Q1463" s="29" t="str">
        <f aca="false">IF(C1463="","",IF(O1463&lt;&gt;"",O1463,IFERROR(INDEX(Produk!$J$2:$J$100,MATCH(C1463,Produk!$A$2:$A$100,0)),"PRODUK?")))</f>
        <v/>
      </c>
      <c r="R1463" s="29" t="str">
        <f aca="false">IF(A1463="","",IF(COUNTIF(Anggota!$A$2:$A$2001,A1463)=0,"TIDAK ADA","OK"))</f>
        <v/>
      </c>
      <c r="S1463" s="29" t="str">
        <f aca="false">IF(H1463="","",IF(OR(J1463="",L1463=""),"-",IF(ABS(H1463-J1463*L1463)&gt;Info_Koperasi!$C$10,"SELISIH","OK")))</f>
        <v/>
      </c>
    </row>
    <row r="1464" customFormat="false" ht="15" hidden="false" customHeight="false" outlineLevel="0" collapsed="false">
      <c r="A1464" s="21"/>
      <c r="B1464" s="22"/>
      <c r="C1464" s="21"/>
      <c r="D1464" s="21"/>
      <c r="E1464" s="28"/>
      <c r="F1464" s="24"/>
      <c r="G1464" s="26"/>
      <c r="H1464" s="24"/>
      <c r="I1464" s="24"/>
      <c r="J1464" s="24"/>
      <c r="K1464" s="24"/>
      <c r="L1464" s="26"/>
      <c r="M1464" s="26"/>
      <c r="N1464" s="22"/>
      <c r="O1464" s="21"/>
      <c r="P1464" s="22"/>
      <c r="Q1464" s="29" t="str">
        <f aca="false">IF(C1464="","",IF(O1464&lt;&gt;"",O1464,IFERROR(INDEX(Produk!$J$2:$J$100,MATCH(C1464,Produk!$A$2:$A$100,0)),"PRODUK?")))</f>
        <v/>
      </c>
      <c r="R1464" s="29" t="str">
        <f aca="false">IF(A1464="","",IF(COUNTIF(Anggota!$A$2:$A$2001,A1464)=0,"TIDAK ADA","OK"))</f>
        <v/>
      </c>
      <c r="S1464" s="29" t="str">
        <f aca="false">IF(H1464="","",IF(OR(J1464="",L1464=""),"-",IF(ABS(H1464-J1464*L1464)&gt;Info_Koperasi!$C$10,"SELISIH","OK")))</f>
        <v/>
      </c>
    </row>
    <row r="1465" customFormat="false" ht="15" hidden="false" customHeight="false" outlineLevel="0" collapsed="false">
      <c r="A1465" s="21"/>
      <c r="B1465" s="22"/>
      <c r="C1465" s="21"/>
      <c r="D1465" s="21"/>
      <c r="E1465" s="28"/>
      <c r="F1465" s="24"/>
      <c r="G1465" s="26"/>
      <c r="H1465" s="24"/>
      <c r="I1465" s="24"/>
      <c r="J1465" s="24"/>
      <c r="K1465" s="24"/>
      <c r="L1465" s="26"/>
      <c r="M1465" s="26"/>
      <c r="N1465" s="22"/>
      <c r="O1465" s="21"/>
      <c r="P1465" s="22"/>
      <c r="Q1465" s="29" t="str">
        <f aca="false">IF(C1465="","",IF(O1465&lt;&gt;"",O1465,IFERROR(INDEX(Produk!$J$2:$J$100,MATCH(C1465,Produk!$A$2:$A$100,0)),"PRODUK?")))</f>
        <v/>
      </c>
      <c r="R1465" s="29" t="str">
        <f aca="false">IF(A1465="","",IF(COUNTIF(Anggota!$A$2:$A$2001,A1465)=0,"TIDAK ADA","OK"))</f>
        <v/>
      </c>
      <c r="S1465" s="29" t="str">
        <f aca="false">IF(H1465="","",IF(OR(J1465="",L1465=""),"-",IF(ABS(H1465-J1465*L1465)&gt;Info_Koperasi!$C$10,"SELISIH","OK")))</f>
        <v/>
      </c>
    </row>
    <row r="1466" customFormat="false" ht="15" hidden="false" customHeight="false" outlineLevel="0" collapsed="false">
      <c r="A1466" s="21"/>
      <c r="B1466" s="22"/>
      <c r="C1466" s="21"/>
      <c r="D1466" s="21"/>
      <c r="E1466" s="28"/>
      <c r="F1466" s="24"/>
      <c r="G1466" s="26"/>
      <c r="H1466" s="24"/>
      <c r="I1466" s="24"/>
      <c r="J1466" s="24"/>
      <c r="K1466" s="24"/>
      <c r="L1466" s="26"/>
      <c r="M1466" s="26"/>
      <c r="N1466" s="22"/>
      <c r="O1466" s="21"/>
      <c r="P1466" s="22"/>
      <c r="Q1466" s="29" t="str">
        <f aca="false">IF(C1466="","",IF(O1466&lt;&gt;"",O1466,IFERROR(INDEX(Produk!$J$2:$J$100,MATCH(C1466,Produk!$A$2:$A$100,0)),"PRODUK?")))</f>
        <v/>
      </c>
      <c r="R1466" s="29" t="str">
        <f aca="false">IF(A1466="","",IF(COUNTIF(Anggota!$A$2:$A$2001,A1466)=0,"TIDAK ADA","OK"))</f>
        <v/>
      </c>
      <c r="S1466" s="29" t="str">
        <f aca="false">IF(H1466="","",IF(OR(J1466="",L1466=""),"-",IF(ABS(H1466-J1466*L1466)&gt;Info_Koperasi!$C$10,"SELISIH","OK")))</f>
        <v/>
      </c>
    </row>
    <row r="1467" customFormat="false" ht="15" hidden="false" customHeight="false" outlineLevel="0" collapsed="false">
      <c r="A1467" s="21"/>
      <c r="B1467" s="22"/>
      <c r="C1467" s="21"/>
      <c r="D1467" s="21"/>
      <c r="E1467" s="28"/>
      <c r="F1467" s="24"/>
      <c r="G1467" s="26"/>
      <c r="H1467" s="24"/>
      <c r="I1467" s="24"/>
      <c r="J1467" s="24"/>
      <c r="K1467" s="24"/>
      <c r="L1467" s="26"/>
      <c r="M1467" s="26"/>
      <c r="N1467" s="22"/>
      <c r="O1467" s="21"/>
      <c r="P1467" s="22"/>
      <c r="Q1467" s="29" t="str">
        <f aca="false">IF(C1467="","",IF(O1467&lt;&gt;"",O1467,IFERROR(INDEX(Produk!$J$2:$J$100,MATCH(C1467,Produk!$A$2:$A$100,0)),"PRODUK?")))</f>
        <v/>
      </c>
      <c r="R1467" s="29" t="str">
        <f aca="false">IF(A1467="","",IF(COUNTIF(Anggota!$A$2:$A$2001,A1467)=0,"TIDAK ADA","OK"))</f>
        <v/>
      </c>
      <c r="S1467" s="29" t="str">
        <f aca="false">IF(H1467="","",IF(OR(J1467="",L1467=""),"-",IF(ABS(H1467-J1467*L1467)&gt;Info_Koperasi!$C$10,"SELISIH","OK")))</f>
        <v/>
      </c>
    </row>
    <row r="1468" customFormat="false" ht="15" hidden="false" customHeight="false" outlineLevel="0" collapsed="false">
      <c r="A1468" s="21"/>
      <c r="B1468" s="22"/>
      <c r="C1468" s="21"/>
      <c r="D1468" s="21"/>
      <c r="E1468" s="28"/>
      <c r="F1468" s="24"/>
      <c r="G1468" s="26"/>
      <c r="H1468" s="24"/>
      <c r="I1468" s="24"/>
      <c r="J1468" s="24"/>
      <c r="K1468" s="24"/>
      <c r="L1468" s="26"/>
      <c r="M1468" s="26"/>
      <c r="N1468" s="22"/>
      <c r="O1468" s="21"/>
      <c r="P1468" s="22"/>
      <c r="Q1468" s="29" t="str">
        <f aca="false">IF(C1468="","",IF(O1468&lt;&gt;"",O1468,IFERROR(INDEX(Produk!$J$2:$J$100,MATCH(C1468,Produk!$A$2:$A$100,0)),"PRODUK?")))</f>
        <v/>
      </c>
      <c r="R1468" s="29" t="str">
        <f aca="false">IF(A1468="","",IF(COUNTIF(Anggota!$A$2:$A$2001,A1468)=0,"TIDAK ADA","OK"))</f>
        <v/>
      </c>
      <c r="S1468" s="29" t="str">
        <f aca="false">IF(H1468="","",IF(OR(J1468="",L1468=""),"-",IF(ABS(H1468-J1468*L1468)&gt;Info_Koperasi!$C$10,"SELISIH","OK")))</f>
        <v/>
      </c>
    </row>
    <row r="1469" customFormat="false" ht="15" hidden="false" customHeight="false" outlineLevel="0" collapsed="false">
      <c r="A1469" s="21"/>
      <c r="B1469" s="22"/>
      <c r="C1469" s="21"/>
      <c r="D1469" s="21"/>
      <c r="E1469" s="28"/>
      <c r="F1469" s="24"/>
      <c r="G1469" s="26"/>
      <c r="H1469" s="24"/>
      <c r="I1469" s="24"/>
      <c r="J1469" s="24"/>
      <c r="K1469" s="24"/>
      <c r="L1469" s="26"/>
      <c r="M1469" s="26"/>
      <c r="N1469" s="22"/>
      <c r="O1469" s="21"/>
      <c r="P1469" s="22"/>
      <c r="Q1469" s="29" t="str">
        <f aca="false">IF(C1469="","",IF(O1469&lt;&gt;"",O1469,IFERROR(INDEX(Produk!$J$2:$J$100,MATCH(C1469,Produk!$A$2:$A$100,0)),"PRODUK?")))</f>
        <v/>
      </c>
      <c r="R1469" s="29" t="str">
        <f aca="false">IF(A1469="","",IF(COUNTIF(Anggota!$A$2:$A$2001,A1469)=0,"TIDAK ADA","OK"))</f>
        <v/>
      </c>
      <c r="S1469" s="29" t="str">
        <f aca="false">IF(H1469="","",IF(OR(J1469="",L1469=""),"-",IF(ABS(H1469-J1469*L1469)&gt;Info_Koperasi!$C$10,"SELISIH","OK")))</f>
        <v/>
      </c>
    </row>
    <row r="1470" customFormat="false" ht="15" hidden="false" customHeight="false" outlineLevel="0" collapsed="false">
      <c r="A1470" s="21"/>
      <c r="B1470" s="22"/>
      <c r="C1470" s="21"/>
      <c r="D1470" s="21"/>
      <c r="E1470" s="28"/>
      <c r="F1470" s="24"/>
      <c r="G1470" s="26"/>
      <c r="H1470" s="24"/>
      <c r="I1470" s="24"/>
      <c r="J1470" s="24"/>
      <c r="K1470" s="24"/>
      <c r="L1470" s="26"/>
      <c r="M1470" s="26"/>
      <c r="N1470" s="22"/>
      <c r="O1470" s="21"/>
      <c r="P1470" s="22"/>
      <c r="Q1470" s="29" t="str">
        <f aca="false">IF(C1470="","",IF(O1470&lt;&gt;"",O1470,IFERROR(INDEX(Produk!$J$2:$J$100,MATCH(C1470,Produk!$A$2:$A$100,0)),"PRODUK?")))</f>
        <v/>
      </c>
      <c r="R1470" s="29" t="str">
        <f aca="false">IF(A1470="","",IF(COUNTIF(Anggota!$A$2:$A$2001,A1470)=0,"TIDAK ADA","OK"))</f>
        <v/>
      </c>
      <c r="S1470" s="29" t="str">
        <f aca="false">IF(H1470="","",IF(OR(J1470="",L1470=""),"-",IF(ABS(H1470-J1470*L1470)&gt;Info_Koperasi!$C$10,"SELISIH","OK")))</f>
        <v/>
      </c>
    </row>
    <row r="1471" customFormat="false" ht="15" hidden="false" customHeight="false" outlineLevel="0" collapsed="false">
      <c r="A1471" s="21"/>
      <c r="B1471" s="22"/>
      <c r="C1471" s="21"/>
      <c r="D1471" s="21"/>
      <c r="E1471" s="28"/>
      <c r="F1471" s="24"/>
      <c r="G1471" s="26"/>
      <c r="H1471" s="24"/>
      <c r="I1471" s="24"/>
      <c r="J1471" s="24"/>
      <c r="K1471" s="24"/>
      <c r="L1471" s="26"/>
      <c r="M1471" s="26"/>
      <c r="N1471" s="22"/>
      <c r="O1471" s="21"/>
      <c r="P1471" s="22"/>
      <c r="Q1471" s="29" t="str">
        <f aca="false">IF(C1471="","",IF(O1471&lt;&gt;"",O1471,IFERROR(INDEX(Produk!$J$2:$J$100,MATCH(C1471,Produk!$A$2:$A$100,0)),"PRODUK?")))</f>
        <v/>
      </c>
      <c r="R1471" s="29" t="str">
        <f aca="false">IF(A1471="","",IF(COUNTIF(Anggota!$A$2:$A$2001,A1471)=0,"TIDAK ADA","OK"))</f>
        <v/>
      </c>
      <c r="S1471" s="29" t="str">
        <f aca="false">IF(H1471="","",IF(OR(J1471="",L1471=""),"-",IF(ABS(H1471-J1471*L1471)&gt;Info_Koperasi!$C$10,"SELISIH","OK")))</f>
        <v/>
      </c>
    </row>
    <row r="1472" customFormat="false" ht="15" hidden="false" customHeight="false" outlineLevel="0" collapsed="false">
      <c r="A1472" s="21"/>
      <c r="B1472" s="22"/>
      <c r="C1472" s="21"/>
      <c r="D1472" s="21"/>
      <c r="E1472" s="28"/>
      <c r="F1472" s="24"/>
      <c r="G1472" s="26"/>
      <c r="H1472" s="24"/>
      <c r="I1472" s="24"/>
      <c r="J1472" s="24"/>
      <c r="K1472" s="24"/>
      <c r="L1472" s="26"/>
      <c r="M1472" s="26"/>
      <c r="N1472" s="22"/>
      <c r="O1472" s="21"/>
      <c r="P1472" s="22"/>
      <c r="Q1472" s="29" t="str">
        <f aca="false">IF(C1472="","",IF(O1472&lt;&gt;"",O1472,IFERROR(INDEX(Produk!$J$2:$J$100,MATCH(C1472,Produk!$A$2:$A$100,0)),"PRODUK?")))</f>
        <v/>
      </c>
      <c r="R1472" s="29" t="str">
        <f aca="false">IF(A1472="","",IF(COUNTIF(Anggota!$A$2:$A$2001,A1472)=0,"TIDAK ADA","OK"))</f>
        <v/>
      </c>
      <c r="S1472" s="29" t="str">
        <f aca="false">IF(H1472="","",IF(OR(J1472="",L1472=""),"-",IF(ABS(H1472-J1472*L1472)&gt;Info_Koperasi!$C$10,"SELISIH","OK")))</f>
        <v/>
      </c>
    </row>
    <row r="1473" customFormat="false" ht="15" hidden="false" customHeight="false" outlineLevel="0" collapsed="false">
      <c r="A1473" s="21"/>
      <c r="B1473" s="22"/>
      <c r="C1473" s="21"/>
      <c r="D1473" s="21"/>
      <c r="E1473" s="28"/>
      <c r="F1473" s="24"/>
      <c r="G1473" s="26"/>
      <c r="H1473" s="24"/>
      <c r="I1473" s="24"/>
      <c r="J1473" s="24"/>
      <c r="K1473" s="24"/>
      <c r="L1473" s="26"/>
      <c r="M1473" s="26"/>
      <c r="N1473" s="22"/>
      <c r="O1473" s="21"/>
      <c r="P1473" s="22"/>
      <c r="Q1473" s="29" t="str">
        <f aca="false">IF(C1473="","",IF(O1473&lt;&gt;"",O1473,IFERROR(INDEX(Produk!$J$2:$J$100,MATCH(C1473,Produk!$A$2:$A$100,0)),"PRODUK?")))</f>
        <v/>
      </c>
      <c r="R1473" s="29" t="str">
        <f aca="false">IF(A1473="","",IF(COUNTIF(Anggota!$A$2:$A$2001,A1473)=0,"TIDAK ADA","OK"))</f>
        <v/>
      </c>
      <c r="S1473" s="29" t="str">
        <f aca="false">IF(H1473="","",IF(OR(J1473="",L1473=""),"-",IF(ABS(H1473-J1473*L1473)&gt;Info_Koperasi!$C$10,"SELISIH","OK")))</f>
        <v/>
      </c>
    </row>
    <row r="1474" customFormat="false" ht="15" hidden="false" customHeight="false" outlineLevel="0" collapsed="false">
      <c r="A1474" s="21"/>
      <c r="B1474" s="22"/>
      <c r="C1474" s="21"/>
      <c r="D1474" s="21"/>
      <c r="E1474" s="28"/>
      <c r="F1474" s="24"/>
      <c r="G1474" s="26"/>
      <c r="H1474" s="24"/>
      <c r="I1474" s="24"/>
      <c r="J1474" s="24"/>
      <c r="K1474" s="24"/>
      <c r="L1474" s="26"/>
      <c r="M1474" s="26"/>
      <c r="N1474" s="22"/>
      <c r="O1474" s="21"/>
      <c r="P1474" s="22"/>
      <c r="Q1474" s="29" t="str">
        <f aca="false">IF(C1474="","",IF(O1474&lt;&gt;"",O1474,IFERROR(INDEX(Produk!$J$2:$J$100,MATCH(C1474,Produk!$A$2:$A$100,0)),"PRODUK?")))</f>
        <v/>
      </c>
      <c r="R1474" s="29" t="str">
        <f aca="false">IF(A1474="","",IF(COUNTIF(Anggota!$A$2:$A$2001,A1474)=0,"TIDAK ADA","OK"))</f>
        <v/>
      </c>
      <c r="S1474" s="29" t="str">
        <f aca="false">IF(H1474="","",IF(OR(J1474="",L1474=""),"-",IF(ABS(H1474-J1474*L1474)&gt;Info_Koperasi!$C$10,"SELISIH","OK")))</f>
        <v/>
      </c>
    </row>
    <row r="1475" customFormat="false" ht="15" hidden="false" customHeight="false" outlineLevel="0" collapsed="false">
      <c r="A1475" s="21"/>
      <c r="B1475" s="22"/>
      <c r="C1475" s="21"/>
      <c r="D1475" s="21"/>
      <c r="E1475" s="28"/>
      <c r="F1475" s="24"/>
      <c r="G1475" s="26"/>
      <c r="H1475" s="24"/>
      <c r="I1475" s="24"/>
      <c r="J1475" s="24"/>
      <c r="K1475" s="24"/>
      <c r="L1475" s="26"/>
      <c r="M1475" s="26"/>
      <c r="N1475" s="22"/>
      <c r="O1475" s="21"/>
      <c r="P1475" s="22"/>
      <c r="Q1475" s="29" t="str">
        <f aca="false">IF(C1475="","",IF(O1475&lt;&gt;"",O1475,IFERROR(INDEX(Produk!$J$2:$J$100,MATCH(C1475,Produk!$A$2:$A$100,0)),"PRODUK?")))</f>
        <v/>
      </c>
      <c r="R1475" s="29" t="str">
        <f aca="false">IF(A1475="","",IF(COUNTIF(Anggota!$A$2:$A$2001,A1475)=0,"TIDAK ADA","OK"))</f>
        <v/>
      </c>
      <c r="S1475" s="29" t="str">
        <f aca="false">IF(H1475="","",IF(OR(J1475="",L1475=""),"-",IF(ABS(H1475-J1475*L1475)&gt;Info_Koperasi!$C$10,"SELISIH","OK")))</f>
        <v/>
      </c>
    </row>
    <row r="1476" customFormat="false" ht="15" hidden="false" customHeight="false" outlineLevel="0" collapsed="false">
      <c r="A1476" s="21"/>
      <c r="B1476" s="22"/>
      <c r="C1476" s="21"/>
      <c r="D1476" s="21"/>
      <c r="E1476" s="28"/>
      <c r="F1476" s="24"/>
      <c r="G1476" s="26"/>
      <c r="H1476" s="24"/>
      <c r="I1476" s="24"/>
      <c r="J1476" s="24"/>
      <c r="K1476" s="24"/>
      <c r="L1476" s="26"/>
      <c r="M1476" s="26"/>
      <c r="N1476" s="22"/>
      <c r="O1476" s="21"/>
      <c r="P1476" s="22"/>
      <c r="Q1476" s="29" t="str">
        <f aca="false">IF(C1476="","",IF(O1476&lt;&gt;"",O1476,IFERROR(INDEX(Produk!$J$2:$J$100,MATCH(C1476,Produk!$A$2:$A$100,0)),"PRODUK?")))</f>
        <v/>
      </c>
      <c r="R1476" s="29" t="str">
        <f aca="false">IF(A1476="","",IF(COUNTIF(Anggota!$A$2:$A$2001,A1476)=0,"TIDAK ADA","OK"))</f>
        <v/>
      </c>
      <c r="S1476" s="29" t="str">
        <f aca="false">IF(H1476="","",IF(OR(J1476="",L1476=""),"-",IF(ABS(H1476-J1476*L1476)&gt;Info_Koperasi!$C$10,"SELISIH","OK")))</f>
        <v/>
      </c>
    </row>
    <row r="1477" customFormat="false" ht="15" hidden="false" customHeight="false" outlineLevel="0" collapsed="false">
      <c r="A1477" s="21"/>
      <c r="B1477" s="22"/>
      <c r="C1477" s="21"/>
      <c r="D1477" s="21"/>
      <c r="E1477" s="28"/>
      <c r="F1477" s="24"/>
      <c r="G1477" s="26"/>
      <c r="H1477" s="24"/>
      <c r="I1477" s="24"/>
      <c r="J1477" s="24"/>
      <c r="K1477" s="24"/>
      <c r="L1477" s="26"/>
      <c r="M1477" s="26"/>
      <c r="N1477" s="22"/>
      <c r="O1477" s="21"/>
      <c r="P1477" s="22"/>
      <c r="Q1477" s="29" t="str">
        <f aca="false">IF(C1477="","",IF(O1477&lt;&gt;"",O1477,IFERROR(INDEX(Produk!$J$2:$J$100,MATCH(C1477,Produk!$A$2:$A$100,0)),"PRODUK?")))</f>
        <v/>
      </c>
      <c r="R1477" s="29" t="str">
        <f aca="false">IF(A1477="","",IF(COUNTIF(Anggota!$A$2:$A$2001,A1477)=0,"TIDAK ADA","OK"))</f>
        <v/>
      </c>
      <c r="S1477" s="29" t="str">
        <f aca="false">IF(H1477="","",IF(OR(J1477="",L1477=""),"-",IF(ABS(H1477-J1477*L1477)&gt;Info_Koperasi!$C$10,"SELISIH","OK")))</f>
        <v/>
      </c>
    </row>
    <row r="1478" customFormat="false" ht="15" hidden="false" customHeight="false" outlineLevel="0" collapsed="false">
      <c r="A1478" s="21"/>
      <c r="B1478" s="22"/>
      <c r="C1478" s="21"/>
      <c r="D1478" s="21"/>
      <c r="E1478" s="28"/>
      <c r="F1478" s="24"/>
      <c r="G1478" s="26"/>
      <c r="H1478" s="24"/>
      <c r="I1478" s="24"/>
      <c r="J1478" s="24"/>
      <c r="K1478" s="24"/>
      <c r="L1478" s="26"/>
      <c r="M1478" s="26"/>
      <c r="N1478" s="22"/>
      <c r="O1478" s="21"/>
      <c r="P1478" s="22"/>
      <c r="Q1478" s="29" t="str">
        <f aca="false">IF(C1478="","",IF(O1478&lt;&gt;"",O1478,IFERROR(INDEX(Produk!$J$2:$J$100,MATCH(C1478,Produk!$A$2:$A$100,0)),"PRODUK?")))</f>
        <v/>
      </c>
      <c r="R1478" s="29" t="str">
        <f aca="false">IF(A1478="","",IF(COUNTIF(Anggota!$A$2:$A$2001,A1478)=0,"TIDAK ADA","OK"))</f>
        <v/>
      </c>
      <c r="S1478" s="29" t="str">
        <f aca="false">IF(H1478="","",IF(OR(J1478="",L1478=""),"-",IF(ABS(H1478-J1478*L1478)&gt;Info_Koperasi!$C$10,"SELISIH","OK")))</f>
        <v/>
      </c>
    </row>
    <row r="1479" customFormat="false" ht="15" hidden="false" customHeight="false" outlineLevel="0" collapsed="false">
      <c r="A1479" s="21"/>
      <c r="B1479" s="22"/>
      <c r="C1479" s="21"/>
      <c r="D1479" s="21"/>
      <c r="E1479" s="28"/>
      <c r="F1479" s="24"/>
      <c r="G1479" s="26"/>
      <c r="H1479" s="24"/>
      <c r="I1479" s="24"/>
      <c r="J1479" s="24"/>
      <c r="K1479" s="24"/>
      <c r="L1479" s="26"/>
      <c r="M1479" s="26"/>
      <c r="N1479" s="22"/>
      <c r="O1479" s="21"/>
      <c r="P1479" s="22"/>
      <c r="Q1479" s="29" t="str">
        <f aca="false">IF(C1479="","",IF(O1479&lt;&gt;"",O1479,IFERROR(INDEX(Produk!$J$2:$J$100,MATCH(C1479,Produk!$A$2:$A$100,0)),"PRODUK?")))</f>
        <v/>
      </c>
      <c r="R1479" s="29" t="str">
        <f aca="false">IF(A1479="","",IF(COUNTIF(Anggota!$A$2:$A$2001,A1479)=0,"TIDAK ADA","OK"))</f>
        <v/>
      </c>
      <c r="S1479" s="29" t="str">
        <f aca="false">IF(H1479="","",IF(OR(J1479="",L1479=""),"-",IF(ABS(H1479-J1479*L1479)&gt;Info_Koperasi!$C$10,"SELISIH","OK")))</f>
        <v/>
      </c>
    </row>
    <row r="1480" customFormat="false" ht="15" hidden="false" customHeight="false" outlineLevel="0" collapsed="false">
      <c r="A1480" s="21"/>
      <c r="B1480" s="22"/>
      <c r="C1480" s="21"/>
      <c r="D1480" s="21"/>
      <c r="E1480" s="28"/>
      <c r="F1480" s="24"/>
      <c r="G1480" s="26"/>
      <c r="H1480" s="24"/>
      <c r="I1480" s="24"/>
      <c r="J1480" s="24"/>
      <c r="K1480" s="24"/>
      <c r="L1480" s="26"/>
      <c r="M1480" s="26"/>
      <c r="N1480" s="22"/>
      <c r="O1480" s="21"/>
      <c r="P1480" s="22"/>
      <c r="Q1480" s="29" t="str">
        <f aca="false">IF(C1480="","",IF(O1480&lt;&gt;"",O1480,IFERROR(INDEX(Produk!$J$2:$J$100,MATCH(C1480,Produk!$A$2:$A$100,0)),"PRODUK?")))</f>
        <v/>
      </c>
      <c r="R1480" s="29" t="str">
        <f aca="false">IF(A1480="","",IF(COUNTIF(Anggota!$A$2:$A$2001,A1480)=0,"TIDAK ADA","OK"))</f>
        <v/>
      </c>
      <c r="S1480" s="29" t="str">
        <f aca="false">IF(H1480="","",IF(OR(J1480="",L1480=""),"-",IF(ABS(H1480-J1480*L1480)&gt;Info_Koperasi!$C$10,"SELISIH","OK")))</f>
        <v/>
      </c>
    </row>
    <row r="1481" customFormat="false" ht="15" hidden="false" customHeight="false" outlineLevel="0" collapsed="false">
      <c r="A1481" s="21"/>
      <c r="B1481" s="22"/>
      <c r="C1481" s="21"/>
      <c r="D1481" s="21"/>
      <c r="E1481" s="28"/>
      <c r="F1481" s="24"/>
      <c r="G1481" s="26"/>
      <c r="H1481" s="24"/>
      <c r="I1481" s="24"/>
      <c r="J1481" s="24"/>
      <c r="K1481" s="24"/>
      <c r="L1481" s="26"/>
      <c r="M1481" s="26"/>
      <c r="N1481" s="22"/>
      <c r="O1481" s="21"/>
      <c r="P1481" s="22"/>
      <c r="Q1481" s="29" t="str">
        <f aca="false">IF(C1481="","",IF(O1481&lt;&gt;"",O1481,IFERROR(INDEX(Produk!$J$2:$J$100,MATCH(C1481,Produk!$A$2:$A$100,0)),"PRODUK?")))</f>
        <v/>
      </c>
      <c r="R1481" s="29" t="str">
        <f aca="false">IF(A1481="","",IF(COUNTIF(Anggota!$A$2:$A$2001,A1481)=0,"TIDAK ADA","OK"))</f>
        <v/>
      </c>
      <c r="S1481" s="29" t="str">
        <f aca="false">IF(H1481="","",IF(OR(J1481="",L1481=""),"-",IF(ABS(H1481-J1481*L1481)&gt;Info_Koperasi!$C$10,"SELISIH","OK")))</f>
        <v/>
      </c>
    </row>
    <row r="1482" customFormat="false" ht="15" hidden="false" customHeight="false" outlineLevel="0" collapsed="false">
      <c r="A1482" s="21"/>
      <c r="B1482" s="22"/>
      <c r="C1482" s="21"/>
      <c r="D1482" s="21"/>
      <c r="E1482" s="28"/>
      <c r="F1482" s="24"/>
      <c r="G1482" s="26"/>
      <c r="H1482" s="24"/>
      <c r="I1482" s="24"/>
      <c r="J1482" s="24"/>
      <c r="K1482" s="24"/>
      <c r="L1482" s="26"/>
      <c r="M1482" s="26"/>
      <c r="N1482" s="22"/>
      <c r="O1482" s="21"/>
      <c r="P1482" s="22"/>
      <c r="Q1482" s="29" t="str">
        <f aca="false">IF(C1482="","",IF(O1482&lt;&gt;"",O1482,IFERROR(INDEX(Produk!$J$2:$J$100,MATCH(C1482,Produk!$A$2:$A$100,0)),"PRODUK?")))</f>
        <v/>
      </c>
      <c r="R1482" s="29" t="str">
        <f aca="false">IF(A1482="","",IF(COUNTIF(Anggota!$A$2:$A$2001,A1482)=0,"TIDAK ADA","OK"))</f>
        <v/>
      </c>
      <c r="S1482" s="29" t="str">
        <f aca="false">IF(H1482="","",IF(OR(J1482="",L1482=""),"-",IF(ABS(H1482-J1482*L1482)&gt;Info_Koperasi!$C$10,"SELISIH","OK")))</f>
        <v/>
      </c>
    </row>
    <row r="1483" customFormat="false" ht="15" hidden="false" customHeight="false" outlineLevel="0" collapsed="false">
      <c r="A1483" s="21"/>
      <c r="B1483" s="22"/>
      <c r="C1483" s="21"/>
      <c r="D1483" s="21"/>
      <c r="E1483" s="28"/>
      <c r="F1483" s="24"/>
      <c r="G1483" s="26"/>
      <c r="H1483" s="24"/>
      <c r="I1483" s="24"/>
      <c r="J1483" s="24"/>
      <c r="K1483" s="24"/>
      <c r="L1483" s="26"/>
      <c r="M1483" s="26"/>
      <c r="N1483" s="22"/>
      <c r="O1483" s="21"/>
      <c r="P1483" s="22"/>
      <c r="Q1483" s="29" t="str">
        <f aca="false">IF(C1483="","",IF(O1483&lt;&gt;"",O1483,IFERROR(INDEX(Produk!$J$2:$J$100,MATCH(C1483,Produk!$A$2:$A$100,0)),"PRODUK?")))</f>
        <v/>
      </c>
      <c r="R1483" s="29" t="str">
        <f aca="false">IF(A1483="","",IF(COUNTIF(Anggota!$A$2:$A$2001,A1483)=0,"TIDAK ADA","OK"))</f>
        <v/>
      </c>
      <c r="S1483" s="29" t="str">
        <f aca="false">IF(H1483="","",IF(OR(J1483="",L1483=""),"-",IF(ABS(H1483-J1483*L1483)&gt;Info_Koperasi!$C$10,"SELISIH","OK")))</f>
        <v/>
      </c>
    </row>
    <row r="1484" customFormat="false" ht="15" hidden="false" customHeight="false" outlineLevel="0" collapsed="false">
      <c r="A1484" s="21"/>
      <c r="B1484" s="22"/>
      <c r="C1484" s="21"/>
      <c r="D1484" s="21"/>
      <c r="E1484" s="28"/>
      <c r="F1484" s="24"/>
      <c r="G1484" s="26"/>
      <c r="H1484" s="24"/>
      <c r="I1484" s="24"/>
      <c r="J1484" s="24"/>
      <c r="K1484" s="24"/>
      <c r="L1484" s="26"/>
      <c r="M1484" s="26"/>
      <c r="N1484" s="22"/>
      <c r="O1484" s="21"/>
      <c r="P1484" s="22"/>
      <c r="Q1484" s="29" t="str">
        <f aca="false">IF(C1484="","",IF(O1484&lt;&gt;"",O1484,IFERROR(INDEX(Produk!$J$2:$J$100,MATCH(C1484,Produk!$A$2:$A$100,0)),"PRODUK?")))</f>
        <v/>
      </c>
      <c r="R1484" s="29" t="str">
        <f aca="false">IF(A1484="","",IF(COUNTIF(Anggota!$A$2:$A$2001,A1484)=0,"TIDAK ADA","OK"))</f>
        <v/>
      </c>
      <c r="S1484" s="29" t="str">
        <f aca="false">IF(H1484="","",IF(OR(J1484="",L1484=""),"-",IF(ABS(H1484-J1484*L1484)&gt;Info_Koperasi!$C$10,"SELISIH","OK")))</f>
        <v/>
      </c>
    </row>
    <row r="1485" customFormat="false" ht="15" hidden="false" customHeight="false" outlineLevel="0" collapsed="false">
      <c r="A1485" s="21"/>
      <c r="B1485" s="22"/>
      <c r="C1485" s="21"/>
      <c r="D1485" s="21"/>
      <c r="E1485" s="28"/>
      <c r="F1485" s="24"/>
      <c r="G1485" s="26"/>
      <c r="H1485" s="24"/>
      <c r="I1485" s="24"/>
      <c r="J1485" s="24"/>
      <c r="K1485" s="24"/>
      <c r="L1485" s="26"/>
      <c r="M1485" s="26"/>
      <c r="N1485" s="22"/>
      <c r="O1485" s="21"/>
      <c r="P1485" s="22"/>
      <c r="Q1485" s="29" t="str">
        <f aca="false">IF(C1485="","",IF(O1485&lt;&gt;"",O1485,IFERROR(INDEX(Produk!$J$2:$J$100,MATCH(C1485,Produk!$A$2:$A$100,0)),"PRODUK?")))</f>
        <v/>
      </c>
      <c r="R1485" s="29" t="str">
        <f aca="false">IF(A1485="","",IF(COUNTIF(Anggota!$A$2:$A$2001,A1485)=0,"TIDAK ADA","OK"))</f>
        <v/>
      </c>
      <c r="S1485" s="29" t="str">
        <f aca="false">IF(H1485="","",IF(OR(J1485="",L1485=""),"-",IF(ABS(H1485-J1485*L1485)&gt;Info_Koperasi!$C$10,"SELISIH","OK")))</f>
        <v/>
      </c>
    </row>
    <row r="1486" customFormat="false" ht="15" hidden="false" customHeight="false" outlineLevel="0" collapsed="false">
      <c r="A1486" s="21"/>
      <c r="B1486" s="22"/>
      <c r="C1486" s="21"/>
      <c r="D1486" s="21"/>
      <c r="E1486" s="28"/>
      <c r="F1486" s="24"/>
      <c r="G1486" s="26"/>
      <c r="H1486" s="24"/>
      <c r="I1486" s="24"/>
      <c r="J1486" s="24"/>
      <c r="K1486" s="24"/>
      <c r="L1486" s="26"/>
      <c r="M1486" s="26"/>
      <c r="N1486" s="22"/>
      <c r="O1486" s="21"/>
      <c r="P1486" s="22"/>
      <c r="Q1486" s="29" t="str">
        <f aca="false">IF(C1486="","",IF(O1486&lt;&gt;"",O1486,IFERROR(INDEX(Produk!$J$2:$J$100,MATCH(C1486,Produk!$A$2:$A$100,0)),"PRODUK?")))</f>
        <v/>
      </c>
      <c r="R1486" s="29" t="str">
        <f aca="false">IF(A1486="","",IF(COUNTIF(Anggota!$A$2:$A$2001,A1486)=0,"TIDAK ADA","OK"))</f>
        <v/>
      </c>
      <c r="S1486" s="29" t="str">
        <f aca="false">IF(H1486="","",IF(OR(J1486="",L1486=""),"-",IF(ABS(H1486-J1486*L1486)&gt;Info_Koperasi!$C$10,"SELISIH","OK")))</f>
        <v/>
      </c>
    </row>
    <row r="1487" customFormat="false" ht="15" hidden="false" customHeight="false" outlineLevel="0" collapsed="false">
      <c r="A1487" s="21"/>
      <c r="B1487" s="22"/>
      <c r="C1487" s="21"/>
      <c r="D1487" s="21"/>
      <c r="E1487" s="28"/>
      <c r="F1487" s="24"/>
      <c r="G1487" s="26"/>
      <c r="H1487" s="24"/>
      <c r="I1487" s="24"/>
      <c r="J1487" s="24"/>
      <c r="K1487" s="24"/>
      <c r="L1487" s="26"/>
      <c r="M1487" s="26"/>
      <c r="N1487" s="22"/>
      <c r="O1487" s="21"/>
      <c r="P1487" s="22"/>
      <c r="Q1487" s="29" t="str">
        <f aca="false">IF(C1487="","",IF(O1487&lt;&gt;"",O1487,IFERROR(INDEX(Produk!$J$2:$J$100,MATCH(C1487,Produk!$A$2:$A$100,0)),"PRODUK?")))</f>
        <v/>
      </c>
      <c r="R1487" s="29" t="str">
        <f aca="false">IF(A1487="","",IF(COUNTIF(Anggota!$A$2:$A$2001,A1487)=0,"TIDAK ADA","OK"))</f>
        <v/>
      </c>
      <c r="S1487" s="29" t="str">
        <f aca="false">IF(H1487="","",IF(OR(J1487="",L1487=""),"-",IF(ABS(H1487-J1487*L1487)&gt;Info_Koperasi!$C$10,"SELISIH","OK")))</f>
        <v/>
      </c>
    </row>
    <row r="1488" customFormat="false" ht="15" hidden="false" customHeight="false" outlineLevel="0" collapsed="false">
      <c r="A1488" s="21"/>
      <c r="B1488" s="22"/>
      <c r="C1488" s="21"/>
      <c r="D1488" s="21"/>
      <c r="E1488" s="28"/>
      <c r="F1488" s="24"/>
      <c r="G1488" s="26"/>
      <c r="H1488" s="24"/>
      <c r="I1488" s="24"/>
      <c r="J1488" s="24"/>
      <c r="K1488" s="24"/>
      <c r="L1488" s="26"/>
      <c r="M1488" s="26"/>
      <c r="N1488" s="22"/>
      <c r="O1488" s="21"/>
      <c r="P1488" s="22"/>
      <c r="Q1488" s="29" t="str">
        <f aca="false">IF(C1488="","",IF(O1488&lt;&gt;"",O1488,IFERROR(INDEX(Produk!$J$2:$J$100,MATCH(C1488,Produk!$A$2:$A$100,0)),"PRODUK?")))</f>
        <v/>
      </c>
      <c r="R1488" s="29" t="str">
        <f aca="false">IF(A1488="","",IF(COUNTIF(Anggota!$A$2:$A$2001,A1488)=0,"TIDAK ADA","OK"))</f>
        <v/>
      </c>
      <c r="S1488" s="29" t="str">
        <f aca="false">IF(H1488="","",IF(OR(J1488="",L1488=""),"-",IF(ABS(H1488-J1488*L1488)&gt;Info_Koperasi!$C$10,"SELISIH","OK")))</f>
        <v/>
      </c>
    </row>
    <row r="1489" customFormat="false" ht="15" hidden="false" customHeight="false" outlineLevel="0" collapsed="false">
      <c r="A1489" s="21"/>
      <c r="B1489" s="22"/>
      <c r="C1489" s="21"/>
      <c r="D1489" s="21"/>
      <c r="E1489" s="28"/>
      <c r="F1489" s="24"/>
      <c r="G1489" s="26"/>
      <c r="H1489" s="24"/>
      <c r="I1489" s="24"/>
      <c r="J1489" s="24"/>
      <c r="K1489" s="24"/>
      <c r="L1489" s="26"/>
      <c r="M1489" s="26"/>
      <c r="N1489" s="22"/>
      <c r="O1489" s="21"/>
      <c r="P1489" s="22"/>
      <c r="Q1489" s="29" t="str">
        <f aca="false">IF(C1489="","",IF(O1489&lt;&gt;"",O1489,IFERROR(INDEX(Produk!$J$2:$J$100,MATCH(C1489,Produk!$A$2:$A$100,0)),"PRODUK?")))</f>
        <v/>
      </c>
      <c r="R1489" s="29" t="str">
        <f aca="false">IF(A1489="","",IF(COUNTIF(Anggota!$A$2:$A$2001,A1489)=0,"TIDAK ADA","OK"))</f>
        <v/>
      </c>
      <c r="S1489" s="29" t="str">
        <f aca="false">IF(H1489="","",IF(OR(J1489="",L1489=""),"-",IF(ABS(H1489-J1489*L1489)&gt;Info_Koperasi!$C$10,"SELISIH","OK")))</f>
        <v/>
      </c>
    </row>
    <row r="1490" customFormat="false" ht="15" hidden="false" customHeight="false" outlineLevel="0" collapsed="false">
      <c r="A1490" s="21"/>
      <c r="B1490" s="22"/>
      <c r="C1490" s="21"/>
      <c r="D1490" s="21"/>
      <c r="E1490" s="28"/>
      <c r="F1490" s="24"/>
      <c r="G1490" s="26"/>
      <c r="H1490" s="24"/>
      <c r="I1490" s="24"/>
      <c r="J1490" s="24"/>
      <c r="K1490" s="24"/>
      <c r="L1490" s="26"/>
      <c r="M1490" s="26"/>
      <c r="N1490" s="22"/>
      <c r="O1490" s="21"/>
      <c r="P1490" s="22"/>
      <c r="Q1490" s="29" t="str">
        <f aca="false">IF(C1490="","",IF(O1490&lt;&gt;"",O1490,IFERROR(INDEX(Produk!$J$2:$J$100,MATCH(C1490,Produk!$A$2:$A$100,0)),"PRODUK?")))</f>
        <v/>
      </c>
      <c r="R1490" s="29" t="str">
        <f aca="false">IF(A1490="","",IF(COUNTIF(Anggota!$A$2:$A$2001,A1490)=0,"TIDAK ADA","OK"))</f>
        <v/>
      </c>
      <c r="S1490" s="29" t="str">
        <f aca="false">IF(H1490="","",IF(OR(J1490="",L1490=""),"-",IF(ABS(H1490-J1490*L1490)&gt;Info_Koperasi!$C$10,"SELISIH","OK")))</f>
        <v/>
      </c>
    </row>
    <row r="1491" customFormat="false" ht="15" hidden="false" customHeight="false" outlineLevel="0" collapsed="false">
      <c r="A1491" s="21"/>
      <c r="B1491" s="22"/>
      <c r="C1491" s="21"/>
      <c r="D1491" s="21"/>
      <c r="E1491" s="28"/>
      <c r="F1491" s="24"/>
      <c r="G1491" s="26"/>
      <c r="H1491" s="24"/>
      <c r="I1491" s="24"/>
      <c r="J1491" s="24"/>
      <c r="K1491" s="24"/>
      <c r="L1491" s="26"/>
      <c r="M1491" s="26"/>
      <c r="N1491" s="22"/>
      <c r="O1491" s="21"/>
      <c r="P1491" s="22"/>
      <c r="Q1491" s="29" t="str">
        <f aca="false">IF(C1491="","",IF(O1491&lt;&gt;"",O1491,IFERROR(INDEX(Produk!$J$2:$J$100,MATCH(C1491,Produk!$A$2:$A$100,0)),"PRODUK?")))</f>
        <v/>
      </c>
      <c r="R1491" s="29" t="str">
        <f aca="false">IF(A1491="","",IF(COUNTIF(Anggota!$A$2:$A$2001,A1491)=0,"TIDAK ADA","OK"))</f>
        <v/>
      </c>
      <c r="S1491" s="29" t="str">
        <f aca="false">IF(H1491="","",IF(OR(J1491="",L1491=""),"-",IF(ABS(H1491-J1491*L1491)&gt;Info_Koperasi!$C$10,"SELISIH","OK")))</f>
        <v/>
      </c>
    </row>
    <row r="1492" customFormat="false" ht="15" hidden="false" customHeight="false" outlineLevel="0" collapsed="false">
      <c r="A1492" s="21"/>
      <c r="B1492" s="22"/>
      <c r="C1492" s="21"/>
      <c r="D1492" s="21"/>
      <c r="E1492" s="28"/>
      <c r="F1492" s="24"/>
      <c r="G1492" s="26"/>
      <c r="H1492" s="24"/>
      <c r="I1492" s="24"/>
      <c r="J1492" s="24"/>
      <c r="K1492" s="24"/>
      <c r="L1492" s="26"/>
      <c r="M1492" s="26"/>
      <c r="N1492" s="22"/>
      <c r="O1492" s="21"/>
      <c r="P1492" s="22"/>
      <c r="Q1492" s="29" t="str">
        <f aca="false">IF(C1492="","",IF(O1492&lt;&gt;"",O1492,IFERROR(INDEX(Produk!$J$2:$J$100,MATCH(C1492,Produk!$A$2:$A$100,0)),"PRODUK?")))</f>
        <v/>
      </c>
      <c r="R1492" s="29" t="str">
        <f aca="false">IF(A1492="","",IF(COUNTIF(Anggota!$A$2:$A$2001,A1492)=0,"TIDAK ADA","OK"))</f>
        <v/>
      </c>
      <c r="S1492" s="29" t="str">
        <f aca="false">IF(H1492="","",IF(OR(J1492="",L1492=""),"-",IF(ABS(H1492-J1492*L1492)&gt;Info_Koperasi!$C$10,"SELISIH","OK")))</f>
        <v/>
      </c>
    </row>
    <row r="1493" customFormat="false" ht="15" hidden="false" customHeight="false" outlineLevel="0" collapsed="false">
      <c r="A1493" s="21"/>
      <c r="B1493" s="22"/>
      <c r="C1493" s="21"/>
      <c r="D1493" s="21"/>
      <c r="E1493" s="28"/>
      <c r="F1493" s="24"/>
      <c r="G1493" s="26"/>
      <c r="H1493" s="24"/>
      <c r="I1493" s="24"/>
      <c r="J1493" s="24"/>
      <c r="K1493" s="24"/>
      <c r="L1493" s="26"/>
      <c r="M1493" s="26"/>
      <c r="N1493" s="22"/>
      <c r="O1493" s="21"/>
      <c r="P1493" s="22"/>
      <c r="Q1493" s="29" t="str">
        <f aca="false">IF(C1493="","",IF(O1493&lt;&gt;"",O1493,IFERROR(INDEX(Produk!$J$2:$J$100,MATCH(C1493,Produk!$A$2:$A$100,0)),"PRODUK?")))</f>
        <v/>
      </c>
      <c r="R1493" s="29" t="str">
        <f aca="false">IF(A1493="","",IF(COUNTIF(Anggota!$A$2:$A$2001,A1493)=0,"TIDAK ADA","OK"))</f>
        <v/>
      </c>
      <c r="S1493" s="29" t="str">
        <f aca="false">IF(H1493="","",IF(OR(J1493="",L1493=""),"-",IF(ABS(H1493-J1493*L1493)&gt;Info_Koperasi!$C$10,"SELISIH","OK")))</f>
        <v/>
      </c>
    </row>
    <row r="1494" customFormat="false" ht="15" hidden="false" customHeight="false" outlineLevel="0" collapsed="false">
      <c r="A1494" s="21"/>
      <c r="B1494" s="22"/>
      <c r="C1494" s="21"/>
      <c r="D1494" s="21"/>
      <c r="E1494" s="28"/>
      <c r="F1494" s="24"/>
      <c r="G1494" s="26"/>
      <c r="H1494" s="24"/>
      <c r="I1494" s="24"/>
      <c r="J1494" s="24"/>
      <c r="K1494" s="24"/>
      <c r="L1494" s="26"/>
      <c r="M1494" s="26"/>
      <c r="N1494" s="22"/>
      <c r="O1494" s="21"/>
      <c r="P1494" s="22"/>
      <c r="Q1494" s="29" t="str">
        <f aca="false">IF(C1494="","",IF(O1494&lt;&gt;"",O1494,IFERROR(INDEX(Produk!$J$2:$J$100,MATCH(C1494,Produk!$A$2:$A$100,0)),"PRODUK?")))</f>
        <v/>
      </c>
      <c r="R1494" s="29" t="str">
        <f aca="false">IF(A1494="","",IF(COUNTIF(Anggota!$A$2:$A$2001,A1494)=0,"TIDAK ADA","OK"))</f>
        <v/>
      </c>
      <c r="S1494" s="29" t="str">
        <f aca="false">IF(H1494="","",IF(OR(J1494="",L1494=""),"-",IF(ABS(H1494-J1494*L1494)&gt;Info_Koperasi!$C$10,"SELISIH","OK")))</f>
        <v/>
      </c>
    </row>
    <row r="1495" customFormat="false" ht="15" hidden="false" customHeight="false" outlineLevel="0" collapsed="false">
      <c r="A1495" s="21"/>
      <c r="B1495" s="22"/>
      <c r="C1495" s="21"/>
      <c r="D1495" s="21"/>
      <c r="E1495" s="28"/>
      <c r="F1495" s="24"/>
      <c r="G1495" s="26"/>
      <c r="H1495" s="24"/>
      <c r="I1495" s="24"/>
      <c r="J1495" s="24"/>
      <c r="K1495" s="24"/>
      <c r="L1495" s="26"/>
      <c r="M1495" s="26"/>
      <c r="N1495" s="22"/>
      <c r="O1495" s="21"/>
      <c r="P1495" s="22"/>
      <c r="Q1495" s="29" t="str">
        <f aca="false">IF(C1495="","",IF(O1495&lt;&gt;"",O1495,IFERROR(INDEX(Produk!$J$2:$J$100,MATCH(C1495,Produk!$A$2:$A$100,0)),"PRODUK?")))</f>
        <v/>
      </c>
      <c r="R1495" s="29" t="str">
        <f aca="false">IF(A1495="","",IF(COUNTIF(Anggota!$A$2:$A$2001,A1495)=0,"TIDAK ADA","OK"))</f>
        <v/>
      </c>
      <c r="S1495" s="29" t="str">
        <f aca="false">IF(H1495="","",IF(OR(J1495="",L1495=""),"-",IF(ABS(H1495-J1495*L1495)&gt;Info_Koperasi!$C$10,"SELISIH","OK")))</f>
        <v/>
      </c>
    </row>
    <row r="1496" customFormat="false" ht="15" hidden="false" customHeight="false" outlineLevel="0" collapsed="false">
      <c r="A1496" s="21"/>
      <c r="B1496" s="22"/>
      <c r="C1496" s="21"/>
      <c r="D1496" s="21"/>
      <c r="E1496" s="28"/>
      <c r="F1496" s="24"/>
      <c r="G1496" s="26"/>
      <c r="H1496" s="24"/>
      <c r="I1496" s="24"/>
      <c r="J1496" s="24"/>
      <c r="K1496" s="24"/>
      <c r="L1496" s="26"/>
      <c r="M1496" s="26"/>
      <c r="N1496" s="22"/>
      <c r="O1496" s="21"/>
      <c r="P1496" s="22"/>
      <c r="Q1496" s="29" t="str">
        <f aca="false">IF(C1496="","",IF(O1496&lt;&gt;"",O1496,IFERROR(INDEX(Produk!$J$2:$J$100,MATCH(C1496,Produk!$A$2:$A$100,0)),"PRODUK?")))</f>
        <v/>
      </c>
      <c r="R1496" s="29" t="str">
        <f aca="false">IF(A1496="","",IF(COUNTIF(Anggota!$A$2:$A$2001,A1496)=0,"TIDAK ADA","OK"))</f>
        <v/>
      </c>
      <c r="S1496" s="29" t="str">
        <f aca="false">IF(H1496="","",IF(OR(J1496="",L1496=""),"-",IF(ABS(H1496-J1496*L1496)&gt;Info_Koperasi!$C$10,"SELISIH","OK")))</f>
        <v/>
      </c>
    </row>
    <row r="1497" customFormat="false" ht="15" hidden="false" customHeight="false" outlineLevel="0" collapsed="false">
      <c r="A1497" s="21"/>
      <c r="B1497" s="22"/>
      <c r="C1497" s="21"/>
      <c r="D1497" s="21"/>
      <c r="E1497" s="28"/>
      <c r="F1497" s="24"/>
      <c r="G1497" s="26"/>
      <c r="H1497" s="24"/>
      <c r="I1497" s="24"/>
      <c r="J1497" s="24"/>
      <c r="K1497" s="24"/>
      <c r="L1497" s="26"/>
      <c r="M1497" s="26"/>
      <c r="N1497" s="22"/>
      <c r="O1497" s="21"/>
      <c r="P1497" s="22"/>
      <c r="Q1497" s="29" t="str">
        <f aca="false">IF(C1497="","",IF(O1497&lt;&gt;"",O1497,IFERROR(INDEX(Produk!$J$2:$J$100,MATCH(C1497,Produk!$A$2:$A$100,0)),"PRODUK?")))</f>
        <v/>
      </c>
      <c r="R1497" s="29" t="str">
        <f aca="false">IF(A1497="","",IF(COUNTIF(Anggota!$A$2:$A$2001,A1497)=0,"TIDAK ADA","OK"))</f>
        <v/>
      </c>
      <c r="S1497" s="29" t="str">
        <f aca="false">IF(H1497="","",IF(OR(J1497="",L1497=""),"-",IF(ABS(H1497-J1497*L1497)&gt;Info_Koperasi!$C$10,"SELISIH","OK")))</f>
        <v/>
      </c>
    </row>
    <row r="1498" customFormat="false" ht="15" hidden="false" customHeight="false" outlineLevel="0" collapsed="false">
      <c r="A1498" s="21"/>
      <c r="B1498" s="22"/>
      <c r="C1498" s="21"/>
      <c r="D1498" s="21"/>
      <c r="E1498" s="28"/>
      <c r="F1498" s="24"/>
      <c r="G1498" s="26"/>
      <c r="H1498" s="24"/>
      <c r="I1498" s="24"/>
      <c r="J1498" s="24"/>
      <c r="K1498" s="24"/>
      <c r="L1498" s="26"/>
      <c r="M1498" s="26"/>
      <c r="N1498" s="22"/>
      <c r="O1498" s="21"/>
      <c r="P1498" s="22"/>
      <c r="Q1498" s="29" t="str">
        <f aca="false">IF(C1498="","",IF(O1498&lt;&gt;"",O1498,IFERROR(INDEX(Produk!$J$2:$J$100,MATCH(C1498,Produk!$A$2:$A$100,0)),"PRODUK?")))</f>
        <v/>
      </c>
      <c r="R1498" s="29" t="str">
        <f aca="false">IF(A1498="","",IF(COUNTIF(Anggota!$A$2:$A$2001,A1498)=0,"TIDAK ADA","OK"))</f>
        <v/>
      </c>
      <c r="S1498" s="29" t="str">
        <f aca="false">IF(H1498="","",IF(OR(J1498="",L1498=""),"-",IF(ABS(H1498-J1498*L1498)&gt;Info_Koperasi!$C$10,"SELISIH","OK")))</f>
        <v/>
      </c>
    </row>
    <row r="1499" customFormat="false" ht="15" hidden="false" customHeight="false" outlineLevel="0" collapsed="false">
      <c r="A1499" s="21"/>
      <c r="B1499" s="22"/>
      <c r="C1499" s="21"/>
      <c r="D1499" s="21"/>
      <c r="E1499" s="28"/>
      <c r="F1499" s="24"/>
      <c r="G1499" s="26"/>
      <c r="H1499" s="24"/>
      <c r="I1499" s="24"/>
      <c r="J1499" s="24"/>
      <c r="K1499" s="24"/>
      <c r="L1499" s="26"/>
      <c r="M1499" s="26"/>
      <c r="N1499" s="22"/>
      <c r="O1499" s="21"/>
      <c r="P1499" s="22"/>
      <c r="Q1499" s="29" t="str">
        <f aca="false">IF(C1499="","",IF(O1499&lt;&gt;"",O1499,IFERROR(INDEX(Produk!$J$2:$J$100,MATCH(C1499,Produk!$A$2:$A$100,0)),"PRODUK?")))</f>
        <v/>
      </c>
      <c r="R1499" s="29" t="str">
        <f aca="false">IF(A1499="","",IF(COUNTIF(Anggota!$A$2:$A$2001,A1499)=0,"TIDAK ADA","OK"))</f>
        <v/>
      </c>
      <c r="S1499" s="29" t="str">
        <f aca="false">IF(H1499="","",IF(OR(J1499="",L1499=""),"-",IF(ABS(H1499-J1499*L1499)&gt;Info_Koperasi!$C$10,"SELISIH","OK")))</f>
        <v/>
      </c>
    </row>
    <row r="1500" customFormat="false" ht="15" hidden="false" customHeight="false" outlineLevel="0" collapsed="false">
      <c r="A1500" s="21"/>
      <c r="B1500" s="22"/>
      <c r="C1500" s="21"/>
      <c r="D1500" s="21"/>
      <c r="E1500" s="28"/>
      <c r="F1500" s="24"/>
      <c r="G1500" s="26"/>
      <c r="H1500" s="24"/>
      <c r="I1500" s="24"/>
      <c r="J1500" s="24"/>
      <c r="K1500" s="24"/>
      <c r="L1500" s="26"/>
      <c r="M1500" s="26"/>
      <c r="N1500" s="22"/>
      <c r="O1500" s="21"/>
      <c r="P1500" s="22"/>
      <c r="Q1500" s="29" t="str">
        <f aca="false">IF(C1500="","",IF(O1500&lt;&gt;"",O1500,IFERROR(INDEX(Produk!$J$2:$J$100,MATCH(C1500,Produk!$A$2:$A$100,0)),"PRODUK?")))</f>
        <v/>
      </c>
      <c r="R1500" s="29" t="str">
        <f aca="false">IF(A1500="","",IF(COUNTIF(Anggota!$A$2:$A$2001,A1500)=0,"TIDAK ADA","OK"))</f>
        <v/>
      </c>
      <c r="S1500" s="29" t="str">
        <f aca="false">IF(H1500="","",IF(OR(J1500="",L1500=""),"-",IF(ABS(H1500-J1500*L1500)&gt;Info_Koperasi!$C$10,"SELISIH","OK")))</f>
        <v/>
      </c>
    </row>
    <row r="1501" customFormat="false" ht="15" hidden="false" customHeight="false" outlineLevel="0" collapsed="false">
      <c r="A1501" s="21"/>
      <c r="B1501" s="22"/>
      <c r="C1501" s="21"/>
      <c r="D1501" s="21"/>
      <c r="E1501" s="28"/>
      <c r="F1501" s="24"/>
      <c r="G1501" s="26"/>
      <c r="H1501" s="24"/>
      <c r="I1501" s="24"/>
      <c r="J1501" s="24"/>
      <c r="K1501" s="24"/>
      <c r="L1501" s="26"/>
      <c r="M1501" s="26"/>
      <c r="N1501" s="22"/>
      <c r="O1501" s="21"/>
      <c r="P1501" s="22"/>
      <c r="Q1501" s="29" t="str">
        <f aca="false">IF(C1501="","",IF(O1501&lt;&gt;"",O1501,IFERROR(INDEX(Produk!$J$2:$J$100,MATCH(C1501,Produk!$A$2:$A$100,0)),"PRODUK?")))</f>
        <v/>
      </c>
      <c r="R1501" s="29" t="str">
        <f aca="false">IF(A1501="","",IF(COUNTIF(Anggota!$A$2:$A$2001,A1501)=0,"TIDAK ADA","OK"))</f>
        <v/>
      </c>
      <c r="S1501" s="29" t="str">
        <f aca="false">IF(H1501="","",IF(OR(J1501="",L1501=""),"-",IF(ABS(H1501-J1501*L1501)&gt;Info_Koperasi!$C$10,"SELISIH","OK")))</f>
        <v/>
      </c>
    </row>
    <row r="1502" customFormat="false" ht="15" hidden="false" customHeight="false" outlineLevel="0" collapsed="false">
      <c r="A1502" s="21"/>
      <c r="B1502" s="22"/>
      <c r="C1502" s="21"/>
      <c r="D1502" s="21"/>
      <c r="E1502" s="28"/>
      <c r="F1502" s="24"/>
      <c r="G1502" s="26"/>
      <c r="H1502" s="24"/>
      <c r="I1502" s="24"/>
      <c r="J1502" s="24"/>
      <c r="K1502" s="24"/>
      <c r="L1502" s="26"/>
      <c r="M1502" s="26"/>
      <c r="N1502" s="22"/>
      <c r="O1502" s="21"/>
      <c r="P1502" s="22"/>
      <c r="Q1502" s="29" t="str">
        <f aca="false">IF(C1502="","",IF(O1502&lt;&gt;"",O1502,IFERROR(INDEX(Produk!$J$2:$J$100,MATCH(C1502,Produk!$A$2:$A$100,0)),"PRODUK?")))</f>
        <v/>
      </c>
      <c r="R1502" s="29" t="str">
        <f aca="false">IF(A1502="","",IF(COUNTIF(Anggota!$A$2:$A$2001,A1502)=0,"TIDAK ADA","OK"))</f>
        <v/>
      </c>
      <c r="S1502" s="29" t="str">
        <f aca="false">IF(H1502="","",IF(OR(J1502="",L1502=""),"-",IF(ABS(H1502-J1502*L1502)&gt;Info_Koperasi!$C$10,"SELISIH","OK")))</f>
        <v/>
      </c>
    </row>
    <row r="1503" customFormat="false" ht="15" hidden="false" customHeight="false" outlineLevel="0" collapsed="false">
      <c r="A1503" s="21"/>
      <c r="B1503" s="22"/>
      <c r="C1503" s="21"/>
      <c r="D1503" s="21"/>
      <c r="E1503" s="28"/>
      <c r="F1503" s="24"/>
      <c r="G1503" s="26"/>
      <c r="H1503" s="24"/>
      <c r="I1503" s="24"/>
      <c r="J1503" s="24"/>
      <c r="K1503" s="24"/>
      <c r="L1503" s="26"/>
      <c r="M1503" s="26"/>
      <c r="N1503" s="22"/>
      <c r="O1503" s="21"/>
      <c r="P1503" s="22"/>
      <c r="Q1503" s="29" t="str">
        <f aca="false">IF(C1503="","",IF(O1503&lt;&gt;"",O1503,IFERROR(INDEX(Produk!$J$2:$J$100,MATCH(C1503,Produk!$A$2:$A$100,0)),"PRODUK?")))</f>
        <v/>
      </c>
      <c r="R1503" s="29" t="str">
        <f aca="false">IF(A1503="","",IF(COUNTIF(Anggota!$A$2:$A$2001,A1503)=0,"TIDAK ADA","OK"))</f>
        <v/>
      </c>
      <c r="S1503" s="29" t="str">
        <f aca="false">IF(H1503="","",IF(OR(J1503="",L1503=""),"-",IF(ABS(H1503-J1503*L1503)&gt;Info_Koperasi!$C$10,"SELISIH","OK")))</f>
        <v/>
      </c>
    </row>
    <row r="1504" customFormat="false" ht="15" hidden="false" customHeight="false" outlineLevel="0" collapsed="false">
      <c r="A1504" s="21"/>
      <c r="B1504" s="22"/>
      <c r="C1504" s="21"/>
      <c r="D1504" s="21"/>
      <c r="E1504" s="28"/>
      <c r="F1504" s="24"/>
      <c r="G1504" s="26"/>
      <c r="H1504" s="24"/>
      <c r="I1504" s="24"/>
      <c r="J1504" s="24"/>
      <c r="K1504" s="24"/>
      <c r="L1504" s="26"/>
      <c r="M1504" s="26"/>
      <c r="N1504" s="22"/>
      <c r="O1504" s="21"/>
      <c r="P1504" s="22"/>
      <c r="Q1504" s="29" t="str">
        <f aca="false">IF(C1504="","",IF(O1504&lt;&gt;"",O1504,IFERROR(INDEX(Produk!$J$2:$J$100,MATCH(C1504,Produk!$A$2:$A$100,0)),"PRODUK?")))</f>
        <v/>
      </c>
      <c r="R1504" s="29" t="str">
        <f aca="false">IF(A1504="","",IF(COUNTIF(Anggota!$A$2:$A$2001,A1504)=0,"TIDAK ADA","OK"))</f>
        <v/>
      </c>
      <c r="S1504" s="29" t="str">
        <f aca="false">IF(H1504="","",IF(OR(J1504="",L1504=""),"-",IF(ABS(H1504-J1504*L1504)&gt;Info_Koperasi!$C$10,"SELISIH","OK")))</f>
        <v/>
      </c>
    </row>
    <row r="1505" customFormat="false" ht="15" hidden="false" customHeight="false" outlineLevel="0" collapsed="false">
      <c r="A1505" s="21"/>
      <c r="B1505" s="22"/>
      <c r="C1505" s="21"/>
      <c r="D1505" s="21"/>
      <c r="E1505" s="28"/>
      <c r="F1505" s="24"/>
      <c r="G1505" s="26"/>
      <c r="H1505" s="24"/>
      <c r="I1505" s="24"/>
      <c r="J1505" s="24"/>
      <c r="K1505" s="24"/>
      <c r="L1505" s="26"/>
      <c r="M1505" s="26"/>
      <c r="N1505" s="22"/>
      <c r="O1505" s="21"/>
      <c r="P1505" s="22"/>
      <c r="Q1505" s="29" t="str">
        <f aca="false">IF(C1505="","",IF(O1505&lt;&gt;"",O1505,IFERROR(INDEX(Produk!$J$2:$J$100,MATCH(C1505,Produk!$A$2:$A$100,0)),"PRODUK?")))</f>
        <v/>
      </c>
      <c r="R1505" s="29" t="str">
        <f aca="false">IF(A1505="","",IF(COUNTIF(Anggota!$A$2:$A$2001,A1505)=0,"TIDAK ADA","OK"))</f>
        <v/>
      </c>
      <c r="S1505" s="29" t="str">
        <f aca="false">IF(H1505="","",IF(OR(J1505="",L1505=""),"-",IF(ABS(H1505-J1505*L1505)&gt;Info_Koperasi!$C$10,"SELISIH","OK")))</f>
        <v/>
      </c>
    </row>
    <row r="1506" customFormat="false" ht="15" hidden="false" customHeight="false" outlineLevel="0" collapsed="false">
      <c r="A1506" s="21"/>
      <c r="B1506" s="22"/>
      <c r="C1506" s="21"/>
      <c r="D1506" s="21"/>
      <c r="E1506" s="28"/>
      <c r="F1506" s="24"/>
      <c r="G1506" s="26"/>
      <c r="H1506" s="24"/>
      <c r="I1506" s="24"/>
      <c r="J1506" s="24"/>
      <c r="K1506" s="24"/>
      <c r="L1506" s="26"/>
      <c r="M1506" s="26"/>
      <c r="N1506" s="22"/>
      <c r="O1506" s="21"/>
      <c r="P1506" s="22"/>
      <c r="Q1506" s="29" t="str">
        <f aca="false">IF(C1506="","",IF(O1506&lt;&gt;"",O1506,IFERROR(INDEX(Produk!$J$2:$J$100,MATCH(C1506,Produk!$A$2:$A$100,0)),"PRODUK?")))</f>
        <v/>
      </c>
      <c r="R1506" s="29" t="str">
        <f aca="false">IF(A1506="","",IF(COUNTIF(Anggota!$A$2:$A$2001,A1506)=0,"TIDAK ADA","OK"))</f>
        <v/>
      </c>
      <c r="S1506" s="29" t="str">
        <f aca="false">IF(H1506="","",IF(OR(J1506="",L1506=""),"-",IF(ABS(H1506-J1506*L1506)&gt;Info_Koperasi!$C$10,"SELISIH","OK")))</f>
        <v/>
      </c>
    </row>
    <row r="1507" customFormat="false" ht="15" hidden="false" customHeight="false" outlineLevel="0" collapsed="false">
      <c r="A1507" s="21"/>
      <c r="B1507" s="22"/>
      <c r="C1507" s="21"/>
      <c r="D1507" s="21"/>
      <c r="E1507" s="28"/>
      <c r="F1507" s="24"/>
      <c r="G1507" s="26"/>
      <c r="H1507" s="24"/>
      <c r="I1507" s="24"/>
      <c r="J1507" s="24"/>
      <c r="K1507" s="24"/>
      <c r="L1507" s="26"/>
      <c r="M1507" s="26"/>
      <c r="N1507" s="22"/>
      <c r="O1507" s="21"/>
      <c r="P1507" s="22"/>
      <c r="Q1507" s="29" t="str">
        <f aca="false">IF(C1507="","",IF(O1507&lt;&gt;"",O1507,IFERROR(INDEX(Produk!$J$2:$J$100,MATCH(C1507,Produk!$A$2:$A$100,0)),"PRODUK?")))</f>
        <v/>
      </c>
      <c r="R1507" s="29" t="str">
        <f aca="false">IF(A1507="","",IF(COUNTIF(Anggota!$A$2:$A$2001,A1507)=0,"TIDAK ADA","OK"))</f>
        <v/>
      </c>
      <c r="S1507" s="29" t="str">
        <f aca="false">IF(H1507="","",IF(OR(J1507="",L1507=""),"-",IF(ABS(H1507-J1507*L1507)&gt;Info_Koperasi!$C$10,"SELISIH","OK")))</f>
        <v/>
      </c>
    </row>
    <row r="1508" customFormat="false" ht="15" hidden="false" customHeight="false" outlineLevel="0" collapsed="false">
      <c r="A1508" s="21"/>
      <c r="B1508" s="22"/>
      <c r="C1508" s="21"/>
      <c r="D1508" s="21"/>
      <c r="E1508" s="28"/>
      <c r="F1508" s="24"/>
      <c r="G1508" s="26"/>
      <c r="H1508" s="24"/>
      <c r="I1508" s="24"/>
      <c r="J1508" s="24"/>
      <c r="K1508" s="24"/>
      <c r="L1508" s="26"/>
      <c r="M1508" s="26"/>
      <c r="N1508" s="22"/>
      <c r="O1508" s="21"/>
      <c r="P1508" s="22"/>
      <c r="Q1508" s="29" t="str">
        <f aca="false">IF(C1508="","",IF(O1508&lt;&gt;"",O1508,IFERROR(INDEX(Produk!$J$2:$J$100,MATCH(C1508,Produk!$A$2:$A$100,0)),"PRODUK?")))</f>
        <v/>
      </c>
      <c r="R1508" s="29" t="str">
        <f aca="false">IF(A1508="","",IF(COUNTIF(Anggota!$A$2:$A$2001,A1508)=0,"TIDAK ADA","OK"))</f>
        <v/>
      </c>
      <c r="S1508" s="29" t="str">
        <f aca="false">IF(H1508="","",IF(OR(J1508="",L1508=""),"-",IF(ABS(H1508-J1508*L1508)&gt;Info_Koperasi!$C$10,"SELISIH","OK")))</f>
        <v/>
      </c>
    </row>
    <row r="1509" customFormat="false" ht="15" hidden="false" customHeight="false" outlineLevel="0" collapsed="false">
      <c r="A1509" s="21"/>
      <c r="B1509" s="22"/>
      <c r="C1509" s="21"/>
      <c r="D1509" s="21"/>
      <c r="E1509" s="28"/>
      <c r="F1509" s="24"/>
      <c r="G1509" s="26"/>
      <c r="H1509" s="24"/>
      <c r="I1509" s="24"/>
      <c r="J1509" s="24"/>
      <c r="K1509" s="24"/>
      <c r="L1509" s="26"/>
      <c r="M1509" s="26"/>
      <c r="N1509" s="22"/>
      <c r="O1509" s="21"/>
      <c r="P1509" s="22"/>
      <c r="Q1509" s="29" t="str">
        <f aca="false">IF(C1509="","",IF(O1509&lt;&gt;"",O1509,IFERROR(INDEX(Produk!$J$2:$J$100,MATCH(C1509,Produk!$A$2:$A$100,0)),"PRODUK?")))</f>
        <v/>
      </c>
      <c r="R1509" s="29" t="str">
        <f aca="false">IF(A1509="","",IF(COUNTIF(Anggota!$A$2:$A$2001,A1509)=0,"TIDAK ADA","OK"))</f>
        <v/>
      </c>
      <c r="S1509" s="29" t="str">
        <f aca="false">IF(H1509="","",IF(OR(J1509="",L1509=""),"-",IF(ABS(H1509-J1509*L1509)&gt;Info_Koperasi!$C$10,"SELISIH","OK")))</f>
        <v/>
      </c>
    </row>
    <row r="1510" customFormat="false" ht="15" hidden="false" customHeight="false" outlineLevel="0" collapsed="false">
      <c r="A1510" s="21"/>
      <c r="B1510" s="22"/>
      <c r="C1510" s="21"/>
      <c r="D1510" s="21"/>
      <c r="E1510" s="28"/>
      <c r="F1510" s="24"/>
      <c r="G1510" s="26"/>
      <c r="H1510" s="24"/>
      <c r="I1510" s="24"/>
      <c r="J1510" s="24"/>
      <c r="K1510" s="24"/>
      <c r="L1510" s="26"/>
      <c r="M1510" s="26"/>
      <c r="N1510" s="22"/>
      <c r="O1510" s="21"/>
      <c r="P1510" s="22"/>
      <c r="Q1510" s="29" t="str">
        <f aca="false">IF(C1510="","",IF(O1510&lt;&gt;"",O1510,IFERROR(INDEX(Produk!$J$2:$J$100,MATCH(C1510,Produk!$A$2:$A$100,0)),"PRODUK?")))</f>
        <v/>
      </c>
      <c r="R1510" s="29" t="str">
        <f aca="false">IF(A1510="","",IF(COUNTIF(Anggota!$A$2:$A$2001,A1510)=0,"TIDAK ADA","OK"))</f>
        <v/>
      </c>
      <c r="S1510" s="29" t="str">
        <f aca="false">IF(H1510="","",IF(OR(J1510="",L1510=""),"-",IF(ABS(H1510-J1510*L1510)&gt;Info_Koperasi!$C$10,"SELISIH","OK")))</f>
        <v/>
      </c>
    </row>
    <row r="1511" customFormat="false" ht="15" hidden="false" customHeight="false" outlineLevel="0" collapsed="false">
      <c r="A1511" s="21"/>
      <c r="B1511" s="22"/>
      <c r="C1511" s="21"/>
      <c r="D1511" s="21"/>
      <c r="E1511" s="28"/>
      <c r="F1511" s="24"/>
      <c r="G1511" s="26"/>
      <c r="H1511" s="24"/>
      <c r="I1511" s="24"/>
      <c r="J1511" s="24"/>
      <c r="K1511" s="24"/>
      <c r="L1511" s="26"/>
      <c r="M1511" s="26"/>
      <c r="N1511" s="22"/>
      <c r="O1511" s="21"/>
      <c r="P1511" s="22"/>
      <c r="Q1511" s="29" t="str">
        <f aca="false">IF(C1511="","",IF(O1511&lt;&gt;"",O1511,IFERROR(INDEX(Produk!$J$2:$J$100,MATCH(C1511,Produk!$A$2:$A$100,0)),"PRODUK?")))</f>
        <v/>
      </c>
      <c r="R1511" s="29" t="str">
        <f aca="false">IF(A1511="","",IF(COUNTIF(Anggota!$A$2:$A$2001,A1511)=0,"TIDAK ADA","OK"))</f>
        <v/>
      </c>
      <c r="S1511" s="29" t="str">
        <f aca="false">IF(H1511="","",IF(OR(J1511="",L1511=""),"-",IF(ABS(H1511-J1511*L1511)&gt;Info_Koperasi!$C$10,"SELISIH","OK")))</f>
        <v/>
      </c>
    </row>
    <row r="1512" customFormat="false" ht="15" hidden="false" customHeight="false" outlineLevel="0" collapsed="false">
      <c r="A1512" s="21"/>
      <c r="B1512" s="22"/>
      <c r="C1512" s="21"/>
      <c r="D1512" s="21"/>
      <c r="E1512" s="28"/>
      <c r="F1512" s="24"/>
      <c r="G1512" s="26"/>
      <c r="H1512" s="24"/>
      <c r="I1512" s="24"/>
      <c r="J1512" s="24"/>
      <c r="K1512" s="24"/>
      <c r="L1512" s="26"/>
      <c r="M1512" s="26"/>
      <c r="N1512" s="22"/>
      <c r="O1512" s="21"/>
      <c r="P1512" s="22"/>
      <c r="Q1512" s="29" t="str">
        <f aca="false">IF(C1512="","",IF(O1512&lt;&gt;"",O1512,IFERROR(INDEX(Produk!$J$2:$J$100,MATCH(C1512,Produk!$A$2:$A$100,0)),"PRODUK?")))</f>
        <v/>
      </c>
      <c r="R1512" s="29" t="str">
        <f aca="false">IF(A1512="","",IF(COUNTIF(Anggota!$A$2:$A$2001,A1512)=0,"TIDAK ADA","OK"))</f>
        <v/>
      </c>
      <c r="S1512" s="29" t="str">
        <f aca="false">IF(H1512="","",IF(OR(J1512="",L1512=""),"-",IF(ABS(H1512-J1512*L1512)&gt;Info_Koperasi!$C$10,"SELISIH","OK")))</f>
        <v/>
      </c>
    </row>
    <row r="1513" customFormat="false" ht="15" hidden="false" customHeight="false" outlineLevel="0" collapsed="false">
      <c r="A1513" s="21"/>
      <c r="B1513" s="22"/>
      <c r="C1513" s="21"/>
      <c r="D1513" s="21"/>
      <c r="E1513" s="28"/>
      <c r="F1513" s="24"/>
      <c r="G1513" s="26"/>
      <c r="H1513" s="24"/>
      <c r="I1513" s="24"/>
      <c r="J1513" s="24"/>
      <c r="K1513" s="24"/>
      <c r="L1513" s="26"/>
      <c r="M1513" s="26"/>
      <c r="N1513" s="22"/>
      <c r="O1513" s="21"/>
      <c r="P1513" s="22"/>
      <c r="Q1513" s="29" t="str">
        <f aca="false">IF(C1513="","",IF(O1513&lt;&gt;"",O1513,IFERROR(INDEX(Produk!$J$2:$J$100,MATCH(C1513,Produk!$A$2:$A$100,0)),"PRODUK?")))</f>
        <v/>
      </c>
      <c r="R1513" s="29" t="str">
        <f aca="false">IF(A1513="","",IF(COUNTIF(Anggota!$A$2:$A$2001,A1513)=0,"TIDAK ADA","OK"))</f>
        <v/>
      </c>
      <c r="S1513" s="29" t="str">
        <f aca="false">IF(H1513="","",IF(OR(J1513="",L1513=""),"-",IF(ABS(H1513-J1513*L1513)&gt;Info_Koperasi!$C$10,"SELISIH","OK")))</f>
        <v/>
      </c>
    </row>
    <row r="1514" customFormat="false" ht="15" hidden="false" customHeight="false" outlineLevel="0" collapsed="false">
      <c r="A1514" s="21"/>
      <c r="B1514" s="22"/>
      <c r="C1514" s="21"/>
      <c r="D1514" s="21"/>
      <c r="E1514" s="28"/>
      <c r="F1514" s="24"/>
      <c r="G1514" s="26"/>
      <c r="H1514" s="24"/>
      <c r="I1514" s="24"/>
      <c r="J1514" s="24"/>
      <c r="K1514" s="24"/>
      <c r="L1514" s="26"/>
      <c r="M1514" s="26"/>
      <c r="N1514" s="22"/>
      <c r="O1514" s="21"/>
      <c r="P1514" s="22"/>
      <c r="Q1514" s="29" t="str">
        <f aca="false">IF(C1514="","",IF(O1514&lt;&gt;"",O1514,IFERROR(INDEX(Produk!$J$2:$J$100,MATCH(C1514,Produk!$A$2:$A$100,0)),"PRODUK?")))</f>
        <v/>
      </c>
      <c r="R1514" s="29" t="str">
        <f aca="false">IF(A1514="","",IF(COUNTIF(Anggota!$A$2:$A$2001,A1514)=0,"TIDAK ADA","OK"))</f>
        <v/>
      </c>
      <c r="S1514" s="29" t="str">
        <f aca="false">IF(H1514="","",IF(OR(J1514="",L1514=""),"-",IF(ABS(H1514-J1514*L1514)&gt;Info_Koperasi!$C$10,"SELISIH","OK")))</f>
        <v/>
      </c>
    </row>
    <row r="1515" customFormat="false" ht="15" hidden="false" customHeight="false" outlineLevel="0" collapsed="false">
      <c r="A1515" s="21"/>
      <c r="B1515" s="22"/>
      <c r="C1515" s="21"/>
      <c r="D1515" s="21"/>
      <c r="E1515" s="28"/>
      <c r="F1515" s="24"/>
      <c r="G1515" s="26"/>
      <c r="H1515" s="24"/>
      <c r="I1515" s="24"/>
      <c r="J1515" s="24"/>
      <c r="K1515" s="24"/>
      <c r="L1515" s="26"/>
      <c r="M1515" s="26"/>
      <c r="N1515" s="22"/>
      <c r="O1515" s="21"/>
      <c r="P1515" s="22"/>
      <c r="Q1515" s="29" t="str">
        <f aca="false">IF(C1515="","",IF(O1515&lt;&gt;"",O1515,IFERROR(INDEX(Produk!$J$2:$J$100,MATCH(C1515,Produk!$A$2:$A$100,0)),"PRODUK?")))</f>
        <v/>
      </c>
      <c r="R1515" s="29" t="str">
        <f aca="false">IF(A1515="","",IF(COUNTIF(Anggota!$A$2:$A$2001,A1515)=0,"TIDAK ADA","OK"))</f>
        <v/>
      </c>
      <c r="S1515" s="29" t="str">
        <f aca="false">IF(H1515="","",IF(OR(J1515="",L1515=""),"-",IF(ABS(H1515-J1515*L1515)&gt;Info_Koperasi!$C$10,"SELISIH","OK")))</f>
        <v/>
      </c>
    </row>
    <row r="1516" customFormat="false" ht="15" hidden="false" customHeight="false" outlineLevel="0" collapsed="false">
      <c r="A1516" s="21"/>
      <c r="B1516" s="22"/>
      <c r="C1516" s="21"/>
      <c r="D1516" s="21"/>
      <c r="E1516" s="28"/>
      <c r="F1516" s="24"/>
      <c r="G1516" s="26"/>
      <c r="H1516" s="24"/>
      <c r="I1516" s="24"/>
      <c r="J1516" s="24"/>
      <c r="K1516" s="24"/>
      <c r="L1516" s="26"/>
      <c r="M1516" s="26"/>
      <c r="N1516" s="22"/>
      <c r="O1516" s="21"/>
      <c r="P1516" s="22"/>
      <c r="Q1516" s="29" t="str">
        <f aca="false">IF(C1516="","",IF(O1516&lt;&gt;"",O1516,IFERROR(INDEX(Produk!$J$2:$J$100,MATCH(C1516,Produk!$A$2:$A$100,0)),"PRODUK?")))</f>
        <v/>
      </c>
      <c r="R1516" s="29" t="str">
        <f aca="false">IF(A1516="","",IF(COUNTIF(Anggota!$A$2:$A$2001,A1516)=0,"TIDAK ADA","OK"))</f>
        <v/>
      </c>
      <c r="S1516" s="29" t="str">
        <f aca="false">IF(H1516="","",IF(OR(J1516="",L1516=""),"-",IF(ABS(H1516-J1516*L1516)&gt;Info_Koperasi!$C$10,"SELISIH","OK")))</f>
        <v/>
      </c>
    </row>
    <row r="1517" customFormat="false" ht="15" hidden="false" customHeight="false" outlineLevel="0" collapsed="false">
      <c r="A1517" s="21"/>
      <c r="B1517" s="22"/>
      <c r="C1517" s="21"/>
      <c r="D1517" s="21"/>
      <c r="E1517" s="28"/>
      <c r="F1517" s="24"/>
      <c r="G1517" s="26"/>
      <c r="H1517" s="24"/>
      <c r="I1517" s="24"/>
      <c r="J1517" s="24"/>
      <c r="K1517" s="24"/>
      <c r="L1517" s="26"/>
      <c r="M1517" s="26"/>
      <c r="N1517" s="22"/>
      <c r="O1517" s="21"/>
      <c r="P1517" s="22"/>
      <c r="Q1517" s="29" t="str">
        <f aca="false">IF(C1517="","",IF(O1517&lt;&gt;"",O1517,IFERROR(INDEX(Produk!$J$2:$J$100,MATCH(C1517,Produk!$A$2:$A$100,0)),"PRODUK?")))</f>
        <v/>
      </c>
      <c r="R1517" s="29" t="str">
        <f aca="false">IF(A1517="","",IF(COUNTIF(Anggota!$A$2:$A$2001,A1517)=0,"TIDAK ADA","OK"))</f>
        <v/>
      </c>
      <c r="S1517" s="29" t="str">
        <f aca="false">IF(H1517="","",IF(OR(J1517="",L1517=""),"-",IF(ABS(H1517-J1517*L1517)&gt;Info_Koperasi!$C$10,"SELISIH","OK")))</f>
        <v/>
      </c>
    </row>
    <row r="1518" customFormat="false" ht="15" hidden="false" customHeight="false" outlineLevel="0" collapsed="false">
      <c r="A1518" s="21"/>
      <c r="B1518" s="22"/>
      <c r="C1518" s="21"/>
      <c r="D1518" s="21"/>
      <c r="E1518" s="28"/>
      <c r="F1518" s="24"/>
      <c r="G1518" s="26"/>
      <c r="H1518" s="24"/>
      <c r="I1518" s="24"/>
      <c r="J1518" s="24"/>
      <c r="K1518" s="24"/>
      <c r="L1518" s="26"/>
      <c r="M1518" s="26"/>
      <c r="N1518" s="22"/>
      <c r="O1518" s="21"/>
      <c r="P1518" s="22"/>
      <c r="Q1518" s="29" t="str">
        <f aca="false">IF(C1518="","",IF(O1518&lt;&gt;"",O1518,IFERROR(INDEX(Produk!$J$2:$J$100,MATCH(C1518,Produk!$A$2:$A$100,0)),"PRODUK?")))</f>
        <v/>
      </c>
      <c r="R1518" s="29" t="str">
        <f aca="false">IF(A1518="","",IF(COUNTIF(Anggota!$A$2:$A$2001,A1518)=0,"TIDAK ADA","OK"))</f>
        <v/>
      </c>
      <c r="S1518" s="29" t="str">
        <f aca="false">IF(H1518="","",IF(OR(J1518="",L1518=""),"-",IF(ABS(H1518-J1518*L1518)&gt;Info_Koperasi!$C$10,"SELISIH","OK")))</f>
        <v/>
      </c>
    </row>
    <row r="1519" customFormat="false" ht="15" hidden="false" customHeight="false" outlineLevel="0" collapsed="false">
      <c r="A1519" s="21"/>
      <c r="B1519" s="22"/>
      <c r="C1519" s="21"/>
      <c r="D1519" s="21"/>
      <c r="E1519" s="28"/>
      <c r="F1519" s="24"/>
      <c r="G1519" s="26"/>
      <c r="H1519" s="24"/>
      <c r="I1519" s="24"/>
      <c r="J1519" s="24"/>
      <c r="K1519" s="24"/>
      <c r="L1519" s="26"/>
      <c r="M1519" s="26"/>
      <c r="N1519" s="22"/>
      <c r="O1519" s="21"/>
      <c r="P1519" s="22"/>
      <c r="Q1519" s="29" t="str">
        <f aca="false">IF(C1519="","",IF(O1519&lt;&gt;"",O1519,IFERROR(INDEX(Produk!$J$2:$J$100,MATCH(C1519,Produk!$A$2:$A$100,0)),"PRODUK?")))</f>
        <v/>
      </c>
      <c r="R1519" s="29" t="str">
        <f aca="false">IF(A1519="","",IF(COUNTIF(Anggota!$A$2:$A$2001,A1519)=0,"TIDAK ADA","OK"))</f>
        <v/>
      </c>
      <c r="S1519" s="29" t="str">
        <f aca="false">IF(H1519="","",IF(OR(J1519="",L1519=""),"-",IF(ABS(H1519-J1519*L1519)&gt;Info_Koperasi!$C$10,"SELISIH","OK")))</f>
        <v/>
      </c>
    </row>
    <row r="1520" customFormat="false" ht="15" hidden="false" customHeight="false" outlineLevel="0" collapsed="false">
      <c r="A1520" s="21"/>
      <c r="B1520" s="22"/>
      <c r="C1520" s="21"/>
      <c r="D1520" s="21"/>
      <c r="E1520" s="28"/>
      <c r="F1520" s="24"/>
      <c r="G1520" s="26"/>
      <c r="H1520" s="24"/>
      <c r="I1520" s="24"/>
      <c r="J1520" s="24"/>
      <c r="K1520" s="24"/>
      <c r="L1520" s="26"/>
      <c r="M1520" s="26"/>
      <c r="N1520" s="22"/>
      <c r="O1520" s="21"/>
      <c r="P1520" s="22"/>
      <c r="Q1520" s="29" t="str">
        <f aca="false">IF(C1520="","",IF(O1520&lt;&gt;"",O1520,IFERROR(INDEX(Produk!$J$2:$J$100,MATCH(C1520,Produk!$A$2:$A$100,0)),"PRODUK?")))</f>
        <v/>
      </c>
      <c r="R1520" s="29" t="str">
        <f aca="false">IF(A1520="","",IF(COUNTIF(Anggota!$A$2:$A$2001,A1520)=0,"TIDAK ADA","OK"))</f>
        <v/>
      </c>
      <c r="S1520" s="29" t="str">
        <f aca="false">IF(H1520="","",IF(OR(J1520="",L1520=""),"-",IF(ABS(H1520-J1520*L1520)&gt;Info_Koperasi!$C$10,"SELISIH","OK")))</f>
        <v/>
      </c>
    </row>
    <row r="1521" customFormat="false" ht="15" hidden="false" customHeight="false" outlineLevel="0" collapsed="false">
      <c r="A1521" s="21"/>
      <c r="B1521" s="22"/>
      <c r="C1521" s="21"/>
      <c r="D1521" s="21"/>
      <c r="E1521" s="28"/>
      <c r="F1521" s="24"/>
      <c r="G1521" s="26"/>
      <c r="H1521" s="24"/>
      <c r="I1521" s="24"/>
      <c r="J1521" s="24"/>
      <c r="K1521" s="24"/>
      <c r="L1521" s="26"/>
      <c r="M1521" s="26"/>
      <c r="N1521" s="22"/>
      <c r="O1521" s="21"/>
      <c r="P1521" s="22"/>
      <c r="Q1521" s="29" t="str">
        <f aca="false">IF(C1521="","",IF(O1521&lt;&gt;"",O1521,IFERROR(INDEX(Produk!$J$2:$J$100,MATCH(C1521,Produk!$A$2:$A$100,0)),"PRODUK?")))</f>
        <v/>
      </c>
      <c r="R1521" s="29" t="str">
        <f aca="false">IF(A1521="","",IF(COUNTIF(Anggota!$A$2:$A$2001,A1521)=0,"TIDAK ADA","OK"))</f>
        <v/>
      </c>
      <c r="S1521" s="29" t="str">
        <f aca="false">IF(H1521="","",IF(OR(J1521="",L1521=""),"-",IF(ABS(H1521-J1521*L1521)&gt;Info_Koperasi!$C$10,"SELISIH","OK")))</f>
        <v/>
      </c>
    </row>
    <row r="1522" customFormat="false" ht="15" hidden="false" customHeight="false" outlineLevel="0" collapsed="false">
      <c r="A1522" s="21"/>
      <c r="B1522" s="22"/>
      <c r="C1522" s="21"/>
      <c r="D1522" s="21"/>
      <c r="E1522" s="28"/>
      <c r="F1522" s="24"/>
      <c r="G1522" s="26"/>
      <c r="H1522" s="24"/>
      <c r="I1522" s="24"/>
      <c r="J1522" s="24"/>
      <c r="K1522" s="24"/>
      <c r="L1522" s="26"/>
      <c r="M1522" s="26"/>
      <c r="N1522" s="22"/>
      <c r="O1522" s="21"/>
      <c r="P1522" s="22"/>
      <c r="Q1522" s="29" t="str">
        <f aca="false">IF(C1522="","",IF(O1522&lt;&gt;"",O1522,IFERROR(INDEX(Produk!$J$2:$J$100,MATCH(C1522,Produk!$A$2:$A$100,0)),"PRODUK?")))</f>
        <v/>
      </c>
      <c r="R1522" s="29" t="str">
        <f aca="false">IF(A1522="","",IF(COUNTIF(Anggota!$A$2:$A$2001,A1522)=0,"TIDAK ADA","OK"))</f>
        <v/>
      </c>
      <c r="S1522" s="29" t="str">
        <f aca="false">IF(H1522="","",IF(OR(J1522="",L1522=""),"-",IF(ABS(H1522-J1522*L1522)&gt;Info_Koperasi!$C$10,"SELISIH","OK")))</f>
        <v/>
      </c>
    </row>
    <row r="1523" customFormat="false" ht="15" hidden="false" customHeight="false" outlineLevel="0" collapsed="false">
      <c r="A1523" s="21"/>
      <c r="B1523" s="22"/>
      <c r="C1523" s="21"/>
      <c r="D1523" s="21"/>
      <c r="E1523" s="28"/>
      <c r="F1523" s="24"/>
      <c r="G1523" s="26"/>
      <c r="H1523" s="24"/>
      <c r="I1523" s="24"/>
      <c r="J1523" s="24"/>
      <c r="K1523" s="24"/>
      <c r="L1523" s="26"/>
      <c r="M1523" s="26"/>
      <c r="N1523" s="22"/>
      <c r="O1523" s="21"/>
      <c r="P1523" s="22"/>
      <c r="Q1523" s="29" t="str">
        <f aca="false">IF(C1523="","",IF(O1523&lt;&gt;"",O1523,IFERROR(INDEX(Produk!$J$2:$J$100,MATCH(C1523,Produk!$A$2:$A$100,0)),"PRODUK?")))</f>
        <v/>
      </c>
      <c r="R1523" s="29" t="str">
        <f aca="false">IF(A1523="","",IF(COUNTIF(Anggota!$A$2:$A$2001,A1523)=0,"TIDAK ADA","OK"))</f>
        <v/>
      </c>
      <c r="S1523" s="29" t="str">
        <f aca="false">IF(H1523="","",IF(OR(J1523="",L1523=""),"-",IF(ABS(H1523-J1523*L1523)&gt;Info_Koperasi!$C$10,"SELISIH","OK")))</f>
        <v/>
      </c>
    </row>
    <row r="1524" customFormat="false" ht="15" hidden="false" customHeight="false" outlineLevel="0" collapsed="false">
      <c r="A1524" s="21"/>
      <c r="B1524" s="22"/>
      <c r="C1524" s="21"/>
      <c r="D1524" s="21"/>
      <c r="E1524" s="28"/>
      <c r="F1524" s="24"/>
      <c r="G1524" s="26"/>
      <c r="H1524" s="24"/>
      <c r="I1524" s="24"/>
      <c r="J1524" s="24"/>
      <c r="K1524" s="24"/>
      <c r="L1524" s="26"/>
      <c r="M1524" s="26"/>
      <c r="N1524" s="22"/>
      <c r="O1524" s="21"/>
      <c r="P1524" s="22"/>
      <c r="Q1524" s="29" t="str">
        <f aca="false">IF(C1524="","",IF(O1524&lt;&gt;"",O1524,IFERROR(INDEX(Produk!$J$2:$J$100,MATCH(C1524,Produk!$A$2:$A$100,0)),"PRODUK?")))</f>
        <v/>
      </c>
      <c r="R1524" s="29" t="str">
        <f aca="false">IF(A1524="","",IF(COUNTIF(Anggota!$A$2:$A$2001,A1524)=0,"TIDAK ADA","OK"))</f>
        <v/>
      </c>
      <c r="S1524" s="29" t="str">
        <f aca="false">IF(H1524="","",IF(OR(J1524="",L1524=""),"-",IF(ABS(H1524-J1524*L1524)&gt;Info_Koperasi!$C$10,"SELISIH","OK")))</f>
        <v/>
      </c>
    </row>
    <row r="1525" customFormat="false" ht="15" hidden="false" customHeight="false" outlineLevel="0" collapsed="false">
      <c r="A1525" s="21"/>
      <c r="B1525" s="22"/>
      <c r="C1525" s="21"/>
      <c r="D1525" s="21"/>
      <c r="E1525" s="28"/>
      <c r="F1525" s="24"/>
      <c r="G1525" s="26"/>
      <c r="H1525" s="24"/>
      <c r="I1525" s="24"/>
      <c r="J1525" s="24"/>
      <c r="K1525" s="24"/>
      <c r="L1525" s="26"/>
      <c r="M1525" s="26"/>
      <c r="N1525" s="22"/>
      <c r="O1525" s="21"/>
      <c r="P1525" s="22"/>
      <c r="Q1525" s="29" t="str">
        <f aca="false">IF(C1525="","",IF(O1525&lt;&gt;"",O1525,IFERROR(INDEX(Produk!$J$2:$J$100,MATCH(C1525,Produk!$A$2:$A$100,0)),"PRODUK?")))</f>
        <v/>
      </c>
      <c r="R1525" s="29" t="str">
        <f aca="false">IF(A1525="","",IF(COUNTIF(Anggota!$A$2:$A$2001,A1525)=0,"TIDAK ADA","OK"))</f>
        <v/>
      </c>
      <c r="S1525" s="29" t="str">
        <f aca="false">IF(H1525="","",IF(OR(J1525="",L1525=""),"-",IF(ABS(H1525-J1525*L1525)&gt;Info_Koperasi!$C$10,"SELISIH","OK")))</f>
        <v/>
      </c>
    </row>
    <row r="1526" customFormat="false" ht="15" hidden="false" customHeight="false" outlineLevel="0" collapsed="false">
      <c r="A1526" s="21"/>
      <c r="B1526" s="22"/>
      <c r="C1526" s="21"/>
      <c r="D1526" s="21"/>
      <c r="E1526" s="28"/>
      <c r="F1526" s="24"/>
      <c r="G1526" s="26"/>
      <c r="H1526" s="24"/>
      <c r="I1526" s="24"/>
      <c r="J1526" s="24"/>
      <c r="K1526" s="24"/>
      <c r="L1526" s="26"/>
      <c r="M1526" s="26"/>
      <c r="N1526" s="22"/>
      <c r="O1526" s="21"/>
      <c r="P1526" s="22"/>
      <c r="Q1526" s="29" t="str">
        <f aca="false">IF(C1526="","",IF(O1526&lt;&gt;"",O1526,IFERROR(INDEX(Produk!$J$2:$J$100,MATCH(C1526,Produk!$A$2:$A$100,0)),"PRODUK?")))</f>
        <v/>
      </c>
      <c r="R1526" s="29" t="str">
        <f aca="false">IF(A1526="","",IF(COUNTIF(Anggota!$A$2:$A$2001,A1526)=0,"TIDAK ADA","OK"))</f>
        <v/>
      </c>
      <c r="S1526" s="29" t="str">
        <f aca="false">IF(H1526="","",IF(OR(J1526="",L1526=""),"-",IF(ABS(H1526-J1526*L1526)&gt;Info_Koperasi!$C$10,"SELISIH","OK")))</f>
        <v/>
      </c>
    </row>
    <row r="1527" customFormat="false" ht="15" hidden="false" customHeight="false" outlineLevel="0" collapsed="false">
      <c r="A1527" s="21"/>
      <c r="B1527" s="22"/>
      <c r="C1527" s="21"/>
      <c r="D1527" s="21"/>
      <c r="E1527" s="28"/>
      <c r="F1527" s="24"/>
      <c r="G1527" s="26"/>
      <c r="H1527" s="24"/>
      <c r="I1527" s="24"/>
      <c r="J1527" s="24"/>
      <c r="K1527" s="24"/>
      <c r="L1527" s="26"/>
      <c r="M1527" s="26"/>
      <c r="N1527" s="22"/>
      <c r="O1527" s="21"/>
      <c r="P1527" s="22"/>
      <c r="Q1527" s="29" t="str">
        <f aca="false">IF(C1527="","",IF(O1527&lt;&gt;"",O1527,IFERROR(INDEX(Produk!$J$2:$J$100,MATCH(C1527,Produk!$A$2:$A$100,0)),"PRODUK?")))</f>
        <v/>
      </c>
      <c r="R1527" s="29" t="str">
        <f aca="false">IF(A1527="","",IF(COUNTIF(Anggota!$A$2:$A$2001,A1527)=0,"TIDAK ADA","OK"))</f>
        <v/>
      </c>
      <c r="S1527" s="29" t="str">
        <f aca="false">IF(H1527="","",IF(OR(J1527="",L1527=""),"-",IF(ABS(H1527-J1527*L1527)&gt;Info_Koperasi!$C$10,"SELISIH","OK")))</f>
        <v/>
      </c>
    </row>
    <row r="1528" customFormat="false" ht="15" hidden="false" customHeight="false" outlineLevel="0" collapsed="false">
      <c r="A1528" s="21"/>
      <c r="B1528" s="22"/>
      <c r="C1528" s="21"/>
      <c r="D1528" s="21"/>
      <c r="E1528" s="28"/>
      <c r="F1528" s="24"/>
      <c r="G1528" s="26"/>
      <c r="H1528" s="24"/>
      <c r="I1528" s="24"/>
      <c r="J1528" s="24"/>
      <c r="K1528" s="24"/>
      <c r="L1528" s="26"/>
      <c r="M1528" s="26"/>
      <c r="N1528" s="22"/>
      <c r="O1528" s="21"/>
      <c r="P1528" s="22"/>
      <c r="Q1528" s="29" t="str">
        <f aca="false">IF(C1528="","",IF(O1528&lt;&gt;"",O1528,IFERROR(INDEX(Produk!$J$2:$J$100,MATCH(C1528,Produk!$A$2:$A$100,0)),"PRODUK?")))</f>
        <v/>
      </c>
      <c r="R1528" s="29" t="str">
        <f aca="false">IF(A1528="","",IF(COUNTIF(Anggota!$A$2:$A$2001,A1528)=0,"TIDAK ADA","OK"))</f>
        <v/>
      </c>
      <c r="S1528" s="29" t="str">
        <f aca="false">IF(H1528="","",IF(OR(J1528="",L1528=""),"-",IF(ABS(H1528-J1528*L1528)&gt;Info_Koperasi!$C$10,"SELISIH","OK")))</f>
        <v/>
      </c>
    </row>
    <row r="1529" customFormat="false" ht="15" hidden="false" customHeight="false" outlineLevel="0" collapsed="false">
      <c r="A1529" s="21"/>
      <c r="B1529" s="22"/>
      <c r="C1529" s="21"/>
      <c r="D1529" s="21"/>
      <c r="E1529" s="28"/>
      <c r="F1529" s="24"/>
      <c r="G1529" s="26"/>
      <c r="H1529" s="24"/>
      <c r="I1529" s="24"/>
      <c r="J1529" s="24"/>
      <c r="K1529" s="24"/>
      <c r="L1529" s="26"/>
      <c r="M1529" s="26"/>
      <c r="N1529" s="22"/>
      <c r="O1529" s="21"/>
      <c r="P1529" s="22"/>
      <c r="Q1529" s="29" t="str">
        <f aca="false">IF(C1529="","",IF(O1529&lt;&gt;"",O1529,IFERROR(INDEX(Produk!$J$2:$J$100,MATCH(C1529,Produk!$A$2:$A$100,0)),"PRODUK?")))</f>
        <v/>
      </c>
      <c r="R1529" s="29" t="str">
        <f aca="false">IF(A1529="","",IF(COUNTIF(Anggota!$A$2:$A$2001,A1529)=0,"TIDAK ADA","OK"))</f>
        <v/>
      </c>
      <c r="S1529" s="29" t="str">
        <f aca="false">IF(H1529="","",IF(OR(J1529="",L1529=""),"-",IF(ABS(H1529-J1529*L1529)&gt;Info_Koperasi!$C$10,"SELISIH","OK")))</f>
        <v/>
      </c>
    </row>
    <row r="1530" customFormat="false" ht="15" hidden="false" customHeight="false" outlineLevel="0" collapsed="false">
      <c r="A1530" s="21"/>
      <c r="B1530" s="22"/>
      <c r="C1530" s="21"/>
      <c r="D1530" s="21"/>
      <c r="E1530" s="28"/>
      <c r="F1530" s="24"/>
      <c r="G1530" s="26"/>
      <c r="H1530" s="24"/>
      <c r="I1530" s="24"/>
      <c r="J1530" s="24"/>
      <c r="K1530" s="24"/>
      <c r="L1530" s="26"/>
      <c r="M1530" s="26"/>
      <c r="N1530" s="22"/>
      <c r="O1530" s="21"/>
      <c r="P1530" s="22"/>
      <c r="Q1530" s="29" t="str">
        <f aca="false">IF(C1530="","",IF(O1530&lt;&gt;"",O1530,IFERROR(INDEX(Produk!$J$2:$J$100,MATCH(C1530,Produk!$A$2:$A$100,0)),"PRODUK?")))</f>
        <v/>
      </c>
      <c r="R1530" s="29" t="str">
        <f aca="false">IF(A1530="","",IF(COUNTIF(Anggota!$A$2:$A$2001,A1530)=0,"TIDAK ADA","OK"))</f>
        <v/>
      </c>
      <c r="S1530" s="29" t="str">
        <f aca="false">IF(H1530="","",IF(OR(J1530="",L1530=""),"-",IF(ABS(H1530-J1530*L1530)&gt;Info_Koperasi!$C$10,"SELISIH","OK")))</f>
        <v/>
      </c>
    </row>
    <row r="1531" customFormat="false" ht="15" hidden="false" customHeight="false" outlineLevel="0" collapsed="false">
      <c r="A1531" s="21"/>
      <c r="B1531" s="22"/>
      <c r="C1531" s="21"/>
      <c r="D1531" s="21"/>
      <c r="E1531" s="28"/>
      <c r="F1531" s="24"/>
      <c r="G1531" s="26"/>
      <c r="H1531" s="24"/>
      <c r="I1531" s="24"/>
      <c r="J1531" s="24"/>
      <c r="K1531" s="24"/>
      <c r="L1531" s="26"/>
      <c r="M1531" s="26"/>
      <c r="N1531" s="22"/>
      <c r="O1531" s="21"/>
      <c r="P1531" s="22"/>
      <c r="Q1531" s="29" t="str">
        <f aca="false">IF(C1531="","",IF(O1531&lt;&gt;"",O1531,IFERROR(INDEX(Produk!$J$2:$J$100,MATCH(C1531,Produk!$A$2:$A$100,0)),"PRODUK?")))</f>
        <v/>
      </c>
      <c r="R1531" s="29" t="str">
        <f aca="false">IF(A1531="","",IF(COUNTIF(Anggota!$A$2:$A$2001,A1531)=0,"TIDAK ADA","OK"))</f>
        <v/>
      </c>
      <c r="S1531" s="29" t="str">
        <f aca="false">IF(H1531="","",IF(OR(J1531="",L1531=""),"-",IF(ABS(H1531-J1531*L1531)&gt;Info_Koperasi!$C$10,"SELISIH","OK")))</f>
        <v/>
      </c>
    </row>
    <row r="1532" customFormat="false" ht="15" hidden="false" customHeight="false" outlineLevel="0" collapsed="false">
      <c r="A1532" s="21"/>
      <c r="B1532" s="22"/>
      <c r="C1532" s="21"/>
      <c r="D1532" s="21"/>
      <c r="E1532" s="28"/>
      <c r="F1532" s="24"/>
      <c r="G1532" s="26"/>
      <c r="H1532" s="24"/>
      <c r="I1532" s="24"/>
      <c r="J1532" s="24"/>
      <c r="K1532" s="24"/>
      <c r="L1532" s="26"/>
      <c r="M1532" s="26"/>
      <c r="N1532" s="22"/>
      <c r="O1532" s="21"/>
      <c r="P1532" s="22"/>
      <c r="Q1532" s="29" t="str">
        <f aca="false">IF(C1532="","",IF(O1532&lt;&gt;"",O1532,IFERROR(INDEX(Produk!$J$2:$J$100,MATCH(C1532,Produk!$A$2:$A$100,0)),"PRODUK?")))</f>
        <v/>
      </c>
      <c r="R1532" s="29" t="str">
        <f aca="false">IF(A1532="","",IF(COUNTIF(Anggota!$A$2:$A$2001,A1532)=0,"TIDAK ADA","OK"))</f>
        <v/>
      </c>
      <c r="S1532" s="29" t="str">
        <f aca="false">IF(H1532="","",IF(OR(J1532="",L1532=""),"-",IF(ABS(H1532-J1532*L1532)&gt;Info_Koperasi!$C$10,"SELISIH","OK")))</f>
        <v/>
      </c>
    </row>
    <row r="1533" customFormat="false" ht="15" hidden="false" customHeight="false" outlineLevel="0" collapsed="false">
      <c r="A1533" s="21"/>
      <c r="B1533" s="22"/>
      <c r="C1533" s="21"/>
      <c r="D1533" s="21"/>
      <c r="E1533" s="28"/>
      <c r="F1533" s="24"/>
      <c r="G1533" s="26"/>
      <c r="H1533" s="24"/>
      <c r="I1533" s="24"/>
      <c r="J1533" s="24"/>
      <c r="K1533" s="24"/>
      <c r="L1533" s="26"/>
      <c r="M1533" s="26"/>
      <c r="N1533" s="22"/>
      <c r="O1533" s="21"/>
      <c r="P1533" s="22"/>
      <c r="Q1533" s="29" t="str">
        <f aca="false">IF(C1533="","",IF(O1533&lt;&gt;"",O1533,IFERROR(INDEX(Produk!$J$2:$J$100,MATCH(C1533,Produk!$A$2:$A$100,0)),"PRODUK?")))</f>
        <v/>
      </c>
      <c r="R1533" s="29" t="str">
        <f aca="false">IF(A1533="","",IF(COUNTIF(Anggota!$A$2:$A$2001,A1533)=0,"TIDAK ADA","OK"))</f>
        <v/>
      </c>
      <c r="S1533" s="29" t="str">
        <f aca="false">IF(H1533="","",IF(OR(J1533="",L1533=""),"-",IF(ABS(H1533-J1533*L1533)&gt;Info_Koperasi!$C$10,"SELISIH","OK")))</f>
        <v/>
      </c>
    </row>
    <row r="1534" customFormat="false" ht="15" hidden="false" customHeight="false" outlineLevel="0" collapsed="false">
      <c r="A1534" s="21"/>
      <c r="B1534" s="22"/>
      <c r="C1534" s="21"/>
      <c r="D1534" s="21"/>
      <c r="E1534" s="28"/>
      <c r="F1534" s="24"/>
      <c r="G1534" s="26"/>
      <c r="H1534" s="24"/>
      <c r="I1534" s="24"/>
      <c r="J1534" s="24"/>
      <c r="K1534" s="24"/>
      <c r="L1534" s="26"/>
      <c r="M1534" s="26"/>
      <c r="N1534" s="22"/>
      <c r="O1534" s="21"/>
      <c r="P1534" s="22"/>
      <c r="Q1534" s="29" t="str">
        <f aca="false">IF(C1534="","",IF(O1534&lt;&gt;"",O1534,IFERROR(INDEX(Produk!$J$2:$J$100,MATCH(C1534,Produk!$A$2:$A$100,0)),"PRODUK?")))</f>
        <v/>
      </c>
      <c r="R1534" s="29" t="str">
        <f aca="false">IF(A1534="","",IF(COUNTIF(Anggota!$A$2:$A$2001,A1534)=0,"TIDAK ADA","OK"))</f>
        <v/>
      </c>
      <c r="S1534" s="29" t="str">
        <f aca="false">IF(H1534="","",IF(OR(J1534="",L1534=""),"-",IF(ABS(H1534-J1534*L1534)&gt;Info_Koperasi!$C$10,"SELISIH","OK")))</f>
        <v/>
      </c>
    </row>
    <row r="1535" customFormat="false" ht="15" hidden="false" customHeight="false" outlineLevel="0" collapsed="false">
      <c r="A1535" s="21"/>
      <c r="B1535" s="22"/>
      <c r="C1535" s="21"/>
      <c r="D1535" s="21"/>
      <c r="E1535" s="28"/>
      <c r="F1535" s="24"/>
      <c r="G1535" s="26"/>
      <c r="H1535" s="24"/>
      <c r="I1535" s="24"/>
      <c r="J1535" s="24"/>
      <c r="K1535" s="24"/>
      <c r="L1535" s="26"/>
      <c r="M1535" s="26"/>
      <c r="N1535" s="22"/>
      <c r="O1535" s="21"/>
      <c r="P1535" s="22"/>
      <c r="Q1535" s="29" t="str">
        <f aca="false">IF(C1535="","",IF(O1535&lt;&gt;"",O1535,IFERROR(INDEX(Produk!$J$2:$J$100,MATCH(C1535,Produk!$A$2:$A$100,0)),"PRODUK?")))</f>
        <v/>
      </c>
      <c r="R1535" s="29" t="str">
        <f aca="false">IF(A1535="","",IF(COUNTIF(Anggota!$A$2:$A$2001,A1535)=0,"TIDAK ADA","OK"))</f>
        <v/>
      </c>
      <c r="S1535" s="29" t="str">
        <f aca="false">IF(H1535="","",IF(OR(J1535="",L1535=""),"-",IF(ABS(H1535-J1535*L1535)&gt;Info_Koperasi!$C$10,"SELISIH","OK")))</f>
        <v/>
      </c>
    </row>
    <row r="1536" customFormat="false" ht="15" hidden="false" customHeight="false" outlineLevel="0" collapsed="false">
      <c r="A1536" s="21"/>
      <c r="B1536" s="22"/>
      <c r="C1536" s="21"/>
      <c r="D1536" s="21"/>
      <c r="E1536" s="28"/>
      <c r="F1536" s="24"/>
      <c r="G1536" s="26"/>
      <c r="H1536" s="24"/>
      <c r="I1536" s="24"/>
      <c r="J1536" s="24"/>
      <c r="K1536" s="24"/>
      <c r="L1536" s="26"/>
      <c r="M1536" s="26"/>
      <c r="N1536" s="22"/>
      <c r="O1536" s="21"/>
      <c r="P1536" s="22"/>
      <c r="Q1536" s="29" t="str">
        <f aca="false">IF(C1536="","",IF(O1536&lt;&gt;"",O1536,IFERROR(INDEX(Produk!$J$2:$J$100,MATCH(C1536,Produk!$A$2:$A$100,0)),"PRODUK?")))</f>
        <v/>
      </c>
      <c r="R1536" s="29" t="str">
        <f aca="false">IF(A1536="","",IF(COUNTIF(Anggota!$A$2:$A$2001,A1536)=0,"TIDAK ADA","OK"))</f>
        <v/>
      </c>
      <c r="S1536" s="29" t="str">
        <f aca="false">IF(H1536="","",IF(OR(J1536="",L1536=""),"-",IF(ABS(H1536-J1536*L1536)&gt;Info_Koperasi!$C$10,"SELISIH","OK")))</f>
        <v/>
      </c>
    </row>
    <row r="1537" customFormat="false" ht="15" hidden="false" customHeight="false" outlineLevel="0" collapsed="false">
      <c r="A1537" s="21"/>
      <c r="B1537" s="22"/>
      <c r="C1537" s="21"/>
      <c r="D1537" s="21"/>
      <c r="E1537" s="28"/>
      <c r="F1537" s="24"/>
      <c r="G1537" s="26"/>
      <c r="H1537" s="24"/>
      <c r="I1537" s="24"/>
      <c r="J1537" s="24"/>
      <c r="K1537" s="24"/>
      <c r="L1537" s="26"/>
      <c r="M1537" s="26"/>
      <c r="N1537" s="22"/>
      <c r="O1537" s="21"/>
      <c r="P1537" s="22"/>
      <c r="Q1537" s="29" t="str">
        <f aca="false">IF(C1537="","",IF(O1537&lt;&gt;"",O1537,IFERROR(INDEX(Produk!$J$2:$J$100,MATCH(C1537,Produk!$A$2:$A$100,0)),"PRODUK?")))</f>
        <v/>
      </c>
      <c r="R1537" s="29" t="str">
        <f aca="false">IF(A1537="","",IF(COUNTIF(Anggota!$A$2:$A$2001,A1537)=0,"TIDAK ADA","OK"))</f>
        <v/>
      </c>
      <c r="S1537" s="29" t="str">
        <f aca="false">IF(H1537="","",IF(OR(J1537="",L1537=""),"-",IF(ABS(H1537-J1537*L1537)&gt;Info_Koperasi!$C$10,"SELISIH","OK")))</f>
        <v/>
      </c>
    </row>
    <row r="1538" customFormat="false" ht="15" hidden="false" customHeight="false" outlineLevel="0" collapsed="false">
      <c r="A1538" s="21"/>
      <c r="B1538" s="22"/>
      <c r="C1538" s="21"/>
      <c r="D1538" s="21"/>
      <c r="E1538" s="28"/>
      <c r="F1538" s="24"/>
      <c r="G1538" s="26"/>
      <c r="H1538" s="24"/>
      <c r="I1538" s="24"/>
      <c r="J1538" s="24"/>
      <c r="K1538" s="24"/>
      <c r="L1538" s="26"/>
      <c r="M1538" s="26"/>
      <c r="N1538" s="22"/>
      <c r="O1538" s="21"/>
      <c r="P1538" s="22"/>
      <c r="Q1538" s="29" t="str">
        <f aca="false">IF(C1538="","",IF(O1538&lt;&gt;"",O1538,IFERROR(INDEX(Produk!$J$2:$J$100,MATCH(C1538,Produk!$A$2:$A$100,0)),"PRODUK?")))</f>
        <v/>
      </c>
      <c r="R1538" s="29" t="str">
        <f aca="false">IF(A1538="","",IF(COUNTIF(Anggota!$A$2:$A$2001,A1538)=0,"TIDAK ADA","OK"))</f>
        <v/>
      </c>
      <c r="S1538" s="29" t="str">
        <f aca="false">IF(H1538="","",IF(OR(J1538="",L1538=""),"-",IF(ABS(H1538-J1538*L1538)&gt;Info_Koperasi!$C$10,"SELISIH","OK")))</f>
        <v/>
      </c>
    </row>
    <row r="1539" customFormat="false" ht="15" hidden="false" customHeight="false" outlineLevel="0" collapsed="false">
      <c r="A1539" s="21"/>
      <c r="B1539" s="22"/>
      <c r="C1539" s="21"/>
      <c r="D1539" s="21"/>
      <c r="E1539" s="28"/>
      <c r="F1539" s="24"/>
      <c r="G1539" s="26"/>
      <c r="H1539" s="24"/>
      <c r="I1539" s="24"/>
      <c r="J1539" s="24"/>
      <c r="K1539" s="24"/>
      <c r="L1539" s="26"/>
      <c r="M1539" s="26"/>
      <c r="N1539" s="22"/>
      <c r="O1539" s="21"/>
      <c r="P1539" s="22"/>
      <c r="Q1539" s="29" t="str">
        <f aca="false">IF(C1539="","",IF(O1539&lt;&gt;"",O1539,IFERROR(INDEX(Produk!$J$2:$J$100,MATCH(C1539,Produk!$A$2:$A$100,0)),"PRODUK?")))</f>
        <v/>
      </c>
      <c r="R1539" s="29" t="str">
        <f aca="false">IF(A1539="","",IF(COUNTIF(Anggota!$A$2:$A$2001,A1539)=0,"TIDAK ADA","OK"))</f>
        <v/>
      </c>
      <c r="S1539" s="29" t="str">
        <f aca="false">IF(H1539="","",IF(OR(J1539="",L1539=""),"-",IF(ABS(H1539-J1539*L1539)&gt;Info_Koperasi!$C$10,"SELISIH","OK")))</f>
        <v/>
      </c>
    </row>
    <row r="1540" customFormat="false" ht="15" hidden="false" customHeight="false" outlineLevel="0" collapsed="false">
      <c r="A1540" s="21"/>
      <c r="B1540" s="22"/>
      <c r="C1540" s="21"/>
      <c r="D1540" s="21"/>
      <c r="E1540" s="28"/>
      <c r="F1540" s="24"/>
      <c r="G1540" s="26"/>
      <c r="H1540" s="24"/>
      <c r="I1540" s="24"/>
      <c r="J1540" s="24"/>
      <c r="K1540" s="24"/>
      <c r="L1540" s="26"/>
      <c r="M1540" s="26"/>
      <c r="N1540" s="22"/>
      <c r="O1540" s="21"/>
      <c r="P1540" s="22"/>
      <c r="Q1540" s="29" t="str">
        <f aca="false">IF(C1540="","",IF(O1540&lt;&gt;"",O1540,IFERROR(INDEX(Produk!$J$2:$J$100,MATCH(C1540,Produk!$A$2:$A$100,0)),"PRODUK?")))</f>
        <v/>
      </c>
      <c r="R1540" s="29" t="str">
        <f aca="false">IF(A1540="","",IF(COUNTIF(Anggota!$A$2:$A$2001,A1540)=0,"TIDAK ADA","OK"))</f>
        <v/>
      </c>
      <c r="S1540" s="29" t="str">
        <f aca="false">IF(H1540="","",IF(OR(J1540="",L1540=""),"-",IF(ABS(H1540-J1540*L1540)&gt;Info_Koperasi!$C$10,"SELISIH","OK")))</f>
        <v/>
      </c>
    </row>
    <row r="1541" customFormat="false" ht="15" hidden="false" customHeight="false" outlineLevel="0" collapsed="false">
      <c r="A1541" s="21"/>
      <c r="B1541" s="22"/>
      <c r="C1541" s="21"/>
      <c r="D1541" s="21"/>
      <c r="E1541" s="28"/>
      <c r="F1541" s="24"/>
      <c r="G1541" s="26"/>
      <c r="H1541" s="24"/>
      <c r="I1541" s="24"/>
      <c r="J1541" s="24"/>
      <c r="K1541" s="24"/>
      <c r="L1541" s="26"/>
      <c r="M1541" s="26"/>
      <c r="N1541" s="22"/>
      <c r="O1541" s="21"/>
      <c r="P1541" s="22"/>
      <c r="Q1541" s="29" t="str">
        <f aca="false">IF(C1541="","",IF(O1541&lt;&gt;"",O1541,IFERROR(INDEX(Produk!$J$2:$J$100,MATCH(C1541,Produk!$A$2:$A$100,0)),"PRODUK?")))</f>
        <v/>
      </c>
      <c r="R1541" s="29" t="str">
        <f aca="false">IF(A1541="","",IF(COUNTIF(Anggota!$A$2:$A$2001,A1541)=0,"TIDAK ADA","OK"))</f>
        <v/>
      </c>
      <c r="S1541" s="29" t="str">
        <f aca="false">IF(H1541="","",IF(OR(J1541="",L1541=""),"-",IF(ABS(H1541-J1541*L1541)&gt;Info_Koperasi!$C$10,"SELISIH","OK")))</f>
        <v/>
      </c>
    </row>
    <row r="1542" customFormat="false" ht="15" hidden="false" customHeight="false" outlineLevel="0" collapsed="false">
      <c r="A1542" s="21"/>
      <c r="B1542" s="22"/>
      <c r="C1542" s="21"/>
      <c r="D1542" s="21"/>
      <c r="E1542" s="28"/>
      <c r="F1542" s="24"/>
      <c r="G1542" s="26"/>
      <c r="H1542" s="24"/>
      <c r="I1542" s="24"/>
      <c r="J1542" s="24"/>
      <c r="K1542" s="24"/>
      <c r="L1542" s="26"/>
      <c r="M1542" s="26"/>
      <c r="N1542" s="22"/>
      <c r="O1542" s="21"/>
      <c r="P1542" s="22"/>
      <c r="Q1542" s="29" t="str">
        <f aca="false">IF(C1542="","",IF(O1542&lt;&gt;"",O1542,IFERROR(INDEX(Produk!$J$2:$J$100,MATCH(C1542,Produk!$A$2:$A$100,0)),"PRODUK?")))</f>
        <v/>
      </c>
      <c r="R1542" s="29" t="str">
        <f aca="false">IF(A1542="","",IF(COUNTIF(Anggota!$A$2:$A$2001,A1542)=0,"TIDAK ADA","OK"))</f>
        <v/>
      </c>
      <c r="S1542" s="29" t="str">
        <f aca="false">IF(H1542="","",IF(OR(J1542="",L1542=""),"-",IF(ABS(H1542-J1542*L1542)&gt;Info_Koperasi!$C$10,"SELISIH","OK")))</f>
        <v/>
      </c>
    </row>
    <row r="1543" customFormat="false" ht="15" hidden="false" customHeight="false" outlineLevel="0" collapsed="false">
      <c r="A1543" s="21"/>
      <c r="B1543" s="22"/>
      <c r="C1543" s="21"/>
      <c r="D1543" s="21"/>
      <c r="E1543" s="28"/>
      <c r="F1543" s="24"/>
      <c r="G1543" s="26"/>
      <c r="H1543" s="24"/>
      <c r="I1543" s="24"/>
      <c r="J1543" s="24"/>
      <c r="K1543" s="24"/>
      <c r="L1543" s="26"/>
      <c r="M1543" s="26"/>
      <c r="N1543" s="22"/>
      <c r="O1543" s="21"/>
      <c r="P1543" s="22"/>
      <c r="Q1543" s="29" t="str">
        <f aca="false">IF(C1543="","",IF(O1543&lt;&gt;"",O1543,IFERROR(INDEX(Produk!$J$2:$J$100,MATCH(C1543,Produk!$A$2:$A$100,0)),"PRODUK?")))</f>
        <v/>
      </c>
      <c r="R1543" s="29" t="str">
        <f aca="false">IF(A1543="","",IF(COUNTIF(Anggota!$A$2:$A$2001,A1543)=0,"TIDAK ADA","OK"))</f>
        <v/>
      </c>
      <c r="S1543" s="29" t="str">
        <f aca="false">IF(H1543="","",IF(OR(J1543="",L1543=""),"-",IF(ABS(H1543-J1543*L1543)&gt;Info_Koperasi!$C$10,"SELISIH","OK")))</f>
        <v/>
      </c>
    </row>
    <row r="1544" customFormat="false" ht="15" hidden="false" customHeight="false" outlineLevel="0" collapsed="false">
      <c r="A1544" s="21"/>
      <c r="B1544" s="22"/>
      <c r="C1544" s="21"/>
      <c r="D1544" s="21"/>
      <c r="E1544" s="28"/>
      <c r="F1544" s="24"/>
      <c r="G1544" s="26"/>
      <c r="H1544" s="24"/>
      <c r="I1544" s="24"/>
      <c r="J1544" s="24"/>
      <c r="K1544" s="24"/>
      <c r="L1544" s="26"/>
      <c r="M1544" s="26"/>
      <c r="N1544" s="22"/>
      <c r="O1544" s="21"/>
      <c r="P1544" s="22"/>
      <c r="Q1544" s="29" t="str">
        <f aca="false">IF(C1544="","",IF(O1544&lt;&gt;"",O1544,IFERROR(INDEX(Produk!$J$2:$J$100,MATCH(C1544,Produk!$A$2:$A$100,0)),"PRODUK?")))</f>
        <v/>
      </c>
      <c r="R1544" s="29" t="str">
        <f aca="false">IF(A1544="","",IF(COUNTIF(Anggota!$A$2:$A$2001,A1544)=0,"TIDAK ADA","OK"))</f>
        <v/>
      </c>
      <c r="S1544" s="29" t="str">
        <f aca="false">IF(H1544="","",IF(OR(J1544="",L1544=""),"-",IF(ABS(H1544-J1544*L1544)&gt;Info_Koperasi!$C$10,"SELISIH","OK")))</f>
        <v/>
      </c>
    </row>
    <row r="1545" customFormat="false" ht="15" hidden="false" customHeight="false" outlineLevel="0" collapsed="false">
      <c r="A1545" s="21"/>
      <c r="B1545" s="22"/>
      <c r="C1545" s="21"/>
      <c r="D1545" s="21"/>
      <c r="E1545" s="28"/>
      <c r="F1545" s="24"/>
      <c r="G1545" s="26"/>
      <c r="H1545" s="24"/>
      <c r="I1545" s="24"/>
      <c r="J1545" s="24"/>
      <c r="K1545" s="24"/>
      <c r="L1545" s="26"/>
      <c r="M1545" s="26"/>
      <c r="N1545" s="22"/>
      <c r="O1545" s="21"/>
      <c r="P1545" s="22"/>
      <c r="Q1545" s="29" t="str">
        <f aca="false">IF(C1545="","",IF(O1545&lt;&gt;"",O1545,IFERROR(INDEX(Produk!$J$2:$J$100,MATCH(C1545,Produk!$A$2:$A$100,0)),"PRODUK?")))</f>
        <v/>
      </c>
      <c r="R1545" s="29" t="str">
        <f aca="false">IF(A1545="","",IF(COUNTIF(Anggota!$A$2:$A$2001,A1545)=0,"TIDAK ADA","OK"))</f>
        <v/>
      </c>
      <c r="S1545" s="29" t="str">
        <f aca="false">IF(H1545="","",IF(OR(J1545="",L1545=""),"-",IF(ABS(H1545-J1545*L1545)&gt;Info_Koperasi!$C$10,"SELISIH","OK")))</f>
        <v/>
      </c>
    </row>
    <row r="1546" customFormat="false" ht="15" hidden="false" customHeight="false" outlineLevel="0" collapsed="false">
      <c r="A1546" s="21"/>
      <c r="B1546" s="22"/>
      <c r="C1546" s="21"/>
      <c r="D1546" s="21"/>
      <c r="E1546" s="28"/>
      <c r="F1546" s="24"/>
      <c r="G1546" s="26"/>
      <c r="H1546" s="24"/>
      <c r="I1546" s="24"/>
      <c r="J1546" s="24"/>
      <c r="K1546" s="24"/>
      <c r="L1546" s="26"/>
      <c r="M1546" s="26"/>
      <c r="N1546" s="22"/>
      <c r="O1546" s="21"/>
      <c r="P1546" s="22"/>
      <c r="Q1546" s="29" t="str">
        <f aca="false">IF(C1546="","",IF(O1546&lt;&gt;"",O1546,IFERROR(INDEX(Produk!$J$2:$J$100,MATCH(C1546,Produk!$A$2:$A$100,0)),"PRODUK?")))</f>
        <v/>
      </c>
      <c r="R1546" s="29" t="str">
        <f aca="false">IF(A1546="","",IF(COUNTIF(Anggota!$A$2:$A$2001,A1546)=0,"TIDAK ADA","OK"))</f>
        <v/>
      </c>
      <c r="S1546" s="29" t="str">
        <f aca="false">IF(H1546="","",IF(OR(J1546="",L1546=""),"-",IF(ABS(H1546-J1546*L1546)&gt;Info_Koperasi!$C$10,"SELISIH","OK")))</f>
        <v/>
      </c>
    </row>
    <row r="1547" customFormat="false" ht="15" hidden="false" customHeight="false" outlineLevel="0" collapsed="false">
      <c r="A1547" s="21"/>
      <c r="B1547" s="22"/>
      <c r="C1547" s="21"/>
      <c r="D1547" s="21"/>
      <c r="E1547" s="28"/>
      <c r="F1547" s="24"/>
      <c r="G1547" s="26"/>
      <c r="H1547" s="24"/>
      <c r="I1547" s="24"/>
      <c r="J1547" s="24"/>
      <c r="K1547" s="24"/>
      <c r="L1547" s="26"/>
      <c r="M1547" s="26"/>
      <c r="N1547" s="22"/>
      <c r="O1547" s="21"/>
      <c r="P1547" s="22"/>
      <c r="Q1547" s="29" t="str">
        <f aca="false">IF(C1547="","",IF(O1547&lt;&gt;"",O1547,IFERROR(INDEX(Produk!$J$2:$J$100,MATCH(C1547,Produk!$A$2:$A$100,0)),"PRODUK?")))</f>
        <v/>
      </c>
      <c r="R1547" s="29" t="str">
        <f aca="false">IF(A1547="","",IF(COUNTIF(Anggota!$A$2:$A$2001,A1547)=0,"TIDAK ADA","OK"))</f>
        <v/>
      </c>
      <c r="S1547" s="29" t="str">
        <f aca="false">IF(H1547="","",IF(OR(J1547="",L1547=""),"-",IF(ABS(H1547-J1547*L1547)&gt;Info_Koperasi!$C$10,"SELISIH","OK")))</f>
        <v/>
      </c>
    </row>
    <row r="1548" customFormat="false" ht="15" hidden="false" customHeight="false" outlineLevel="0" collapsed="false">
      <c r="A1548" s="21"/>
      <c r="B1548" s="22"/>
      <c r="C1548" s="21"/>
      <c r="D1548" s="21"/>
      <c r="E1548" s="28"/>
      <c r="F1548" s="24"/>
      <c r="G1548" s="26"/>
      <c r="H1548" s="24"/>
      <c r="I1548" s="24"/>
      <c r="J1548" s="24"/>
      <c r="K1548" s="24"/>
      <c r="L1548" s="26"/>
      <c r="M1548" s="26"/>
      <c r="N1548" s="22"/>
      <c r="O1548" s="21"/>
      <c r="P1548" s="22"/>
      <c r="Q1548" s="29" t="str">
        <f aca="false">IF(C1548="","",IF(O1548&lt;&gt;"",O1548,IFERROR(INDEX(Produk!$J$2:$J$100,MATCH(C1548,Produk!$A$2:$A$100,0)),"PRODUK?")))</f>
        <v/>
      </c>
      <c r="R1548" s="29" t="str">
        <f aca="false">IF(A1548="","",IF(COUNTIF(Anggota!$A$2:$A$2001,A1548)=0,"TIDAK ADA","OK"))</f>
        <v/>
      </c>
      <c r="S1548" s="29" t="str">
        <f aca="false">IF(H1548="","",IF(OR(J1548="",L1548=""),"-",IF(ABS(H1548-J1548*L1548)&gt;Info_Koperasi!$C$10,"SELISIH","OK")))</f>
        <v/>
      </c>
    </row>
    <row r="1549" customFormat="false" ht="15" hidden="false" customHeight="false" outlineLevel="0" collapsed="false">
      <c r="A1549" s="21"/>
      <c r="B1549" s="22"/>
      <c r="C1549" s="21"/>
      <c r="D1549" s="21"/>
      <c r="E1549" s="28"/>
      <c r="F1549" s="24"/>
      <c r="G1549" s="26"/>
      <c r="H1549" s="24"/>
      <c r="I1549" s="24"/>
      <c r="J1549" s="24"/>
      <c r="K1549" s="24"/>
      <c r="L1549" s="26"/>
      <c r="M1549" s="26"/>
      <c r="N1549" s="22"/>
      <c r="O1549" s="21"/>
      <c r="P1549" s="22"/>
      <c r="Q1549" s="29" t="str">
        <f aca="false">IF(C1549="","",IF(O1549&lt;&gt;"",O1549,IFERROR(INDEX(Produk!$J$2:$J$100,MATCH(C1549,Produk!$A$2:$A$100,0)),"PRODUK?")))</f>
        <v/>
      </c>
      <c r="R1549" s="29" t="str">
        <f aca="false">IF(A1549="","",IF(COUNTIF(Anggota!$A$2:$A$2001,A1549)=0,"TIDAK ADA","OK"))</f>
        <v/>
      </c>
      <c r="S1549" s="29" t="str">
        <f aca="false">IF(H1549="","",IF(OR(J1549="",L1549=""),"-",IF(ABS(H1549-J1549*L1549)&gt;Info_Koperasi!$C$10,"SELISIH","OK")))</f>
        <v/>
      </c>
    </row>
    <row r="1550" customFormat="false" ht="15" hidden="false" customHeight="false" outlineLevel="0" collapsed="false">
      <c r="A1550" s="21"/>
      <c r="B1550" s="22"/>
      <c r="C1550" s="21"/>
      <c r="D1550" s="21"/>
      <c r="E1550" s="28"/>
      <c r="F1550" s="24"/>
      <c r="G1550" s="26"/>
      <c r="H1550" s="24"/>
      <c r="I1550" s="24"/>
      <c r="J1550" s="24"/>
      <c r="K1550" s="24"/>
      <c r="L1550" s="26"/>
      <c r="M1550" s="26"/>
      <c r="N1550" s="22"/>
      <c r="O1550" s="21"/>
      <c r="P1550" s="22"/>
      <c r="Q1550" s="29" t="str">
        <f aca="false">IF(C1550="","",IF(O1550&lt;&gt;"",O1550,IFERROR(INDEX(Produk!$J$2:$J$100,MATCH(C1550,Produk!$A$2:$A$100,0)),"PRODUK?")))</f>
        <v/>
      </c>
      <c r="R1550" s="29" t="str">
        <f aca="false">IF(A1550="","",IF(COUNTIF(Anggota!$A$2:$A$2001,A1550)=0,"TIDAK ADA","OK"))</f>
        <v/>
      </c>
      <c r="S1550" s="29" t="str">
        <f aca="false">IF(H1550="","",IF(OR(J1550="",L1550=""),"-",IF(ABS(H1550-J1550*L1550)&gt;Info_Koperasi!$C$10,"SELISIH","OK")))</f>
        <v/>
      </c>
    </row>
    <row r="1551" customFormat="false" ht="15" hidden="false" customHeight="false" outlineLevel="0" collapsed="false">
      <c r="A1551" s="21"/>
      <c r="B1551" s="22"/>
      <c r="C1551" s="21"/>
      <c r="D1551" s="21"/>
      <c r="E1551" s="28"/>
      <c r="F1551" s="24"/>
      <c r="G1551" s="26"/>
      <c r="H1551" s="24"/>
      <c r="I1551" s="24"/>
      <c r="J1551" s="24"/>
      <c r="K1551" s="24"/>
      <c r="L1551" s="26"/>
      <c r="M1551" s="26"/>
      <c r="N1551" s="22"/>
      <c r="O1551" s="21"/>
      <c r="P1551" s="22"/>
      <c r="Q1551" s="29" t="str">
        <f aca="false">IF(C1551="","",IF(O1551&lt;&gt;"",O1551,IFERROR(INDEX(Produk!$J$2:$J$100,MATCH(C1551,Produk!$A$2:$A$100,0)),"PRODUK?")))</f>
        <v/>
      </c>
      <c r="R1551" s="29" t="str">
        <f aca="false">IF(A1551="","",IF(COUNTIF(Anggota!$A$2:$A$2001,A1551)=0,"TIDAK ADA","OK"))</f>
        <v/>
      </c>
      <c r="S1551" s="29" t="str">
        <f aca="false">IF(H1551="","",IF(OR(J1551="",L1551=""),"-",IF(ABS(H1551-J1551*L1551)&gt;Info_Koperasi!$C$10,"SELISIH","OK")))</f>
        <v/>
      </c>
    </row>
    <row r="1552" customFormat="false" ht="15" hidden="false" customHeight="false" outlineLevel="0" collapsed="false">
      <c r="A1552" s="21"/>
      <c r="B1552" s="22"/>
      <c r="C1552" s="21"/>
      <c r="D1552" s="21"/>
      <c r="E1552" s="28"/>
      <c r="F1552" s="24"/>
      <c r="G1552" s="26"/>
      <c r="H1552" s="24"/>
      <c r="I1552" s="24"/>
      <c r="J1552" s="24"/>
      <c r="K1552" s="24"/>
      <c r="L1552" s="26"/>
      <c r="M1552" s="26"/>
      <c r="N1552" s="22"/>
      <c r="O1552" s="21"/>
      <c r="P1552" s="22"/>
      <c r="Q1552" s="29" t="str">
        <f aca="false">IF(C1552="","",IF(O1552&lt;&gt;"",O1552,IFERROR(INDEX(Produk!$J$2:$J$100,MATCH(C1552,Produk!$A$2:$A$100,0)),"PRODUK?")))</f>
        <v/>
      </c>
      <c r="R1552" s="29" t="str">
        <f aca="false">IF(A1552="","",IF(COUNTIF(Anggota!$A$2:$A$2001,A1552)=0,"TIDAK ADA","OK"))</f>
        <v/>
      </c>
      <c r="S1552" s="29" t="str">
        <f aca="false">IF(H1552="","",IF(OR(J1552="",L1552=""),"-",IF(ABS(H1552-J1552*L1552)&gt;Info_Koperasi!$C$10,"SELISIH","OK")))</f>
        <v/>
      </c>
    </row>
    <row r="1553" customFormat="false" ht="15" hidden="false" customHeight="false" outlineLevel="0" collapsed="false">
      <c r="A1553" s="21"/>
      <c r="B1553" s="22"/>
      <c r="C1553" s="21"/>
      <c r="D1553" s="21"/>
      <c r="E1553" s="28"/>
      <c r="F1553" s="24"/>
      <c r="G1553" s="26"/>
      <c r="H1553" s="24"/>
      <c r="I1553" s="24"/>
      <c r="J1553" s="24"/>
      <c r="K1553" s="24"/>
      <c r="L1553" s="26"/>
      <c r="M1553" s="26"/>
      <c r="N1553" s="22"/>
      <c r="O1553" s="21"/>
      <c r="P1553" s="22"/>
      <c r="Q1553" s="29" t="str">
        <f aca="false">IF(C1553="","",IF(O1553&lt;&gt;"",O1553,IFERROR(INDEX(Produk!$J$2:$J$100,MATCH(C1553,Produk!$A$2:$A$100,0)),"PRODUK?")))</f>
        <v/>
      </c>
      <c r="R1553" s="29" t="str">
        <f aca="false">IF(A1553="","",IF(COUNTIF(Anggota!$A$2:$A$2001,A1553)=0,"TIDAK ADA","OK"))</f>
        <v/>
      </c>
      <c r="S1553" s="29" t="str">
        <f aca="false">IF(H1553="","",IF(OR(J1553="",L1553=""),"-",IF(ABS(H1553-J1553*L1553)&gt;Info_Koperasi!$C$10,"SELISIH","OK")))</f>
        <v/>
      </c>
    </row>
    <row r="1554" customFormat="false" ht="15" hidden="false" customHeight="false" outlineLevel="0" collapsed="false">
      <c r="A1554" s="21"/>
      <c r="B1554" s="22"/>
      <c r="C1554" s="21"/>
      <c r="D1554" s="21"/>
      <c r="E1554" s="28"/>
      <c r="F1554" s="24"/>
      <c r="G1554" s="26"/>
      <c r="H1554" s="24"/>
      <c r="I1554" s="24"/>
      <c r="J1554" s="24"/>
      <c r="K1554" s="24"/>
      <c r="L1554" s="26"/>
      <c r="M1554" s="26"/>
      <c r="N1554" s="22"/>
      <c r="O1554" s="21"/>
      <c r="P1554" s="22"/>
      <c r="Q1554" s="29" t="str">
        <f aca="false">IF(C1554="","",IF(O1554&lt;&gt;"",O1554,IFERROR(INDEX(Produk!$J$2:$J$100,MATCH(C1554,Produk!$A$2:$A$100,0)),"PRODUK?")))</f>
        <v/>
      </c>
      <c r="R1554" s="29" t="str">
        <f aca="false">IF(A1554="","",IF(COUNTIF(Anggota!$A$2:$A$2001,A1554)=0,"TIDAK ADA","OK"))</f>
        <v/>
      </c>
      <c r="S1554" s="29" t="str">
        <f aca="false">IF(H1554="","",IF(OR(J1554="",L1554=""),"-",IF(ABS(H1554-J1554*L1554)&gt;Info_Koperasi!$C$10,"SELISIH","OK")))</f>
        <v/>
      </c>
    </row>
    <row r="1555" customFormat="false" ht="15" hidden="false" customHeight="false" outlineLevel="0" collapsed="false">
      <c r="A1555" s="21"/>
      <c r="B1555" s="22"/>
      <c r="C1555" s="21"/>
      <c r="D1555" s="21"/>
      <c r="E1555" s="28"/>
      <c r="F1555" s="24"/>
      <c r="G1555" s="26"/>
      <c r="H1555" s="24"/>
      <c r="I1555" s="24"/>
      <c r="J1555" s="24"/>
      <c r="K1555" s="24"/>
      <c r="L1555" s="26"/>
      <c r="M1555" s="26"/>
      <c r="N1555" s="22"/>
      <c r="O1555" s="21"/>
      <c r="P1555" s="22"/>
      <c r="Q1555" s="29" t="str">
        <f aca="false">IF(C1555="","",IF(O1555&lt;&gt;"",O1555,IFERROR(INDEX(Produk!$J$2:$J$100,MATCH(C1555,Produk!$A$2:$A$100,0)),"PRODUK?")))</f>
        <v/>
      </c>
      <c r="R1555" s="29" t="str">
        <f aca="false">IF(A1555="","",IF(COUNTIF(Anggota!$A$2:$A$2001,A1555)=0,"TIDAK ADA","OK"))</f>
        <v/>
      </c>
      <c r="S1555" s="29" t="str">
        <f aca="false">IF(H1555="","",IF(OR(J1555="",L1555=""),"-",IF(ABS(H1555-J1555*L1555)&gt;Info_Koperasi!$C$10,"SELISIH","OK")))</f>
        <v/>
      </c>
    </row>
    <row r="1556" customFormat="false" ht="15" hidden="false" customHeight="false" outlineLevel="0" collapsed="false">
      <c r="A1556" s="21"/>
      <c r="B1556" s="22"/>
      <c r="C1556" s="21"/>
      <c r="D1556" s="21"/>
      <c r="E1556" s="28"/>
      <c r="F1556" s="24"/>
      <c r="G1556" s="26"/>
      <c r="H1556" s="24"/>
      <c r="I1556" s="24"/>
      <c r="J1556" s="24"/>
      <c r="K1556" s="24"/>
      <c r="L1556" s="26"/>
      <c r="M1556" s="26"/>
      <c r="N1556" s="22"/>
      <c r="O1556" s="21"/>
      <c r="P1556" s="22"/>
      <c r="Q1556" s="29" t="str">
        <f aca="false">IF(C1556="","",IF(O1556&lt;&gt;"",O1556,IFERROR(INDEX(Produk!$J$2:$J$100,MATCH(C1556,Produk!$A$2:$A$100,0)),"PRODUK?")))</f>
        <v/>
      </c>
      <c r="R1556" s="29" t="str">
        <f aca="false">IF(A1556="","",IF(COUNTIF(Anggota!$A$2:$A$2001,A1556)=0,"TIDAK ADA","OK"))</f>
        <v/>
      </c>
      <c r="S1556" s="29" t="str">
        <f aca="false">IF(H1556="","",IF(OR(J1556="",L1556=""),"-",IF(ABS(H1556-J1556*L1556)&gt;Info_Koperasi!$C$10,"SELISIH","OK")))</f>
        <v/>
      </c>
    </row>
    <row r="1557" customFormat="false" ht="15" hidden="false" customHeight="false" outlineLevel="0" collapsed="false">
      <c r="A1557" s="21"/>
      <c r="B1557" s="22"/>
      <c r="C1557" s="21"/>
      <c r="D1557" s="21"/>
      <c r="E1557" s="28"/>
      <c r="F1557" s="24"/>
      <c r="G1557" s="26"/>
      <c r="H1557" s="24"/>
      <c r="I1557" s="24"/>
      <c r="J1557" s="24"/>
      <c r="K1557" s="24"/>
      <c r="L1557" s="26"/>
      <c r="M1557" s="26"/>
      <c r="N1557" s="22"/>
      <c r="O1557" s="21"/>
      <c r="P1557" s="22"/>
      <c r="Q1557" s="29" t="str">
        <f aca="false">IF(C1557="","",IF(O1557&lt;&gt;"",O1557,IFERROR(INDEX(Produk!$J$2:$J$100,MATCH(C1557,Produk!$A$2:$A$100,0)),"PRODUK?")))</f>
        <v/>
      </c>
      <c r="R1557" s="29" t="str">
        <f aca="false">IF(A1557="","",IF(COUNTIF(Anggota!$A$2:$A$2001,A1557)=0,"TIDAK ADA","OK"))</f>
        <v/>
      </c>
      <c r="S1557" s="29" t="str">
        <f aca="false">IF(H1557="","",IF(OR(J1557="",L1557=""),"-",IF(ABS(H1557-J1557*L1557)&gt;Info_Koperasi!$C$10,"SELISIH","OK")))</f>
        <v/>
      </c>
    </row>
    <row r="1558" customFormat="false" ht="15" hidden="false" customHeight="false" outlineLevel="0" collapsed="false">
      <c r="A1558" s="21"/>
      <c r="B1558" s="22"/>
      <c r="C1558" s="21"/>
      <c r="D1558" s="21"/>
      <c r="E1558" s="28"/>
      <c r="F1558" s="24"/>
      <c r="G1558" s="26"/>
      <c r="H1558" s="24"/>
      <c r="I1558" s="24"/>
      <c r="J1558" s="24"/>
      <c r="K1558" s="24"/>
      <c r="L1558" s="26"/>
      <c r="M1558" s="26"/>
      <c r="N1558" s="22"/>
      <c r="O1558" s="21"/>
      <c r="P1558" s="22"/>
      <c r="Q1558" s="29" t="str">
        <f aca="false">IF(C1558="","",IF(O1558&lt;&gt;"",O1558,IFERROR(INDEX(Produk!$J$2:$J$100,MATCH(C1558,Produk!$A$2:$A$100,0)),"PRODUK?")))</f>
        <v/>
      </c>
      <c r="R1558" s="29" t="str">
        <f aca="false">IF(A1558="","",IF(COUNTIF(Anggota!$A$2:$A$2001,A1558)=0,"TIDAK ADA","OK"))</f>
        <v/>
      </c>
      <c r="S1558" s="29" t="str">
        <f aca="false">IF(H1558="","",IF(OR(J1558="",L1558=""),"-",IF(ABS(H1558-J1558*L1558)&gt;Info_Koperasi!$C$10,"SELISIH","OK")))</f>
        <v/>
      </c>
    </row>
    <row r="1559" customFormat="false" ht="15" hidden="false" customHeight="false" outlineLevel="0" collapsed="false">
      <c r="A1559" s="21"/>
      <c r="B1559" s="22"/>
      <c r="C1559" s="21"/>
      <c r="D1559" s="21"/>
      <c r="E1559" s="28"/>
      <c r="F1559" s="24"/>
      <c r="G1559" s="26"/>
      <c r="H1559" s="24"/>
      <c r="I1559" s="24"/>
      <c r="J1559" s="24"/>
      <c r="K1559" s="24"/>
      <c r="L1559" s="26"/>
      <c r="M1559" s="26"/>
      <c r="N1559" s="22"/>
      <c r="O1559" s="21"/>
      <c r="P1559" s="22"/>
      <c r="Q1559" s="29" t="str">
        <f aca="false">IF(C1559="","",IF(O1559&lt;&gt;"",O1559,IFERROR(INDEX(Produk!$J$2:$J$100,MATCH(C1559,Produk!$A$2:$A$100,0)),"PRODUK?")))</f>
        <v/>
      </c>
      <c r="R1559" s="29" t="str">
        <f aca="false">IF(A1559="","",IF(COUNTIF(Anggota!$A$2:$A$2001,A1559)=0,"TIDAK ADA","OK"))</f>
        <v/>
      </c>
      <c r="S1559" s="29" t="str">
        <f aca="false">IF(H1559="","",IF(OR(J1559="",L1559=""),"-",IF(ABS(H1559-J1559*L1559)&gt;Info_Koperasi!$C$10,"SELISIH","OK")))</f>
        <v/>
      </c>
    </row>
    <row r="1560" customFormat="false" ht="15" hidden="false" customHeight="false" outlineLevel="0" collapsed="false">
      <c r="A1560" s="21"/>
      <c r="B1560" s="22"/>
      <c r="C1560" s="21"/>
      <c r="D1560" s="21"/>
      <c r="E1560" s="28"/>
      <c r="F1560" s="24"/>
      <c r="G1560" s="26"/>
      <c r="H1560" s="24"/>
      <c r="I1560" s="24"/>
      <c r="J1560" s="24"/>
      <c r="K1560" s="24"/>
      <c r="L1560" s="26"/>
      <c r="M1560" s="26"/>
      <c r="N1560" s="22"/>
      <c r="O1560" s="21"/>
      <c r="P1560" s="22"/>
      <c r="Q1560" s="29" t="str">
        <f aca="false">IF(C1560="","",IF(O1560&lt;&gt;"",O1560,IFERROR(INDEX(Produk!$J$2:$J$100,MATCH(C1560,Produk!$A$2:$A$100,0)),"PRODUK?")))</f>
        <v/>
      </c>
      <c r="R1560" s="29" t="str">
        <f aca="false">IF(A1560="","",IF(COUNTIF(Anggota!$A$2:$A$2001,A1560)=0,"TIDAK ADA","OK"))</f>
        <v/>
      </c>
      <c r="S1560" s="29" t="str">
        <f aca="false">IF(H1560="","",IF(OR(J1560="",L1560=""),"-",IF(ABS(H1560-J1560*L1560)&gt;Info_Koperasi!$C$10,"SELISIH","OK")))</f>
        <v/>
      </c>
    </row>
    <row r="1561" customFormat="false" ht="15" hidden="false" customHeight="false" outlineLevel="0" collapsed="false">
      <c r="A1561" s="21"/>
      <c r="B1561" s="22"/>
      <c r="C1561" s="21"/>
      <c r="D1561" s="21"/>
      <c r="E1561" s="28"/>
      <c r="F1561" s="24"/>
      <c r="G1561" s="26"/>
      <c r="H1561" s="24"/>
      <c r="I1561" s="24"/>
      <c r="J1561" s="24"/>
      <c r="K1561" s="24"/>
      <c r="L1561" s="26"/>
      <c r="M1561" s="26"/>
      <c r="N1561" s="22"/>
      <c r="O1561" s="21"/>
      <c r="P1561" s="22"/>
      <c r="Q1561" s="29" t="str">
        <f aca="false">IF(C1561="","",IF(O1561&lt;&gt;"",O1561,IFERROR(INDEX(Produk!$J$2:$J$100,MATCH(C1561,Produk!$A$2:$A$100,0)),"PRODUK?")))</f>
        <v/>
      </c>
      <c r="R1561" s="29" t="str">
        <f aca="false">IF(A1561="","",IF(COUNTIF(Anggota!$A$2:$A$2001,A1561)=0,"TIDAK ADA","OK"))</f>
        <v/>
      </c>
      <c r="S1561" s="29" t="str">
        <f aca="false">IF(H1561="","",IF(OR(J1561="",L1561=""),"-",IF(ABS(H1561-J1561*L1561)&gt;Info_Koperasi!$C$10,"SELISIH","OK")))</f>
        <v/>
      </c>
    </row>
    <row r="1562" customFormat="false" ht="15" hidden="false" customHeight="false" outlineLevel="0" collapsed="false">
      <c r="A1562" s="21"/>
      <c r="B1562" s="22"/>
      <c r="C1562" s="21"/>
      <c r="D1562" s="21"/>
      <c r="E1562" s="28"/>
      <c r="F1562" s="24"/>
      <c r="G1562" s="26"/>
      <c r="H1562" s="24"/>
      <c r="I1562" s="24"/>
      <c r="J1562" s="24"/>
      <c r="K1562" s="24"/>
      <c r="L1562" s="26"/>
      <c r="M1562" s="26"/>
      <c r="N1562" s="22"/>
      <c r="O1562" s="21"/>
      <c r="P1562" s="22"/>
      <c r="Q1562" s="29" t="str">
        <f aca="false">IF(C1562="","",IF(O1562&lt;&gt;"",O1562,IFERROR(INDEX(Produk!$J$2:$J$100,MATCH(C1562,Produk!$A$2:$A$100,0)),"PRODUK?")))</f>
        <v/>
      </c>
      <c r="R1562" s="29" t="str">
        <f aca="false">IF(A1562="","",IF(COUNTIF(Anggota!$A$2:$A$2001,A1562)=0,"TIDAK ADA","OK"))</f>
        <v/>
      </c>
      <c r="S1562" s="29" t="str">
        <f aca="false">IF(H1562="","",IF(OR(J1562="",L1562=""),"-",IF(ABS(H1562-J1562*L1562)&gt;Info_Koperasi!$C$10,"SELISIH","OK")))</f>
        <v/>
      </c>
    </row>
    <row r="1563" customFormat="false" ht="15" hidden="false" customHeight="false" outlineLevel="0" collapsed="false">
      <c r="A1563" s="21"/>
      <c r="B1563" s="22"/>
      <c r="C1563" s="21"/>
      <c r="D1563" s="21"/>
      <c r="E1563" s="28"/>
      <c r="F1563" s="24"/>
      <c r="G1563" s="26"/>
      <c r="H1563" s="24"/>
      <c r="I1563" s="24"/>
      <c r="J1563" s="24"/>
      <c r="K1563" s="24"/>
      <c r="L1563" s="26"/>
      <c r="M1563" s="26"/>
      <c r="N1563" s="22"/>
      <c r="O1563" s="21"/>
      <c r="P1563" s="22"/>
      <c r="Q1563" s="29" t="str">
        <f aca="false">IF(C1563="","",IF(O1563&lt;&gt;"",O1563,IFERROR(INDEX(Produk!$J$2:$J$100,MATCH(C1563,Produk!$A$2:$A$100,0)),"PRODUK?")))</f>
        <v/>
      </c>
      <c r="R1563" s="29" t="str">
        <f aca="false">IF(A1563="","",IF(COUNTIF(Anggota!$A$2:$A$2001,A1563)=0,"TIDAK ADA","OK"))</f>
        <v/>
      </c>
      <c r="S1563" s="29" t="str">
        <f aca="false">IF(H1563="","",IF(OR(J1563="",L1563=""),"-",IF(ABS(H1563-J1563*L1563)&gt;Info_Koperasi!$C$10,"SELISIH","OK")))</f>
        <v/>
      </c>
    </row>
    <row r="1564" customFormat="false" ht="15" hidden="false" customHeight="false" outlineLevel="0" collapsed="false">
      <c r="A1564" s="21"/>
      <c r="B1564" s="22"/>
      <c r="C1564" s="21"/>
      <c r="D1564" s="21"/>
      <c r="E1564" s="28"/>
      <c r="F1564" s="24"/>
      <c r="G1564" s="26"/>
      <c r="H1564" s="24"/>
      <c r="I1564" s="24"/>
      <c r="J1564" s="24"/>
      <c r="K1564" s="24"/>
      <c r="L1564" s="26"/>
      <c r="M1564" s="26"/>
      <c r="N1564" s="22"/>
      <c r="O1564" s="21"/>
      <c r="P1564" s="22"/>
      <c r="Q1564" s="29" t="str">
        <f aca="false">IF(C1564="","",IF(O1564&lt;&gt;"",O1564,IFERROR(INDEX(Produk!$J$2:$J$100,MATCH(C1564,Produk!$A$2:$A$100,0)),"PRODUK?")))</f>
        <v/>
      </c>
      <c r="R1564" s="29" t="str">
        <f aca="false">IF(A1564="","",IF(COUNTIF(Anggota!$A$2:$A$2001,A1564)=0,"TIDAK ADA","OK"))</f>
        <v/>
      </c>
      <c r="S1564" s="29" t="str">
        <f aca="false">IF(H1564="","",IF(OR(J1564="",L1564=""),"-",IF(ABS(H1564-J1564*L1564)&gt;Info_Koperasi!$C$10,"SELISIH","OK")))</f>
        <v/>
      </c>
    </row>
    <row r="1565" customFormat="false" ht="15" hidden="false" customHeight="false" outlineLevel="0" collapsed="false">
      <c r="A1565" s="21"/>
      <c r="B1565" s="22"/>
      <c r="C1565" s="21"/>
      <c r="D1565" s="21"/>
      <c r="E1565" s="28"/>
      <c r="F1565" s="24"/>
      <c r="G1565" s="26"/>
      <c r="H1565" s="24"/>
      <c r="I1565" s="24"/>
      <c r="J1565" s="24"/>
      <c r="K1565" s="24"/>
      <c r="L1565" s="26"/>
      <c r="M1565" s="26"/>
      <c r="N1565" s="22"/>
      <c r="O1565" s="21"/>
      <c r="P1565" s="22"/>
      <c r="Q1565" s="29" t="str">
        <f aca="false">IF(C1565="","",IF(O1565&lt;&gt;"",O1565,IFERROR(INDEX(Produk!$J$2:$J$100,MATCH(C1565,Produk!$A$2:$A$100,0)),"PRODUK?")))</f>
        <v/>
      </c>
      <c r="R1565" s="29" t="str">
        <f aca="false">IF(A1565="","",IF(COUNTIF(Anggota!$A$2:$A$2001,A1565)=0,"TIDAK ADA","OK"))</f>
        <v/>
      </c>
      <c r="S1565" s="29" t="str">
        <f aca="false">IF(H1565="","",IF(OR(J1565="",L1565=""),"-",IF(ABS(H1565-J1565*L1565)&gt;Info_Koperasi!$C$10,"SELISIH","OK")))</f>
        <v/>
      </c>
    </row>
    <row r="1566" customFormat="false" ht="15" hidden="false" customHeight="false" outlineLevel="0" collapsed="false">
      <c r="A1566" s="21"/>
      <c r="B1566" s="22"/>
      <c r="C1566" s="21"/>
      <c r="D1566" s="21"/>
      <c r="E1566" s="28"/>
      <c r="F1566" s="24"/>
      <c r="G1566" s="26"/>
      <c r="H1566" s="24"/>
      <c r="I1566" s="24"/>
      <c r="J1566" s="24"/>
      <c r="K1566" s="24"/>
      <c r="L1566" s="26"/>
      <c r="M1566" s="26"/>
      <c r="N1566" s="22"/>
      <c r="O1566" s="21"/>
      <c r="P1566" s="22"/>
      <c r="Q1566" s="29" t="str">
        <f aca="false">IF(C1566="","",IF(O1566&lt;&gt;"",O1566,IFERROR(INDEX(Produk!$J$2:$J$100,MATCH(C1566,Produk!$A$2:$A$100,0)),"PRODUK?")))</f>
        <v/>
      </c>
      <c r="R1566" s="29" t="str">
        <f aca="false">IF(A1566="","",IF(COUNTIF(Anggota!$A$2:$A$2001,A1566)=0,"TIDAK ADA","OK"))</f>
        <v/>
      </c>
      <c r="S1566" s="29" t="str">
        <f aca="false">IF(H1566="","",IF(OR(J1566="",L1566=""),"-",IF(ABS(H1566-J1566*L1566)&gt;Info_Koperasi!$C$10,"SELISIH","OK")))</f>
        <v/>
      </c>
    </row>
    <row r="1567" customFormat="false" ht="15" hidden="false" customHeight="false" outlineLevel="0" collapsed="false">
      <c r="A1567" s="21"/>
      <c r="B1567" s="22"/>
      <c r="C1567" s="21"/>
      <c r="D1567" s="21"/>
      <c r="E1567" s="28"/>
      <c r="F1567" s="24"/>
      <c r="G1567" s="26"/>
      <c r="H1567" s="24"/>
      <c r="I1567" s="24"/>
      <c r="J1567" s="24"/>
      <c r="K1567" s="24"/>
      <c r="L1567" s="26"/>
      <c r="M1567" s="26"/>
      <c r="N1567" s="22"/>
      <c r="O1567" s="21"/>
      <c r="P1567" s="22"/>
      <c r="Q1567" s="29" t="str">
        <f aca="false">IF(C1567="","",IF(O1567&lt;&gt;"",O1567,IFERROR(INDEX(Produk!$J$2:$J$100,MATCH(C1567,Produk!$A$2:$A$100,0)),"PRODUK?")))</f>
        <v/>
      </c>
      <c r="R1567" s="29" t="str">
        <f aca="false">IF(A1567="","",IF(COUNTIF(Anggota!$A$2:$A$2001,A1567)=0,"TIDAK ADA","OK"))</f>
        <v/>
      </c>
      <c r="S1567" s="29" t="str">
        <f aca="false">IF(H1567="","",IF(OR(J1567="",L1567=""),"-",IF(ABS(H1567-J1567*L1567)&gt;Info_Koperasi!$C$10,"SELISIH","OK")))</f>
        <v/>
      </c>
    </row>
    <row r="1568" customFormat="false" ht="15" hidden="false" customHeight="false" outlineLevel="0" collapsed="false">
      <c r="A1568" s="21"/>
      <c r="B1568" s="22"/>
      <c r="C1568" s="21"/>
      <c r="D1568" s="21"/>
      <c r="E1568" s="28"/>
      <c r="F1568" s="24"/>
      <c r="G1568" s="26"/>
      <c r="H1568" s="24"/>
      <c r="I1568" s="24"/>
      <c r="J1568" s="24"/>
      <c r="K1568" s="24"/>
      <c r="L1568" s="26"/>
      <c r="M1568" s="26"/>
      <c r="N1568" s="22"/>
      <c r="O1568" s="21"/>
      <c r="P1568" s="22"/>
      <c r="Q1568" s="29" t="str">
        <f aca="false">IF(C1568="","",IF(O1568&lt;&gt;"",O1568,IFERROR(INDEX(Produk!$J$2:$J$100,MATCH(C1568,Produk!$A$2:$A$100,0)),"PRODUK?")))</f>
        <v/>
      </c>
      <c r="R1568" s="29" t="str">
        <f aca="false">IF(A1568="","",IF(COUNTIF(Anggota!$A$2:$A$2001,A1568)=0,"TIDAK ADA","OK"))</f>
        <v/>
      </c>
      <c r="S1568" s="29" t="str">
        <f aca="false">IF(H1568="","",IF(OR(J1568="",L1568=""),"-",IF(ABS(H1568-J1568*L1568)&gt;Info_Koperasi!$C$10,"SELISIH","OK")))</f>
        <v/>
      </c>
    </row>
    <row r="1569" customFormat="false" ht="15" hidden="false" customHeight="false" outlineLevel="0" collapsed="false">
      <c r="A1569" s="21"/>
      <c r="B1569" s="22"/>
      <c r="C1569" s="21"/>
      <c r="D1569" s="21"/>
      <c r="E1569" s="28"/>
      <c r="F1569" s="24"/>
      <c r="G1569" s="26"/>
      <c r="H1569" s="24"/>
      <c r="I1569" s="24"/>
      <c r="J1569" s="24"/>
      <c r="K1569" s="24"/>
      <c r="L1569" s="26"/>
      <c r="M1569" s="26"/>
      <c r="N1569" s="22"/>
      <c r="O1569" s="21"/>
      <c r="P1569" s="22"/>
      <c r="Q1569" s="29" t="str">
        <f aca="false">IF(C1569="","",IF(O1569&lt;&gt;"",O1569,IFERROR(INDEX(Produk!$J$2:$J$100,MATCH(C1569,Produk!$A$2:$A$100,0)),"PRODUK?")))</f>
        <v/>
      </c>
      <c r="R1569" s="29" t="str">
        <f aca="false">IF(A1569="","",IF(COUNTIF(Anggota!$A$2:$A$2001,A1569)=0,"TIDAK ADA","OK"))</f>
        <v/>
      </c>
      <c r="S1569" s="29" t="str">
        <f aca="false">IF(H1569="","",IF(OR(J1569="",L1569=""),"-",IF(ABS(H1569-J1569*L1569)&gt;Info_Koperasi!$C$10,"SELISIH","OK")))</f>
        <v/>
      </c>
    </row>
    <row r="1570" customFormat="false" ht="15" hidden="false" customHeight="false" outlineLevel="0" collapsed="false">
      <c r="A1570" s="21"/>
      <c r="B1570" s="22"/>
      <c r="C1570" s="21"/>
      <c r="D1570" s="21"/>
      <c r="E1570" s="28"/>
      <c r="F1570" s="24"/>
      <c r="G1570" s="26"/>
      <c r="H1570" s="24"/>
      <c r="I1570" s="24"/>
      <c r="J1570" s="24"/>
      <c r="K1570" s="24"/>
      <c r="L1570" s="26"/>
      <c r="M1570" s="26"/>
      <c r="N1570" s="22"/>
      <c r="O1570" s="21"/>
      <c r="P1570" s="22"/>
      <c r="Q1570" s="29" t="str">
        <f aca="false">IF(C1570="","",IF(O1570&lt;&gt;"",O1570,IFERROR(INDEX(Produk!$J$2:$J$100,MATCH(C1570,Produk!$A$2:$A$100,0)),"PRODUK?")))</f>
        <v/>
      </c>
      <c r="R1570" s="29" t="str">
        <f aca="false">IF(A1570="","",IF(COUNTIF(Anggota!$A$2:$A$2001,A1570)=0,"TIDAK ADA","OK"))</f>
        <v/>
      </c>
      <c r="S1570" s="29" t="str">
        <f aca="false">IF(H1570="","",IF(OR(J1570="",L1570=""),"-",IF(ABS(H1570-J1570*L1570)&gt;Info_Koperasi!$C$10,"SELISIH","OK")))</f>
        <v/>
      </c>
    </row>
    <row r="1571" customFormat="false" ht="15" hidden="false" customHeight="false" outlineLevel="0" collapsed="false">
      <c r="A1571" s="21"/>
      <c r="B1571" s="22"/>
      <c r="C1571" s="21"/>
      <c r="D1571" s="21"/>
      <c r="E1571" s="28"/>
      <c r="F1571" s="24"/>
      <c r="G1571" s="26"/>
      <c r="H1571" s="24"/>
      <c r="I1571" s="24"/>
      <c r="J1571" s="24"/>
      <c r="K1571" s="24"/>
      <c r="L1571" s="26"/>
      <c r="M1571" s="26"/>
      <c r="N1571" s="22"/>
      <c r="O1571" s="21"/>
      <c r="P1571" s="22"/>
      <c r="Q1571" s="29" t="str">
        <f aca="false">IF(C1571="","",IF(O1571&lt;&gt;"",O1571,IFERROR(INDEX(Produk!$J$2:$J$100,MATCH(C1571,Produk!$A$2:$A$100,0)),"PRODUK?")))</f>
        <v/>
      </c>
      <c r="R1571" s="29" t="str">
        <f aca="false">IF(A1571="","",IF(COUNTIF(Anggota!$A$2:$A$2001,A1571)=0,"TIDAK ADA","OK"))</f>
        <v/>
      </c>
      <c r="S1571" s="29" t="str">
        <f aca="false">IF(H1571="","",IF(OR(J1571="",L1571=""),"-",IF(ABS(H1571-J1571*L1571)&gt;Info_Koperasi!$C$10,"SELISIH","OK")))</f>
        <v/>
      </c>
    </row>
    <row r="1572" customFormat="false" ht="15" hidden="false" customHeight="false" outlineLevel="0" collapsed="false">
      <c r="A1572" s="21"/>
      <c r="B1572" s="22"/>
      <c r="C1572" s="21"/>
      <c r="D1572" s="21"/>
      <c r="E1572" s="28"/>
      <c r="F1572" s="24"/>
      <c r="G1572" s="26"/>
      <c r="H1572" s="24"/>
      <c r="I1572" s="24"/>
      <c r="J1572" s="24"/>
      <c r="K1572" s="24"/>
      <c r="L1572" s="26"/>
      <c r="M1572" s="26"/>
      <c r="N1572" s="22"/>
      <c r="O1572" s="21"/>
      <c r="P1572" s="22"/>
      <c r="Q1572" s="29" t="str">
        <f aca="false">IF(C1572="","",IF(O1572&lt;&gt;"",O1572,IFERROR(INDEX(Produk!$J$2:$J$100,MATCH(C1572,Produk!$A$2:$A$100,0)),"PRODUK?")))</f>
        <v/>
      </c>
      <c r="R1572" s="29" t="str">
        <f aca="false">IF(A1572="","",IF(COUNTIF(Anggota!$A$2:$A$2001,A1572)=0,"TIDAK ADA","OK"))</f>
        <v/>
      </c>
      <c r="S1572" s="29" t="str">
        <f aca="false">IF(H1572="","",IF(OR(J1572="",L1572=""),"-",IF(ABS(H1572-J1572*L1572)&gt;Info_Koperasi!$C$10,"SELISIH","OK")))</f>
        <v/>
      </c>
    </row>
    <row r="1573" customFormat="false" ht="15" hidden="false" customHeight="false" outlineLevel="0" collapsed="false">
      <c r="A1573" s="21"/>
      <c r="B1573" s="22"/>
      <c r="C1573" s="21"/>
      <c r="D1573" s="21"/>
      <c r="E1573" s="28"/>
      <c r="F1573" s="24"/>
      <c r="G1573" s="26"/>
      <c r="H1573" s="24"/>
      <c r="I1573" s="24"/>
      <c r="J1573" s="24"/>
      <c r="K1573" s="24"/>
      <c r="L1573" s="26"/>
      <c r="M1573" s="26"/>
      <c r="N1573" s="22"/>
      <c r="O1573" s="21"/>
      <c r="P1573" s="22"/>
      <c r="Q1573" s="29" t="str">
        <f aca="false">IF(C1573="","",IF(O1573&lt;&gt;"",O1573,IFERROR(INDEX(Produk!$J$2:$J$100,MATCH(C1573,Produk!$A$2:$A$100,0)),"PRODUK?")))</f>
        <v/>
      </c>
      <c r="R1573" s="29" t="str">
        <f aca="false">IF(A1573="","",IF(COUNTIF(Anggota!$A$2:$A$2001,A1573)=0,"TIDAK ADA","OK"))</f>
        <v/>
      </c>
      <c r="S1573" s="29" t="str">
        <f aca="false">IF(H1573="","",IF(OR(J1573="",L1573=""),"-",IF(ABS(H1573-J1573*L1573)&gt;Info_Koperasi!$C$10,"SELISIH","OK")))</f>
        <v/>
      </c>
    </row>
    <row r="1574" customFormat="false" ht="15" hidden="false" customHeight="false" outlineLevel="0" collapsed="false">
      <c r="A1574" s="21"/>
      <c r="B1574" s="22"/>
      <c r="C1574" s="21"/>
      <c r="D1574" s="21"/>
      <c r="E1574" s="28"/>
      <c r="F1574" s="24"/>
      <c r="G1574" s="26"/>
      <c r="H1574" s="24"/>
      <c r="I1574" s="24"/>
      <c r="J1574" s="24"/>
      <c r="K1574" s="24"/>
      <c r="L1574" s="26"/>
      <c r="M1574" s="26"/>
      <c r="N1574" s="22"/>
      <c r="O1574" s="21"/>
      <c r="P1574" s="22"/>
      <c r="Q1574" s="29" t="str">
        <f aca="false">IF(C1574="","",IF(O1574&lt;&gt;"",O1574,IFERROR(INDEX(Produk!$J$2:$J$100,MATCH(C1574,Produk!$A$2:$A$100,0)),"PRODUK?")))</f>
        <v/>
      </c>
      <c r="R1574" s="29" t="str">
        <f aca="false">IF(A1574="","",IF(COUNTIF(Anggota!$A$2:$A$2001,A1574)=0,"TIDAK ADA","OK"))</f>
        <v/>
      </c>
      <c r="S1574" s="29" t="str">
        <f aca="false">IF(H1574="","",IF(OR(J1574="",L1574=""),"-",IF(ABS(H1574-J1574*L1574)&gt;Info_Koperasi!$C$10,"SELISIH","OK")))</f>
        <v/>
      </c>
    </row>
    <row r="1575" customFormat="false" ht="15" hidden="false" customHeight="false" outlineLevel="0" collapsed="false">
      <c r="A1575" s="21"/>
      <c r="B1575" s="22"/>
      <c r="C1575" s="21"/>
      <c r="D1575" s="21"/>
      <c r="E1575" s="28"/>
      <c r="F1575" s="24"/>
      <c r="G1575" s="26"/>
      <c r="H1575" s="24"/>
      <c r="I1575" s="24"/>
      <c r="J1575" s="24"/>
      <c r="K1575" s="24"/>
      <c r="L1575" s="26"/>
      <c r="M1575" s="26"/>
      <c r="N1575" s="22"/>
      <c r="O1575" s="21"/>
      <c r="P1575" s="22"/>
      <c r="Q1575" s="29" t="str">
        <f aca="false">IF(C1575="","",IF(O1575&lt;&gt;"",O1575,IFERROR(INDEX(Produk!$J$2:$J$100,MATCH(C1575,Produk!$A$2:$A$100,0)),"PRODUK?")))</f>
        <v/>
      </c>
      <c r="R1575" s="29" t="str">
        <f aca="false">IF(A1575="","",IF(COUNTIF(Anggota!$A$2:$A$2001,A1575)=0,"TIDAK ADA","OK"))</f>
        <v/>
      </c>
      <c r="S1575" s="29" t="str">
        <f aca="false">IF(H1575="","",IF(OR(J1575="",L1575=""),"-",IF(ABS(H1575-J1575*L1575)&gt;Info_Koperasi!$C$10,"SELISIH","OK")))</f>
        <v/>
      </c>
    </row>
    <row r="1576" customFormat="false" ht="15" hidden="false" customHeight="false" outlineLevel="0" collapsed="false">
      <c r="A1576" s="21"/>
      <c r="B1576" s="22"/>
      <c r="C1576" s="21"/>
      <c r="D1576" s="21"/>
      <c r="E1576" s="28"/>
      <c r="F1576" s="24"/>
      <c r="G1576" s="26"/>
      <c r="H1576" s="24"/>
      <c r="I1576" s="24"/>
      <c r="J1576" s="24"/>
      <c r="K1576" s="24"/>
      <c r="L1576" s="26"/>
      <c r="M1576" s="26"/>
      <c r="N1576" s="22"/>
      <c r="O1576" s="21"/>
      <c r="P1576" s="22"/>
      <c r="Q1576" s="29" t="str">
        <f aca="false">IF(C1576="","",IF(O1576&lt;&gt;"",O1576,IFERROR(INDEX(Produk!$J$2:$J$100,MATCH(C1576,Produk!$A$2:$A$100,0)),"PRODUK?")))</f>
        <v/>
      </c>
      <c r="R1576" s="29" t="str">
        <f aca="false">IF(A1576="","",IF(COUNTIF(Anggota!$A$2:$A$2001,A1576)=0,"TIDAK ADA","OK"))</f>
        <v/>
      </c>
      <c r="S1576" s="29" t="str">
        <f aca="false">IF(H1576="","",IF(OR(J1576="",L1576=""),"-",IF(ABS(H1576-J1576*L1576)&gt;Info_Koperasi!$C$10,"SELISIH","OK")))</f>
        <v/>
      </c>
    </row>
    <row r="1577" customFormat="false" ht="15" hidden="false" customHeight="false" outlineLevel="0" collapsed="false">
      <c r="A1577" s="21"/>
      <c r="B1577" s="22"/>
      <c r="C1577" s="21"/>
      <c r="D1577" s="21"/>
      <c r="E1577" s="28"/>
      <c r="F1577" s="24"/>
      <c r="G1577" s="26"/>
      <c r="H1577" s="24"/>
      <c r="I1577" s="24"/>
      <c r="J1577" s="24"/>
      <c r="K1577" s="24"/>
      <c r="L1577" s="26"/>
      <c r="M1577" s="26"/>
      <c r="N1577" s="22"/>
      <c r="O1577" s="21"/>
      <c r="P1577" s="22"/>
      <c r="Q1577" s="29" t="str">
        <f aca="false">IF(C1577="","",IF(O1577&lt;&gt;"",O1577,IFERROR(INDEX(Produk!$J$2:$J$100,MATCH(C1577,Produk!$A$2:$A$100,0)),"PRODUK?")))</f>
        <v/>
      </c>
      <c r="R1577" s="29" t="str">
        <f aca="false">IF(A1577="","",IF(COUNTIF(Anggota!$A$2:$A$2001,A1577)=0,"TIDAK ADA","OK"))</f>
        <v/>
      </c>
      <c r="S1577" s="29" t="str">
        <f aca="false">IF(H1577="","",IF(OR(J1577="",L1577=""),"-",IF(ABS(H1577-J1577*L1577)&gt;Info_Koperasi!$C$10,"SELISIH","OK")))</f>
        <v/>
      </c>
    </row>
    <row r="1578" customFormat="false" ht="15" hidden="false" customHeight="false" outlineLevel="0" collapsed="false">
      <c r="A1578" s="21"/>
      <c r="B1578" s="22"/>
      <c r="C1578" s="21"/>
      <c r="D1578" s="21"/>
      <c r="E1578" s="28"/>
      <c r="F1578" s="24"/>
      <c r="G1578" s="26"/>
      <c r="H1578" s="24"/>
      <c r="I1578" s="24"/>
      <c r="J1578" s="24"/>
      <c r="K1578" s="24"/>
      <c r="L1578" s="26"/>
      <c r="M1578" s="26"/>
      <c r="N1578" s="22"/>
      <c r="O1578" s="21"/>
      <c r="P1578" s="22"/>
      <c r="Q1578" s="29" t="str">
        <f aca="false">IF(C1578="","",IF(O1578&lt;&gt;"",O1578,IFERROR(INDEX(Produk!$J$2:$J$100,MATCH(C1578,Produk!$A$2:$A$100,0)),"PRODUK?")))</f>
        <v/>
      </c>
      <c r="R1578" s="29" t="str">
        <f aca="false">IF(A1578="","",IF(COUNTIF(Anggota!$A$2:$A$2001,A1578)=0,"TIDAK ADA","OK"))</f>
        <v/>
      </c>
      <c r="S1578" s="29" t="str">
        <f aca="false">IF(H1578="","",IF(OR(J1578="",L1578=""),"-",IF(ABS(H1578-J1578*L1578)&gt;Info_Koperasi!$C$10,"SELISIH","OK")))</f>
        <v/>
      </c>
    </row>
    <row r="1579" customFormat="false" ht="15" hidden="false" customHeight="false" outlineLevel="0" collapsed="false">
      <c r="A1579" s="21"/>
      <c r="B1579" s="22"/>
      <c r="C1579" s="21"/>
      <c r="D1579" s="21"/>
      <c r="E1579" s="28"/>
      <c r="F1579" s="24"/>
      <c r="G1579" s="26"/>
      <c r="H1579" s="24"/>
      <c r="I1579" s="24"/>
      <c r="J1579" s="24"/>
      <c r="K1579" s="24"/>
      <c r="L1579" s="26"/>
      <c r="M1579" s="26"/>
      <c r="N1579" s="22"/>
      <c r="O1579" s="21"/>
      <c r="P1579" s="22"/>
      <c r="Q1579" s="29" t="str">
        <f aca="false">IF(C1579="","",IF(O1579&lt;&gt;"",O1579,IFERROR(INDEX(Produk!$J$2:$J$100,MATCH(C1579,Produk!$A$2:$A$100,0)),"PRODUK?")))</f>
        <v/>
      </c>
      <c r="R1579" s="29" t="str">
        <f aca="false">IF(A1579="","",IF(COUNTIF(Anggota!$A$2:$A$2001,A1579)=0,"TIDAK ADA","OK"))</f>
        <v/>
      </c>
      <c r="S1579" s="29" t="str">
        <f aca="false">IF(H1579="","",IF(OR(J1579="",L1579=""),"-",IF(ABS(H1579-J1579*L1579)&gt;Info_Koperasi!$C$10,"SELISIH","OK")))</f>
        <v/>
      </c>
    </row>
    <row r="1580" customFormat="false" ht="15" hidden="false" customHeight="false" outlineLevel="0" collapsed="false">
      <c r="A1580" s="21"/>
      <c r="B1580" s="22"/>
      <c r="C1580" s="21"/>
      <c r="D1580" s="21"/>
      <c r="E1580" s="28"/>
      <c r="F1580" s="24"/>
      <c r="G1580" s="26"/>
      <c r="H1580" s="24"/>
      <c r="I1580" s="24"/>
      <c r="J1580" s="24"/>
      <c r="K1580" s="24"/>
      <c r="L1580" s="26"/>
      <c r="M1580" s="26"/>
      <c r="N1580" s="22"/>
      <c r="O1580" s="21"/>
      <c r="P1580" s="22"/>
      <c r="Q1580" s="29" t="str">
        <f aca="false">IF(C1580="","",IF(O1580&lt;&gt;"",O1580,IFERROR(INDEX(Produk!$J$2:$J$100,MATCH(C1580,Produk!$A$2:$A$100,0)),"PRODUK?")))</f>
        <v/>
      </c>
      <c r="R1580" s="29" t="str">
        <f aca="false">IF(A1580="","",IF(COUNTIF(Anggota!$A$2:$A$2001,A1580)=0,"TIDAK ADA","OK"))</f>
        <v/>
      </c>
      <c r="S1580" s="29" t="str">
        <f aca="false">IF(H1580="","",IF(OR(J1580="",L1580=""),"-",IF(ABS(H1580-J1580*L1580)&gt;Info_Koperasi!$C$10,"SELISIH","OK")))</f>
        <v/>
      </c>
    </row>
    <row r="1581" customFormat="false" ht="15" hidden="false" customHeight="false" outlineLevel="0" collapsed="false">
      <c r="A1581" s="21"/>
      <c r="B1581" s="22"/>
      <c r="C1581" s="21"/>
      <c r="D1581" s="21"/>
      <c r="E1581" s="28"/>
      <c r="F1581" s="24"/>
      <c r="G1581" s="26"/>
      <c r="H1581" s="24"/>
      <c r="I1581" s="24"/>
      <c r="J1581" s="24"/>
      <c r="K1581" s="24"/>
      <c r="L1581" s="26"/>
      <c r="M1581" s="26"/>
      <c r="N1581" s="22"/>
      <c r="O1581" s="21"/>
      <c r="P1581" s="22"/>
      <c r="Q1581" s="29" t="str">
        <f aca="false">IF(C1581="","",IF(O1581&lt;&gt;"",O1581,IFERROR(INDEX(Produk!$J$2:$J$100,MATCH(C1581,Produk!$A$2:$A$100,0)),"PRODUK?")))</f>
        <v/>
      </c>
      <c r="R1581" s="29" t="str">
        <f aca="false">IF(A1581="","",IF(COUNTIF(Anggota!$A$2:$A$2001,A1581)=0,"TIDAK ADA","OK"))</f>
        <v/>
      </c>
      <c r="S1581" s="29" t="str">
        <f aca="false">IF(H1581="","",IF(OR(J1581="",L1581=""),"-",IF(ABS(H1581-J1581*L1581)&gt;Info_Koperasi!$C$10,"SELISIH","OK")))</f>
        <v/>
      </c>
    </row>
    <row r="1582" customFormat="false" ht="15" hidden="false" customHeight="false" outlineLevel="0" collapsed="false">
      <c r="A1582" s="21"/>
      <c r="B1582" s="22"/>
      <c r="C1582" s="21"/>
      <c r="D1582" s="21"/>
      <c r="E1582" s="28"/>
      <c r="F1582" s="24"/>
      <c r="G1582" s="26"/>
      <c r="H1582" s="24"/>
      <c r="I1582" s="24"/>
      <c r="J1582" s="24"/>
      <c r="K1582" s="24"/>
      <c r="L1582" s="26"/>
      <c r="M1582" s="26"/>
      <c r="N1582" s="22"/>
      <c r="O1582" s="21"/>
      <c r="P1582" s="22"/>
      <c r="Q1582" s="29" t="str">
        <f aca="false">IF(C1582="","",IF(O1582&lt;&gt;"",O1582,IFERROR(INDEX(Produk!$J$2:$J$100,MATCH(C1582,Produk!$A$2:$A$100,0)),"PRODUK?")))</f>
        <v/>
      </c>
      <c r="R1582" s="29" t="str">
        <f aca="false">IF(A1582="","",IF(COUNTIF(Anggota!$A$2:$A$2001,A1582)=0,"TIDAK ADA","OK"))</f>
        <v/>
      </c>
      <c r="S1582" s="29" t="str">
        <f aca="false">IF(H1582="","",IF(OR(J1582="",L1582=""),"-",IF(ABS(H1582-J1582*L1582)&gt;Info_Koperasi!$C$10,"SELISIH","OK")))</f>
        <v/>
      </c>
    </row>
    <row r="1583" customFormat="false" ht="15" hidden="false" customHeight="false" outlineLevel="0" collapsed="false">
      <c r="A1583" s="21"/>
      <c r="B1583" s="22"/>
      <c r="C1583" s="21"/>
      <c r="D1583" s="21"/>
      <c r="E1583" s="28"/>
      <c r="F1583" s="24"/>
      <c r="G1583" s="26"/>
      <c r="H1583" s="24"/>
      <c r="I1583" s="24"/>
      <c r="J1583" s="24"/>
      <c r="K1583" s="24"/>
      <c r="L1583" s="26"/>
      <c r="M1583" s="26"/>
      <c r="N1583" s="22"/>
      <c r="O1583" s="21"/>
      <c r="P1583" s="22"/>
      <c r="Q1583" s="29" t="str">
        <f aca="false">IF(C1583="","",IF(O1583&lt;&gt;"",O1583,IFERROR(INDEX(Produk!$J$2:$J$100,MATCH(C1583,Produk!$A$2:$A$100,0)),"PRODUK?")))</f>
        <v/>
      </c>
      <c r="R1583" s="29" t="str">
        <f aca="false">IF(A1583="","",IF(COUNTIF(Anggota!$A$2:$A$2001,A1583)=0,"TIDAK ADA","OK"))</f>
        <v/>
      </c>
      <c r="S1583" s="29" t="str">
        <f aca="false">IF(H1583="","",IF(OR(J1583="",L1583=""),"-",IF(ABS(H1583-J1583*L1583)&gt;Info_Koperasi!$C$10,"SELISIH","OK")))</f>
        <v/>
      </c>
    </row>
    <row r="1584" customFormat="false" ht="15" hidden="false" customHeight="false" outlineLevel="0" collapsed="false">
      <c r="A1584" s="21"/>
      <c r="B1584" s="22"/>
      <c r="C1584" s="21"/>
      <c r="D1584" s="21"/>
      <c r="E1584" s="28"/>
      <c r="F1584" s="24"/>
      <c r="G1584" s="26"/>
      <c r="H1584" s="24"/>
      <c r="I1584" s="24"/>
      <c r="J1584" s="24"/>
      <c r="K1584" s="24"/>
      <c r="L1584" s="26"/>
      <c r="M1584" s="26"/>
      <c r="N1584" s="22"/>
      <c r="O1584" s="21"/>
      <c r="P1584" s="22"/>
      <c r="Q1584" s="29" t="str">
        <f aca="false">IF(C1584="","",IF(O1584&lt;&gt;"",O1584,IFERROR(INDEX(Produk!$J$2:$J$100,MATCH(C1584,Produk!$A$2:$A$100,0)),"PRODUK?")))</f>
        <v/>
      </c>
      <c r="R1584" s="29" t="str">
        <f aca="false">IF(A1584="","",IF(COUNTIF(Anggota!$A$2:$A$2001,A1584)=0,"TIDAK ADA","OK"))</f>
        <v/>
      </c>
      <c r="S1584" s="29" t="str">
        <f aca="false">IF(H1584="","",IF(OR(J1584="",L1584=""),"-",IF(ABS(H1584-J1584*L1584)&gt;Info_Koperasi!$C$10,"SELISIH","OK")))</f>
        <v/>
      </c>
    </row>
    <row r="1585" customFormat="false" ht="15" hidden="false" customHeight="false" outlineLevel="0" collapsed="false">
      <c r="A1585" s="21"/>
      <c r="B1585" s="22"/>
      <c r="C1585" s="21"/>
      <c r="D1585" s="21"/>
      <c r="E1585" s="28"/>
      <c r="F1585" s="24"/>
      <c r="G1585" s="26"/>
      <c r="H1585" s="24"/>
      <c r="I1585" s="24"/>
      <c r="J1585" s="24"/>
      <c r="K1585" s="24"/>
      <c r="L1585" s="26"/>
      <c r="M1585" s="26"/>
      <c r="N1585" s="22"/>
      <c r="O1585" s="21"/>
      <c r="P1585" s="22"/>
      <c r="Q1585" s="29" t="str">
        <f aca="false">IF(C1585="","",IF(O1585&lt;&gt;"",O1585,IFERROR(INDEX(Produk!$J$2:$J$100,MATCH(C1585,Produk!$A$2:$A$100,0)),"PRODUK?")))</f>
        <v/>
      </c>
      <c r="R1585" s="29" t="str">
        <f aca="false">IF(A1585="","",IF(COUNTIF(Anggota!$A$2:$A$2001,A1585)=0,"TIDAK ADA","OK"))</f>
        <v/>
      </c>
      <c r="S1585" s="29" t="str">
        <f aca="false">IF(H1585="","",IF(OR(J1585="",L1585=""),"-",IF(ABS(H1585-J1585*L1585)&gt;Info_Koperasi!$C$10,"SELISIH","OK")))</f>
        <v/>
      </c>
    </row>
    <row r="1586" customFormat="false" ht="15" hidden="false" customHeight="false" outlineLevel="0" collapsed="false">
      <c r="A1586" s="21"/>
      <c r="B1586" s="22"/>
      <c r="C1586" s="21"/>
      <c r="D1586" s="21"/>
      <c r="E1586" s="28"/>
      <c r="F1586" s="24"/>
      <c r="G1586" s="26"/>
      <c r="H1586" s="24"/>
      <c r="I1586" s="24"/>
      <c r="J1586" s="24"/>
      <c r="K1586" s="24"/>
      <c r="L1586" s="26"/>
      <c r="M1586" s="26"/>
      <c r="N1586" s="22"/>
      <c r="O1586" s="21"/>
      <c r="P1586" s="22"/>
      <c r="Q1586" s="29" t="str">
        <f aca="false">IF(C1586="","",IF(O1586&lt;&gt;"",O1586,IFERROR(INDEX(Produk!$J$2:$J$100,MATCH(C1586,Produk!$A$2:$A$100,0)),"PRODUK?")))</f>
        <v/>
      </c>
      <c r="R1586" s="29" t="str">
        <f aca="false">IF(A1586="","",IF(COUNTIF(Anggota!$A$2:$A$2001,A1586)=0,"TIDAK ADA","OK"))</f>
        <v/>
      </c>
      <c r="S1586" s="29" t="str">
        <f aca="false">IF(H1586="","",IF(OR(J1586="",L1586=""),"-",IF(ABS(H1586-J1586*L1586)&gt;Info_Koperasi!$C$10,"SELISIH","OK")))</f>
        <v/>
      </c>
    </row>
    <row r="1587" customFormat="false" ht="15" hidden="false" customHeight="false" outlineLevel="0" collapsed="false">
      <c r="A1587" s="21"/>
      <c r="B1587" s="22"/>
      <c r="C1587" s="21"/>
      <c r="D1587" s="21"/>
      <c r="E1587" s="28"/>
      <c r="F1587" s="24"/>
      <c r="G1587" s="26"/>
      <c r="H1587" s="24"/>
      <c r="I1587" s="24"/>
      <c r="J1587" s="24"/>
      <c r="K1587" s="24"/>
      <c r="L1587" s="26"/>
      <c r="M1587" s="26"/>
      <c r="N1587" s="22"/>
      <c r="O1587" s="21"/>
      <c r="P1587" s="22"/>
      <c r="Q1587" s="29" t="str">
        <f aca="false">IF(C1587="","",IF(O1587&lt;&gt;"",O1587,IFERROR(INDEX(Produk!$J$2:$J$100,MATCH(C1587,Produk!$A$2:$A$100,0)),"PRODUK?")))</f>
        <v/>
      </c>
      <c r="R1587" s="29" t="str">
        <f aca="false">IF(A1587="","",IF(COUNTIF(Anggota!$A$2:$A$2001,A1587)=0,"TIDAK ADA","OK"))</f>
        <v/>
      </c>
      <c r="S1587" s="29" t="str">
        <f aca="false">IF(H1587="","",IF(OR(J1587="",L1587=""),"-",IF(ABS(H1587-J1587*L1587)&gt;Info_Koperasi!$C$10,"SELISIH","OK")))</f>
        <v/>
      </c>
    </row>
    <row r="1588" customFormat="false" ht="15" hidden="false" customHeight="false" outlineLevel="0" collapsed="false">
      <c r="A1588" s="21"/>
      <c r="B1588" s="22"/>
      <c r="C1588" s="21"/>
      <c r="D1588" s="21"/>
      <c r="E1588" s="28"/>
      <c r="F1588" s="24"/>
      <c r="G1588" s="26"/>
      <c r="H1588" s="24"/>
      <c r="I1588" s="24"/>
      <c r="J1588" s="24"/>
      <c r="K1588" s="24"/>
      <c r="L1588" s="26"/>
      <c r="M1588" s="26"/>
      <c r="N1588" s="22"/>
      <c r="O1588" s="21"/>
      <c r="P1588" s="22"/>
      <c r="Q1588" s="29" t="str">
        <f aca="false">IF(C1588="","",IF(O1588&lt;&gt;"",O1588,IFERROR(INDEX(Produk!$J$2:$J$100,MATCH(C1588,Produk!$A$2:$A$100,0)),"PRODUK?")))</f>
        <v/>
      </c>
      <c r="R1588" s="29" t="str">
        <f aca="false">IF(A1588="","",IF(COUNTIF(Anggota!$A$2:$A$2001,A1588)=0,"TIDAK ADA","OK"))</f>
        <v/>
      </c>
      <c r="S1588" s="29" t="str">
        <f aca="false">IF(H1588="","",IF(OR(J1588="",L1588=""),"-",IF(ABS(H1588-J1588*L1588)&gt;Info_Koperasi!$C$10,"SELISIH","OK")))</f>
        <v/>
      </c>
    </row>
    <row r="1589" customFormat="false" ht="15" hidden="false" customHeight="false" outlineLevel="0" collapsed="false">
      <c r="A1589" s="21"/>
      <c r="B1589" s="22"/>
      <c r="C1589" s="21"/>
      <c r="D1589" s="21"/>
      <c r="E1589" s="28"/>
      <c r="F1589" s="24"/>
      <c r="G1589" s="26"/>
      <c r="H1589" s="24"/>
      <c r="I1589" s="24"/>
      <c r="J1589" s="24"/>
      <c r="K1589" s="24"/>
      <c r="L1589" s="26"/>
      <c r="M1589" s="26"/>
      <c r="N1589" s="22"/>
      <c r="O1589" s="21"/>
      <c r="P1589" s="22"/>
      <c r="Q1589" s="29" t="str">
        <f aca="false">IF(C1589="","",IF(O1589&lt;&gt;"",O1589,IFERROR(INDEX(Produk!$J$2:$J$100,MATCH(C1589,Produk!$A$2:$A$100,0)),"PRODUK?")))</f>
        <v/>
      </c>
      <c r="R1589" s="29" t="str">
        <f aca="false">IF(A1589="","",IF(COUNTIF(Anggota!$A$2:$A$2001,A1589)=0,"TIDAK ADA","OK"))</f>
        <v/>
      </c>
      <c r="S1589" s="29" t="str">
        <f aca="false">IF(H1589="","",IF(OR(J1589="",L1589=""),"-",IF(ABS(H1589-J1589*L1589)&gt;Info_Koperasi!$C$10,"SELISIH","OK")))</f>
        <v/>
      </c>
    </row>
    <row r="1590" customFormat="false" ht="15" hidden="false" customHeight="false" outlineLevel="0" collapsed="false">
      <c r="A1590" s="21"/>
      <c r="B1590" s="22"/>
      <c r="C1590" s="21"/>
      <c r="D1590" s="21"/>
      <c r="E1590" s="28"/>
      <c r="F1590" s="24"/>
      <c r="G1590" s="26"/>
      <c r="H1590" s="24"/>
      <c r="I1590" s="24"/>
      <c r="J1590" s="24"/>
      <c r="K1590" s="24"/>
      <c r="L1590" s="26"/>
      <c r="M1590" s="26"/>
      <c r="N1590" s="22"/>
      <c r="O1590" s="21"/>
      <c r="P1590" s="22"/>
      <c r="Q1590" s="29" t="str">
        <f aca="false">IF(C1590="","",IF(O1590&lt;&gt;"",O1590,IFERROR(INDEX(Produk!$J$2:$J$100,MATCH(C1590,Produk!$A$2:$A$100,0)),"PRODUK?")))</f>
        <v/>
      </c>
      <c r="R1590" s="29" t="str">
        <f aca="false">IF(A1590="","",IF(COUNTIF(Anggota!$A$2:$A$2001,A1590)=0,"TIDAK ADA","OK"))</f>
        <v/>
      </c>
      <c r="S1590" s="29" t="str">
        <f aca="false">IF(H1590="","",IF(OR(J1590="",L1590=""),"-",IF(ABS(H1590-J1590*L1590)&gt;Info_Koperasi!$C$10,"SELISIH","OK")))</f>
        <v/>
      </c>
    </row>
    <row r="1591" customFormat="false" ht="15" hidden="false" customHeight="false" outlineLevel="0" collapsed="false">
      <c r="A1591" s="21"/>
      <c r="B1591" s="22"/>
      <c r="C1591" s="21"/>
      <c r="D1591" s="21"/>
      <c r="E1591" s="28"/>
      <c r="F1591" s="24"/>
      <c r="G1591" s="26"/>
      <c r="H1591" s="24"/>
      <c r="I1591" s="24"/>
      <c r="J1591" s="24"/>
      <c r="K1591" s="24"/>
      <c r="L1591" s="26"/>
      <c r="M1591" s="26"/>
      <c r="N1591" s="22"/>
      <c r="O1591" s="21"/>
      <c r="P1591" s="22"/>
      <c r="Q1591" s="29" t="str">
        <f aca="false">IF(C1591="","",IF(O1591&lt;&gt;"",O1591,IFERROR(INDEX(Produk!$J$2:$J$100,MATCH(C1591,Produk!$A$2:$A$100,0)),"PRODUK?")))</f>
        <v/>
      </c>
      <c r="R1591" s="29" t="str">
        <f aca="false">IF(A1591="","",IF(COUNTIF(Anggota!$A$2:$A$2001,A1591)=0,"TIDAK ADA","OK"))</f>
        <v/>
      </c>
      <c r="S1591" s="29" t="str">
        <f aca="false">IF(H1591="","",IF(OR(J1591="",L1591=""),"-",IF(ABS(H1591-J1591*L1591)&gt;Info_Koperasi!$C$10,"SELISIH","OK")))</f>
        <v/>
      </c>
    </row>
    <row r="1592" customFormat="false" ht="15" hidden="false" customHeight="false" outlineLevel="0" collapsed="false">
      <c r="A1592" s="21"/>
      <c r="B1592" s="22"/>
      <c r="C1592" s="21"/>
      <c r="D1592" s="21"/>
      <c r="E1592" s="28"/>
      <c r="F1592" s="24"/>
      <c r="G1592" s="26"/>
      <c r="H1592" s="24"/>
      <c r="I1592" s="24"/>
      <c r="J1592" s="24"/>
      <c r="K1592" s="24"/>
      <c r="L1592" s="26"/>
      <c r="M1592" s="26"/>
      <c r="N1592" s="22"/>
      <c r="O1592" s="21"/>
      <c r="P1592" s="22"/>
      <c r="Q1592" s="29" t="str">
        <f aca="false">IF(C1592="","",IF(O1592&lt;&gt;"",O1592,IFERROR(INDEX(Produk!$J$2:$J$100,MATCH(C1592,Produk!$A$2:$A$100,0)),"PRODUK?")))</f>
        <v/>
      </c>
      <c r="R1592" s="29" t="str">
        <f aca="false">IF(A1592="","",IF(COUNTIF(Anggota!$A$2:$A$2001,A1592)=0,"TIDAK ADA","OK"))</f>
        <v/>
      </c>
      <c r="S1592" s="29" t="str">
        <f aca="false">IF(H1592="","",IF(OR(J1592="",L1592=""),"-",IF(ABS(H1592-J1592*L1592)&gt;Info_Koperasi!$C$10,"SELISIH","OK")))</f>
        <v/>
      </c>
    </row>
    <row r="1593" customFormat="false" ht="15" hidden="false" customHeight="false" outlineLevel="0" collapsed="false">
      <c r="A1593" s="21"/>
      <c r="B1593" s="22"/>
      <c r="C1593" s="21"/>
      <c r="D1593" s="21"/>
      <c r="E1593" s="28"/>
      <c r="F1593" s="24"/>
      <c r="G1593" s="26"/>
      <c r="H1593" s="24"/>
      <c r="I1593" s="24"/>
      <c r="J1593" s="24"/>
      <c r="K1593" s="24"/>
      <c r="L1593" s="26"/>
      <c r="M1593" s="26"/>
      <c r="N1593" s="22"/>
      <c r="O1593" s="21"/>
      <c r="P1593" s="22"/>
      <c r="Q1593" s="29" t="str">
        <f aca="false">IF(C1593="","",IF(O1593&lt;&gt;"",O1593,IFERROR(INDEX(Produk!$J$2:$J$100,MATCH(C1593,Produk!$A$2:$A$100,0)),"PRODUK?")))</f>
        <v/>
      </c>
      <c r="R1593" s="29" t="str">
        <f aca="false">IF(A1593="","",IF(COUNTIF(Anggota!$A$2:$A$2001,A1593)=0,"TIDAK ADA","OK"))</f>
        <v/>
      </c>
      <c r="S1593" s="29" t="str">
        <f aca="false">IF(H1593="","",IF(OR(J1593="",L1593=""),"-",IF(ABS(H1593-J1593*L1593)&gt;Info_Koperasi!$C$10,"SELISIH","OK")))</f>
        <v/>
      </c>
    </row>
    <row r="1594" customFormat="false" ht="15" hidden="false" customHeight="false" outlineLevel="0" collapsed="false">
      <c r="A1594" s="21"/>
      <c r="B1594" s="22"/>
      <c r="C1594" s="21"/>
      <c r="D1594" s="21"/>
      <c r="E1594" s="28"/>
      <c r="F1594" s="24"/>
      <c r="G1594" s="26"/>
      <c r="H1594" s="24"/>
      <c r="I1594" s="24"/>
      <c r="J1594" s="24"/>
      <c r="K1594" s="24"/>
      <c r="L1594" s="26"/>
      <c r="M1594" s="26"/>
      <c r="N1594" s="22"/>
      <c r="O1594" s="21"/>
      <c r="P1594" s="22"/>
      <c r="Q1594" s="29" t="str">
        <f aca="false">IF(C1594="","",IF(O1594&lt;&gt;"",O1594,IFERROR(INDEX(Produk!$J$2:$J$100,MATCH(C1594,Produk!$A$2:$A$100,0)),"PRODUK?")))</f>
        <v/>
      </c>
      <c r="R1594" s="29" t="str">
        <f aca="false">IF(A1594="","",IF(COUNTIF(Anggota!$A$2:$A$2001,A1594)=0,"TIDAK ADA","OK"))</f>
        <v/>
      </c>
      <c r="S1594" s="29" t="str">
        <f aca="false">IF(H1594="","",IF(OR(J1594="",L1594=""),"-",IF(ABS(H1594-J1594*L1594)&gt;Info_Koperasi!$C$10,"SELISIH","OK")))</f>
        <v/>
      </c>
    </row>
    <row r="1595" customFormat="false" ht="15" hidden="false" customHeight="false" outlineLevel="0" collapsed="false">
      <c r="A1595" s="21"/>
      <c r="B1595" s="22"/>
      <c r="C1595" s="21"/>
      <c r="D1595" s="21"/>
      <c r="E1595" s="28"/>
      <c r="F1595" s="24"/>
      <c r="G1595" s="26"/>
      <c r="H1595" s="24"/>
      <c r="I1595" s="24"/>
      <c r="J1595" s="24"/>
      <c r="K1595" s="24"/>
      <c r="L1595" s="26"/>
      <c r="M1595" s="26"/>
      <c r="N1595" s="22"/>
      <c r="O1595" s="21"/>
      <c r="P1595" s="22"/>
      <c r="Q1595" s="29" t="str">
        <f aca="false">IF(C1595="","",IF(O1595&lt;&gt;"",O1595,IFERROR(INDEX(Produk!$J$2:$J$100,MATCH(C1595,Produk!$A$2:$A$100,0)),"PRODUK?")))</f>
        <v/>
      </c>
      <c r="R1595" s="29" t="str">
        <f aca="false">IF(A1595="","",IF(COUNTIF(Anggota!$A$2:$A$2001,A1595)=0,"TIDAK ADA","OK"))</f>
        <v/>
      </c>
      <c r="S1595" s="29" t="str">
        <f aca="false">IF(H1595="","",IF(OR(J1595="",L1595=""),"-",IF(ABS(H1595-J1595*L1595)&gt;Info_Koperasi!$C$10,"SELISIH","OK")))</f>
        <v/>
      </c>
    </row>
    <row r="1596" customFormat="false" ht="15" hidden="false" customHeight="false" outlineLevel="0" collapsed="false">
      <c r="A1596" s="21"/>
      <c r="B1596" s="22"/>
      <c r="C1596" s="21"/>
      <c r="D1596" s="21"/>
      <c r="E1596" s="28"/>
      <c r="F1596" s="24"/>
      <c r="G1596" s="26"/>
      <c r="H1596" s="24"/>
      <c r="I1596" s="24"/>
      <c r="J1596" s="24"/>
      <c r="K1596" s="24"/>
      <c r="L1596" s="26"/>
      <c r="M1596" s="26"/>
      <c r="N1596" s="22"/>
      <c r="O1596" s="21"/>
      <c r="P1596" s="22"/>
      <c r="Q1596" s="29" t="str">
        <f aca="false">IF(C1596="","",IF(O1596&lt;&gt;"",O1596,IFERROR(INDEX(Produk!$J$2:$J$100,MATCH(C1596,Produk!$A$2:$A$100,0)),"PRODUK?")))</f>
        <v/>
      </c>
      <c r="R1596" s="29" t="str">
        <f aca="false">IF(A1596="","",IF(COUNTIF(Anggota!$A$2:$A$2001,A1596)=0,"TIDAK ADA","OK"))</f>
        <v/>
      </c>
      <c r="S1596" s="29" t="str">
        <f aca="false">IF(H1596="","",IF(OR(J1596="",L1596=""),"-",IF(ABS(H1596-J1596*L1596)&gt;Info_Koperasi!$C$10,"SELISIH","OK")))</f>
        <v/>
      </c>
    </row>
    <row r="1597" customFormat="false" ht="15" hidden="false" customHeight="false" outlineLevel="0" collapsed="false">
      <c r="A1597" s="21"/>
      <c r="B1597" s="22"/>
      <c r="C1597" s="21"/>
      <c r="D1597" s="21"/>
      <c r="E1597" s="28"/>
      <c r="F1597" s="24"/>
      <c r="G1597" s="26"/>
      <c r="H1597" s="24"/>
      <c r="I1597" s="24"/>
      <c r="J1597" s="24"/>
      <c r="K1597" s="24"/>
      <c r="L1597" s="26"/>
      <c r="M1597" s="26"/>
      <c r="N1597" s="22"/>
      <c r="O1597" s="21"/>
      <c r="P1597" s="22"/>
      <c r="Q1597" s="29" t="str">
        <f aca="false">IF(C1597="","",IF(O1597&lt;&gt;"",O1597,IFERROR(INDEX(Produk!$J$2:$J$100,MATCH(C1597,Produk!$A$2:$A$100,0)),"PRODUK?")))</f>
        <v/>
      </c>
      <c r="R1597" s="29" t="str">
        <f aca="false">IF(A1597="","",IF(COUNTIF(Anggota!$A$2:$A$2001,A1597)=0,"TIDAK ADA","OK"))</f>
        <v/>
      </c>
      <c r="S1597" s="29" t="str">
        <f aca="false">IF(H1597="","",IF(OR(J1597="",L1597=""),"-",IF(ABS(H1597-J1597*L1597)&gt;Info_Koperasi!$C$10,"SELISIH","OK")))</f>
        <v/>
      </c>
    </row>
    <row r="1598" customFormat="false" ht="15" hidden="false" customHeight="false" outlineLevel="0" collapsed="false">
      <c r="A1598" s="21"/>
      <c r="B1598" s="22"/>
      <c r="C1598" s="21"/>
      <c r="D1598" s="21"/>
      <c r="E1598" s="28"/>
      <c r="F1598" s="24"/>
      <c r="G1598" s="26"/>
      <c r="H1598" s="24"/>
      <c r="I1598" s="24"/>
      <c r="J1598" s="24"/>
      <c r="K1598" s="24"/>
      <c r="L1598" s="26"/>
      <c r="M1598" s="26"/>
      <c r="N1598" s="22"/>
      <c r="O1598" s="21"/>
      <c r="P1598" s="22"/>
      <c r="Q1598" s="29" t="str">
        <f aca="false">IF(C1598="","",IF(O1598&lt;&gt;"",O1598,IFERROR(INDEX(Produk!$J$2:$J$100,MATCH(C1598,Produk!$A$2:$A$100,0)),"PRODUK?")))</f>
        <v/>
      </c>
      <c r="R1598" s="29" t="str">
        <f aca="false">IF(A1598="","",IF(COUNTIF(Anggota!$A$2:$A$2001,A1598)=0,"TIDAK ADA","OK"))</f>
        <v/>
      </c>
      <c r="S1598" s="29" t="str">
        <f aca="false">IF(H1598="","",IF(OR(J1598="",L1598=""),"-",IF(ABS(H1598-J1598*L1598)&gt;Info_Koperasi!$C$10,"SELISIH","OK")))</f>
        <v/>
      </c>
    </row>
    <row r="1599" customFormat="false" ht="15" hidden="false" customHeight="false" outlineLevel="0" collapsed="false">
      <c r="A1599" s="21"/>
      <c r="B1599" s="22"/>
      <c r="C1599" s="21"/>
      <c r="D1599" s="21"/>
      <c r="E1599" s="28"/>
      <c r="F1599" s="24"/>
      <c r="G1599" s="26"/>
      <c r="H1599" s="24"/>
      <c r="I1599" s="24"/>
      <c r="J1599" s="24"/>
      <c r="K1599" s="24"/>
      <c r="L1599" s="26"/>
      <c r="M1599" s="26"/>
      <c r="N1599" s="22"/>
      <c r="O1599" s="21"/>
      <c r="P1599" s="22"/>
      <c r="Q1599" s="29" t="str">
        <f aca="false">IF(C1599="","",IF(O1599&lt;&gt;"",O1599,IFERROR(INDEX(Produk!$J$2:$J$100,MATCH(C1599,Produk!$A$2:$A$100,0)),"PRODUK?")))</f>
        <v/>
      </c>
      <c r="R1599" s="29" t="str">
        <f aca="false">IF(A1599="","",IF(COUNTIF(Anggota!$A$2:$A$2001,A1599)=0,"TIDAK ADA","OK"))</f>
        <v/>
      </c>
      <c r="S1599" s="29" t="str">
        <f aca="false">IF(H1599="","",IF(OR(J1599="",L1599=""),"-",IF(ABS(H1599-J1599*L1599)&gt;Info_Koperasi!$C$10,"SELISIH","OK")))</f>
        <v/>
      </c>
    </row>
    <row r="1600" customFormat="false" ht="15" hidden="false" customHeight="false" outlineLevel="0" collapsed="false">
      <c r="A1600" s="21"/>
      <c r="B1600" s="22"/>
      <c r="C1600" s="21"/>
      <c r="D1600" s="21"/>
      <c r="E1600" s="28"/>
      <c r="F1600" s="24"/>
      <c r="G1600" s="26"/>
      <c r="H1600" s="24"/>
      <c r="I1600" s="24"/>
      <c r="J1600" s="24"/>
      <c r="K1600" s="24"/>
      <c r="L1600" s="26"/>
      <c r="M1600" s="26"/>
      <c r="N1600" s="22"/>
      <c r="O1600" s="21"/>
      <c r="P1600" s="22"/>
      <c r="Q1600" s="29" t="str">
        <f aca="false">IF(C1600="","",IF(O1600&lt;&gt;"",O1600,IFERROR(INDEX(Produk!$J$2:$J$100,MATCH(C1600,Produk!$A$2:$A$100,0)),"PRODUK?")))</f>
        <v/>
      </c>
      <c r="R1600" s="29" t="str">
        <f aca="false">IF(A1600="","",IF(COUNTIF(Anggota!$A$2:$A$2001,A1600)=0,"TIDAK ADA","OK"))</f>
        <v/>
      </c>
      <c r="S1600" s="29" t="str">
        <f aca="false">IF(H1600="","",IF(OR(J1600="",L1600=""),"-",IF(ABS(H1600-J1600*L1600)&gt;Info_Koperasi!$C$10,"SELISIH","OK")))</f>
        <v/>
      </c>
    </row>
    <row r="1601" customFormat="false" ht="15" hidden="false" customHeight="false" outlineLevel="0" collapsed="false">
      <c r="A1601" s="21"/>
      <c r="B1601" s="22"/>
      <c r="C1601" s="21"/>
      <c r="D1601" s="21"/>
      <c r="E1601" s="28"/>
      <c r="F1601" s="24"/>
      <c r="G1601" s="26"/>
      <c r="H1601" s="24"/>
      <c r="I1601" s="24"/>
      <c r="J1601" s="24"/>
      <c r="K1601" s="24"/>
      <c r="L1601" s="26"/>
      <c r="M1601" s="26"/>
      <c r="N1601" s="22"/>
      <c r="O1601" s="21"/>
      <c r="P1601" s="22"/>
      <c r="Q1601" s="29" t="str">
        <f aca="false">IF(C1601="","",IF(O1601&lt;&gt;"",O1601,IFERROR(INDEX(Produk!$J$2:$J$100,MATCH(C1601,Produk!$A$2:$A$100,0)),"PRODUK?")))</f>
        <v/>
      </c>
      <c r="R1601" s="29" t="str">
        <f aca="false">IF(A1601="","",IF(COUNTIF(Anggota!$A$2:$A$2001,A1601)=0,"TIDAK ADA","OK"))</f>
        <v/>
      </c>
      <c r="S1601" s="29" t="str">
        <f aca="false">IF(H1601="","",IF(OR(J1601="",L1601=""),"-",IF(ABS(H1601-J1601*L1601)&gt;Info_Koperasi!$C$10,"SELISIH","OK")))</f>
        <v/>
      </c>
    </row>
    <row r="1602" customFormat="false" ht="15" hidden="false" customHeight="false" outlineLevel="0" collapsed="false">
      <c r="A1602" s="21"/>
      <c r="B1602" s="22"/>
      <c r="C1602" s="21"/>
      <c r="D1602" s="21"/>
      <c r="E1602" s="28"/>
      <c r="F1602" s="24"/>
      <c r="G1602" s="26"/>
      <c r="H1602" s="24"/>
      <c r="I1602" s="24"/>
      <c r="J1602" s="24"/>
      <c r="K1602" s="24"/>
      <c r="L1602" s="26"/>
      <c r="M1602" s="26"/>
      <c r="N1602" s="22"/>
      <c r="O1602" s="21"/>
      <c r="P1602" s="22"/>
      <c r="Q1602" s="29" t="str">
        <f aca="false">IF(C1602="","",IF(O1602&lt;&gt;"",O1602,IFERROR(INDEX(Produk!$J$2:$J$100,MATCH(C1602,Produk!$A$2:$A$100,0)),"PRODUK?")))</f>
        <v/>
      </c>
      <c r="R1602" s="29" t="str">
        <f aca="false">IF(A1602="","",IF(COUNTIF(Anggota!$A$2:$A$2001,A1602)=0,"TIDAK ADA","OK"))</f>
        <v/>
      </c>
      <c r="S1602" s="29" t="str">
        <f aca="false">IF(H1602="","",IF(OR(J1602="",L1602=""),"-",IF(ABS(H1602-J1602*L1602)&gt;Info_Koperasi!$C$10,"SELISIH","OK")))</f>
        <v/>
      </c>
    </row>
    <row r="1603" customFormat="false" ht="15" hidden="false" customHeight="false" outlineLevel="0" collapsed="false">
      <c r="A1603" s="21"/>
      <c r="B1603" s="22"/>
      <c r="C1603" s="21"/>
      <c r="D1603" s="21"/>
      <c r="E1603" s="28"/>
      <c r="F1603" s="24"/>
      <c r="G1603" s="26"/>
      <c r="H1603" s="24"/>
      <c r="I1603" s="24"/>
      <c r="J1603" s="24"/>
      <c r="K1603" s="24"/>
      <c r="L1603" s="26"/>
      <c r="M1603" s="26"/>
      <c r="N1603" s="22"/>
      <c r="O1603" s="21"/>
      <c r="P1603" s="22"/>
      <c r="Q1603" s="29" t="str">
        <f aca="false">IF(C1603="","",IF(O1603&lt;&gt;"",O1603,IFERROR(INDEX(Produk!$J$2:$J$100,MATCH(C1603,Produk!$A$2:$A$100,0)),"PRODUK?")))</f>
        <v/>
      </c>
      <c r="R1603" s="29" t="str">
        <f aca="false">IF(A1603="","",IF(COUNTIF(Anggota!$A$2:$A$2001,A1603)=0,"TIDAK ADA","OK"))</f>
        <v/>
      </c>
      <c r="S1603" s="29" t="str">
        <f aca="false">IF(H1603="","",IF(OR(J1603="",L1603=""),"-",IF(ABS(H1603-J1603*L1603)&gt;Info_Koperasi!$C$10,"SELISIH","OK")))</f>
        <v/>
      </c>
    </row>
    <row r="1604" customFormat="false" ht="15" hidden="false" customHeight="false" outlineLevel="0" collapsed="false">
      <c r="A1604" s="21"/>
      <c r="B1604" s="22"/>
      <c r="C1604" s="21"/>
      <c r="D1604" s="21"/>
      <c r="E1604" s="28"/>
      <c r="F1604" s="24"/>
      <c r="G1604" s="26"/>
      <c r="H1604" s="24"/>
      <c r="I1604" s="24"/>
      <c r="J1604" s="24"/>
      <c r="K1604" s="24"/>
      <c r="L1604" s="26"/>
      <c r="M1604" s="26"/>
      <c r="N1604" s="22"/>
      <c r="O1604" s="21"/>
      <c r="P1604" s="22"/>
      <c r="Q1604" s="29" t="str">
        <f aca="false">IF(C1604="","",IF(O1604&lt;&gt;"",O1604,IFERROR(INDEX(Produk!$J$2:$J$100,MATCH(C1604,Produk!$A$2:$A$100,0)),"PRODUK?")))</f>
        <v/>
      </c>
      <c r="R1604" s="29" t="str">
        <f aca="false">IF(A1604="","",IF(COUNTIF(Anggota!$A$2:$A$2001,A1604)=0,"TIDAK ADA","OK"))</f>
        <v/>
      </c>
      <c r="S1604" s="29" t="str">
        <f aca="false">IF(H1604="","",IF(OR(J1604="",L1604=""),"-",IF(ABS(H1604-J1604*L1604)&gt;Info_Koperasi!$C$10,"SELISIH","OK")))</f>
        <v/>
      </c>
    </row>
    <row r="1605" customFormat="false" ht="15" hidden="false" customHeight="false" outlineLevel="0" collapsed="false">
      <c r="A1605" s="21"/>
      <c r="B1605" s="22"/>
      <c r="C1605" s="21"/>
      <c r="D1605" s="21"/>
      <c r="E1605" s="28"/>
      <c r="F1605" s="24"/>
      <c r="G1605" s="26"/>
      <c r="H1605" s="24"/>
      <c r="I1605" s="24"/>
      <c r="J1605" s="24"/>
      <c r="K1605" s="24"/>
      <c r="L1605" s="26"/>
      <c r="M1605" s="26"/>
      <c r="N1605" s="22"/>
      <c r="O1605" s="21"/>
      <c r="P1605" s="22"/>
      <c r="Q1605" s="29" t="str">
        <f aca="false">IF(C1605="","",IF(O1605&lt;&gt;"",O1605,IFERROR(INDEX(Produk!$J$2:$J$100,MATCH(C1605,Produk!$A$2:$A$100,0)),"PRODUK?")))</f>
        <v/>
      </c>
      <c r="R1605" s="29" t="str">
        <f aca="false">IF(A1605="","",IF(COUNTIF(Anggota!$A$2:$A$2001,A1605)=0,"TIDAK ADA","OK"))</f>
        <v/>
      </c>
      <c r="S1605" s="29" t="str">
        <f aca="false">IF(H1605="","",IF(OR(J1605="",L1605=""),"-",IF(ABS(H1605-J1605*L1605)&gt;Info_Koperasi!$C$10,"SELISIH","OK")))</f>
        <v/>
      </c>
    </row>
    <row r="1606" customFormat="false" ht="15" hidden="false" customHeight="false" outlineLevel="0" collapsed="false">
      <c r="A1606" s="21"/>
      <c r="B1606" s="22"/>
      <c r="C1606" s="21"/>
      <c r="D1606" s="21"/>
      <c r="E1606" s="28"/>
      <c r="F1606" s="24"/>
      <c r="G1606" s="26"/>
      <c r="H1606" s="24"/>
      <c r="I1606" s="24"/>
      <c r="J1606" s="24"/>
      <c r="K1606" s="24"/>
      <c r="L1606" s="26"/>
      <c r="M1606" s="26"/>
      <c r="N1606" s="22"/>
      <c r="O1606" s="21"/>
      <c r="P1606" s="22"/>
      <c r="Q1606" s="29" t="str">
        <f aca="false">IF(C1606="","",IF(O1606&lt;&gt;"",O1606,IFERROR(INDEX(Produk!$J$2:$J$100,MATCH(C1606,Produk!$A$2:$A$100,0)),"PRODUK?")))</f>
        <v/>
      </c>
      <c r="R1606" s="29" t="str">
        <f aca="false">IF(A1606="","",IF(COUNTIF(Anggota!$A$2:$A$2001,A1606)=0,"TIDAK ADA","OK"))</f>
        <v/>
      </c>
      <c r="S1606" s="29" t="str">
        <f aca="false">IF(H1606="","",IF(OR(J1606="",L1606=""),"-",IF(ABS(H1606-J1606*L1606)&gt;Info_Koperasi!$C$10,"SELISIH","OK")))</f>
        <v/>
      </c>
    </row>
    <row r="1607" customFormat="false" ht="15" hidden="false" customHeight="false" outlineLevel="0" collapsed="false">
      <c r="A1607" s="21"/>
      <c r="B1607" s="22"/>
      <c r="C1607" s="21"/>
      <c r="D1607" s="21"/>
      <c r="E1607" s="28"/>
      <c r="F1607" s="24"/>
      <c r="G1607" s="26"/>
      <c r="H1607" s="24"/>
      <c r="I1607" s="24"/>
      <c r="J1607" s="24"/>
      <c r="K1607" s="24"/>
      <c r="L1607" s="26"/>
      <c r="M1607" s="26"/>
      <c r="N1607" s="22"/>
      <c r="O1607" s="21"/>
      <c r="P1607" s="22"/>
      <c r="Q1607" s="29" t="str">
        <f aca="false">IF(C1607="","",IF(O1607&lt;&gt;"",O1607,IFERROR(INDEX(Produk!$J$2:$J$100,MATCH(C1607,Produk!$A$2:$A$100,0)),"PRODUK?")))</f>
        <v/>
      </c>
      <c r="R1607" s="29" t="str">
        <f aca="false">IF(A1607="","",IF(COUNTIF(Anggota!$A$2:$A$2001,A1607)=0,"TIDAK ADA","OK"))</f>
        <v/>
      </c>
      <c r="S1607" s="29" t="str">
        <f aca="false">IF(H1607="","",IF(OR(J1607="",L1607=""),"-",IF(ABS(H1607-J1607*L1607)&gt;Info_Koperasi!$C$10,"SELISIH","OK")))</f>
        <v/>
      </c>
    </row>
    <row r="1608" customFormat="false" ht="15" hidden="false" customHeight="false" outlineLevel="0" collapsed="false">
      <c r="A1608" s="21"/>
      <c r="B1608" s="22"/>
      <c r="C1608" s="21"/>
      <c r="D1608" s="21"/>
      <c r="E1608" s="28"/>
      <c r="F1608" s="24"/>
      <c r="G1608" s="26"/>
      <c r="H1608" s="24"/>
      <c r="I1608" s="24"/>
      <c r="J1608" s="24"/>
      <c r="K1608" s="24"/>
      <c r="L1608" s="26"/>
      <c r="M1608" s="26"/>
      <c r="N1608" s="22"/>
      <c r="O1608" s="21"/>
      <c r="P1608" s="22"/>
      <c r="Q1608" s="29" t="str">
        <f aca="false">IF(C1608="","",IF(O1608&lt;&gt;"",O1608,IFERROR(INDEX(Produk!$J$2:$J$100,MATCH(C1608,Produk!$A$2:$A$100,0)),"PRODUK?")))</f>
        <v/>
      </c>
      <c r="R1608" s="29" t="str">
        <f aca="false">IF(A1608="","",IF(COUNTIF(Anggota!$A$2:$A$2001,A1608)=0,"TIDAK ADA","OK"))</f>
        <v/>
      </c>
      <c r="S1608" s="29" t="str">
        <f aca="false">IF(H1608="","",IF(OR(J1608="",L1608=""),"-",IF(ABS(H1608-J1608*L1608)&gt;Info_Koperasi!$C$10,"SELISIH","OK")))</f>
        <v/>
      </c>
    </row>
    <row r="1609" customFormat="false" ht="15" hidden="false" customHeight="false" outlineLevel="0" collapsed="false">
      <c r="A1609" s="21"/>
      <c r="B1609" s="22"/>
      <c r="C1609" s="21"/>
      <c r="D1609" s="21"/>
      <c r="E1609" s="28"/>
      <c r="F1609" s="24"/>
      <c r="G1609" s="26"/>
      <c r="H1609" s="24"/>
      <c r="I1609" s="24"/>
      <c r="J1609" s="24"/>
      <c r="K1609" s="24"/>
      <c r="L1609" s="26"/>
      <c r="M1609" s="26"/>
      <c r="N1609" s="22"/>
      <c r="O1609" s="21"/>
      <c r="P1609" s="22"/>
      <c r="Q1609" s="29" t="str">
        <f aca="false">IF(C1609="","",IF(O1609&lt;&gt;"",O1609,IFERROR(INDEX(Produk!$J$2:$J$100,MATCH(C1609,Produk!$A$2:$A$100,0)),"PRODUK?")))</f>
        <v/>
      </c>
      <c r="R1609" s="29" t="str">
        <f aca="false">IF(A1609="","",IF(COUNTIF(Anggota!$A$2:$A$2001,A1609)=0,"TIDAK ADA","OK"))</f>
        <v/>
      </c>
      <c r="S1609" s="29" t="str">
        <f aca="false">IF(H1609="","",IF(OR(J1609="",L1609=""),"-",IF(ABS(H1609-J1609*L1609)&gt;Info_Koperasi!$C$10,"SELISIH","OK")))</f>
        <v/>
      </c>
    </row>
    <row r="1610" customFormat="false" ht="15" hidden="false" customHeight="false" outlineLevel="0" collapsed="false">
      <c r="A1610" s="21"/>
      <c r="B1610" s="22"/>
      <c r="C1610" s="21"/>
      <c r="D1610" s="21"/>
      <c r="E1610" s="28"/>
      <c r="F1610" s="24"/>
      <c r="G1610" s="26"/>
      <c r="H1610" s="24"/>
      <c r="I1610" s="24"/>
      <c r="J1610" s="24"/>
      <c r="K1610" s="24"/>
      <c r="L1610" s="26"/>
      <c r="M1610" s="26"/>
      <c r="N1610" s="22"/>
      <c r="O1610" s="21"/>
      <c r="P1610" s="22"/>
      <c r="Q1610" s="29" t="str">
        <f aca="false">IF(C1610="","",IF(O1610&lt;&gt;"",O1610,IFERROR(INDEX(Produk!$J$2:$J$100,MATCH(C1610,Produk!$A$2:$A$100,0)),"PRODUK?")))</f>
        <v/>
      </c>
      <c r="R1610" s="29" t="str">
        <f aca="false">IF(A1610="","",IF(COUNTIF(Anggota!$A$2:$A$2001,A1610)=0,"TIDAK ADA","OK"))</f>
        <v/>
      </c>
      <c r="S1610" s="29" t="str">
        <f aca="false">IF(H1610="","",IF(OR(J1610="",L1610=""),"-",IF(ABS(H1610-J1610*L1610)&gt;Info_Koperasi!$C$10,"SELISIH","OK")))</f>
        <v/>
      </c>
    </row>
    <row r="1611" customFormat="false" ht="15" hidden="false" customHeight="false" outlineLevel="0" collapsed="false">
      <c r="A1611" s="21"/>
      <c r="B1611" s="22"/>
      <c r="C1611" s="21"/>
      <c r="D1611" s="21"/>
      <c r="E1611" s="28"/>
      <c r="F1611" s="24"/>
      <c r="G1611" s="26"/>
      <c r="H1611" s="24"/>
      <c r="I1611" s="24"/>
      <c r="J1611" s="24"/>
      <c r="K1611" s="24"/>
      <c r="L1611" s="26"/>
      <c r="M1611" s="26"/>
      <c r="N1611" s="22"/>
      <c r="O1611" s="21"/>
      <c r="P1611" s="22"/>
      <c r="Q1611" s="29" t="str">
        <f aca="false">IF(C1611="","",IF(O1611&lt;&gt;"",O1611,IFERROR(INDEX(Produk!$J$2:$J$100,MATCH(C1611,Produk!$A$2:$A$100,0)),"PRODUK?")))</f>
        <v/>
      </c>
      <c r="R1611" s="29" t="str">
        <f aca="false">IF(A1611="","",IF(COUNTIF(Anggota!$A$2:$A$2001,A1611)=0,"TIDAK ADA","OK"))</f>
        <v/>
      </c>
      <c r="S1611" s="29" t="str">
        <f aca="false">IF(H1611="","",IF(OR(J1611="",L1611=""),"-",IF(ABS(H1611-J1611*L1611)&gt;Info_Koperasi!$C$10,"SELISIH","OK")))</f>
        <v/>
      </c>
    </row>
    <row r="1612" customFormat="false" ht="15" hidden="false" customHeight="false" outlineLevel="0" collapsed="false">
      <c r="A1612" s="21"/>
      <c r="B1612" s="22"/>
      <c r="C1612" s="21"/>
      <c r="D1612" s="21"/>
      <c r="E1612" s="28"/>
      <c r="F1612" s="24"/>
      <c r="G1612" s="26"/>
      <c r="H1612" s="24"/>
      <c r="I1612" s="24"/>
      <c r="J1612" s="24"/>
      <c r="K1612" s="24"/>
      <c r="L1612" s="26"/>
      <c r="M1612" s="26"/>
      <c r="N1612" s="22"/>
      <c r="O1612" s="21"/>
      <c r="P1612" s="22"/>
      <c r="Q1612" s="29" t="str">
        <f aca="false">IF(C1612="","",IF(O1612&lt;&gt;"",O1612,IFERROR(INDEX(Produk!$J$2:$J$100,MATCH(C1612,Produk!$A$2:$A$100,0)),"PRODUK?")))</f>
        <v/>
      </c>
      <c r="R1612" s="29" t="str">
        <f aca="false">IF(A1612="","",IF(COUNTIF(Anggota!$A$2:$A$2001,A1612)=0,"TIDAK ADA","OK"))</f>
        <v/>
      </c>
      <c r="S1612" s="29" t="str">
        <f aca="false">IF(H1612="","",IF(OR(J1612="",L1612=""),"-",IF(ABS(H1612-J1612*L1612)&gt;Info_Koperasi!$C$10,"SELISIH","OK")))</f>
        <v/>
      </c>
    </row>
    <row r="1613" customFormat="false" ht="15" hidden="false" customHeight="false" outlineLevel="0" collapsed="false">
      <c r="A1613" s="21"/>
      <c r="B1613" s="22"/>
      <c r="C1613" s="21"/>
      <c r="D1613" s="21"/>
      <c r="E1613" s="28"/>
      <c r="F1613" s="24"/>
      <c r="G1613" s="26"/>
      <c r="H1613" s="24"/>
      <c r="I1613" s="24"/>
      <c r="J1613" s="24"/>
      <c r="K1613" s="24"/>
      <c r="L1613" s="26"/>
      <c r="M1613" s="26"/>
      <c r="N1613" s="22"/>
      <c r="O1613" s="21"/>
      <c r="P1613" s="22"/>
      <c r="Q1613" s="29" t="str">
        <f aca="false">IF(C1613="","",IF(O1613&lt;&gt;"",O1613,IFERROR(INDEX(Produk!$J$2:$J$100,MATCH(C1613,Produk!$A$2:$A$100,0)),"PRODUK?")))</f>
        <v/>
      </c>
      <c r="R1613" s="29" t="str">
        <f aca="false">IF(A1613="","",IF(COUNTIF(Anggota!$A$2:$A$2001,A1613)=0,"TIDAK ADA","OK"))</f>
        <v/>
      </c>
      <c r="S1613" s="29" t="str">
        <f aca="false">IF(H1613="","",IF(OR(J1613="",L1613=""),"-",IF(ABS(H1613-J1613*L1613)&gt;Info_Koperasi!$C$10,"SELISIH","OK")))</f>
        <v/>
      </c>
    </row>
    <row r="1614" customFormat="false" ht="15" hidden="false" customHeight="false" outlineLevel="0" collapsed="false">
      <c r="A1614" s="21"/>
      <c r="B1614" s="22"/>
      <c r="C1614" s="21"/>
      <c r="D1614" s="21"/>
      <c r="E1614" s="28"/>
      <c r="F1614" s="24"/>
      <c r="G1614" s="26"/>
      <c r="H1614" s="24"/>
      <c r="I1614" s="24"/>
      <c r="J1614" s="24"/>
      <c r="K1614" s="24"/>
      <c r="L1614" s="26"/>
      <c r="M1614" s="26"/>
      <c r="N1614" s="22"/>
      <c r="O1614" s="21"/>
      <c r="P1614" s="22"/>
      <c r="Q1614" s="29" t="str">
        <f aca="false">IF(C1614="","",IF(O1614&lt;&gt;"",O1614,IFERROR(INDEX(Produk!$J$2:$J$100,MATCH(C1614,Produk!$A$2:$A$100,0)),"PRODUK?")))</f>
        <v/>
      </c>
      <c r="R1614" s="29" t="str">
        <f aca="false">IF(A1614="","",IF(COUNTIF(Anggota!$A$2:$A$2001,A1614)=0,"TIDAK ADA","OK"))</f>
        <v/>
      </c>
      <c r="S1614" s="29" t="str">
        <f aca="false">IF(H1614="","",IF(OR(J1614="",L1614=""),"-",IF(ABS(H1614-J1614*L1614)&gt;Info_Koperasi!$C$10,"SELISIH","OK")))</f>
        <v/>
      </c>
    </row>
    <row r="1615" customFormat="false" ht="15" hidden="false" customHeight="false" outlineLevel="0" collapsed="false">
      <c r="A1615" s="21"/>
      <c r="B1615" s="22"/>
      <c r="C1615" s="21"/>
      <c r="D1615" s="21"/>
      <c r="E1615" s="28"/>
      <c r="F1615" s="24"/>
      <c r="G1615" s="26"/>
      <c r="H1615" s="24"/>
      <c r="I1615" s="24"/>
      <c r="J1615" s="24"/>
      <c r="K1615" s="24"/>
      <c r="L1615" s="26"/>
      <c r="M1615" s="26"/>
      <c r="N1615" s="22"/>
      <c r="O1615" s="21"/>
      <c r="P1615" s="22"/>
      <c r="Q1615" s="29" t="str">
        <f aca="false">IF(C1615="","",IF(O1615&lt;&gt;"",O1615,IFERROR(INDEX(Produk!$J$2:$J$100,MATCH(C1615,Produk!$A$2:$A$100,0)),"PRODUK?")))</f>
        <v/>
      </c>
      <c r="R1615" s="29" t="str">
        <f aca="false">IF(A1615="","",IF(COUNTIF(Anggota!$A$2:$A$2001,A1615)=0,"TIDAK ADA","OK"))</f>
        <v/>
      </c>
      <c r="S1615" s="29" t="str">
        <f aca="false">IF(H1615="","",IF(OR(J1615="",L1615=""),"-",IF(ABS(H1615-J1615*L1615)&gt;Info_Koperasi!$C$10,"SELISIH","OK")))</f>
        <v/>
      </c>
    </row>
    <row r="1616" customFormat="false" ht="15" hidden="false" customHeight="false" outlineLevel="0" collapsed="false">
      <c r="A1616" s="21"/>
      <c r="B1616" s="22"/>
      <c r="C1616" s="21"/>
      <c r="D1616" s="21"/>
      <c r="E1616" s="28"/>
      <c r="F1616" s="24"/>
      <c r="G1616" s="26"/>
      <c r="H1616" s="24"/>
      <c r="I1616" s="24"/>
      <c r="J1616" s="24"/>
      <c r="K1616" s="24"/>
      <c r="L1616" s="26"/>
      <c r="M1616" s="26"/>
      <c r="N1616" s="22"/>
      <c r="O1616" s="21"/>
      <c r="P1616" s="22"/>
      <c r="Q1616" s="29" t="str">
        <f aca="false">IF(C1616="","",IF(O1616&lt;&gt;"",O1616,IFERROR(INDEX(Produk!$J$2:$J$100,MATCH(C1616,Produk!$A$2:$A$100,0)),"PRODUK?")))</f>
        <v/>
      </c>
      <c r="R1616" s="29" t="str">
        <f aca="false">IF(A1616="","",IF(COUNTIF(Anggota!$A$2:$A$2001,A1616)=0,"TIDAK ADA","OK"))</f>
        <v/>
      </c>
      <c r="S1616" s="29" t="str">
        <f aca="false">IF(H1616="","",IF(OR(J1616="",L1616=""),"-",IF(ABS(H1616-J1616*L1616)&gt;Info_Koperasi!$C$10,"SELISIH","OK")))</f>
        <v/>
      </c>
    </row>
    <row r="1617" customFormat="false" ht="15" hidden="false" customHeight="false" outlineLevel="0" collapsed="false">
      <c r="A1617" s="21"/>
      <c r="B1617" s="22"/>
      <c r="C1617" s="21"/>
      <c r="D1617" s="21"/>
      <c r="E1617" s="28"/>
      <c r="F1617" s="24"/>
      <c r="G1617" s="26"/>
      <c r="H1617" s="24"/>
      <c r="I1617" s="24"/>
      <c r="J1617" s="24"/>
      <c r="K1617" s="24"/>
      <c r="L1617" s="26"/>
      <c r="M1617" s="26"/>
      <c r="N1617" s="22"/>
      <c r="O1617" s="21"/>
      <c r="P1617" s="22"/>
      <c r="Q1617" s="29" t="str">
        <f aca="false">IF(C1617="","",IF(O1617&lt;&gt;"",O1617,IFERROR(INDEX(Produk!$J$2:$J$100,MATCH(C1617,Produk!$A$2:$A$100,0)),"PRODUK?")))</f>
        <v/>
      </c>
      <c r="R1617" s="29" t="str">
        <f aca="false">IF(A1617="","",IF(COUNTIF(Anggota!$A$2:$A$2001,A1617)=0,"TIDAK ADA","OK"))</f>
        <v/>
      </c>
      <c r="S1617" s="29" t="str">
        <f aca="false">IF(H1617="","",IF(OR(J1617="",L1617=""),"-",IF(ABS(H1617-J1617*L1617)&gt;Info_Koperasi!$C$10,"SELISIH","OK")))</f>
        <v/>
      </c>
    </row>
    <row r="1618" customFormat="false" ht="15" hidden="false" customHeight="false" outlineLevel="0" collapsed="false">
      <c r="A1618" s="21"/>
      <c r="B1618" s="22"/>
      <c r="C1618" s="21"/>
      <c r="D1618" s="21"/>
      <c r="E1618" s="28"/>
      <c r="F1618" s="24"/>
      <c r="G1618" s="26"/>
      <c r="H1618" s="24"/>
      <c r="I1618" s="24"/>
      <c r="J1618" s="24"/>
      <c r="K1618" s="24"/>
      <c r="L1618" s="26"/>
      <c r="M1618" s="26"/>
      <c r="N1618" s="22"/>
      <c r="O1618" s="21"/>
      <c r="P1618" s="22"/>
      <c r="Q1618" s="29" t="str">
        <f aca="false">IF(C1618="","",IF(O1618&lt;&gt;"",O1618,IFERROR(INDEX(Produk!$J$2:$J$100,MATCH(C1618,Produk!$A$2:$A$100,0)),"PRODUK?")))</f>
        <v/>
      </c>
      <c r="R1618" s="29" t="str">
        <f aca="false">IF(A1618="","",IF(COUNTIF(Anggota!$A$2:$A$2001,A1618)=0,"TIDAK ADA","OK"))</f>
        <v/>
      </c>
      <c r="S1618" s="29" t="str">
        <f aca="false">IF(H1618="","",IF(OR(J1618="",L1618=""),"-",IF(ABS(H1618-J1618*L1618)&gt;Info_Koperasi!$C$10,"SELISIH","OK")))</f>
        <v/>
      </c>
    </row>
    <row r="1619" customFormat="false" ht="15" hidden="false" customHeight="false" outlineLevel="0" collapsed="false">
      <c r="A1619" s="21"/>
      <c r="B1619" s="22"/>
      <c r="C1619" s="21"/>
      <c r="D1619" s="21"/>
      <c r="E1619" s="28"/>
      <c r="F1619" s="24"/>
      <c r="G1619" s="26"/>
      <c r="H1619" s="24"/>
      <c r="I1619" s="24"/>
      <c r="J1619" s="24"/>
      <c r="K1619" s="24"/>
      <c r="L1619" s="26"/>
      <c r="M1619" s="26"/>
      <c r="N1619" s="22"/>
      <c r="O1619" s="21"/>
      <c r="P1619" s="22"/>
      <c r="Q1619" s="29" t="str">
        <f aca="false">IF(C1619="","",IF(O1619&lt;&gt;"",O1619,IFERROR(INDEX(Produk!$J$2:$J$100,MATCH(C1619,Produk!$A$2:$A$100,0)),"PRODUK?")))</f>
        <v/>
      </c>
      <c r="R1619" s="29" t="str">
        <f aca="false">IF(A1619="","",IF(COUNTIF(Anggota!$A$2:$A$2001,A1619)=0,"TIDAK ADA","OK"))</f>
        <v/>
      </c>
      <c r="S1619" s="29" t="str">
        <f aca="false">IF(H1619="","",IF(OR(J1619="",L1619=""),"-",IF(ABS(H1619-J1619*L1619)&gt;Info_Koperasi!$C$10,"SELISIH","OK")))</f>
        <v/>
      </c>
    </row>
    <row r="1620" customFormat="false" ht="15" hidden="false" customHeight="false" outlineLevel="0" collapsed="false">
      <c r="A1620" s="21"/>
      <c r="B1620" s="22"/>
      <c r="C1620" s="21"/>
      <c r="D1620" s="21"/>
      <c r="E1620" s="28"/>
      <c r="F1620" s="24"/>
      <c r="G1620" s="26"/>
      <c r="H1620" s="24"/>
      <c r="I1620" s="24"/>
      <c r="J1620" s="24"/>
      <c r="K1620" s="24"/>
      <c r="L1620" s="26"/>
      <c r="M1620" s="26"/>
      <c r="N1620" s="22"/>
      <c r="O1620" s="21"/>
      <c r="P1620" s="22"/>
      <c r="Q1620" s="29" t="str">
        <f aca="false">IF(C1620="","",IF(O1620&lt;&gt;"",O1620,IFERROR(INDEX(Produk!$J$2:$J$100,MATCH(C1620,Produk!$A$2:$A$100,0)),"PRODUK?")))</f>
        <v/>
      </c>
      <c r="R1620" s="29" t="str">
        <f aca="false">IF(A1620="","",IF(COUNTIF(Anggota!$A$2:$A$2001,A1620)=0,"TIDAK ADA","OK"))</f>
        <v/>
      </c>
      <c r="S1620" s="29" t="str">
        <f aca="false">IF(H1620="","",IF(OR(J1620="",L1620=""),"-",IF(ABS(H1620-J1620*L1620)&gt;Info_Koperasi!$C$10,"SELISIH","OK")))</f>
        <v/>
      </c>
    </row>
    <row r="1621" customFormat="false" ht="15" hidden="false" customHeight="false" outlineLevel="0" collapsed="false">
      <c r="A1621" s="21"/>
      <c r="B1621" s="22"/>
      <c r="C1621" s="21"/>
      <c r="D1621" s="21"/>
      <c r="E1621" s="28"/>
      <c r="F1621" s="24"/>
      <c r="G1621" s="26"/>
      <c r="H1621" s="24"/>
      <c r="I1621" s="24"/>
      <c r="J1621" s="24"/>
      <c r="K1621" s="24"/>
      <c r="L1621" s="26"/>
      <c r="M1621" s="26"/>
      <c r="N1621" s="22"/>
      <c r="O1621" s="21"/>
      <c r="P1621" s="22"/>
      <c r="Q1621" s="29" t="str">
        <f aca="false">IF(C1621="","",IF(O1621&lt;&gt;"",O1621,IFERROR(INDEX(Produk!$J$2:$J$100,MATCH(C1621,Produk!$A$2:$A$100,0)),"PRODUK?")))</f>
        <v/>
      </c>
      <c r="R1621" s="29" t="str">
        <f aca="false">IF(A1621="","",IF(COUNTIF(Anggota!$A$2:$A$2001,A1621)=0,"TIDAK ADA","OK"))</f>
        <v/>
      </c>
      <c r="S1621" s="29" t="str">
        <f aca="false">IF(H1621="","",IF(OR(J1621="",L1621=""),"-",IF(ABS(H1621-J1621*L1621)&gt;Info_Koperasi!$C$10,"SELISIH","OK")))</f>
        <v/>
      </c>
    </row>
    <row r="1622" customFormat="false" ht="15" hidden="false" customHeight="false" outlineLevel="0" collapsed="false">
      <c r="A1622" s="21"/>
      <c r="B1622" s="22"/>
      <c r="C1622" s="21"/>
      <c r="D1622" s="21"/>
      <c r="E1622" s="28"/>
      <c r="F1622" s="24"/>
      <c r="G1622" s="26"/>
      <c r="H1622" s="24"/>
      <c r="I1622" s="24"/>
      <c r="J1622" s="24"/>
      <c r="K1622" s="24"/>
      <c r="L1622" s="26"/>
      <c r="M1622" s="26"/>
      <c r="N1622" s="22"/>
      <c r="O1622" s="21"/>
      <c r="P1622" s="22"/>
      <c r="Q1622" s="29" t="str">
        <f aca="false">IF(C1622="","",IF(O1622&lt;&gt;"",O1622,IFERROR(INDEX(Produk!$J$2:$J$100,MATCH(C1622,Produk!$A$2:$A$100,0)),"PRODUK?")))</f>
        <v/>
      </c>
      <c r="R1622" s="29" t="str">
        <f aca="false">IF(A1622="","",IF(COUNTIF(Anggota!$A$2:$A$2001,A1622)=0,"TIDAK ADA","OK"))</f>
        <v/>
      </c>
      <c r="S1622" s="29" t="str">
        <f aca="false">IF(H1622="","",IF(OR(J1622="",L1622=""),"-",IF(ABS(H1622-J1622*L1622)&gt;Info_Koperasi!$C$10,"SELISIH","OK")))</f>
        <v/>
      </c>
    </row>
    <row r="1623" customFormat="false" ht="15" hidden="false" customHeight="false" outlineLevel="0" collapsed="false">
      <c r="A1623" s="21"/>
      <c r="B1623" s="22"/>
      <c r="C1623" s="21"/>
      <c r="D1623" s="21"/>
      <c r="E1623" s="28"/>
      <c r="F1623" s="24"/>
      <c r="G1623" s="26"/>
      <c r="H1623" s="24"/>
      <c r="I1623" s="24"/>
      <c r="J1623" s="24"/>
      <c r="K1623" s="24"/>
      <c r="L1623" s="26"/>
      <c r="M1623" s="26"/>
      <c r="N1623" s="22"/>
      <c r="O1623" s="21"/>
      <c r="P1623" s="22"/>
      <c r="Q1623" s="29" t="str">
        <f aca="false">IF(C1623="","",IF(O1623&lt;&gt;"",O1623,IFERROR(INDEX(Produk!$J$2:$J$100,MATCH(C1623,Produk!$A$2:$A$100,0)),"PRODUK?")))</f>
        <v/>
      </c>
      <c r="R1623" s="29" t="str">
        <f aca="false">IF(A1623="","",IF(COUNTIF(Anggota!$A$2:$A$2001,A1623)=0,"TIDAK ADA","OK"))</f>
        <v/>
      </c>
      <c r="S1623" s="29" t="str">
        <f aca="false">IF(H1623="","",IF(OR(J1623="",L1623=""),"-",IF(ABS(H1623-J1623*L1623)&gt;Info_Koperasi!$C$10,"SELISIH","OK")))</f>
        <v/>
      </c>
    </row>
    <row r="1624" customFormat="false" ht="15" hidden="false" customHeight="false" outlineLevel="0" collapsed="false">
      <c r="A1624" s="21"/>
      <c r="B1624" s="22"/>
      <c r="C1624" s="21"/>
      <c r="D1624" s="21"/>
      <c r="E1624" s="28"/>
      <c r="F1624" s="24"/>
      <c r="G1624" s="26"/>
      <c r="H1624" s="24"/>
      <c r="I1624" s="24"/>
      <c r="J1624" s="24"/>
      <c r="K1624" s="24"/>
      <c r="L1624" s="26"/>
      <c r="M1624" s="26"/>
      <c r="N1624" s="22"/>
      <c r="O1624" s="21"/>
      <c r="P1624" s="22"/>
      <c r="Q1624" s="29" t="str">
        <f aca="false">IF(C1624="","",IF(O1624&lt;&gt;"",O1624,IFERROR(INDEX(Produk!$J$2:$J$100,MATCH(C1624,Produk!$A$2:$A$100,0)),"PRODUK?")))</f>
        <v/>
      </c>
      <c r="R1624" s="29" t="str">
        <f aca="false">IF(A1624="","",IF(COUNTIF(Anggota!$A$2:$A$2001,A1624)=0,"TIDAK ADA","OK"))</f>
        <v/>
      </c>
      <c r="S1624" s="29" t="str">
        <f aca="false">IF(H1624="","",IF(OR(J1624="",L1624=""),"-",IF(ABS(H1624-J1624*L1624)&gt;Info_Koperasi!$C$10,"SELISIH","OK")))</f>
        <v/>
      </c>
    </row>
    <row r="1625" customFormat="false" ht="15" hidden="false" customHeight="false" outlineLevel="0" collapsed="false">
      <c r="A1625" s="21"/>
      <c r="B1625" s="22"/>
      <c r="C1625" s="21"/>
      <c r="D1625" s="21"/>
      <c r="E1625" s="28"/>
      <c r="F1625" s="24"/>
      <c r="G1625" s="26"/>
      <c r="H1625" s="24"/>
      <c r="I1625" s="24"/>
      <c r="J1625" s="24"/>
      <c r="K1625" s="24"/>
      <c r="L1625" s="26"/>
      <c r="M1625" s="26"/>
      <c r="N1625" s="22"/>
      <c r="O1625" s="21"/>
      <c r="P1625" s="22"/>
      <c r="Q1625" s="29" t="str">
        <f aca="false">IF(C1625="","",IF(O1625&lt;&gt;"",O1625,IFERROR(INDEX(Produk!$J$2:$J$100,MATCH(C1625,Produk!$A$2:$A$100,0)),"PRODUK?")))</f>
        <v/>
      </c>
      <c r="R1625" s="29" t="str">
        <f aca="false">IF(A1625="","",IF(COUNTIF(Anggota!$A$2:$A$2001,A1625)=0,"TIDAK ADA","OK"))</f>
        <v/>
      </c>
      <c r="S1625" s="29" t="str">
        <f aca="false">IF(H1625="","",IF(OR(J1625="",L1625=""),"-",IF(ABS(H1625-J1625*L1625)&gt;Info_Koperasi!$C$10,"SELISIH","OK")))</f>
        <v/>
      </c>
    </row>
    <row r="1626" customFormat="false" ht="15" hidden="false" customHeight="false" outlineLevel="0" collapsed="false">
      <c r="A1626" s="21"/>
      <c r="B1626" s="22"/>
      <c r="C1626" s="21"/>
      <c r="D1626" s="21"/>
      <c r="E1626" s="28"/>
      <c r="F1626" s="24"/>
      <c r="G1626" s="26"/>
      <c r="H1626" s="24"/>
      <c r="I1626" s="24"/>
      <c r="J1626" s="24"/>
      <c r="K1626" s="24"/>
      <c r="L1626" s="26"/>
      <c r="M1626" s="26"/>
      <c r="N1626" s="22"/>
      <c r="O1626" s="21"/>
      <c r="P1626" s="22"/>
      <c r="Q1626" s="29" t="str">
        <f aca="false">IF(C1626="","",IF(O1626&lt;&gt;"",O1626,IFERROR(INDEX(Produk!$J$2:$J$100,MATCH(C1626,Produk!$A$2:$A$100,0)),"PRODUK?")))</f>
        <v/>
      </c>
      <c r="R1626" s="29" t="str">
        <f aca="false">IF(A1626="","",IF(COUNTIF(Anggota!$A$2:$A$2001,A1626)=0,"TIDAK ADA","OK"))</f>
        <v/>
      </c>
      <c r="S1626" s="29" t="str">
        <f aca="false">IF(H1626="","",IF(OR(J1626="",L1626=""),"-",IF(ABS(H1626-J1626*L1626)&gt;Info_Koperasi!$C$10,"SELISIH","OK")))</f>
        <v/>
      </c>
    </row>
    <row r="1627" customFormat="false" ht="15" hidden="false" customHeight="false" outlineLevel="0" collapsed="false">
      <c r="A1627" s="21"/>
      <c r="B1627" s="22"/>
      <c r="C1627" s="21"/>
      <c r="D1627" s="21"/>
      <c r="E1627" s="28"/>
      <c r="F1627" s="24"/>
      <c r="G1627" s="26"/>
      <c r="H1627" s="24"/>
      <c r="I1627" s="24"/>
      <c r="J1627" s="24"/>
      <c r="K1627" s="24"/>
      <c r="L1627" s="26"/>
      <c r="M1627" s="26"/>
      <c r="N1627" s="22"/>
      <c r="O1627" s="21"/>
      <c r="P1627" s="22"/>
      <c r="Q1627" s="29" t="str">
        <f aca="false">IF(C1627="","",IF(O1627&lt;&gt;"",O1627,IFERROR(INDEX(Produk!$J$2:$J$100,MATCH(C1627,Produk!$A$2:$A$100,0)),"PRODUK?")))</f>
        <v/>
      </c>
      <c r="R1627" s="29" t="str">
        <f aca="false">IF(A1627="","",IF(COUNTIF(Anggota!$A$2:$A$2001,A1627)=0,"TIDAK ADA","OK"))</f>
        <v/>
      </c>
      <c r="S1627" s="29" t="str">
        <f aca="false">IF(H1627="","",IF(OR(J1627="",L1627=""),"-",IF(ABS(H1627-J1627*L1627)&gt;Info_Koperasi!$C$10,"SELISIH","OK")))</f>
        <v/>
      </c>
    </row>
    <row r="1628" customFormat="false" ht="15" hidden="false" customHeight="false" outlineLevel="0" collapsed="false">
      <c r="A1628" s="21"/>
      <c r="B1628" s="22"/>
      <c r="C1628" s="21"/>
      <c r="D1628" s="21"/>
      <c r="E1628" s="28"/>
      <c r="F1628" s="24"/>
      <c r="G1628" s="26"/>
      <c r="H1628" s="24"/>
      <c r="I1628" s="24"/>
      <c r="J1628" s="24"/>
      <c r="K1628" s="24"/>
      <c r="L1628" s="26"/>
      <c r="M1628" s="26"/>
      <c r="N1628" s="22"/>
      <c r="O1628" s="21"/>
      <c r="P1628" s="22"/>
      <c r="Q1628" s="29" t="str">
        <f aca="false">IF(C1628="","",IF(O1628&lt;&gt;"",O1628,IFERROR(INDEX(Produk!$J$2:$J$100,MATCH(C1628,Produk!$A$2:$A$100,0)),"PRODUK?")))</f>
        <v/>
      </c>
      <c r="R1628" s="29" t="str">
        <f aca="false">IF(A1628="","",IF(COUNTIF(Anggota!$A$2:$A$2001,A1628)=0,"TIDAK ADA","OK"))</f>
        <v/>
      </c>
      <c r="S1628" s="29" t="str">
        <f aca="false">IF(H1628="","",IF(OR(J1628="",L1628=""),"-",IF(ABS(H1628-J1628*L1628)&gt;Info_Koperasi!$C$10,"SELISIH","OK")))</f>
        <v/>
      </c>
    </row>
    <row r="1629" customFormat="false" ht="15" hidden="false" customHeight="false" outlineLevel="0" collapsed="false">
      <c r="A1629" s="21"/>
      <c r="B1629" s="22"/>
      <c r="C1629" s="21"/>
      <c r="D1629" s="21"/>
      <c r="E1629" s="28"/>
      <c r="F1629" s="24"/>
      <c r="G1629" s="26"/>
      <c r="H1629" s="24"/>
      <c r="I1629" s="24"/>
      <c r="J1629" s="24"/>
      <c r="K1629" s="24"/>
      <c r="L1629" s="26"/>
      <c r="M1629" s="26"/>
      <c r="N1629" s="22"/>
      <c r="O1629" s="21"/>
      <c r="P1629" s="22"/>
      <c r="Q1629" s="29" t="str">
        <f aca="false">IF(C1629="","",IF(O1629&lt;&gt;"",O1629,IFERROR(INDEX(Produk!$J$2:$J$100,MATCH(C1629,Produk!$A$2:$A$100,0)),"PRODUK?")))</f>
        <v/>
      </c>
      <c r="R1629" s="29" t="str">
        <f aca="false">IF(A1629="","",IF(COUNTIF(Anggota!$A$2:$A$2001,A1629)=0,"TIDAK ADA","OK"))</f>
        <v/>
      </c>
      <c r="S1629" s="29" t="str">
        <f aca="false">IF(H1629="","",IF(OR(J1629="",L1629=""),"-",IF(ABS(H1629-J1629*L1629)&gt;Info_Koperasi!$C$10,"SELISIH","OK")))</f>
        <v/>
      </c>
    </row>
    <row r="1630" customFormat="false" ht="15" hidden="false" customHeight="false" outlineLevel="0" collapsed="false">
      <c r="A1630" s="21"/>
      <c r="B1630" s="22"/>
      <c r="C1630" s="21"/>
      <c r="D1630" s="21"/>
      <c r="E1630" s="28"/>
      <c r="F1630" s="24"/>
      <c r="G1630" s="26"/>
      <c r="H1630" s="24"/>
      <c r="I1630" s="24"/>
      <c r="J1630" s="24"/>
      <c r="K1630" s="24"/>
      <c r="L1630" s="26"/>
      <c r="M1630" s="26"/>
      <c r="N1630" s="22"/>
      <c r="O1630" s="21"/>
      <c r="P1630" s="22"/>
      <c r="Q1630" s="29" t="str">
        <f aca="false">IF(C1630="","",IF(O1630&lt;&gt;"",O1630,IFERROR(INDEX(Produk!$J$2:$J$100,MATCH(C1630,Produk!$A$2:$A$100,0)),"PRODUK?")))</f>
        <v/>
      </c>
      <c r="R1630" s="29" t="str">
        <f aca="false">IF(A1630="","",IF(COUNTIF(Anggota!$A$2:$A$2001,A1630)=0,"TIDAK ADA","OK"))</f>
        <v/>
      </c>
      <c r="S1630" s="29" t="str">
        <f aca="false">IF(H1630="","",IF(OR(J1630="",L1630=""),"-",IF(ABS(H1630-J1630*L1630)&gt;Info_Koperasi!$C$10,"SELISIH","OK")))</f>
        <v/>
      </c>
    </row>
    <row r="1631" customFormat="false" ht="15" hidden="false" customHeight="false" outlineLevel="0" collapsed="false">
      <c r="A1631" s="21"/>
      <c r="B1631" s="22"/>
      <c r="C1631" s="21"/>
      <c r="D1631" s="21"/>
      <c r="E1631" s="28"/>
      <c r="F1631" s="24"/>
      <c r="G1631" s="26"/>
      <c r="H1631" s="24"/>
      <c r="I1631" s="24"/>
      <c r="J1631" s="24"/>
      <c r="K1631" s="24"/>
      <c r="L1631" s="26"/>
      <c r="M1631" s="26"/>
      <c r="N1631" s="22"/>
      <c r="O1631" s="21"/>
      <c r="P1631" s="22"/>
      <c r="Q1631" s="29" t="str">
        <f aca="false">IF(C1631="","",IF(O1631&lt;&gt;"",O1631,IFERROR(INDEX(Produk!$J$2:$J$100,MATCH(C1631,Produk!$A$2:$A$100,0)),"PRODUK?")))</f>
        <v/>
      </c>
      <c r="R1631" s="29" t="str">
        <f aca="false">IF(A1631="","",IF(COUNTIF(Anggota!$A$2:$A$2001,A1631)=0,"TIDAK ADA","OK"))</f>
        <v/>
      </c>
      <c r="S1631" s="29" t="str">
        <f aca="false">IF(H1631="","",IF(OR(J1631="",L1631=""),"-",IF(ABS(H1631-J1631*L1631)&gt;Info_Koperasi!$C$10,"SELISIH","OK")))</f>
        <v/>
      </c>
    </row>
    <row r="1632" customFormat="false" ht="15" hidden="false" customHeight="false" outlineLevel="0" collapsed="false">
      <c r="A1632" s="21"/>
      <c r="B1632" s="22"/>
      <c r="C1632" s="21"/>
      <c r="D1632" s="21"/>
      <c r="E1632" s="28"/>
      <c r="F1632" s="24"/>
      <c r="G1632" s="26"/>
      <c r="H1632" s="24"/>
      <c r="I1632" s="24"/>
      <c r="J1632" s="24"/>
      <c r="K1632" s="24"/>
      <c r="L1632" s="26"/>
      <c r="M1632" s="26"/>
      <c r="N1632" s="22"/>
      <c r="O1632" s="21"/>
      <c r="P1632" s="22"/>
      <c r="Q1632" s="29" t="str">
        <f aca="false">IF(C1632="","",IF(O1632&lt;&gt;"",O1632,IFERROR(INDEX(Produk!$J$2:$J$100,MATCH(C1632,Produk!$A$2:$A$100,0)),"PRODUK?")))</f>
        <v/>
      </c>
      <c r="R1632" s="29" t="str">
        <f aca="false">IF(A1632="","",IF(COUNTIF(Anggota!$A$2:$A$2001,A1632)=0,"TIDAK ADA","OK"))</f>
        <v/>
      </c>
      <c r="S1632" s="29" t="str">
        <f aca="false">IF(H1632="","",IF(OR(J1632="",L1632=""),"-",IF(ABS(H1632-J1632*L1632)&gt;Info_Koperasi!$C$10,"SELISIH","OK")))</f>
        <v/>
      </c>
    </row>
    <row r="1633" customFormat="false" ht="15" hidden="false" customHeight="false" outlineLevel="0" collapsed="false">
      <c r="A1633" s="21"/>
      <c r="B1633" s="22"/>
      <c r="C1633" s="21"/>
      <c r="D1633" s="21"/>
      <c r="E1633" s="28"/>
      <c r="F1633" s="24"/>
      <c r="G1633" s="26"/>
      <c r="H1633" s="24"/>
      <c r="I1633" s="24"/>
      <c r="J1633" s="24"/>
      <c r="K1633" s="24"/>
      <c r="L1633" s="26"/>
      <c r="M1633" s="26"/>
      <c r="N1633" s="22"/>
      <c r="O1633" s="21"/>
      <c r="P1633" s="22"/>
      <c r="Q1633" s="29" t="str">
        <f aca="false">IF(C1633="","",IF(O1633&lt;&gt;"",O1633,IFERROR(INDEX(Produk!$J$2:$J$100,MATCH(C1633,Produk!$A$2:$A$100,0)),"PRODUK?")))</f>
        <v/>
      </c>
      <c r="R1633" s="29" t="str">
        <f aca="false">IF(A1633="","",IF(COUNTIF(Anggota!$A$2:$A$2001,A1633)=0,"TIDAK ADA","OK"))</f>
        <v/>
      </c>
      <c r="S1633" s="29" t="str">
        <f aca="false">IF(H1633="","",IF(OR(J1633="",L1633=""),"-",IF(ABS(H1633-J1633*L1633)&gt;Info_Koperasi!$C$10,"SELISIH","OK")))</f>
        <v/>
      </c>
    </row>
    <row r="1634" customFormat="false" ht="15" hidden="false" customHeight="false" outlineLevel="0" collapsed="false">
      <c r="A1634" s="21"/>
      <c r="B1634" s="22"/>
      <c r="C1634" s="21"/>
      <c r="D1634" s="21"/>
      <c r="E1634" s="28"/>
      <c r="F1634" s="24"/>
      <c r="G1634" s="26"/>
      <c r="H1634" s="24"/>
      <c r="I1634" s="24"/>
      <c r="J1634" s="24"/>
      <c r="K1634" s="24"/>
      <c r="L1634" s="26"/>
      <c r="M1634" s="26"/>
      <c r="N1634" s="22"/>
      <c r="O1634" s="21"/>
      <c r="P1634" s="22"/>
      <c r="Q1634" s="29" t="str">
        <f aca="false">IF(C1634="","",IF(O1634&lt;&gt;"",O1634,IFERROR(INDEX(Produk!$J$2:$J$100,MATCH(C1634,Produk!$A$2:$A$100,0)),"PRODUK?")))</f>
        <v/>
      </c>
      <c r="R1634" s="29" t="str">
        <f aca="false">IF(A1634="","",IF(COUNTIF(Anggota!$A$2:$A$2001,A1634)=0,"TIDAK ADA","OK"))</f>
        <v/>
      </c>
      <c r="S1634" s="29" t="str">
        <f aca="false">IF(H1634="","",IF(OR(J1634="",L1634=""),"-",IF(ABS(H1634-J1634*L1634)&gt;Info_Koperasi!$C$10,"SELISIH","OK")))</f>
        <v/>
      </c>
    </row>
    <row r="1635" customFormat="false" ht="15" hidden="false" customHeight="false" outlineLevel="0" collapsed="false">
      <c r="A1635" s="21"/>
      <c r="B1635" s="22"/>
      <c r="C1635" s="21"/>
      <c r="D1635" s="21"/>
      <c r="E1635" s="28"/>
      <c r="F1635" s="24"/>
      <c r="G1635" s="26"/>
      <c r="H1635" s="24"/>
      <c r="I1635" s="24"/>
      <c r="J1635" s="24"/>
      <c r="K1635" s="24"/>
      <c r="L1635" s="26"/>
      <c r="M1635" s="26"/>
      <c r="N1635" s="22"/>
      <c r="O1635" s="21"/>
      <c r="P1635" s="22"/>
      <c r="Q1635" s="29" t="str">
        <f aca="false">IF(C1635="","",IF(O1635&lt;&gt;"",O1635,IFERROR(INDEX(Produk!$J$2:$J$100,MATCH(C1635,Produk!$A$2:$A$100,0)),"PRODUK?")))</f>
        <v/>
      </c>
      <c r="R1635" s="29" t="str">
        <f aca="false">IF(A1635="","",IF(COUNTIF(Anggota!$A$2:$A$2001,A1635)=0,"TIDAK ADA","OK"))</f>
        <v/>
      </c>
      <c r="S1635" s="29" t="str">
        <f aca="false">IF(H1635="","",IF(OR(J1635="",L1635=""),"-",IF(ABS(H1635-J1635*L1635)&gt;Info_Koperasi!$C$10,"SELISIH","OK")))</f>
        <v/>
      </c>
    </row>
    <row r="1636" customFormat="false" ht="15" hidden="false" customHeight="false" outlineLevel="0" collapsed="false">
      <c r="A1636" s="21"/>
      <c r="B1636" s="22"/>
      <c r="C1636" s="21"/>
      <c r="D1636" s="21"/>
      <c r="E1636" s="28"/>
      <c r="F1636" s="24"/>
      <c r="G1636" s="26"/>
      <c r="H1636" s="24"/>
      <c r="I1636" s="24"/>
      <c r="J1636" s="24"/>
      <c r="K1636" s="24"/>
      <c r="L1636" s="26"/>
      <c r="M1636" s="26"/>
      <c r="N1636" s="22"/>
      <c r="O1636" s="21"/>
      <c r="P1636" s="22"/>
      <c r="Q1636" s="29" t="str">
        <f aca="false">IF(C1636="","",IF(O1636&lt;&gt;"",O1636,IFERROR(INDEX(Produk!$J$2:$J$100,MATCH(C1636,Produk!$A$2:$A$100,0)),"PRODUK?")))</f>
        <v/>
      </c>
      <c r="R1636" s="29" t="str">
        <f aca="false">IF(A1636="","",IF(COUNTIF(Anggota!$A$2:$A$2001,A1636)=0,"TIDAK ADA","OK"))</f>
        <v/>
      </c>
      <c r="S1636" s="29" t="str">
        <f aca="false">IF(H1636="","",IF(OR(J1636="",L1636=""),"-",IF(ABS(H1636-J1636*L1636)&gt;Info_Koperasi!$C$10,"SELISIH","OK")))</f>
        <v/>
      </c>
    </row>
    <row r="1637" customFormat="false" ht="15" hidden="false" customHeight="false" outlineLevel="0" collapsed="false">
      <c r="A1637" s="21"/>
      <c r="B1637" s="22"/>
      <c r="C1637" s="21"/>
      <c r="D1637" s="21"/>
      <c r="E1637" s="28"/>
      <c r="F1637" s="24"/>
      <c r="G1637" s="26"/>
      <c r="H1637" s="24"/>
      <c r="I1637" s="24"/>
      <c r="J1637" s="24"/>
      <c r="K1637" s="24"/>
      <c r="L1637" s="26"/>
      <c r="M1637" s="26"/>
      <c r="N1637" s="22"/>
      <c r="O1637" s="21"/>
      <c r="P1637" s="22"/>
      <c r="Q1637" s="29" t="str">
        <f aca="false">IF(C1637="","",IF(O1637&lt;&gt;"",O1637,IFERROR(INDEX(Produk!$J$2:$J$100,MATCH(C1637,Produk!$A$2:$A$100,0)),"PRODUK?")))</f>
        <v/>
      </c>
      <c r="R1637" s="29" t="str">
        <f aca="false">IF(A1637="","",IF(COUNTIF(Anggota!$A$2:$A$2001,A1637)=0,"TIDAK ADA","OK"))</f>
        <v/>
      </c>
      <c r="S1637" s="29" t="str">
        <f aca="false">IF(H1637="","",IF(OR(J1637="",L1637=""),"-",IF(ABS(H1637-J1637*L1637)&gt;Info_Koperasi!$C$10,"SELISIH","OK")))</f>
        <v/>
      </c>
    </row>
    <row r="1638" customFormat="false" ht="15" hidden="false" customHeight="false" outlineLevel="0" collapsed="false">
      <c r="A1638" s="21"/>
      <c r="B1638" s="22"/>
      <c r="C1638" s="21"/>
      <c r="D1638" s="21"/>
      <c r="E1638" s="28"/>
      <c r="F1638" s="24"/>
      <c r="G1638" s="26"/>
      <c r="H1638" s="24"/>
      <c r="I1638" s="24"/>
      <c r="J1638" s="24"/>
      <c r="K1638" s="24"/>
      <c r="L1638" s="26"/>
      <c r="M1638" s="26"/>
      <c r="N1638" s="22"/>
      <c r="O1638" s="21"/>
      <c r="P1638" s="22"/>
      <c r="Q1638" s="29" t="str">
        <f aca="false">IF(C1638="","",IF(O1638&lt;&gt;"",O1638,IFERROR(INDEX(Produk!$J$2:$J$100,MATCH(C1638,Produk!$A$2:$A$100,0)),"PRODUK?")))</f>
        <v/>
      </c>
      <c r="R1638" s="29" t="str">
        <f aca="false">IF(A1638="","",IF(COUNTIF(Anggota!$A$2:$A$2001,A1638)=0,"TIDAK ADA","OK"))</f>
        <v/>
      </c>
      <c r="S1638" s="29" t="str">
        <f aca="false">IF(H1638="","",IF(OR(J1638="",L1638=""),"-",IF(ABS(H1638-J1638*L1638)&gt;Info_Koperasi!$C$10,"SELISIH","OK")))</f>
        <v/>
      </c>
    </row>
    <row r="1639" customFormat="false" ht="15" hidden="false" customHeight="false" outlineLevel="0" collapsed="false">
      <c r="A1639" s="21"/>
      <c r="B1639" s="22"/>
      <c r="C1639" s="21"/>
      <c r="D1639" s="21"/>
      <c r="E1639" s="28"/>
      <c r="F1639" s="24"/>
      <c r="G1639" s="26"/>
      <c r="H1639" s="24"/>
      <c r="I1639" s="24"/>
      <c r="J1639" s="24"/>
      <c r="K1639" s="24"/>
      <c r="L1639" s="26"/>
      <c r="M1639" s="26"/>
      <c r="N1639" s="22"/>
      <c r="O1639" s="21"/>
      <c r="P1639" s="22"/>
      <c r="Q1639" s="29" t="str">
        <f aca="false">IF(C1639="","",IF(O1639&lt;&gt;"",O1639,IFERROR(INDEX(Produk!$J$2:$J$100,MATCH(C1639,Produk!$A$2:$A$100,0)),"PRODUK?")))</f>
        <v/>
      </c>
      <c r="R1639" s="29" t="str">
        <f aca="false">IF(A1639="","",IF(COUNTIF(Anggota!$A$2:$A$2001,A1639)=0,"TIDAK ADA","OK"))</f>
        <v/>
      </c>
      <c r="S1639" s="29" t="str">
        <f aca="false">IF(H1639="","",IF(OR(J1639="",L1639=""),"-",IF(ABS(H1639-J1639*L1639)&gt;Info_Koperasi!$C$10,"SELISIH","OK")))</f>
        <v/>
      </c>
    </row>
    <row r="1640" customFormat="false" ht="15" hidden="false" customHeight="false" outlineLevel="0" collapsed="false">
      <c r="A1640" s="21"/>
      <c r="B1640" s="22"/>
      <c r="C1640" s="21"/>
      <c r="D1640" s="21"/>
      <c r="E1640" s="28"/>
      <c r="F1640" s="24"/>
      <c r="G1640" s="26"/>
      <c r="H1640" s="24"/>
      <c r="I1640" s="24"/>
      <c r="J1640" s="24"/>
      <c r="K1640" s="24"/>
      <c r="L1640" s="26"/>
      <c r="M1640" s="26"/>
      <c r="N1640" s="22"/>
      <c r="O1640" s="21"/>
      <c r="P1640" s="22"/>
      <c r="Q1640" s="29" t="str">
        <f aca="false">IF(C1640="","",IF(O1640&lt;&gt;"",O1640,IFERROR(INDEX(Produk!$J$2:$J$100,MATCH(C1640,Produk!$A$2:$A$100,0)),"PRODUK?")))</f>
        <v/>
      </c>
      <c r="R1640" s="29" t="str">
        <f aca="false">IF(A1640="","",IF(COUNTIF(Anggota!$A$2:$A$2001,A1640)=0,"TIDAK ADA","OK"))</f>
        <v/>
      </c>
      <c r="S1640" s="29" t="str">
        <f aca="false">IF(H1640="","",IF(OR(J1640="",L1640=""),"-",IF(ABS(H1640-J1640*L1640)&gt;Info_Koperasi!$C$10,"SELISIH","OK")))</f>
        <v/>
      </c>
    </row>
    <row r="1641" customFormat="false" ht="15" hidden="false" customHeight="false" outlineLevel="0" collapsed="false">
      <c r="A1641" s="21"/>
      <c r="B1641" s="22"/>
      <c r="C1641" s="21"/>
      <c r="D1641" s="21"/>
      <c r="E1641" s="28"/>
      <c r="F1641" s="24"/>
      <c r="G1641" s="26"/>
      <c r="H1641" s="24"/>
      <c r="I1641" s="24"/>
      <c r="J1641" s="24"/>
      <c r="K1641" s="24"/>
      <c r="L1641" s="26"/>
      <c r="M1641" s="26"/>
      <c r="N1641" s="22"/>
      <c r="O1641" s="21"/>
      <c r="P1641" s="22"/>
      <c r="Q1641" s="29" t="str">
        <f aca="false">IF(C1641="","",IF(O1641&lt;&gt;"",O1641,IFERROR(INDEX(Produk!$J$2:$J$100,MATCH(C1641,Produk!$A$2:$A$100,0)),"PRODUK?")))</f>
        <v/>
      </c>
      <c r="R1641" s="29" t="str">
        <f aca="false">IF(A1641="","",IF(COUNTIF(Anggota!$A$2:$A$2001,A1641)=0,"TIDAK ADA","OK"))</f>
        <v/>
      </c>
      <c r="S1641" s="29" t="str">
        <f aca="false">IF(H1641="","",IF(OR(J1641="",L1641=""),"-",IF(ABS(H1641-J1641*L1641)&gt;Info_Koperasi!$C$10,"SELISIH","OK")))</f>
        <v/>
      </c>
    </row>
    <row r="1642" customFormat="false" ht="15" hidden="false" customHeight="false" outlineLevel="0" collapsed="false">
      <c r="A1642" s="21"/>
      <c r="B1642" s="22"/>
      <c r="C1642" s="21"/>
      <c r="D1642" s="21"/>
      <c r="E1642" s="28"/>
      <c r="F1642" s="24"/>
      <c r="G1642" s="26"/>
      <c r="H1642" s="24"/>
      <c r="I1642" s="24"/>
      <c r="J1642" s="24"/>
      <c r="K1642" s="24"/>
      <c r="L1642" s="26"/>
      <c r="M1642" s="26"/>
      <c r="N1642" s="22"/>
      <c r="O1642" s="21"/>
      <c r="P1642" s="22"/>
      <c r="Q1642" s="29" t="str">
        <f aca="false">IF(C1642="","",IF(O1642&lt;&gt;"",O1642,IFERROR(INDEX(Produk!$J$2:$J$100,MATCH(C1642,Produk!$A$2:$A$100,0)),"PRODUK?")))</f>
        <v/>
      </c>
      <c r="R1642" s="29" t="str">
        <f aca="false">IF(A1642="","",IF(COUNTIF(Anggota!$A$2:$A$2001,A1642)=0,"TIDAK ADA","OK"))</f>
        <v/>
      </c>
      <c r="S1642" s="29" t="str">
        <f aca="false">IF(H1642="","",IF(OR(J1642="",L1642=""),"-",IF(ABS(H1642-J1642*L1642)&gt;Info_Koperasi!$C$10,"SELISIH","OK")))</f>
        <v/>
      </c>
    </row>
    <row r="1643" customFormat="false" ht="15" hidden="false" customHeight="false" outlineLevel="0" collapsed="false">
      <c r="A1643" s="21"/>
      <c r="B1643" s="22"/>
      <c r="C1643" s="21"/>
      <c r="D1643" s="21"/>
      <c r="E1643" s="28"/>
      <c r="F1643" s="24"/>
      <c r="G1643" s="26"/>
      <c r="H1643" s="24"/>
      <c r="I1643" s="24"/>
      <c r="J1643" s="24"/>
      <c r="K1643" s="24"/>
      <c r="L1643" s="26"/>
      <c r="M1643" s="26"/>
      <c r="N1643" s="22"/>
      <c r="O1643" s="21"/>
      <c r="P1643" s="22"/>
      <c r="Q1643" s="29" t="str">
        <f aca="false">IF(C1643="","",IF(O1643&lt;&gt;"",O1643,IFERROR(INDEX(Produk!$J$2:$J$100,MATCH(C1643,Produk!$A$2:$A$100,0)),"PRODUK?")))</f>
        <v/>
      </c>
      <c r="R1643" s="29" t="str">
        <f aca="false">IF(A1643="","",IF(COUNTIF(Anggota!$A$2:$A$2001,A1643)=0,"TIDAK ADA","OK"))</f>
        <v/>
      </c>
      <c r="S1643" s="29" t="str">
        <f aca="false">IF(H1643="","",IF(OR(J1643="",L1643=""),"-",IF(ABS(H1643-J1643*L1643)&gt;Info_Koperasi!$C$10,"SELISIH","OK")))</f>
        <v/>
      </c>
    </row>
    <row r="1644" customFormat="false" ht="15" hidden="false" customHeight="false" outlineLevel="0" collapsed="false">
      <c r="A1644" s="21"/>
      <c r="B1644" s="22"/>
      <c r="C1644" s="21"/>
      <c r="D1644" s="21"/>
      <c r="E1644" s="28"/>
      <c r="F1644" s="24"/>
      <c r="G1644" s="26"/>
      <c r="H1644" s="24"/>
      <c r="I1644" s="24"/>
      <c r="J1644" s="24"/>
      <c r="K1644" s="24"/>
      <c r="L1644" s="26"/>
      <c r="M1644" s="26"/>
      <c r="N1644" s="22"/>
      <c r="O1644" s="21"/>
      <c r="P1644" s="22"/>
      <c r="Q1644" s="29" t="str">
        <f aca="false">IF(C1644="","",IF(O1644&lt;&gt;"",O1644,IFERROR(INDEX(Produk!$J$2:$J$100,MATCH(C1644,Produk!$A$2:$A$100,0)),"PRODUK?")))</f>
        <v/>
      </c>
      <c r="R1644" s="29" t="str">
        <f aca="false">IF(A1644="","",IF(COUNTIF(Anggota!$A$2:$A$2001,A1644)=0,"TIDAK ADA","OK"))</f>
        <v/>
      </c>
      <c r="S1644" s="29" t="str">
        <f aca="false">IF(H1644="","",IF(OR(J1644="",L1644=""),"-",IF(ABS(H1644-J1644*L1644)&gt;Info_Koperasi!$C$10,"SELISIH","OK")))</f>
        <v/>
      </c>
    </row>
    <row r="1645" customFormat="false" ht="15" hidden="false" customHeight="false" outlineLevel="0" collapsed="false">
      <c r="A1645" s="21"/>
      <c r="B1645" s="22"/>
      <c r="C1645" s="21"/>
      <c r="D1645" s="21"/>
      <c r="E1645" s="28"/>
      <c r="F1645" s="24"/>
      <c r="G1645" s="26"/>
      <c r="H1645" s="24"/>
      <c r="I1645" s="24"/>
      <c r="J1645" s="24"/>
      <c r="K1645" s="24"/>
      <c r="L1645" s="26"/>
      <c r="M1645" s="26"/>
      <c r="N1645" s="22"/>
      <c r="O1645" s="21"/>
      <c r="P1645" s="22"/>
      <c r="Q1645" s="29" t="str">
        <f aca="false">IF(C1645="","",IF(O1645&lt;&gt;"",O1645,IFERROR(INDEX(Produk!$J$2:$J$100,MATCH(C1645,Produk!$A$2:$A$100,0)),"PRODUK?")))</f>
        <v/>
      </c>
      <c r="R1645" s="29" t="str">
        <f aca="false">IF(A1645="","",IF(COUNTIF(Anggota!$A$2:$A$2001,A1645)=0,"TIDAK ADA","OK"))</f>
        <v/>
      </c>
      <c r="S1645" s="29" t="str">
        <f aca="false">IF(H1645="","",IF(OR(J1645="",L1645=""),"-",IF(ABS(H1645-J1645*L1645)&gt;Info_Koperasi!$C$10,"SELISIH","OK")))</f>
        <v/>
      </c>
    </row>
    <row r="1646" customFormat="false" ht="15" hidden="false" customHeight="false" outlineLevel="0" collapsed="false">
      <c r="A1646" s="21"/>
      <c r="B1646" s="22"/>
      <c r="C1646" s="21"/>
      <c r="D1646" s="21"/>
      <c r="E1646" s="28"/>
      <c r="F1646" s="24"/>
      <c r="G1646" s="26"/>
      <c r="H1646" s="24"/>
      <c r="I1646" s="24"/>
      <c r="J1646" s="24"/>
      <c r="K1646" s="24"/>
      <c r="L1646" s="26"/>
      <c r="M1646" s="26"/>
      <c r="N1646" s="22"/>
      <c r="O1646" s="21"/>
      <c r="P1646" s="22"/>
      <c r="Q1646" s="29" t="str">
        <f aca="false">IF(C1646="","",IF(O1646&lt;&gt;"",O1646,IFERROR(INDEX(Produk!$J$2:$J$100,MATCH(C1646,Produk!$A$2:$A$100,0)),"PRODUK?")))</f>
        <v/>
      </c>
      <c r="R1646" s="29" t="str">
        <f aca="false">IF(A1646="","",IF(COUNTIF(Anggota!$A$2:$A$2001,A1646)=0,"TIDAK ADA","OK"))</f>
        <v/>
      </c>
      <c r="S1646" s="29" t="str">
        <f aca="false">IF(H1646="","",IF(OR(J1646="",L1646=""),"-",IF(ABS(H1646-J1646*L1646)&gt;Info_Koperasi!$C$10,"SELISIH","OK")))</f>
        <v/>
      </c>
    </row>
    <row r="1647" customFormat="false" ht="15" hidden="false" customHeight="false" outlineLevel="0" collapsed="false">
      <c r="A1647" s="21"/>
      <c r="B1647" s="22"/>
      <c r="C1647" s="21"/>
      <c r="D1647" s="21"/>
      <c r="E1647" s="28"/>
      <c r="F1647" s="24"/>
      <c r="G1647" s="26"/>
      <c r="H1647" s="24"/>
      <c r="I1647" s="24"/>
      <c r="J1647" s="24"/>
      <c r="K1647" s="24"/>
      <c r="L1647" s="26"/>
      <c r="M1647" s="26"/>
      <c r="N1647" s="22"/>
      <c r="O1647" s="21"/>
      <c r="P1647" s="22"/>
      <c r="Q1647" s="29" t="str">
        <f aca="false">IF(C1647="","",IF(O1647&lt;&gt;"",O1647,IFERROR(INDEX(Produk!$J$2:$J$100,MATCH(C1647,Produk!$A$2:$A$100,0)),"PRODUK?")))</f>
        <v/>
      </c>
      <c r="R1647" s="29" t="str">
        <f aca="false">IF(A1647="","",IF(COUNTIF(Anggota!$A$2:$A$2001,A1647)=0,"TIDAK ADA","OK"))</f>
        <v/>
      </c>
      <c r="S1647" s="29" t="str">
        <f aca="false">IF(H1647="","",IF(OR(J1647="",L1647=""),"-",IF(ABS(H1647-J1647*L1647)&gt;Info_Koperasi!$C$10,"SELISIH","OK")))</f>
        <v/>
      </c>
    </row>
    <row r="1648" customFormat="false" ht="15" hidden="false" customHeight="false" outlineLevel="0" collapsed="false">
      <c r="A1648" s="21"/>
      <c r="B1648" s="22"/>
      <c r="C1648" s="21"/>
      <c r="D1648" s="21"/>
      <c r="E1648" s="28"/>
      <c r="F1648" s="24"/>
      <c r="G1648" s="26"/>
      <c r="H1648" s="24"/>
      <c r="I1648" s="24"/>
      <c r="J1648" s="24"/>
      <c r="K1648" s="24"/>
      <c r="L1648" s="26"/>
      <c r="M1648" s="26"/>
      <c r="N1648" s="22"/>
      <c r="O1648" s="21"/>
      <c r="P1648" s="22"/>
      <c r="Q1648" s="29" t="str">
        <f aca="false">IF(C1648="","",IF(O1648&lt;&gt;"",O1648,IFERROR(INDEX(Produk!$J$2:$J$100,MATCH(C1648,Produk!$A$2:$A$100,0)),"PRODUK?")))</f>
        <v/>
      </c>
      <c r="R1648" s="29" t="str">
        <f aca="false">IF(A1648="","",IF(COUNTIF(Anggota!$A$2:$A$2001,A1648)=0,"TIDAK ADA","OK"))</f>
        <v/>
      </c>
      <c r="S1648" s="29" t="str">
        <f aca="false">IF(H1648="","",IF(OR(J1648="",L1648=""),"-",IF(ABS(H1648-J1648*L1648)&gt;Info_Koperasi!$C$10,"SELISIH","OK")))</f>
        <v/>
      </c>
    </row>
    <row r="1649" customFormat="false" ht="15" hidden="false" customHeight="false" outlineLevel="0" collapsed="false">
      <c r="A1649" s="21"/>
      <c r="B1649" s="22"/>
      <c r="C1649" s="21"/>
      <c r="D1649" s="21"/>
      <c r="E1649" s="28"/>
      <c r="F1649" s="24"/>
      <c r="G1649" s="26"/>
      <c r="H1649" s="24"/>
      <c r="I1649" s="24"/>
      <c r="J1649" s="24"/>
      <c r="K1649" s="24"/>
      <c r="L1649" s="26"/>
      <c r="M1649" s="26"/>
      <c r="N1649" s="22"/>
      <c r="O1649" s="21"/>
      <c r="P1649" s="22"/>
      <c r="Q1649" s="29" t="str">
        <f aca="false">IF(C1649="","",IF(O1649&lt;&gt;"",O1649,IFERROR(INDEX(Produk!$J$2:$J$100,MATCH(C1649,Produk!$A$2:$A$100,0)),"PRODUK?")))</f>
        <v/>
      </c>
      <c r="R1649" s="29" t="str">
        <f aca="false">IF(A1649="","",IF(COUNTIF(Anggota!$A$2:$A$2001,A1649)=0,"TIDAK ADA","OK"))</f>
        <v/>
      </c>
      <c r="S1649" s="29" t="str">
        <f aca="false">IF(H1649="","",IF(OR(J1649="",L1649=""),"-",IF(ABS(H1649-J1649*L1649)&gt;Info_Koperasi!$C$10,"SELISIH","OK")))</f>
        <v/>
      </c>
    </row>
    <row r="1650" customFormat="false" ht="15" hidden="false" customHeight="false" outlineLevel="0" collapsed="false">
      <c r="A1650" s="21"/>
      <c r="B1650" s="22"/>
      <c r="C1650" s="21"/>
      <c r="D1650" s="21"/>
      <c r="E1650" s="28"/>
      <c r="F1650" s="24"/>
      <c r="G1650" s="26"/>
      <c r="H1650" s="24"/>
      <c r="I1650" s="24"/>
      <c r="J1650" s="24"/>
      <c r="K1650" s="24"/>
      <c r="L1650" s="26"/>
      <c r="M1650" s="26"/>
      <c r="N1650" s="22"/>
      <c r="O1650" s="21"/>
      <c r="P1650" s="22"/>
      <c r="Q1650" s="29" t="str">
        <f aca="false">IF(C1650="","",IF(O1650&lt;&gt;"",O1650,IFERROR(INDEX(Produk!$J$2:$J$100,MATCH(C1650,Produk!$A$2:$A$100,0)),"PRODUK?")))</f>
        <v/>
      </c>
      <c r="R1650" s="29" t="str">
        <f aca="false">IF(A1650="","",IF(COUNTIF(Anggota!$A$2:$A$2001,A1650)=0,"TIDAK ADA","OK"))</f>
        <v/>
      </c>
      <c r="S1650" s="29" t="str">
        <f aca="false">IF(H1650="","",IF(OR(J1650="",L1650=""),"-",IF(ABS(H1650-J1650*L1650)&gt;Info_Koperasi!$C$10,"SELISIH","OK")))</f>
        <v/>
      </c>
    </row>
    <row r="1651" customFormat="false" ht="15" hidden="false" customHeight="false" outlineLevel="0" collapsed="false">
      <c r="A1651" s="21"/>
      <c r="B1651" s="22"/>
      <c r="C1651" s="21"/>
      <c r="D1651" s="21"/>
      <c r="E1651" s="28"/>
      <c r="F1651" s="24"/>
      <c r="G1651" s="26"/>
      <c r="H1651" s="24"/>
      <c r="I1651" s="24"/>
      <c r="J1651" s="24"/>
      <c r="K1651" s="24"/>
      <c r="L1651" s="26"/>
      <c r="M1651" s="26"/>
      <c r="N1651" s="22"/>
      <c r="O1651" s="21"/>
      <c r="P1651" s="22"/>
      <c r="Q1651" s="29" t="str">
        <f aca="false">IF(C1651="","",IF(O1651&lt;&gt;"",O1651,IFERROR(INDEX(Produk!$J$2:$J$100,MATCH(C1651,Produk!$A$2:$A$100,0)),"PRODUK?")))</f>
        <v/>
      </c>
      <c r="R1651" s="29" t="str">
        <f aca="false">IF(A1651="","",IF(COUNTIF(Anggota!$A$2:$A$2001,A1651)=0,"TIDAK ADA","OK"))</f>
        <v/>
      </c>
      <c r="S1651" s="29" t="str">
        <f aca="false">IF(H1651="","",IF(OR(J1651="",L1651=""),"-",IF(ABS(H1651-J1651*L1651)&gt;Info_Koperasi!$C$10,"SELISIH","OK")))</f>
        <v/>
      </c>
    </row>
    <row r="1652" customFormat="false" ht="15" hidden="false" customHeight="false" outlineLevel="0" collapsed="false">
      <c r="A1652" s="21"/>
      <c r="B1652" s="22"/>
      <c r="C1652" s="21"/>
      <c r="D1652" s="21"/>
      <c r="E1652" s="28"/>
      <c r="F1652" s="24"/>
      <c r="G1652" s="26"/>
      <c r="H1652" s="24"/>
      <c r="I1652" s="24"/>
      <c r="J1652" s="24"/>
      <c r="K1652" s="24"/>
      <c r="L1652" s="26"/>
      <c r="M1652" s="26"/>
      <c r="N1652" s="22"/>
      <c r="O1652" s="21"/>
      <c r="P1652" s="22"/>
      <c r="Q1652" s="29" t="str">
        <f aca="false">IF(C1652="","",IF(O1652&lt;&gt;"",O1652,IFERROR(INDEX(Produk!$J$2:$J$100,MATCH(C1652,Produk!$A$2:$A$100,0)),"PRODUK?")))</f>
        <v/>
      </c>
      <c r="R1652" s="29" t="str">
        <f aca="false">IF(A1652="","",IF(COUNTIF(Anggota!$A$2:$A$2001,A1652)=0,"TIDAK ADA","OK"))</f>
        <v/>
      </c>
      <c r="S1652" s="29" t="str">
        <f aca="false">IF(H1652="","",IF(OR(J1652="",L1652=""),"-",IF(ABS(H1652-J1652*L1652)&gt;Info_Koperasi!$C$10,"SELISIH","OK")))</f>
        <v/>
      </c>
    </row>
    <row r="1653" customFormat="false" ht="15" hidden="false" customHeight="false" outlineLevel="0" collapsed="false">
      <c r="A1653" s="21"/>
      <c r="B1653" s="22"/>
      <c r="C1653" s="21"/>
      <c r="D1653" s="21"/>
      <c r="E1653" s="28"/>
      <c r="F1653" s="24"/>
      <c r="G1653" s="26"/>
      <c r="H1653" s="24"/>
      <c r="I1653" s="24"/>
      <c r="J1653" s="24"/>
      <c r="K1653" s="24"/>
      <c r="L1653" s="26"/>
      <c r="M1653" s="26"/>
      <c r="N1653" s="22"/>
      <c r="O1653" s="21"/>
      <c r="P1653" s="22"/>
      <c r="Q1653" s="29" t="str">
        <f aca="false">IF(C1653="","",IF(O1653&lt;&gt;"",O1653,IFERROR(INDEX(Produk!$J$2:$J$100,MATCH(C1653,Produk!$A$2:$A$100,0)),"PRODUK?")))</f>
        <v/>
      </c>
      <c r="R1653" s="29" t="str">
        <f aca="false">IF(A1653="","",IF(COUNTIF(Anggota!$A$2:$A$2001,A1653)=0,"TIDAK ADA","OK"))</f>
        <v/>
      </c>
      <c r="S1653" s="29" t="str">
        <f aca="false">IF(H1653="","",IF(OR(J1653="",L1653=""),"-",IF(ABS(H1653-J1653*L1653)&gt;Info_Koperasi!$C$10,"SELISIH","OK")))</f>
        <v/>
      </c>
    </row>
    <row r="1654" customFormat="false" ht="15" hidden="false" customHeight="false" outlineLevel="0" collapsed="false">
      <c r="A1654" s="21"/>
      <c r="B1654" s="22"/>
      <c r="C1654" s="21"/>
      <c r="D1654" s="21"/>
      <c r="E1654" s="28"/>
      <c r="F1654" s="24"/>
      <c r="G1654" s="26"/>
      <c r="H1654" s="24"/>
      <c r="I1654" s="24"/>
      <c r="J1654" s="24"/>
      <c r="K1654" s="24"/>
      <c r="L1654" s="26"/>
      <c r="M1654" s="26"/>
      <c r="N1654" s="22"/>
      <c r="O1654" s="21"/>
      <c r="P1654" s="22"/>
      <c r="Q1654" s="29" t="str">
        <f aca="false">IF(C1654="","",IF(O1654&lt;&gt;"",O1654,IFERROR(INDEX(Produk!$J$2:$J$100,MATCH(C1654,Produk!$A$2:$A$100,0)),"PRODUK?")))</f>
        <v/>
      </c>
      <c r="R1654" s="29" t="str">
        <f aca="false">IF(A1654="","",IF(COUNTIF(Anggota!$A$2:$A$2001,A1654)=0,"TIDAK ADA","OK"))</f>
        <v/>
      </c>
      <c r="S1654" s="29" t="str">
        <f aca="false">IF(H1654="","",IF(OR(J1654="",L1654=""),"-",IF(ABS(H1654-J1654*L1654)&gt;Info_Koperasi!$C$10,"SELISIH","OK")))</f>
        <v/>
      </c>
    </row>
    <row r="1655" customFormat="false" ht="15" hidden="false" customHeight="false" outlineLevel="0" collapsed="false">
      <c r="A1655" s="21"/>
      <c r="B1655" s="22"/>
      <c r="C1655" s="21"/>
      <c r="D1655" s="21"/>
      <c r="E1655" s="28"/>
      <c r="F1655" s="24"/>
      <c r="G1655" s="26"/>
      <c r="H1655" s="24"/>
      <c r="I1655" s="24"/>
      <c r="J1655" s="24"/>
      <c r="K1655" s="24"/>
      <c r="L1655" s="26"/>
      <c r="M1655" s="26"/>
      <c r="N1655" s="22"/>
      <c r="O1655" s="21"/>
      <c r="P1655" s="22"/>
      <c r="Q1655" s="29" t="str">
        <f aca="false">IF(C1655="","",IF(O1655&lt;&gt;"",O1655,IFERROR(INDEX(Produk!$J$2:$J$100,MATCH(C1655,Produk!$A$2:$A$100,0)),"PRODUK?")))</f>
        <v/>
      </c>
      <c r="R1655" s="29" t="str">
        <f aca="false">IF(A1655="","",IF(COUNTIF(Anggota!$A$2:$A$2001,A1655)=0,"TIDAK ADA","OK"))</f>
        <v/>
      </c>
      <c r="S1655" s="29" t="str">
        <f aca="false">IF(H1655="","",IF(OR(J1655="",L1655=""),"-",IF(ABS(H1655-J1655*L1655)&gt;Info_Koperasi!$C$10,"SELISIH","OK")))</f>
        <v/>
      </c>
    </row>
    <row r="1656" customFormat="false" ht="15" hidden="false" customHeight="false" outlineLevel="0" collapsed="false">
      <c r="A1656" s="21"/>
      <c r="B1656" s="22"/>
      <c r="C1656" s="21"/>
      <c r="D1656" s="21"/>
      <c r="E1656" s="28"/>
      <c r="F1656" s="24"/>
      <c r="G1656" s="26"/>
      <c r="H1656" s="24"/>
      <c r="I1656" s="24"/>
      <c r="J1656" s="24"/>
      <c r="K1656" s="24"/>
      <c r="L1656" s="26"/>
      <c r="M1656" s="26"/>
      <c r="N1656" s="22"/>
      <c r="O1656" s="21"/>
      <c r="P1656" s="22"/>
      <c r="Q1656" s="29" t="str">
        <f aca="false">IF(C1656="","",IF(O1656&lt;&gt;"",O1656,IFERROR(INDEX(Produk!$J$2:$J$100,MATCH(C1656,Produk!$A$2:$A$100,0)),"PRODUK?")))</f>
        <v/>
      </c>
      <c r="R1656" s="29" t="str">
        <f aca="false">IF(A1656="","",IF(COUNTIF(Anggota!$A$2:$A$2001,A1656)=0,"TIDAK ADA","OK"))</f>
        <v/>
      </c>
      <c r="S1656" s="29" t="str">
        <f aca="false">IF(H1656="","",IF(OR(J1656="",L1656=""),"-",IF(ABS(H1656-J1656*L1656)&gt;Info_Koperasi!$C$10,"SELISIH","OK")))</f>
        <v/>
      </c>
    </row>
    <row r="1657" customFormat="false" ht="15" hidden="false" customHeight="false" outlineLevel="0" collapsed="false">
      <c r="A1657" s="21"/>
      <c r="B1657" s="22"/>
      <c r="C1657" s="21"/>
      <c r="D1657" s="21"/>
      <c r="E1657" s="28"/>
      <c r="F1657" s="24"/>
      <c r="G1657" s="26"/>
      <c r="H1657" s="24"/>
      <c r="I1657" s="24"/>
      <c r="J1657" s="24"/>
      <c r="K1657" s="24"/>
      <c r="L1657" s="26"/>
      <c r="M1657" s="26"/>
      <c r="N1657" s="22"/>
      <c r="O1657" s="21"/>
      <c r="P1657" s="22"/>
      <c r="Q1657" s="29" t="str">
        <f aca="false">IF(C1657="","",IF(O1657&lt;&gt;"",O1657,IFERROR(INDEX(Produk!$J$2:$J$100,MATCH(C1657,Produk!$A$2:$A$100,0)),"PRODUK?")))</f>
        <v/>
      </c>
      <c r="R1657" s="29" t="str">
        <f aca="false">IF(A1657="","",IF(COUNTIF(Anggota!$A$2:$A$2001,A1657)=0,"TIDAK ADA","OK"))</f>
        <v/>
      </c>
      <c r="S1657" s="29" t="str">
        <f aca="false">IF(H1657="","",IF(OR(J1657="",L1657=""),"-",IF(ABS(H1657-J1657*L1657)&gt;Info_Koperasi!$C$10,"SELISIH","OK")))</f>
        <v/>
      </c>
    </row>
    <row r="1658" customFormat="false" ht="15" hidden="false" customHeight="false" outlineLevel="0" collapsed="false">
      <c r="A1658" s="21"/>
      <c r="B1658" s="22"/>
      <c r="C1658" s="21"/>
      <c r="D1658" s="21"/>
      <c r="E1658" s="28"/>
      <c r="F1658" s="24"/>
      <c r="G1658" s="26"/>
      <c r="H1658" s="24"/>
      <c r="I1658" s="24"/>
      <c r="J1658" s="24"/>
      <c r="K1658" s="24"/>
      <c r="L1658" s="26"/>
      <c r="M1658" s="26"/>
      <c r="N1658" s="22"/>
      <c r="O1658" s="21"/>
      <c r="P1658" s="22"/>
      <c r="Q1658" s="29" t="str">
        <f aca="false">IF(C1658="","",IF(O1658&lt;&gt;"",O1658,IFERROR(INDEX(Produk!$J$2:$J$100,MATCH(C1658,Produk!$A$2:$A$100,0)),"PRODUK?")))</f>
        <v/>
      </c>
      <c r="R1658" s="29" t="str">
        <f aca="false">IF(A1658="","",IF(COUNTIF(Anggota!$A$2:$A$2001,A1658)=0,"TIDAK ADA","OK"))</f>
        <v/>
      </c>
      <c r="S1658" s="29" t="str">
        <f aca="false">IF(H1658="","",IF(OR(J1658="",L1658=""),"-",IF(ABS(H1658-J1658*L1658)&gt;Info_Koperasi!$C$10,"SELISIH","OK")))</f>
        <v/>
      </c>
    </row>
    <row r="1659" customFormat="false" ht="15" hidden="false" customHeight="false" outlineLevel="0" collapsed="false">
      <c r="A1659" s="21"/>
      <c r="B1659" s="22"/>
      <c r="C1659" s="21"/>
      <c r="D1659" s="21"/>
      <c r="E1659" s="28"/>
      <c r="F1659" s="24"/>
      <c r="G1659" s="26"/>
      <c r="H1659" s="24"/>
      <c r="I1659" s="24"/>
      <c r="J1659" s="24"/>
      <c r="K1659" s="24"/>
      <c r="L1659" s="26"/>
      <c r="M1659" s="26"/>
      <c r="N1659" s="22"/>
      <c r="O1659" s="21"/>
      <c r="P1659" s="22"/>
      <c r="Q1659" s="29" t="str">
        <f aca="false">IF(C1659="","",IF(O1659&lt;&gt;"",O1659,IFERROR(INDEX(Produk!$J$2:$J$100,MATCH(C1659,Produk!$A$2:$A$100,0)),"PRODUK?")))</f>
        <v/>
      </c>
      <c r="R1659" s="29" t="str">
        <f aca="false">IF(A1659="","",IF(COUNTIF(Anggota!$A$2:$A$2001,A1659)=0,"TIDAK ADA","OK"))</f>
        <v/>
      </c>
      <c r="S1659" s="29" t="str">
        <f aca="false">IF(H1659="","",IF(OR(J1659="",L1659=""),"-",IF(ABS(H1659-J1659*L1659)&gt;Info_Koperasi!$C$10,"SELISIH","OK")))</f>
        <v/>
      </c>
    </row>
    <row r="1660" customFormat="false" ht="15" hidden="false" customHeight="false" outlineLevel="0" collapsed="false">
      <c r="A1660" s="21"/>
      <c r="B1660" s="22"/>
      <c r="C1660" s="21"/>
      <c r="D1660" s="21"/>
      <c r="E1660" s="28"/>
      <c r="F1660" s="24"/>
      <c r="G1660" s="26"/>
      <c r="H1660" s="24"/>
      <c r="I1660" s="24"/>
      <c r="J1660" s="24"/>
      <c r="K1660" s="24"/>
      <c r="L1660" s="26"/>
      <c r="M1660" s="26"/>
      <c r="N1660" s="22"/>
      <c r="O1660" s="21"/>
      <c r="P1660" s="22"/>
      <c r="Q1660" s="29" t="str">
        <f aca="false">IF(C1660="","",IF(O1660&lt;&gt;"",O1660,IFERROR(INDEX(Produk!$J$2:$J$100,MATCH(C1660,Produk!$A$2:$A$100,0)),"PRODUK?")))</f>
        <v/>
      </c>
      <c r="R1660" s="29" t="str">
        <f aca="false">IF(A1660="","",IF(COUNTIF(Anggota!$A$2:$A$2001,A1660)=0,"TIDAK ADA","OK"))</f>
        <v/>
      </c>
      <c r="S1660" s="29" t="str">
        <f aca="false">IF(H1660="","",IF(OR(J1660="",L1660=""),"-",IF(ABS(H1660-J1660*L1660)&gt;Info_Koperasi!$C$10,"SELISIH","OK")))</f>
        <v/>
      </c>
    </row>
    <row r="1661" customFormat="false" ht="15" hidden="false" customHeight="false" outlineLevel="0" collapsed="false">
      <c r="A1661" s="21"/>
      <c r="B1661" s="22"/>
      <c r="C1661" s="21"/>
      <c r="D1661" s="21"/>
      <c r="E1661" s="28"/>
      <c r="F1661" s="24"/>
      <c r="G1661" s="26"/>
      <c r="H1661" s="24"/>
      <c r="I1661" s="24"/>
      <c r="J1661" s="24"/>
      <c r="K1661" s="24"/>
      <c r="L1661" s="26"/>
      <c r="M1661" s="26"/>
      <c r="N1661" s="22"/>
      <c r="O1661" s="21"/>
      <c r="P1661" s="22"/>
      <c r="Q1661" s="29" t="str">
        <f aca="false">IF(C1661="","",IF(O1661&lt;&gt;"",O1661,IFERROR(INDEX(Produk!$J$2:$J$100,MATCH(C1661,Produk!$A$2:$A$100,0)),"PRODUK?")))</f>
        <v/>
      </c>
      <c r="R1661" s="29" t="str">
        <f aca="false">IF(A1661="","",IF(COUNTIF(Anggota!$A$2:$A$2001,A1661)=0,"TIDAK ADA","OK"))</f>
        <v/>
      </c>
      <c r="S1661" s="29" t="str">
        <f aca="false">IF(H1661="","",IF(OR(J1661="",L1661=""),"-",IF(ABS(H1661-J1661*L1661)&gt;Info_Koperasi!$C$10,"SELISIH","OK")))</f>
        <v/>
      </c>
    </row>
    <row r="1662" customFormat="false" ht="15" hidden="false" customHeight="false" outlineLevel="0" collapsed="false">
      <c r="A1662" s="21"/>
      <c r="B1662" s="22"/>
      <c r="C1662" s="21"/>
      <c r="D1662" s="21"/>
      <c r="E1662" s="28"/>
      <c r="F1662" s="24"/>
      <c r="G1662" s="26"/>
      <c r="H1662" s="24"/>
      <c r="I1662" s="24"/>
      <c r="J1662" s="24"/>
      <c r="K1662" s="24"/>
      <c r="L1662" s="26"/>
      <c r="M1662" s="26"/>
      <c r="N1662" s="22"/>
      <c r="O1662" s="21"/>
      <c r="P1662" s="22"/>
      <c r="Q1662" s="29" t="str">
        <f aca="false">IF(C1662="","",IF(O1662&lt;&gt;"",O1662,IFERROR(INDEX(Produk!$J$2:$J$100,MATCH(C1662,Produk!$A$2:$A$100,0)),"PRODUK?")))</f>
        <v/>
      </c>
      <c r="R1662" s="29" t="str">
        <f aca="false">IF(A1662="","",IF(COUNTIF(Anggota!$A$2:$A$2001,A1662)=0,"TIDAK ADA","OK"))</f>
        <v/>
      </c>
      <c r="S1662" s="29" t="str">
        <f aca="false">IF(H1662="","",IF(OR(J1662="",L1662=""),"-",IF(ABS(H1662-J1662*L1662)&gt;Info_Koperasi!$C$10,"SELISIH","OK")))</f>
        <v/>
      </c>
    </row>
    <row r="1663" customFormat="false" ht="15" hidden="false" customHeight="false" outlineLevel="0" collapsed="false">
      <c r="A1663" s="21"/>
      <c r="B1663" s="22"/>
      <c r="C1663" s="21"/>
      <c r="D1663" s="21"/>
      <c r="E1663" s="28"/>
      <c r="F1663" s="24"/>
      <c r="G1663" s="26"/>
      <c r="H1663" s="24"/>
      <c r="I1663" s="24"/>
      <c r="J1663" s="24"/>
      <c r="K1663" s="24"/>
      <c r="L1663" s="26"/>
      <c r="M1663" s="26"/>
      <c r="N1663" s="22"/>
      <c r="O1663" s="21"/>
      <c r="P1663" s="22"/>
      <c r="Q1663" s="29" t="str">
        <f aca="false">IF(C1663="","",IF(O1663&lt;&gt;"",O1663,IFERROR(INDEX(Produk!$J$2:$J$100,MATCH(C1663,Produk!$A$2:$A$100,0)),"PRODUK?")))</f>
        <v/>
      </c>
      <c r="R1663" s="29" t="str">
        <f aca="false">IF(A1663="","",IF(COUNTIF(Anggota!$A$2:$A$2001,A1663)=0,"TIDAK ADA","OK"))</f>
        <v/>
      </c>
      <c r="S1663" s="29" t="str">
        <f aca="false">IF(H1663="","",IF(OR(J1663="",L1663=""),"-",IF(ABS(H1663-J1663*L1663)&gt;Info_Koperasi!$C$10,"SELISIH","OK")))</f>
        <v/>
      </c>
    </row>
    <row r="1664" customFormat="false" ht="15" hidden="false" customHeight="false" outlineLevel="0" collapsed="false">
      <c r="A1664" s="21"/>
      <c r="B1664" s="22"/>
      <c r="C1664" s="21"/>
      <c r="D1664" s="21"/>
      <c r="E1664" s="28"/>
      <c r="F1664" s="24"/>
      <c r="G1664" s="26"/>
      <c r="H1664" s="24"/>
      <c r="I1664" s="24"/>
      <c r="J1664" s="24"/>
      <c r="K1664" s="24"/>
      <c r="L1664" s="26"/>
      <c r="M1664" s="26"/>
      <c r="N1664" s="22"/>
      <c r="O1664" s="21"/>
      <c r="P1664" s="22"/>
      <c r="Q1664" s="29" t="str">
        <f aca="false">IF(C1664="","",IF(O1664&lt;&gt;"",O1664,IFERROR(INDEX(Produk!$J$2:$J$100,MATCH(C1664,Produk!$A$2:$A$100,0)),"PRODUK?")))</f>
        <v/>
      </c>
      <c r="R1664" s="29" t="str">
        <f aca="false">IF(A1664="","",IF(COUNTIF(Anggota!$A$2:$A$2001,A1664)=0,"TIDAK ADA","OK"))</f>
        <v/>
      </c>
      <c r="S1664" s="29" t="str">
        <f aca="false">IF(H1664="","",IF(OR(J1664="",L1664=""),"-",IF(ABS(H1664-J1664*L1664)&gt;Info_Koperasi!$C$10,"SELISIH","OK")))</f>
        <v/>
      </c>
    </row>
    <row r="1665" customFormat="false" ht="15" hidden="false" customHeight="false" outlineLevel="0" collapsed="false">
      <c r="A1665" s="21"/>
      <c r="B1665" s="22"/>
      <c r="C1665" s="21"/>
      <c r="D1665" s="21"/>
      <c r="E1665" s="28"/>
      <c r="F1665" s="24"/>
      <c r="G1665" s="26"/>
      <c r="H1665" s="24"/>
      <c r="I1665" s="24"/>
      <c r="J1665" s="24"/>
      <c r="K1665" s="24"/>
      <c r="L1665" s="26"/>
      <c r="M1665" s="26"/>
      <c r="N1665" s="22"/>
      <c r="O1665" s="21"/>
      <c r="P1665" s="22"/>
      <c r="Q1665" s="29" t="str">
        <f aca="false">IF(C1665="","",IF(O1665&lt;&gt;"",O1665,IFERROR(INDEX(Produk!$J$2:$J$100,MATCH(C1665,Produk!$A$2:$A$100,0)),"PRODUK?")))</f>
        <v/>
      </c>
      <c r="R1665" s="29" t="str">
        <f aca="false">IF(A1665="","",IF(COUNTIF(Anggota!$A$2:$A$2001,A1665)=0,"TIDAK ADA","OK"))</f>
        <v/>
      </c>
      <c r="S1665" s="29" t="str">
        <f aca="false">IF(H1665="","",IF(OR(J1665="",L1665=""),"-",IF(ABS(H1665-J1665*L1665)&gt;Info_Koperasi!$C$10,"SELISIH","OK")))</f>
        <v/>
      </c>
    </row>
    <row r="1666" customFormat="false" ht="15" hidden="false" customHeight="false" outlineLevel="0" collapsed="false">
      <c r="A1666" s="21"/>
      <c r="B1666" s="22"/>
      <c r="C1666" s="21"/>
      <c r="D1666" s="21"/>
      <c r="E1666" s="28"/>
      <c r="F1666" s="24"/>
      <c r="G1666" s="26"/>
      <c r="H1666" s="24"/>
      <c r="I1666" s="24"/>
      <c r="J1666" s="24"/>
      <c r="K1666" s="24"/>
      <c r="L1666" s="26"/>
      <c r="M1666" s="26"/>
      <c r="N1666" s="22"/>
      <c r="O1666" s="21"/>
      <c r="P1666" s="22"/>
      <c r="Q1666" s="29" t="str">
        <f aca="false">IF(C1666="","",IF(O1666&lt;&gt;"",O1666,IFERROR(INDEX(Produk!$J$2:$J$100,MATCH(C1666,Produk!$A$2:$A$100,0)),"PRODUK?")))</f>
        <v/>
      </c>
      <c r="R1666" s="29" t="str">
        <f aca="false">IF(A1666="","",IF(COUNTIF(Anggota!$A$2:$A$2001,A1666)=0,"TIDAK ADA","OK"))</f>
        <v/>
      </c>
      <c r="S1666" s="29" t="str">
        <f aca="false">IF(H1666="","",IF(OR(J1666="",L1666=""),"-",IF(ABS(H1666-J1666*L1666)&gt;Info_Koperasi!$C$10,"SELISIH","OK")))</f>
        <v/>
      </c>
    </row>
    <row r="1667" customFormat="false" ht="15" hidden="false" customHeight="false" outlineLevel="0" collapsed="false">
      <c r="A1667" s="21"/>
      <c r="B1667" s="22"/>
      <c r="C1667" s="21"/>
      <c r="D1667" s="21"/>
      <c r="E1667" s="28"/>
      <c r="F1667" s="24"/>
      <c r="G1667" s="26"/>
      <c r="H1667" s="24"/>
      <c r="I1667" s="24"/>
      <c r="J1667" s="24"/>
      <c r="K1667" s="24"/>
      <c r="L1667" s="26"/>
      <c r="M1667" s="26"/>
      <c r="N1667" s="22"/>
      <c r="O1667" s="21"/>
      <c r="P1667" s="22"/>
      <c r="Q1667" s="29" t="str">
        <f aca="false">IF(C1667="","",IF(O1667&lt;&gt;"",O1667,IFERROR(INDEX(Produk!$J$2:$J$100,MATCH(C1667,Produk!$A$2:$A$100,0)),"PRODUK?")))</f>
        <v/>
      </c>
      <c r="R1667" s="29" t="str">
        <f aca="false">IF(A1667="","",IF(COUNTIF(Anggota!$A$2:$A$2001,A1667)=0,"TIDAK ADA","OK"))</f>
        <v/>
      </c>
      <c r="S1667" s="29" t="str">
        <f aca="false">IF(H1667="","",IF(OR(J1667="",L1667=""),"-",IF(ABS(H1667-J1667*L1667)&gt;Info_Koperasi!$C$10,"SELISIH","OK")))</f>
        <v/>
      </c>
    </row>
    <row r="1668" customFormat="false" ht="15" hidden="false" customHeight="false" outlineLevel="0" collapsed="false">
      <c r="A1668" s="21"/>
      <c r="B1668" s="22"/>
      <c r="C1668" s="21"/>
      <c r="D1668" s="21"/>
      <c r="E1668" s="28"/>
      <c r="F1668" s="24"/>
      <c r="G1668" s="26"/>
      <c r="H1668" s="24"/>
      <c r="I1668" s="24"/>
      <c r="J1668" s="24"/>
      <c r="K1668" s="24"/>
      <c r="L1668" s="26"/>
      <c r="M1668" s="26"/>
      <c r="N1668" s="22"/>
      <c r="O1668" s="21"/>
      <c r="P1668" s="22"/>
      <c r="Q1668" s="29" t="str">
        <f aca="false">IF(C1668="","",IF(O1668&lt;&gt;"",O1668,IFERROR(INDEX(Produk!$J$2:$J$100,MATCH(C1668,Produk!$A$2:$A$100,0)),"PRODUK?")))</f>
        <v/>
      </c>
      <c r="R1668" s="29" t="str">
        <f aca="false">IF(A1668="","",IF(COUNTIF(Anggota!$A$2:$A$2001,A1668)=0,"TIDAK ADA","OK"))</f>
        <v/>
      </c>
      <c r="S1668" s="29" t="str">
        <f aca="false">IF(H1668="","",IF(OR(J1668="",L1668=""),"-",IF(ABS(H1668-J1668*L1668)&gt;Info_Koperasi!$C$10,"SELISIH","OK")))</f>
        <v/>
      </c>
    </row>
    <row r="1669" customFormat="false" ht="15" hidden="false" customHeight="false" outlineLevel="0" collapsed="false">
      <c r="A1669" s="21"/>
      <c r="B1669" s="22"/>
      <c r="C1669" s="21"/>
      <c r="D1669" s="21"/>
      <c r="E1669" s="28"/>
      <c r="F1669" s="24"/>
      <c r="G1669" s="26"/>
      <c r="H1669" s="24"/>
      <c r="I1669" s="24"/>
      <c r="J1669" s="24"/>
      <c r="K1669" s="24"/>
      <c r="L1669" s="26"/>
      <c r="M1669" s="26"/>
      <c r="N1669" s="22"/>
      <c r="O1669" s="21"/>
      <c r="P1669" s="22"/>
      <c r="Q1669" s="29" t="str">
        <f aca="false">IF(C1669="","",IF(O1669&lt;&gt;"",O1669,IFERROR(INDEX(Produk!$J$2:$J$100,MATCH(C1669,Produk!$A$2:$A$100,0)),"PRODUK?")))</f>
        <v/>
      </c>
      <c r="R1669" s="29" t="str">
        <f aca="false">IF(A1669="","",IF(COUNTIF(Anggota!$A$2:$A$2001,A1669)=0,"TIDAK ADA","OK"))</f>
        <v/>
      </c>
      <c r="S1669" s="29" t="str">
        <f aca="false">IF(H1669="","",IF(OR(J1669="",L1669=""),"-",IF(ABS(H1669-J1669*L1669)&gt;Info_Koperasi!$C$10,"SELISIH","OK")))</f>
        <v/>
      </c>
    </row>
    <row r="1670" customFormat="false" ht="15" hidden="false" customHeight="false" outlineLevel="0" collapsed="false">
      <c r="A1670" s="21"/>
      <c r="B1670" s="22"/>
      <c r="C1670" s="21"/>
      <c r="D1670" s="21"/>
      <c r="E1670" s="28"/>
      <c r="F1670" s="24"/>
      <c r="G1670" s="26"/>
      <c r="H1670" s="24"/>
      <c r="I1670" s="24"/>
      <c r="J1670" s="24"/>
      <c r="K1670" s="24"/>
      <c r="L1670" s="26"/>
      <c r="M1670" s="26"/>
      <c r="N1670" s="22"/>
      <c r="O1670" s="21"/>
      <c r="P1670" s="22"/>
      <c r="Q1670" s="29" t="str">
        <f aca="false">IF(C1670="","",IF(O1670&lt;&gt;"",O1670,IFERROR(INDEX(Produk!$J$2:$J$100,MATCH(C1670,Produk!$A$2:$A$100,0)),"PRODUK?")))</f>
        <v/>
      </c>
      <c r="R1670" s="29" t="str">
        <f aca="false">IF(A1670="","",IF(COUNTIF(Anggota!$A$2:$A$2001,A1670)=0,"TIDAK ADA","OK"))</f>
        <v/>
      </c>
      <c r="S1670" s="29" t="str">
        <f aca="false">IF(H1670="","",IF(OR(J1670="",L1670=""),"-",IF(ABS(H1670-J1670*L1670)&gt;Info_Koperasi!$C$10,"SELISIH","OK")))</f>
        <v/>
      </c>
    </row>
    <row r="1671" customFormat="false" ht="15" hidden="false" customHeight="false" outlineLevel="0" collapsed="false">
      <c r="A1671" s="21"/>
      <c r="B1671" s="22"/>
      <c r="C1671" s="21"/>
      <c r="D1671" s="21"/>
      <c r="E1671" s="28"/>
      <c r="F1671" s="24"/>
      <c r="G1671" s="26"/>
      <c r="H1671" s="24"/>
      <c r="I1671" s="24"/>
      <c r="J1671" s="24"/>
      <c r="K1671" s="24"/>
      <c r="L1671" s="26"/>
      <c r="M1671" s="26"/>
      <c r="N1671" s="22"/>
      <c r="O1671" s="21"/>
      <c r="P1671" s="22"/>
      <c r="Q1671" s="29" t="str">
        <f aca="false">IF(C1671="","",IF(O1671&lt;&gt;"",O1671,IFERROR(INDEX(Produk!$J$2:$J$100,MATCH(C1671,Produk!$A$2:$A$100,0)),"PRODUK?")))</f>
        <v/>
      </c>
      <c r="R1671" s="29" t="str">
        <f aca="false">IF(A1671="","",IF(COUNTIF(Anggota!$A$2:$A$2001,A1671)=0,"TIDAK ADA","OK"))</f>
        <v/>
      </c>
      <c r="S1671" s="29" t="str">
        <f aca="false">IF(H1671="","",IF(OR(J1671="",L1671=""),"-",IF(ABS(H1671-J1671*L1671)&gt;Info_Koperasi!$C$10,"SELISIH","OK")))</f>
        <v/>
      </c>
    </row>
    <row r="1672" customFormat="false" ht="15" hidden="false" customHeight="false" outlineLevel="0" collapsed="false">
      <c r="A1672" s="21"/>
      <c r="B1672" s="22"/>
      <c r="C1672" s="21"/>
      <c r="D1672" s="21"/>
      <c r="E1672" s="28"/>
      <c r="F1672" s="24"/>
      <c r="G1672" s="26"/>
      <c r="H1672" s="24"/>
      <c r="I1672" s="24"/>
      <c r="J1672" s="24"/>
      <c r="K1672" s="24"/>
      <c r="L1672" s="26"/>
      <c r="M1672" s="26"/>
      <c r="N1672" s="22"/>
      <c r="O1672" s="21"/>
      <c r="P1672" s="22"/>
      <c r="Q1672" s="29" t="str">
        <f aca="false">IF(C1672="","",IF(O1672&lt;&gt;"",O1672,IFERROR(INDEX(Produk!$J$2:$J$100,MATCH(C1672,Produk!$A$2:$A$100,0)),"PRODUK?")))</f>
        <v/>
      </c>
      <c r="R1672" s="29" t="str">
        <f aca="false">IF(A1672="","",IF(COUNTIF(Anggota!$A$2:$A$2001,A1672)=0,"TIDAK ADA","OK"))</f>
        <v/>
      </c>
      <c r="S1672" s="29" t="str">
        <f aca="false">IF(H1672="","",IF(OR(J1672="",L1672=""),"-",IF(ABS(H1672-J1672*L1672)&gt;Info_Koperasi!$C$10,"SELISIH","OK")))</f>
        <v/>
      </c>
    </row>
    <row r="1673" customFormat="false" ht="15" hidden="false" customHeight="false" outlineLevel="0" collapsed="false">
      <c r="A1673" s="21"/>
      <c r="B1673" s="22"/>
      <c r="C1673" s="21"/>
      <c r="D1673" s="21"/>
      <c r="E1673" s="28"/>
      <c r="F1673" s="24"/>
      <c r="G1673" s="26"/>
      <c r="H1673" s="24"/>
      <c r="I1673" s="24"/>
      <c r="J1673" s="24"/>
      <c r="K1673" s="24"/>
      <c r="L1673" s="26"/>
      <c r="M1673" s="26"/>
      <c r="N1673" s="22"/>
      <c r="O1673" s="21"/>
      <c r="P1673" s="22"/>
      <c r="Q1673" s="29" t="str">
        <f aca="false">IF(C1673="","",IF(O1673&lt;&gt;"",O1673,IFERROR(INDEX(Produk!$J$2:$J$100,MATCH(C1673,Produk!$A$2:$A$100,0)),"PRODUK?")))</f>
        <v/>
      </c>
      <c r="R1673" s="29" t="str">
        <f aca="false">IF(A1673="","",IF(COUNTIF(Anggota!$A$2:$A$2001,A1673)=0,"TIDAK ADA","OK"))</f>
        <v/>
      </c>
      <c r="S1673" s="29" t="str">
        <f aca="false">IF(H1673="","",IF(OR(J1673="",L1673=""),"-",IF(ABS(H1673-J1673*L1673)&gt;Info_Koperasi!$C$10,"SELISIH","OK")))</f>
        <v/>
      </c>
    </row>
    <row r="1674" customFormat="false" ht="15" hidden="false" customHeight="false" outlineLevel="0" collapsed="false">
      <c r="A1674" s="21"/>
      <c r="B1674" s="22"/>
      <c r="C1674" s="21"/>
      <c r="D1674" s="21"/>
      <c r="E1674" s="28"/>
      <c r="F1674" s="24"/>
      <c r="G1674" s="26"/>
      <c r="H1674" s="24"/>
      <c r="I1674" s="24"/>
      <c r="J1674" s="24"/>
      <c r="K1674" s="24"/>
      <c r="L1674" s="26"/>
      <c r="M1674" s="26"/>
      <c r="N1674" s="22"/>
      <c r="O1674" s="21"/>
      <c r="P1674" s="22"/>
      <c r="Q1674" s="29" t="str">
        <f aca="false">IF(C1674="","",IF(O1674&lt;&gt;"",O1674,IFERROR(INDEX(Produk!$J$2:$J$100,MATCH(C1674,Produk!$A$2:$A$100,0)),"PRODUK?")))</f>
        <v/>
      </c>
      <c r="R1674" s="29" t="str">
        <f aca="false">IF(A1674="","",IF(COUNTIF(Anggota!$A$2:$A$2001,A1674)=0,"TIDAK ADA","OK"))</f>
        <v/>
      </c>
      <c r="S1674" s="29" t="str">
        <f aca="false">IF(H1674="","",IF(OR(J1674="",L1674=""),"-",IF(ABS(H1674-J1674*L1674)&gt;Info_Koperasi!$C$10,"SELISIH","OK")))</f>
        <v/>
      </c>
    </row>
    <row r="1675" customFormat="false" ht="15" hidden="false" customHeight="false" outlineLevel="0" collapsed="false">
      <c r="A1675" s="21"/>
      <c r="B1675" s="22"/>
      <c r="C1675" s="21"/>
      <c r="D1675" s="21"/>
      <c r="E1675" s="28"/>
      <c r="F1675" s="24"/>
      <c r="G1675" s="26"/>
      <c r="H1675" s="24"/>
      <c r="I1675" s="24"/>
      <c r="J1675" s="24"/>
      <c r="K1675" s="24"/>
      <c r="L1675" s="26"/>
      <c r="M1675" s="26"/>
      <c r="N1675" s="22"/>
      <c r="O1675" s="21"/>
      <c r="P1675" s="22"/>
      <c r="Q1675" s="29" t="str">
        <f aca="false">IF(C1675="","",IF(O1675&lt;&gt;"",O1675,IFERROR(INDEX(Produk!$J$2:$J$100,MATCH(C1675,Produk!$A$2:$A$100,0)),"PRODUK?")))</f>
        <v/>
      </c>
      <c r="R1675" s="29" t="str">
        <f aca="false">IF(A1675="","",IF(COUNTIF(Anggota!$A$2:$A$2001,A1675)=0,"TIDAK ADA","OK"))</f>
        <v/>
      </c>
      <c r="S1675" s="29" t="str">
        <f aca="false">IF(H1675="","",IF(OR(J1675="",L1675=""),"-",IF(ABS(H1675-J1675*L1675)&gt;Info_Koperasi!$C$10,"SELISIH","OK")))</f>
        <v/>
      </c>
    </row>
    <row r="1676" customFormat="false" ht="15" hidden="false" customHeight="false" outlineLevel="0" collapsed="false">
      <c r="A1676" s="21"/>
      <c r="B1676" s="22"/>
      <c r="C1676" s="21"/>
      <c r="D1676" s="21"/>
      <c r="E1676" s="28"/>
      <c r="F1676" s="24"/>
      <c r="G1676" s="26"/>
      <c r="H1676" s="24"/>
      <c r="I1676" s="24"/>
      <c r="J1676" s="24"/>
      <c r="K1676" s="24"/>
      <c r="L1676" s="26"/>
      <c r="M1676" s="26"/>
      <c r="N1676" s="22"/>
      <c r="O1676" s="21"/>
      <c r="P1676" s="22"/>
      <c r="Q1676" s="29" t="str">
        <f aca="false">IF(C1676="","",IF(O1676&lt;&gt;"",O1676,IFERROR(INDEX(Produk!$J$2:$J$100,MATCH(C1676,Produk!$A$2:$A$100,0)),"PRODUK?")))</f>
        <v/>
      </c>
      <c r="R1676" s="29" t="str">
        <f aca="false">IF(A1676="","",IF(COUNTIF(Anggota!$A$2:$A$2001,A1676)=0,"TIDAK ADA","OK"))</f>
        <v/>
      </c>
      <c r="S1676" s="29" t="str">
        <f aca="false">IF(H1676="","",IF(OR(J1676="",L1676=""),"-",IF(ABS(H1676-J1676*L1676)&gt;Info_Koperasi!$C$10,"SELISIH","OK")))</f>
        <v/>
      </c>
    </row>
    <row r="1677" customFormat="false" ht="15" hidden="false" customHeight="false" outlineLevel="0" collapsed="false">
      <c r="A1677" s="21"/>
      <c r="B1677" s="22"/>
      <c r="C1677" s="21"/>
      <c r="D1677" s="21"/>
      <c r="E1677" s="28"/>
      <c r="F1677" s="24"/>
      <c r="G1677" s="26"/>
      <c r="H1677" s="24"/>
      <c r="I1677" s="24"/>
      <c r="J1677" s="24"/>
      <c r="K1677" s="24"/>
      <c r="L1677" s="26"/>
      <c r="M1677" s="26"/>
      <c r="N1677" s="22"/>
      <c r="O1677" s="21"/>
      <c r="P1677" s="22"/>
      <c r="Q1677" s="29" t="str">
        <f aca="false">IF(C1677="","",IF(O1677&lt;&gt;"",O1677,IFERROR(INDEX(Produk!$J$2:$J$100,MATCH(C1677,Produk!$A$2:$A$100,0)),"PRODUK?")))</f>
        <v/>
      </c>
      <c r="R1677" s="29" t="str">
        <f aca="false">IF(A1677="","",IF(COUNTIF(Anggota!$A$2:$A$2001,A1677)=0,"TIDAK ADA","OK"))</f>
        <v/>
      </c>
      <c r="S1677" s="29" t="str">
        <f aca="false">IF(H1677="","",IF(OR(J1677="",L1677=""),"-",IF(ABS(H1677-J1677*L1677)&gt;Info_Koperasi!$C$10,"SELISIH","OK")))</f>
        <v/>
      </c>
    </row>
    <row r="1678" customFormat="false" ht="15" hidden="false" customHeight="false" outlineLevel="0" collapsed="false">
      <c r="A1678" s="21"/>
      <c r="B1678" s="22"/>
      <c r="C1678" s="21"/>
      <c r="D1678" s="21"/>
      <c r="E1678" s="28"/>
      <c r="F1678" s="24"/>
      <c r="G1678" s="26"/>
      <c r="H1678" s="24"/>
      <c r="I1678" s="24"/>
      <c r="J1678" s="24"/>
      <c r="K1678" s="24"/>
      <c r="L1678" s="26"/>
      <c r="M1678" s="26"/>
      <c r="N1678" s="22"/>
      <c r="O1678" s="21"/>
      <c r="P1678" s="22"/>
      <c r="Q1678" s="29" t="str">
        <f aca="false">IF(C1678="","",IF(O1678&lt;&gt;"",O1678,IFERROR(INDEX(Produk!$J$2:$J$100,MATCH(C1678,Produk!$A$2:$A$100,0)),"PRODUK?")))</f>
        <v/>
      </c>
      <c r="R1678" s="29" t="str">
        <f aca="false">IF(A1678="","",IF(COUNTIF(Anggota!$A$2:$A$2001,A1678)=0,"TIDAK ADA","OK"))</f>
        <v/>
      </c>
      <c r="S1678" s="29" t="str">
        <f aca="false">IF(H1678="","",IF(OR(J1678="",L1678=""),"-",IF(ABS(H1678-J1678*L1678)&gt;Info_Koperasi!$C$10,"SELISIH","OK")))</f>
        <v/>
      </c>
    </row>
    <row r="1679" customFormat="false" ht="15" hidden="false" customHeight="false" outlineLevel="0" collapsed="false">
      <c r="A1679" s="21"/>
      <c r="B1679" s="22"/>
      <c r="C1679" s="21"/>
      <c r="D1679" s="21"/>
      <c r="E1679" s="28"/>
      <c r="F1679" s="24"/>
      <c r="G1679" s="26"/>
      <c r="H1679" s="24"/>
      <c r="I1679" s="24"/>
      <c r="J1679" s="24"/>
      <c r="K1679" s="24"/>
      <c r="L1679" s="26"/>
      <c r="M1679" s="26"/>
      <c r="N1679" s="22"/>
      <c r="O1679" s="21"/>
      <c r="P1679" s="22"/>
      <c r="Q1679" s="29" t="str">
        <f aca="false">IF(C1679="","",IF(O1679&lt;&gt;"",O1679,IFERROR(INDEX(Produk!$J$2:$J$100,MATCH(C1679,Produk!$A$2:$A$100,0)),"PRODUK?")))</f>
        <v/>
      </c>
      <c r="R1679" s="29" t="str">
        <f aca="false">IF(A1679="","",IF(COUNTIF(Anggota!$A$2:$A$2001,A1679)=0,"TIDAK ADA","OK"))</f>
        <v/>
      </c>
      <c r="S1679" s="29" t="str">
        <f aca="false">IF(H1679="","",IF(OR(J1679="",L1679=""),"-",IF(ABS(H1679-J1679*L1679)&gt;Info_Koperasi!$C$10,"SELISIH","OK")))</f>
        <v/>
      </c>
    </row>
    <row r="1680" customFormat="false" ht="15" hidden="false" customHeight="false" outlineLevel="0" collapsed="false">
      <c r="A1680" s="21"/>
      <c r="B1680" s="22"/>
      <c r="C1680" s="21"/>
      <c r="D1680" s="21"/>
      <c r="E1680" s="28"/>
      <c r="F1680" s="24"/>
      <c r="G1680" s="26"/>
      <c r="H1680" s="24"/>
      <c r="I1680" s="24"/>
      <c r="J1680" s="24"/>
      <c r="K1680" s="24"/>
      <c r="L1680" s="26"/>
      <c r="M1680" s="26"/>
      <c r="N1680" s="22"/>
      <c r="O1680" s="21"/>
      <c r="P1680" s="22"/>
      <c r="Q1680" s="29" t="str">
        <f aca="false">IF(C1680="","",IF(O1680&lt;&gt;"",O1680,IFERROR(INDEX(Produk!$J$2:$J$100,MATCH(C1680,Produk!$A$2:$A$100,0)),"PRODUK?")))</f>
        <v/>
      </c>
      <c r="R1680" s="29" t="str">
        <f aca="false">IF(A1680="","",IF(COUNTIF(Anggota!$A$2:$A$2001,A1680)=0,"TIDAK ADA","OK"))</f>
        <v/>
      </c>
      <c r="S1680" s="29" t="str">
        <f aca="false">IF(H1680="","",IF(OR(J1680="",L1680=""),"-",IF(ABS(H1680-J1680*L1680)&gt;Info_Koperasi!$C$10,"SELISIH","OK")))</f>
        <v/>
      </c>
    </row>
    <row r="1681" customFormat="false" ht="15" hidden="false" customHeight="false" outlineLevel="0" collapsed="false">
      <c r="A1681" s="21"/>
      <c r="B1681" s="22"/>
      <c r="C1681" s="21"/>
      <c r="D1681" s="21"/>
      <c r="E1681" s="28"/>
      <c r="F1681" s="24"/>
      <c r="G1681" s="26"/>
      <c r="H1681" s="24"/>
      <c r="I1681" s="24"/>
      <c r="J1681" s="24"/>
      <c r="K1681" s="24"/>
      <c r="L1681" s="26"/>
      <c r="M1681" s="26"/>
      <c r="N1681" s="22"/>
      <c r="O1681" s="21"/>
      <c r="P1681" s="22"/>
      <c r="Q1681" s="29" t="str">
        <f aca="false">IF(C1681="","",IF(O1681&lt;&gt;"",O1681,IFERROR(INDEX(Produk!$J$2:$J$100,MATCH(C1681,Produk!$A$2:$A$100,0)),"PRODUK?")))</f>
        <v/>
      </c>
      <c r="R1681" s="29" t="str">
        <f aca="false">IF(A1681="","",IF(COUNTIF(Anggota!$A$2:$A$2001,A1681)=0,"TIDAK ADA","OK"))</f>
        <v/>
      </c>
      <c r="S1681" s="29" t="str">
        <f aca="false">IF(H1681="","",IF(OR(J1681="",L1681=""),"-",IF(ABS(H1681-J1681*L1681)&gt;Info_Koperasi!$C$10,"SELISIH","OK")))</f>
        <v/>
      </c>
    </row>
    <row r="1682" customFormat="false" ht="15" hidden="false" customHeight="false" outlineLevel="0" collapsed="false">
      <c r="A1682" s="21"/>
      <c r="B1682" s="22"/>
      <c r="C1682" s="21"/>
      <c r="D1682" s="21"/>
      <c r="E1682" s="28"/>
      <c r="F1682" s="24"/>
      <c r="G1682" s="26"/>
      <c r="H1682" s="24"/>
      <c r="I1682" s="24"/>
      <c r="J1682" s="24"/>
      <c r="K1682" s="24"/>
      <c r="L1682" s="26"/>
      <c r="M1682" s="26"/>
      <c r="N1682" s="22"/>
      <c r="O1682" s="21"/>
      <c r="P1682" s="22"/>
      <c r="Q1682" s="29" t="str">
        <f aca="false">IF(C1682="","",IF(O1682&lt;&gt;"",O1682,IFERROR(INDEX(Produk!$J$2:$J$100,MATCH(C1682,Produk!$A$2:$A$100,0)),"PRODUK?")))</f>
        <v/>
      </c>
      <c r="R1682" s="29" t="str">
        <f aca="false">IF(A1682="","",IF(COUNTIF(Anggota!$A$2:$A$2001,A1682)=0,"TIDAK ADA","OK"))</f>
        <v/>
      </c>
      <c r="S1682" s="29" t="str">
        <f aca="false">IF(H1682="","",IF(OR(J1682="",L1682=""),"-",IF(ABS(H1682-J1682*L1682)&gt;Info_Koperasi!$C$10,"SELISIH","OK")))</f>
        <v/>
      </c>
    </row>
    <row r="1683" customFormat="false" ht="15" hidden="false" customHeight="false" outlineLevel="0" collapsed="false">
      <c r="A1683" s="21"/>
      <c r="B1683" s="22"/>
      <c r="C1683" s="21"/>
      <c r="D1683" s="21"/>
      <c r="E1683" s="28"/>
      <c r="F1683" s="24"/>
      <c r="G1683" s="26"/>
      <c r="H1683" s="24"/>
      <c r="I1683" s="24"/>
      <c r="J1683" s="24"/>
      <c r="K1683" s="24"/>
      <c r="L1683" s="26"/>
      <c r="M1683" s="26"/>
      <c r="N1683" s="22"/>
      <c r="O1683" s="21"/>
      <c r="P1683" s="22"/>
      <c r="Q1683" s="29" t="str">
        <f aca="false">IF(C1683="","",IF(O1683&lt;&gt;"",O1683,IFERROR(INDEX(Produk!$J$2:$J$100,MATCH(C1683,Produk!$A$2:$A$100,0)),"PRODUK?")))</f>
        <v/>
      </c>
      <c r="R1683" s="29" t="str">
        <f aca="false">IF(A1683="","",IF(COUNTIF(Anggota!$A$2:$A$2001,A1683)=0,"TIDAK ADA","OK"))</f>
        <v/>
      </c>
      <c r="S1683" s="29" t="str">
        <f aca="false">IF(H1683="","",IF(OR(J1683="",L1683=""),"-",IF(ABS(H1683-J1683*L1683)&gt;Info_Koperasi!$C$10,"SELISIH","OK")))</f>
        <v/>
      </c>
    </row>
    <row r="1684" customFormat="false" ht="15" hidden="false" customHeight="false" outlineLevel="0" collapsed="false">
      <c r="A1684" s="21"/>
      <c r="B1684" s="22"/>
      <c r="C1684" s="21"/>
      <c r="D1684" s="21"/>
      <c r="E1684" s="28"/>
      <c r="F1684" s="24"/>
      <c r="G1684" s="26"/>
      <c r="H1684" s="24"/>
      <c r="I1684" s="24"/>
      <c r="J1684" s="24"/>
      <c r="K1684" s="24"/>
      <c r="L1684" s="26"/>
      <c r="M1684" s="26"/>
      <c r="N1684" s="22"/>
      <c r="O1684" s="21"/>
      <c r="P1684" s="22"/>
      <c r="Q1684" s="29" t="str">
        <f aca="false">IF(C1684="","",IF(O1684&lt;&gt;"",O1684,IFERROR(INDEX(Produk!$J$2:$J$100,MATCH(C1684,Produk!$A$2:$A$100,0)),"PRODUK?")))</f>
        <v/>
      </c>
      <c r="R1684" s="29" t="str">
        <f aca="false">IF(A1684="","",IF(COUNTIF(Anggota!$A$2:$A$2001,A1684)=0,"TIDAK ADA","OK"))</f>
        <v/>
      </c>
      <c r="S1684" s="29" t="str">
        <f aca="false">IF(H1684="","",IF(OR(J1684="",L1684=""),"-",IF(ABS(H1684-J1684*L1684)&gt;Info_Koperasi!$C$10,"SELISIH","OK")))</f>
        <v/>
      </c>
    </row>
    <row r="1685" customFormat="false" ht="15" hidden="false" customHeight="false" outlineLevel="0" collapsed="false">
      <c r="A1685" s="21"/>
      <c r="B1685" s="22"/>
      <c r="C1685" s="21"/>
      <c r="D1685" s="21"/>
      <c r="E1685" s="28"/>
      <c r="F1685" s="24"/>
      <c r="G1685" s="26"/>
      <c r="H1685" s="24"/>
      <c r="I1685" s="24"/>
      <c r="J1685" s="24"/>
      <c r="K1685" s="24"/>
      <c r="L1685" s="26"/>
      <c r="M1685" s="26"/>
      <c r="N1685" s="22"/>
      <c r="O1685" s="21"/>
      <c r="P1685" s="22"/>
      <c r="Q1685" s="29" t="str">
        <f aca="false">IF(C1685="","",IF(O1685&lt;&gt;"",O1685,IFERROR(INDEX(Produk!$J$2:$J$100,MATCH(C1685,Produk!$A$2:$A$100,0)),"PRODUK?")))</f>
        <v/>
      </c>
      <c r="R1685" s="29" t="str">
        <f aca="false">IF(A1685="","",IF(COUNTIF(Anggota!$A$2:$A$2001,A1685)=0,"TIDAK ADA","OK"))</f>
        <v/>
      </c>
      <c r="S1685" s="29" t="str">
        <f aca="false">IF(H1685="","",IF(OR(J1685="",L1685=""),"-",IF(ABS(H1685-J1685*L1685)&gt;Info_Koperasi!$C$10,"SELISIH","OK")))</f>
        <v/>
      </c>
    </row>
    <row r="1686" customFormat="false" ht="15" hidden="false" customHeight="false" outlineLevel="0" collapsed="false">
      <c r="A1686" s="21"/>
      <c r="B1686" s="22"/>
      <c r="C1686" s="21"/>
      <c r="D1686" s="21"/>
      <c r="E1686" s="28"/>
      <c r="F1686" s="24"/>
      <c r="G1686" s="26"/>
      <c r="H1686" s="24"/>
      <c r="I1686" s="24"/>
      <c r="J1686" s="24"/>
      <c r="K1686" s="24"/>
      <c r="L1686" s="26"/>
      <c r="M1686" s="26"/>
      <c r="N1686" s="22"/>
      <c r="O1686" s="21"/>
      <c r="P1686" s="22"/>
      <c r="Q1686" s="29" t="str">
        <f aca="false">IF(C1686="","",IF(O1686&lt;&gt;"",O1686,IFERROR(INDEX(Produk!$J$2:$J$100,MATCH(C1686,Produk!$A$2:$A$100,0)),"PRODUK?")))</f>
        <v/>
      </c>
      <c r="R1686" s="29" t="str">
        <f aca="false">IF(A1686="","",IF(COUNTIF(Anggota!$A$2:$A$2001,A1686)=0,"TIDAK ADA","OK"))</f>
        <v/>
      </c>
      <c r="S1686" s="29" t="str">
        <f aca="false">IF(H1686="","",IF(OR(J1686="",L1686=""),"-",IF(ABS(H1686-J1686*L1686)&gt;Info_Koperasi!$C$10,"SELISIH","OK")))</f>
        <v/>
      </c>
    </row>
    <row r="1687" customFormat="false" ht="15" hidden="false" customHeight="false" outlineLevel="0" collapsed="false">
      <c r="A1687" s="21"/>
      <c r="B1687" s="22"/>
      <c r="C1687" s="21"/>
      <c r="D1687" s="21"/>
      <c r="E1687" s="28"/>
      <c r="F1687" s="24"/>
      <c r="G1687" s="26"/>
      <c r="H1687" s="24"/>
      <c r="I1687" s="24"/>
      <c r="J1687" s="24"/>
      <c r="K1687" s="24"/>
      <c r="L1687" s="26"/>
      <c r="M1687" s="26"/>
      <c r="N1687" s="22"/>
      <c r="O1687" s="21"/>
      <c r="P1687" s="22"/>
      <c r="Q1687" s="29" t="str">
        <f aca="false">IF(C1687="","",IF(O1687&lt;&gt;"",O1687,IFERROR(INDEX(Produk!$J$2:$J$100,MATCH(C1687,Produk!$A$2:$A$100,0)),"PRODUK?")))</f>
        <v/>
      </c>
      <c r="R1687" s="29" t="str">
        <f aca="false">IF(A1687="","",IF(COUNTIF(Anggota!$A$2:$A$2001,A1687)=0,"TIDAK ADA","OK"))</f>
        <v/>
      </c>
      <c r="S1687" s="29" t="str">
        <f aca="false">IF(H1687="","",IF(OR(J1687="",L1687=""),"-",IF(ABS(H1687-J1687*L1687)&gt;Info_Koperasi!$C$10,"SELISIH","OK")))</f>
        <v/>
      </c>
    </row>
    <row r="1688" customFormat="false" ht="15" hidden="false" customHeight="false" outlineLevel="0" collapsed="false">
      <c r="A1688" s="21"/>
      <c r="B1688" s="22"/>
      <c r="C1688" s="21"/>
      <c r="D1688" s="21"/>
      <c r="E1688" s="28"/>
      <c r="F1688" s="24"/>
      <c r="G1688" s="26"/>
      <c r="H1688" s="24"/>
      <c r="I1688" s="24"/>
      <c r="J1688" s="24"/>
      <c r="K1688" s="24"/>
      <c r="L1688" s="26"/>
      <c r="M1688" s="26"/>
      <c r="N1688" s="22"/>
      <c r="O1688" s="21"/>
      <c r="P1688" s="22"/>
      <c r="Q1688" s="29" t="str">
        <f aca="false">IF(C1688="","",IF(O1688&lt;&gt;"",O1688,IFERROR(INDEX(Produk!$J$2:$J$100,MATCH(C1688,Produk!$A$2:$A$100,0)),"PRODUK?")))</f>
        <v/>
      </c>
      <c r="R1688" s="29" t="str">
        <f aca="false">IF(A1688="","",IF(COUNTIF(Anggota!$A$2:$A$2001,A1688)=0,"TIDAK ADA","OK"))</f>
        <v/>
      </c>
      <c r="S1688" s="29" t="str">
        <f aca="false">IF(H1688="","",IF(OR(J1688="",L1688=""),"-",IF(ABS(H1688-J1688*L1688)&gt;Info_Koperasi!$C$10,"SELISIH","OK")))</f>
        <v/>
      </c>
    </row>
    <row r="1689" customFormat="false" ht="15" hidden="false" customHeight="false" outlineLevel="0" collapsed="false">
      <c r="A1689" s="21"/>
      <c r="B1689" s="22"/>
      <c r="C1689" s="21"/>
      <c r="D1689" s="21"/>
      <c r="E1689" s="28"/>
      <c r="F1689" s="24"/>
      <c r="G1689" s="26"/>
      <c r="H1689" s="24"/>
      <c r="I1689" s="24"/>
      <c r="J1689" s="24"/>
      <c r="K1689" s="24"/>
      <c r="L1689" s="26"/>
      <c r="M1689" s="26"/>
      <c r="N1689" s="22"/>
      <c r="O1689" s="21"/>
      <c r="P1689" s="22"/>
      <c r="Q1689" s="29" t="str">
        <f aca="false">IF(C1689="","",IF(O1689&lt;&gt;"",O1689,IFERROR(INDEX(Produk!$J$2:$J$100,MATCH(C1689,Produk!$A$2:$A$100,0)),"PRODUK?")))</f>
        <v/>
      </c>
      <c r="R1689" s="29" t="str">
        <f aca="false">IF(A1689="","",IF(COUNTIF(Anggota!$A$2:$A$2001,A1689)=0,"TIDAK ADA","OK"))</f>
        <v/>
      </c>
      <c r="S1689" s="29" t="str">
        <f aca="false">IF(H1689="","",IF(OR(J1689="",L1689=""),"-",IF(ABS(H1689-J1689*L1689)&gt;Info_Koperasi!$C$10,"SELISIH","OK")))</f>
        <v/>
      </c>
    </row>
    <row r="1690" customFormat="false" ht="15" hidden="false" customHeight="false" outlineLevel="0" collapsed="false">
      <c r="A1690" s="21"/>
      <c r="B1690" s="22"/>
      <c r="C1690" s="21"/>
      <c r="D1690" s="21"/>
      <c r="E1690" s="28"/>
      <c r="F1690" s="24"/>
      <c r="G1690" s="26"/>
      <c r="H1690" s="24"/>
      <c r="I1690" s="24"/>
      <c r="J1690" s="24"/>
      <c r="K1690" s="24"/>
      <c r="L1690" s="26"/>
      <c r="M1690" s="26"/>
      <c r="N1690" s="22"/>
      <c r="O1690" s="21"/>
      <c r="P1690" s="22"/>
      <c r="Q1690" s="29" t="str">
        <f aca="false">IF(C1690="","",IF(O1690&lt;&gt;"",O1690,IFERROR(INDEX(Produk!$J$2:$J$100,MATCH(C1690,Produk!$A$2:$A$100,0)),"PRODUK?")))</f>
        <v/>
      </c>
      <c r="R1690" s="29" t="str">
        <f aca="false">IF(A1690="","",IF(COUNTIF(Anggota!$A$2:$A$2001,A1690)=0,"TIDAK ADA","OK"))</f>
        <v/>
      </c>
      <c r="S1690" s="29" t="str">
        <f aca="false">IF(H1690="","",IF(OR(J1690="",L1690=""),"-",IF(ABS(H1690-J1690*L1690)&gt;Info_Koperasi!$C$10,"SELISIH","OK")))</f>
        <v/>
      </c>
    </row>
    <row r="1691" customFormat="false" ht="15" hidden="false" customHeight="false" outlineLevel="0" collapsed="false">
      <c r="A1691" s="21"/>
      <c r="B1691" s="22"/>
      <c r="C1691" s="21"/>
      <c r="D1691" s="21"/>
      <c r="E1691" s="28"/>
      <c r="F1691" s="24"/>
      <c r="G1691" s="26"/>
      <c r="H1691" s="24"/>
      <c r="I1691" s="24"/>
      <c r="J1691" s="24"/>
      <c r="K1691" s="24"/>
      <c r="L1691" s="26"/>
      <c r="M1691" s="26"/>
      <c r="N1691" s="22"/>
      <c r="O1691" s="21"/>
      <c r="P1691" s="22"/>
      <c r="Q1691" s="29" t="str">
        <f aca="false">IF(C1691="","",IF(O1691&lt;&gt;"",O1691,IFERROR(INDEX(Produk!$J$2:$J$100,MATCH(C1691,Produk!$A$2:$A$100,0)),"PRODUK?")))</f>
        <v/>
      </c>
      <c r="R1691" s="29" t="str">
        <f aca="false">IF(A1691="","",IF(COUNTIF(Anggota!$A$2:$A$2001,A1691)=0,"TIDAK ADA","OK"))</f>
        <v/>
      </c>
      <c r="S1691" s="29" t="str">
        <f aca="false">IF(H1691="","",IF(OR(J1691="",L1691=""),"-",IF(ABS(H1691-J1691*L1691)&gt;Info_Koperasi!$C$10,"SELISIH","OK")))</f>
        <v/>
      </c>
    </row>
    <row r="1692" customFormat="false" ht="15" hidden="false" customHeight="false" outlineLevel="0" collapsed="false">
      <c r="A1692" s="21"/>
      <c r="B1692" s="22"/>
      <c r="C1692" s="21"/>
      <c r="D1692" s="21"/>
      <c r="E1692" s="28"/>
      <c r="F1692" s="24"/>
      <c r="G1692" s="26"/>
      <c r="H1692" s="24"/>
      <c r="I1692" s="24"/>
      <c r="J1692" s="24"/>
      <c r="K1692" s="24"/>
      <c r="L1692" s="26"/>
      <c r="M1692" s="26"/>
      <c r="N1692" s="22"/>
      <c r="O1692" s="21"/>
      <c r="P1692" s="22"/>
      <c r="Q1692" s="29" t="str">
        <f aca="false">IF(C1692="","",IF(O1692&lt;&gt;"",O1692,IFERROR(INDEX(Produk!$J$2:$J$100,MATCH(C1692,Produk!$A$2:$A$100,0)),"PRODUK?")))</f>
        <v/>
      </c>
      <c r="R1692" s="29" t="str">
        <f aca="false">IF(A1692="","",IF(COUNTIF(Anggota!$A$2:$A$2001,A1692)=0,"TIDAK ADA","OK"))</f>
        <v/>
      </c>
      <c r="S1692" s="29" t="str">
        <f aca="false">IF(H1692="","",IF(OR(J1692="",L1692=""),"-",IF(ABS(H1692-J1692*L1692)&gt;Info_Koperasi!$C$10,"SELISIH","OK")))</f>
        <v/>
      </c>
    </row>
    <row r="1693" customFormat="false" ht="15" hidden="false" customHeight="false" outlineLevel="0" collapsed="false">
      <c r="A1693" s="21"/>
      <c r="B1693" s="22"/>
      <c r="C1693" s="21"/>
      <c r="D1693" s="21"/>
      <c r="E1693" s="28"/>
      <c r="F1693" s="24"/>
      <c r="G1693" s="26"/>
      <c r="H1693" s="24"/>
      <c r="I1693" s="24"/>
      <c r="J1693" s="24"/>
      <c r="K1693" s="24"/>
      <c r="L1693" s="26"/>
      <c r="M1693" s="26"/>
      <c r="N1693" s="22"/>
      <c r="O1693" s="21"/>
      <c r="P1693" s="22"/>
      <c r="Q1693" s="29" t="str">
        <f aca="false">IF(C1693="","",IF(O1693&lt;&gt;"",O1693,IFERROR(INDEX(Produk!$J$2:$J$100,MATCH(C1693,Produk!$A$2:$A$100,0)),"PRODUK?")))</f>
        <v/>
      </c>
      <c r="R1693" s="29" t="str">
        <f aca="false">IF(A1693="","",IF(COUNTIF(Anggota!$A$2:$A$2001,A1693)=0,"TIDAK ADA","OK"))</f>
        <v/>
      </c>
      <c r="S1693" s="29" t="str">
        <f aca="false">IF(H1693="","",IF(OR(J1693="",L1693=""),"-",IF(ABS(H1693-J1693*L1693)&gt;Info_Koperasi!$C$10,"SELISIH","OK")))</f>
        <v/>
      </c>
    </row>
    <row r="1694" customFormat="false" ht="15" hidden="false" customHeight="false" outlineLevel="0" collapsed="false">
      <c r="A1694" s="21"/>
      <c r="B1694" s="22"/>
      <c r="C1694" s="21"/>
      <c r="D1694" s="21"/>
      <c r="E1694" s="28"/>
      <c r="F1694" s="24"/>
      <c r="G1694" s="26"/>
      <c r="H1694" s="24"/>
      <c r="I1694" s="24"/>
      <c r="J1694" s="24"/>
      <c r="K1694" s="24"/>
      <c r="L1694" s="26"/>
      <c r="M1694" s="26"/>
      <c r="N1694" s="22"/>
      <c r="O1694" s="21"/>
      <c r="P1694" s="22"/>
      <c r="Q1694" s="29" t="str">
        <f aca="false">IF(C1694="","",IF(O1694&lt;&gt;"",O1694,IFERROR(INDEX(Produk!$J$2:$J$100,MATCH(C1694,Produk!$A$2:$A$100,0)),"PRODUK?")))</f>
        <v/>
      </c>
      <c r="R1694" s="29" t="str">
        <f aca="false">IF(A1694="","",IF(COUNTIF(Anggota!$A$2:$A$2001,A1694)=0,"TIDAK ADA","OK"))</f>
        <v/>
      </c>
      <c r="S1694" s="29" t="str">
        <f aca="false">IF(H1694="","",IF(OR(J1694="",L1694=""),"-",IF(ABS(H1694-J1694*L1694)&gt;Info_Koperasi!$C$10,"SELISIH","OK")))</f>
        <v/>
      </c>
    </row>
    <row r="1695" customFormat="false" ht="15" hidden="false" customHeight="false" outlineLevel="0" collapsed="false">
      <c r="A1695" s="21"/>
      <c r="B1695" s="22"/>
      <c r="C1695" s="21"/>
      <c r="D1695" s="21"/>
      <c r="E1695" s="28"/>
      <c r="F1695" s="24"/>
      <c r="G1695" s="26"/>
      <c r="H1695" s="24"/>
      <c r="I1695" s="24"/>
      <c r="J1695" s="24"/>
      <c r="K1695" s="24"/>
      <c r="L1695" s="26"/>
      <c r="M1695" s="26"/>
      <c r="N1695" s="22"/>
      <c r="O1695" s="21"/>
      <c r="P1695" s="22"/>
      <c r="Q1695" s="29" t="str">
        <f aca="false">IF(C1695="","",IF(O1695&lt;&gt;"",O1695,IFERROR(INDEX(Produk!$J$2:$J$100,MATCH(C1695,Produk!$A$2:$A$100,0)),"PRODUK?")))</f>
        <v/>
      </c>
      <c r="R1695" s="29" t="str">
        <f aca="false">IF(A1695="","",IF(COUNTIF(Anggota!$A$2:$A$2001,A1695)=0,"TIDAK ADA","OK"))</f>
        <v/>
      </c>
      <c r="S1695" s="29" t="str">
        <f aca="false">IF(H1695="","",IF(OR(J1695="",L1695=""),"-",IF(ABS(H1695-J1695*L1695)&gt;Info_Koperasi!$C$10,"SELISIH","OK")))</f>
        <v/>
      </c>
    </row>
    <row r="1696" customFormat="false" ht="15" hidden="false" customHeight="false" outlineLevel="0" collapsed="false">
      <c r="A1696" s="21"/>
      <c r="B1696" s="22"/>
      <c r="C1696" s="21"/>
      <c r="D1696" s="21"/>
      <c r="E1696" s="28"/>
      <c r="F1696" s="24"/>
      <c r="G1696" s="26"/>
      <c r="H1696" s="24"/>
      <c r="I1696" s="24"/>
      <c r="J1696" s="24"/>
      <c r="K1696" s="24"/>
      <c r="L1696" s="26"/>
      <c r="M1696" s="26"/>
      <c r="N1696" s="22"/>
      <c r="O1696" s="21"/>
      <c r="P1696" s="22"/>
      <c r="Q1696" s="29" t="str">
        <f aca="false">IF(C1696="","",IF(O1696&lt;&gt;"",O1696,IFERROR(INDEX(Produk!$J$2:$J$100,MATCH(C1696,Produk!$A$2:$A$100,0)),"PRODUK?")))</f>
        <v/>
      </c>
      <c r="R1696" s="29" t="str">
        <f aca="false">IF(A1696="","",IF(COUNTIF(Anggota!$A$2:$A$2001,A1696)=0,"TIDAK ADA","OK"))</f>
        <v/>
      </c>
      <c r="S1696" s="29" t="str">
        <f aca="false">IF(H1696="","",IF(OR(J1696="",L1696=""),"-",IF(ABS(H1696-J1696*L1696)&gt;Info_Koperasi!$C$10,"SELISIH","OK")))</f>
        <v/>
      </c>
    </row>
    <row r="1697" customFormat="false" ht="15" hidden="false" customHeight="false" outlineLevel="0" collapsed="false">
      <c r="A1697" s="21"/>
      <c r="B1697" s="22"/>
      <c r="C1697" s="21"/>
      <c r="D1697" s="21"/>
      <c r="E1697" s="28"/>
      <c r="F1697" s="24"/>
      <c r="G1697" s="26"/>
      <c r="H1697" s="24"/>
      <c r="I1697" s="24"/>
      <c r="J1697" s="24"/>
      <c r="K1697" s="24"/>
      <c r="L1697" s="26"/>
      <c r="M1697" s="26"/>
      <c r="N1697" s="22"/>
      <c r="O1697" s="21"/>
      <c r="P1697" s="22"/>
      <c r="Q1697" s="29" t="str">
        <f aca="false">IF(C1697="","",IF(O1697&lt;&gt;"",O1697,IFERROR(INDEX(Produk!$J$2:$J$100,MATCH(C1697,Produk!$A$2:$A$100,0)),"PRODUK?")))</f>
        <v/>
      </c>
      <c r="R1697" s="29" t="str">
        <f aca="false">IF(A1697="","",IF(COUNTIF(Anggota!$A$2:$A$2001,A1697)=0,"TIDAK ADA","OK"))</f>
        <v/>
      </c>
      <c r="S1697" s="29" t="str">
        <f aca="false">IF(H1697="","",IF(OR(J1697="",L1697=""),"-",IF(ABS(H1697-J1697*L1697)&gt;Info_Koperasi!$C$10,"SELISIH","OK")))</f>
        <v/>
      </c>
    </row>
    <row r="1698" customFormat="false" ht="15" hidden="false" customHeight="false" outlineLevel="0" collapsed="false">
      <c r="A1698" s="21"/>
      <c r="B1698" s="22"/>
      <c r="C1698" s="21"/>
      <c r="D1698" s="21"/>
      <c r="E1698" s="28"/>
      <c r="F1698" s="24"/>
      <c r="G1698" s="26"/>
      <c r="H1698" s="24"/>
      <c r="I1698" s="24"/>
      <c r="J1698" s="24"/>
      <c r="K1698" s="24"/>
      <c r="L1698" s="26"/>
      <c r="M1698" s="26"/>
      <c r="N1698" s="22"/>
      <c r="O1698" s="21"/>
      <c r="P1698" s="22"/>
      <c r="Q1698" s="29" t="str">
        <f aca="false">IF(C1698="","",IF(O1698&lt;&gt;"",O1698,IFERROR(INDEX(Produk!$J$2:$J$100,MATCH(C1698,Produk!$A$2:$A$100,0)),"PRODUK?")))</f>
        <v/>
      </c>
      <c r="R1698" s="29" t="str">
        <f aca="false">IF(A1698="","",IF(COUNTIF(Anggota!$A$2:$A$2001,A1698)=0,"TIDAK ADA","OK"))</f>
        <v/>
      </c>
      <c r="S1698" s="29" t="str">
        <f aca="false">IF(H1698="","",IF(OR(J1698="",L1698=""),"-",IF(ABS(H1698-J1698*L1698)&gt;Info_Koperasi!$C$10,"SELISIH","OK")))</f>
        <v/>
      </c>
    </row>
    <row r="1699" customFormat="false" ht="15" hidden="false" customHeight="false" outlineLevel="0" collapsed="false">
      <c r="A1699" s="21"/>
      <c r="B1699" s="22"/>
      <c r="C1699" s="21"/>
      <c r="D1699" s="21"/>
      <c r="E1699" s="28"/>
      <c r="F1699" s="24"/>
      <c r="G1699" s="26"/>
      <c r="H1699" s="24"/>
      <c r="I1699" s="24"/>
      <c r="J1699" s="24"/>
      <c r="K1699" s="24"/>
      <c r="L1699" s="26"/>
      <c r="M1699" s="26"/>
      <c r="N1699" s="22"/>
      <c r="O1699" s="21"/>
      <c r="P1699" s="22"/>
      <c r="Q1699" s="29" t="str">
        <f aca="false">IF(C1699="","",IF(O1699&lt;&gt;"",O1699,IFERROR(INDEX(Produk!$J$2:$J$100,MATCH(C1699,Produk!$A$2:$A$100,0)),"PRODUK?")))</f>
        <v/>
      </c>
      <c r="R1699" s="29" t="str">
        <f aca="false">IF(A1699="","",IF(COUNTIF(Anggota!$A$2:$A$2001,A1699)=0,"TIDAK ADA","OK"))</f>
        <v/>
      </c>
      <c r="S1699" s="29" t="str">
        <f aca="false">IF(H1699="","",IF(OR(J1699="",L1699=""),"-",IF(ABS(H1699-J1699*L1699)&gt;Info_Koperasi!$C$10,"SELISIH","OK")))</f>
        <v/>
      </c>
    </row>
    <row r="1700" customFormat="false" ht="15" hidden="false" customHeight="false" outlineLevel="0" collapsed="false">
      <c r="A1700" s="21"/>
      <c r="B1700" s="22"/>
      <c r="C1700" s="21"/>
      <c r="D1700" s="21"/>
      <c r="E1700" s="28"/>
      <c r="F1700" s="24"/>
      <c r="G1700" s="26"/>
      <c r="H1700" s="24"/>
      <c r="I1700" s="24"/>
      <c r="J1700" s="24"/>
      <c r="K1700" s="24"/>
      <c r="L1700" s="26"/>
      <c r="M1700" s="26"/>
      <c r="N1700" s="22"/>
      <c r="O1700" s="21"/>
      <c r="P1700" s="22"/>
      <c r="Q1700" s="29" t="str">
        <f aca="false">IF(C1700="","",IF(O1700&lt;&gt;"",O1700,IFERROR(INDEX(Produk!$J$2:$J$100,MATCH(C1700,Produk!$A$2:$A$100,0)),"PRODUK?")))</f>
        <v/>
      </c>
      <c r="R1700" s="29" t="str">
        <f aca="false">IF(A1700="","",IF(COUNTIF(Anggota!$A$2:$A$2001,A1700)=0,"TIDAK ADA","OK"))</f>
        <v/>
      </c>
      <c r="S1700" s="29" t="str">
        <f aca="false">IF(H1700="","",IF(OR(J1700="",L1700=""),"-",IF(ABS(H1700-J1700*L1700)&gt;Info_Koperasi!$C$10,"SELISIH","OK")))</f>
        <v/>
      </c>
    </row>
    <row r="1701" customFormat="false" ht="15" hidden="false" customHeight="false" outlineLevel="0" collapsed="false">
      <c r="A1701" s="21"/>
      <c r="B1701" s="22"/>
      <c r="C1701" s="21"/>
      <c r="D1701" s="21"/>
      <c r="E1701" s="28"/>
      <c r="F1701" s="24"/>
      <c r="G1701" s="26"/>
      <c r="H1701" s="24"/>
      <c r="I1701" s="24"/>
      <c r="J1701" s="24"/>
      <c r="K1701" s="24"/>
      <c r="L1701" s="26"/>
      <c r="M1701" s="26"/>
      <c r="N1701" s="22"/>
      <c r="O1701" s="21"/>
      <c r="P1701" s="22"/>
      <c r="Q1701" s="29" t="str">
        <f aca="false">IF(C1701="","",IF(O1701&lt;&gt;"",O1701,IFERROR(INDEX(Produk!$J$2:$J$100,MATCH(C1701,Produk!$A$2:$A$100,0)),"PRODUK?")))</f>
        <v/>
      </c>
      <c r="R1701" s="29" t="str">
        <f aca="false">IF(A1701="","",IF(COUNTIF(Anggota!$A$2:$A$2001,A1701)=0,"TIDAK ADA","OK"))</f>
        <v/>
      </c>
      <c r="S1701" s="29" t="str">
        <f aca="false">IF(H1701="","",IF(OR(J1701="",L1701=""),"-",IF(ABS(H1701-J1701*L1701)&gt;Info_Koperasi!$C$10,"SELISIH","OK")))</f>
        <v/>
      </c>
    </row>
    <row r="1702" customFormat="false" ht="15" hidden="false" customHeight="false" outlineLevel="0" collapsed="false">
      <c r="A1702" s="21"/>
      <c r="B1702" s="22"/>
      <c r="C1702" s="21"/>
      <c r="D1702" s="21"/>
      <c r="E1702" s="28"/>
      <c r="F1702" s="24"/>
      <c r="G1702" s="26"/>
      <c r="H1702" s="24"/>
      <c r="I1702" s="24"/>
      <c r="J1702" s="24"/>
      <c r="K1702" s="24"/>
      <c r="L1702" s="26"/>
      <c r="M1702" s="26"/>
      <c r="N1702" s="22"/>
      <c r="O1702" s="21"/>
      <c r="P1702" s="22"/>
      <c r="Q1702" s="29" t="str">
        <f aca="false">IF(C1702="","",IF(O1702&lt;&gt;"",O1702,IFERROR(INDEX(Produk!$J$2:$J$100,MATCH(C1702,Produk!$A$2:$A$100,0)),"PRODUK?")))</f>
        <v/>
      </c>
      <c r="R1702" s="29" t="str">
        <f aca="false">IF(A1702="","",IF(COUNTIF(Anggota!$A$2:$A$2001,A1702)=0,"TIDAK ADA","OK"))</f>
        <v/>
      </c>
      <c r="S1702" s="29" t="str">
        <f aca="false">IF(H1702="","",IF(OR(J1702="",L1702=""),"-",IF(ABS(H1702-J1702*L1702)&gt;Info_Koperasi!$C$10,"SELISIH","OK")))</f>
        <v/>
      </c>
    </row>
    <row r="1703" customFormat="false" ht="15" hidden="false" customHeight="false" outlineLevel="0" collapsed="false">
      <c r="A1703" s="21"/>
      <c r="B1703" s="22"/>
      <c r="C1703" s="21"/>
      <c r="D1703" s="21"/>
      <c r="E1703" s="28"/>
      <c r="F1703" s="24"/>
      <c r="G1703" s="26"/>
      <c r="H1703" s="24"/>
      <c r="I1703" s="24"/>
      <c r="J1703" s="24"/>
      <c r="K1703" s="24"/>
      <c r="L1703" s="26"/>
      <c r="M1703" s="26"/>
      <c r="N1703" s="22"/>
      <c r="O1703" s="21"/>
      <c r="P1703" s="22"/>
      <c r="Q1703" s="29" t="str">
        <f aca="false">IF(C1703="","",IF(O1703&lt;&gt;"",O1703,IFERROR(INDEX(Produk!$J$2:$J$100,MATCH(C1703,Produk!$A$2:$A$100,0)),"PRODUK?")))</f>
        <v/>
      </c>
      <c r="R1703" s="29" t="str">
        <f aca="false">IF(A1703="","",IF(COUNTIF(Anggota!$A$2:$A$2001,A1703)=0,"TIDAK ADA","OK"))</f>
        <v/>
      </c>
      <c r="S1703" s="29" t="str">
        <f aca="false">IF(H1703="","",IF(OR(J1703="",L1703=""),"-",IF(ABS(H1703-J1703*L1703)&gt;Info_Koperasi!$C$10,"SELISIH","OK")))</f>
        <v/>
      </c>
    </row>
    <row r="1704" customFormat="false" ht="15" hidden="false" customHeight="false" outlineLevel="0" collapsed="false">
      <c r="A1704" s="21"/>
      <c r="B1704" s="22"/>
      <c r="C1704" s="21"/>
      <c r="D1704" s="21"/>
      <c r="E1704" s="28"/>
      <c r="F1704" s="24"/>
      <c r="G1704" s="26"/>
      <c r="H1704" s="24"/>
      <c r="I1704" s="24"/>
      <c r="J1704" s="24"/>
      <c r="K1704" s="24"/>
      <c r="L1704" s="26"/>
      <c r="M1704" s="26"/>
      <c r="N1704" s="22"/>
      <c r="O1704" s="21"/>
      <c r="P1704" s="22"/>
      <c r="Q1704" s="29" t="str">
        <f aca="false">IF(C1704="","",IF(O1704&lt;&gt;"",O1704,IFERROR(INDEX(Produk!$J$2:$J$100,MATCH(C1704,Produk!$A$2:$A$100,0)),"PRODUK?")))</f>
        <v/>
      </c>
      <c r="R1704" s="29" t="str">
        <f aca="false">IF(A1704="","",IF(COUNTIF(Anggota!$A$2:$A$2001,A1704)=0,"TIDAK ADA","OK"))</f>
        <v/>
      </c>
      <c r="S1704" s="29" t="str">
        <f aca="false">IF(H1704="","",IF(OR(J1704="",L1704=""),"-",IF(ABS(H1704-J1704*L1704)&gt;Info_Koperasi!$C$10,"SELISIH","OK")))</f>
        <v/>
      </c>
    </row>
    <row r="1705" customFormat="false" ht="15" hidden="false" customHeight="false" outlineLevel="0" collapsed="false">
      <c r="A1705" s="21"/>
      <c r="B1705" s="22"/>
      <c r="C1705" s="21"/>
      <c r="D1705" s="21"/>
      <c r="E1705" s="28"/>
      <c r="F1705" s="24"/>
      <c r="G1705" s="26"/>
      <c r="H1705" s="24"/>
      <c r="I1705" s="24"/>
      <c r="J1705" s="24"/>
      <c r="K1705" s="24"/>
      <c r="L1705" s="26"/>
      <c r="M1705" s="26"/>
      <c r="N1705" s="22"/>
      <c r="O1705" s="21"/>
      <c r="P1705" s="22"/>
      <c r="Q1705" s="29" t="str">
        <f aca="false">IF(C1705="","",IF(O1705&lt;&gt;"",O1705,IFERROR(INDEX(Produk!$J$2:$J$100,MATCH(C1705,Produk!$A$2:$A$100,0)),"PRODUK?")))</f>
        <v/>
      </c>
      <c r="R1705" s="29" t="str">
        <f aca="false">IF(A1705="","",IF(COUNTIF(Anggota!$A$2:$A$2001,A1705)=0,"TIDAK ADA","OK"))</f>
        <v/>
      </c>
      <c r="S1705" s="29" t="str">
        <f aca="false">IF(H1705="","",IF(OR(J1705="",L1705=""),"-",IF(ABS(H1705-J1705*L1705)&gt;Info_Koperasi!$C$10,"SELISIH","OK")))</f>
        <v/>
      </c>
    </row>
    <row r="1706" customFormat="false" ht="15" hidden="false" customHeight="false" outlineLevel="0" collapsed="false">
      <c r="A1706" s="21"/>
      <c r="B1706" s="22"/>
      <c r="C1706" s="21"/>
      <c r="D1706" s="21"/>
      <c r="E1706" s="28"/>
      <c r="F1706" s="24"/>
      <c r="G1706" s="26"/>
      <c r="H1706" s="24"/>
      <c r="I1706" s="24"/>
      <c r="J1706" s="24"/>
      <c r="K1706" s="24"/>
      <c r="L1706" s="26"/>
      <c r="M1706" s="26"/>
      <c r="N1706" s="22"/>
      <c r="O1706" s="21"/>
      <c r="P1706" s="22"/>
      <c r="Q1706" s="29" t="str">
        <f aca="false">IF(C1706="","",IF(O1706&lt;&gt;"",O1706,IFERROR(INDEX(Produk!$J$2:$J$100,MATCH(C1706,Produk!$A$2:$A$100,0)),"PRODUK?")))</f>
        <v/>
      </c>
      <c r="R1706" s="29" t="str">
        <f aca="false">IF(A1706="","",IF(COUNTIF(Anggota!$A$2:$A$2001,A1706)=0,"TIDAK ADA","OK"))</f>
        <v/>
      </c>
      <c r="S1706" s="29" t="str">
        <f aca="false">IF(H1706="","",IF(OR(J1706="",L1706=""),"-",IF(ABS(H1706-J1706*L1706)&gt;Info_Koperasi!$C$10,"SELISIH","OK")))</f>
        <v/>
      </c>
    </row>
    <row r="1707" customFormat="false" ht="15" hidden="false" customHeight="false" outlineLevel="0" collapsed="false">
      <c r="A1707" s="21"/>
      <c r="B1707" s="22"/>
      <c r="C1707" s="21"/>
      <c r="D1707" s="21"/>
      <c r="E1707" s="28"/>
      <c r="F1707" s="24"/>
      <c r="G1707" s="26"/>
      <c r="H1707" s="24"/>
      <c r="I1707" s="24"/>
      <c r="J1707" s="24"/>
      <c r="K1707" s="24"/>
      <c r="L1707" s="26"/>
      <c r="M1707" s="26"/>
      <c r="N1707" s="22"/>
      <c r="O1707" s="21"/>
      <c r="P1707" s="22"/>
      <c r="Q1707" s="29" t="str">
        <f aca="false">IF(C1707="","",IF(O1707&lt;&gt;"",O1707,IFERROR(INDEX(Produk!$J$2:$J$100,MATCH(C1707,Produk!$A$2:$A$100,0)),"PRODUK?")))</f>
        <v/>
      </c>
      <c r="R1707" s="29" t="str">
        <f aca="false">IF(A1707="","",IF(COUNTIF(Anggota!$A$2:$A$2001,A1707)=0,"TIDAK ADA","OK"))</f>
        <v/>
      </c>
      <c r="S1707" s="29" t="str">
        <f aca="false">IF(H1707="","",IF(OR(J1707="",L1707=""),"-",IF(ABS(H1707-J1707*L1707)&gt;Info_Koperasi!$C$10,"SELISIH","OK")))</f>
        <v/>
      </c>
    </row>
    <row r="1708" customFormat="false" ht="15" hidden="false" customHeight="false" outlineLevel="0" collapsed="false">
      <c r="A1708" s="21"/>
      <c r="B1708" s="22"/>
      <c r="C1708" s="21"/>
      <c r="D1708" s="21"/>
      <c r="E1708" s="28"/>
      <c r="F1708" s="24"/>
      <c r="G1708" s="26"/>
      <c r="H1708" s="24"/>
      <c r="I1708" s="24"/>
      <c r="J1708" s="24"/>
      <c r="K1708" s="24"/>
      <c r="L1708" s="26"/>
      <c r="M1708" s="26"/>
      <c r="N1708" s="22"/>
      <c r="O1708" s="21"/>
      <c r="P1708" s="22"/>
      <c r="Q1708" s="29" t="str">
        <f aca="false">IF(C1708="","",IF(O1708&lt;&gt;"",O1708,IFERROR(INDEX(Produk!$J$2:$J$100,MATCH(C1708,Produk!$A$2:$A$100,0)),"PRODUK?")))</f>
        <v/>
      </c>
      <c r="R1708" s="29" t="str">
        <f aca="false">IF(A1708="","",IF(COUNTIF(Anggota!$A$2:$A$2001,A1708)=0,"TIDAK ADA","OK"))</f>
        <v/>
      </c>
      <c r="S1708" s="29" t="str">
        <f aca="false">IF(H1708="","",IF(OR(J1708="",L1708=""),"-",IF(ABS(H1708-J1708*L1708)&gt;Info_Koperasi!$C$10,"SELISIH","OK")))</f>
        <v/>
      </c>
    </row>
    <row r="1709" customFormat="false" ht="15" hidden="false" customHeight="false" outlineLevel="0" collapsed="false">
      <c r="A1709" s="21"/>
      <c r="B1709" s="22"/>
      <c r="C1709" s="21"/>
      <c r="D1709" s="21"/>
      <c r="E1709" s="28"/>
      <c r="F1709" s="24"/>
      <c r="G1709" s="26"/>
      <c r="H1709" s="24"/>
      <c r="I1709" s="24"/>
      <c r="J1709" s="24"/>
      <c r="K1709" s="24"/>
      <c r="L1709" s="26"/>
      <c r="M1709" s="26"/>
      <c r="N1709" s="22"/>
      <c r="O1709" s="21"/>
      <c r="P1709" s="22"/>
      <c r="Q1709" s="29" t="str">
        <f aca="false">IF(C1709="","",IF(O1709&lt;&gt;"",O1709,IFERROR(INDEX(Produk!$J$2:$J$100,MATCH(C1709,Produk!$A$2:$A$100,0)),"PRODUK?")))</f>
        <v/>
      </c>
      <c r="R1709" s="29" t="str">
        <f aca="false">IF(A1709="","",IF(COUNTIF(Anggota!$A$2:$A$2001,A1709)=0,"TIDAK ADA","OK"))</f>
        <v/>
      </c>
      <c r="S1709" s="29" t="str">
        <f aca="false">IF(H1709="","",IF(OR(J1709="",L1709=""),"-",IF(ABS(H1709-J1709*L1709)&gt;Info_Koperasi!$C$10,"SELISIH","OK")))</f>
        <v/>
      </c>
    </row>
    <row r="1710" customFormat="false" ht="15" hidden="false" customHeight="false" outlineLevel="0" collapsed="false">
      <c r="A1710" s="21"/>
      <c r="B1710" s="22"/>
      <c r="C1710" s="21"/>
      <c r="D1710" s="21"/>
      <c r="E1710" s="28"/>
      <c r="F1710" s="24"/>
      <c r="G1710" s="26"/>
      <c r="H1710" s="24"/>
      <c r="I1710" s="24"/>
      <c r="J1710" s="24"/>
      <c r="K1710" s="24"/>
      <c r="L1710" s="26"/>
      <c r="M1710" s="26"/>
      <c r="N1710" s="22"/>
      <c r="O1710" s="21"/>
      <c r="P1710" s="22"/>
      <c r="Q1710" s="29" t="str">
        <f aca="false">IF(C1710="","",IF(O1710&lt;&gt;"",O1710,IFERROR(INDEX(Produk!$J$2:$J$100,MATCH(C1710,Produk!$A$2:$A$100,0)),"PRODUK?")))</f>
        <v/>
      </c>
      <c r="R1710" s="29" t="str">
        <f aca="false">IF(A1710="","",IF(COUNTIF(Anggota!$A$2:$A$2001,A1710)=0,"TIDAK ADA","OK"))</f>
        <v/>
      </c>
      <c r="S1710" s="29" t="str">
        <f aca="false">IF(H1710="","",IF(OR(J1710="",L1710=""),"-",IF(ABS(H1710-J1710*L1710)&gt;Info_Koperasi!$C$10,"SELISIH","OK")))</f>
        <v/>
      </c>
    </row>
    <row r="1711" customFormat="false" ht="15" hidden="false" customHeight="false" outlineLevel="0" collapsed="false">
      <c r="A1711" s="21"/>
      <c r="B1711" s="22"/>
      <c r="C1711" s="21"/>
      <c r="D1711" s="21"/>
      <c r="E1711" s="28"/>
      <c r="F1711" s="24"/>
      <c r="G1711" s="26"/>
      <c r="H1711" s="24"/>
      <c r="I1711" s="24"/>
      <c r="J1711" s="24"/>
      <c r="K1711" s="24"/>
      <c r="L1711" s="26"/>
      <c r="M1711" s="26"/>
      <c r="N1711" s="22"/>
      <c r="O1711" s="21"/>
      <c r="P1711" s="22"/>
      <c r="Q1711" s="29" t="str">
        <f aca="false">IF(C1711="","",IF(O1711&lt;&gt;"",O1711,IFERROR(INDEX(Produk!$J$2:$J$100,MATCH(C1711,Produk!$A$2:$A$100,0)),"PRODUK?")))</f>
        <v/>
      </c>
      <c r="R1711" s="29" t="str">
        <f aca="false">IF(A1711="","",IF(COUNTIF(Anggota!$A$2:$A$2001,A1711)=0,"TIDAK ADA","OK"))</f>
        <v/>
      </c>
      <c r="S1711" s="29" t="str">
        <f aca="false">IF(H1711="","",IF(OR(J1711="",L1711=""),"-",IF(ABS(H1711-J1711*L1711)&gt;Info_Koperasi!$C$10,"SELISIH","OK")))</f>
        <v/>
      </c>
    </row>
    <row r="1712" customFormat="false" ht="15" hidden="false" customHeight="false" outlineLevel="0" collapsed="false">
      <c r="A1712" s="21"/>
      <c r="B1712" s="22"/>
      <c r="C1712" s="21"/>
      <c r="D1712" s="21"/>
      <c r="E1712" s="28"/>
      <c r="F1712" s="24"/>
      <c r="G1712" s="26"/>
      <c r="H1712" s="24"/>
      <c r="I1712" s="24"/>
      <c r="J1712" s="24"/>
      <c r="K1712" s="24"/>
      <c r="L1712" s="26"/>
      <c r="M1712" s="26"/>
      <c r="N1712" s="22"/>
      <c r="O1712" s="21"/>
      <c r="P1712" s="22"/>
      <c r="Q1712" s="29" t="str">
        <f aca="false">IF(C1712="","",IF(O1712&lt;&gt;"",O1712,IFERROR(INDEX(Produk!$J$2:$J$100,MATCH(C1712,Produk!$A$2:$A$100,0)),"PRODUK?")))</f>
        <v/>
      </c>
      <c r="R1712" s="29" t="str">
        <f aca="false">IF(A1712="","",IF(COUNTIF(Anggota!$A$2:$A$2001,A1712)=0,"TIDAK ADA","OK"))</f>
        <v/>
      </c>
      <c r="S1712" s="29" t="str">
        <f aca="false">IF(H1712="","",IF(OR(J1712="",L1712=""),"-",IF(ABS(H1712-J1712*L1712)&gt;Info_Koperasi!$C$10,"SELISIH","OK")))</f>
        <v/>
      </c>
    </row>
    <row r="1713" customFormat="false" ht="15" hidden="false" customHeight="false" outlineLevel="0" collapsed="false">
      <c r="A1713" s="21"/>
      <c r="B1713" s="22"/>
      <c r="C1713" s="21"/>
      <c r="D1713" s="21"/>
      <c r="E1713" s="28"/>
      <c r="F1713" s="24"/>
      <c r="G1713" s="26"/>
      <c r="H1713" s="24"/>
      <c r="I1713" s="24"/>
      <c r="J1713" s="24"/>
      <c r="K1713" s="24"/>
      <c r="L1713" s="26"/>
      <c r="M1713" s="26"/>
      <c r="N1713" s="22"/>
      <c r="O1713" s="21"/>
      <c r="P1713" s="22"/>
      <c r="Q1713" s="29" t="str">
        <f aca="false">IF(C1713="","",IF(O1713&lt;&gt;"",O1713,IFERROR(INDEX(Produk!$J$2:$J$100,MATCH(C1713,Produk!$A$2:$A$100,0)),"PRODUK?")))</f>
        <v/>
      </c>
      <c r="R1713" s="29" t="str">
        <f aca="false">IF(A1713="","",IF(COUNTIF(Anggota!$A$2:$A$2001,A1713)=0,"TIDAK ADA","OK"))</f>
        <v/>
      </c>
      <c r="S1713" s="29" t="str">
        <f aca="false">IF(H1713="","",IF(OR(J1713="",L1713=""),"-",IF(ABS(H1713-J1713*L1713)&gt;Info_Koperasi!$C$10,"SELISIH","OK")))</f>
        <v/>
      </c>
    </row>
    <row r="1714" customFormat="false" ht="15" hidden="false" customHeight="false" outlineLevel="0" collapsed="false">
      <c r="A1714" s="21"/>
      <c r="B1714" s="22"/>
      <c r="C1714" s="21"/>
      <c r="D1714" s="21"/>
      <c r="E1714" s="28"/>
      <c r="F1714" s="24"/>
      <c r="G1714" s="26"/>
      <c r="H1714" s="24"/>
      <c r="I1714" s="24"/>
      <c r="J1714" s="24"/>
      <c r="K1714" s="24"/>
      <c r="L1714" s="26"/>
      <c r="M1714" s="26"/>
      <c r="N1714" s="22"/>
      <c r="O1714" s="21"/>
      <c r="P1714" s="22"/>
      <c r="Q1714" s="29" t="str">
        <f aca="false">IF(C1714="","",IF(O1714&lt;&gt;"",O1714,IFERROR(INDEX(Produk!$J$2:$J$100,MATCH(C1714,Produk!$A$2:$A$100,0)),"PRODUK?")))</f>
        <v/>
      </c>
      <c r="R1714" s="29" t="str">
        <f aca="false">IF(A1714="","",IF(COUNTIF(Anggota!$A$2:$A$2001,A1714)=0,"TIDAK ADA","OK"))</f>
        <v/>
      </c>
      <c r="S1714" s="29" t="str">
        <f aca="false">IF(H1714="","",IF(OR(J1714="",L1714=""),"-",IF(ABS(H1714-J1714*L1714)&gt;Info_Koperasi!$C$10,"SELISIH","OK")))</f>
        <v/>
      </c>
    </row>
    <row r="1715" customFormat="false" ht="15" hidden="false" customHeight="false" outlineLevel="0" collapsed="false">
      <c r="A1715" s="21"/>
      <c r="B1715" s="22"/>
      <c r="C1715" s="21"/>
      <c r="D1715" s="21"/>
      <c r="E1715" s="28"/>
      <c r="F1715" s="24"/>
      <c r="G1715" s="26"/>
      <c r="H1715" s="24"/>
      <c r="I1715" s="24"/>
      <c r="J1715" s="24"/>
      <c r="K1715" s="24"/>
      <c r="L1715" s="26"/>
      <c r="M1715" s="26"/>
      <c r="N1715" s="22"/>
      <c r="O1715" s="21"/>
      <c r="P1715" s="22"/>
      <c r="Q1715" s="29" t="str">
        <f aca="false">IF(C1715="","",IF(O1715&lt;&gt;"",O1715,IFERROR(INDEX(Produk!$J$2:$J$100,MATCH(C1715,Produk!$A$2:$A$100,0)),"PRODUK?")))</f>
        <v/>
      </c>
      <c r="R1715" s="29" t="str">
        <f aca="false">IF(A1715="","",IF(COUNTIF(Anggota!$A$2:$A$2001,A1715)=0,"TIDAK ADA","OK"))</f>
        <v/>
      </c>
      <c r="S1715" s="29" t="str">
        <f aca="false">IF(H1715="","",IF(OR(J1715="",L1715=""),"-",IF(ABS(H1715-J1715*L1715)&gt;Info_Koperasi!$C$10,"SELISIH","OK")))</f>
        <v/>
      </c>
    </row>
    <row r="1716" customFormat="false" ht="15" hidden="false" customHeight="false" outlineLevel="0" collapsed="false">
      <c r="A1716" s="21"/>
      <c r="B1716" s="22"/>
      <c r="C1716" s="21"/>
      <c r="D1716" s="21"/>
      <c r="E1716" s="28"/>
      <c r="F1716" s="24"/>
      <c r="G1716" s="26"/>
      <c r="H1716" s="24"/>
      <c r="I1716" s="24"/>
      <c r="J1716" s="24"/>
      <c r="K1716" s="24"/>
      <c r="L1716" s="26"/>
      <c r="M1716" s="26"/>
      <c r="N1716" s="22"/>
      <c r="O1716" s="21"/>
      <c r="P1716" s="22"/>
      <c r="Q1716" s="29" t="str">
        <f aca="false">IF(C1716="","",IF(O1716&lt;&gt;"",O1716,IFERROR(INDEX(Produk!$J$2:$J$100,MATCH(C1716,Produk!$A$2:$A$100,0)),"PRODUK?")))</f>
        <v/>
      </c>
      <c r="R1716" s="29" t="str">
        <f aca="false">IF(A1716="","",IF(COUNTIF(Anggota!$A$2:$A$2001,A1716)=0,"TIDAK ADA","OK"))</f>
        <v/>
      </c>
      <c r="S1716" s="29" t="str">
        <f aca="false">IF(H1716="","",IF(OR(J1716="",L1716=""),"-",IF(ABS(H1716-J1716*L1716)&gt;Info_Koperasi!$C$10,"SELISIH","OK")))</f>
        <v/>
      </c>
    </row>
    <row r="1717" customFormat="false" ht="15" hidden="false" customHeight="false" outlineLevel="0" collapsed="false">
      <c r="A1717" s="21"/>
      <c r="B1717" s="22"/>
      <c r="C1717" s="21"/>
      <c r="D1717" s="21"/>
      <c r="E1717" s="28"/>
      <c r="F1717" s="24"/>
      <c r="G1717" s="26"/>
      <c r="H1717" s="24"/>
      <c r="I1717" s="24"/>
      <c r="J1717" s="24"/>
      <c r="K1717" s="24"/>
      <c r="L1717" s="26"/>
      <c r="M1717" s="26"/>
      <c r="N1717" s="22"/>
      <c r="O1717" s="21"/>
      <c r="P1717" s="22"/>
      <c r="Q1717" s="29" t="str">
        <f aca="false">IF(C1717="","",IF(O1717&lt;&gt;"",O1717,IFERROR(INDEX(Produk!$J$2:$J$100,MATCH(C1717,Produk!$A$2:$A$100,0)),"PRODUK?")))</f>
        <v/>
      </c>
      <c r="R1717" s="29" t="str">
        <f aca="false">IF(A1717="","",IF(COUNTIF(Anggota!$A$2:$A$2001,A1717)=0,"TIDAK ADA","OK"))</f>
        <v/>
      </c>
      <c r="S1717" s="29" t="str">
        <f aca="false">IF(H1717="","",IF(OR(J1717="",L1717=""),"-",IF(ABS(H1717-J1717*L1717)&gt;Info_Koperasi!$C$10,"SELISIH","OK")))</f>
        <v/>
      </c>
    </row>
    <row r="1718" customFormat="false" ht="15" hidden="false" customHeight="false" outlineLevel="0" collapsed="false">
      <c r="A1718" s="21"/>
      <c r="B1718" s="22"/>
      <c r="C1718" s="21"/>
      <c r="D1718" s="21"/>
      <c r="E1718" s="28"/>
      <c r="F1718" s="24"/>
      <c r="G1718" s="26"/>
      <c r="H1718" s="24"/>
      <c r="I1718" s="24"/>
      <c r="J1718" s="24"/>
      <c r="K1718" s="24"/>
      <c r="L1718" s="26"/>
      <c r="M1718" s="26"/>
      <c r="N1718" s="22"/>
      <c r="O1718" s="21"/>
      <c r="P1718" s="22"/>
      <c r="Q1718" s="29" t="str">
        <f aca="false">IF(C1718="","",IF(O1718&lt;&gt;"",O1718,IFERROR(INDEX(Produk!$J$2:$J$100,MATCH(C1718,Produk!$A$2:$A$100,0)),"PRODUK?")))</f>
        <v/>
      </c>
      <c r="R1718" s="29" t="str">
        <f aca="false">IF(A1718="","",IF(COUNTIF(Anggota!$A$2:$A$2001,A1718)=0,"TIDAK ADA","OK"))</f>
        <v/>
      </c>
      <c r="S1718" s="29" t="str">
        <f aca="false">IF(H1718="","",IF(OR(J1718="",L1718=""),"-",IF(ABS(H1718-J1718*L1718)&gt;Info_Koperasi!$C$10,"SELISIH","OK")))</f>
        <v/>
      </c>
    </row>
    <row r="1719" customFormat="false" ht="15" hidden="false" customHeight="false" outlineLevel="0" collapsed="false">
      <c r="A1719" s="21"/>
      <c r="B1719" s="22"/>
      <c r="C1719" s="21"/>
      <c r="D1719" s="21"/>
      <c r="E1719" s="28"/>
      <c r="F1719" s="24"/>
      <c r="G1719" s="26"/>
      <c r="H1719" s="24"/>
      <c r="I1719" s="24"/>
      <c r="J1719" s="24"/>
      <c r="K1719" s="24"/>
      <c r="L1719" s="26"/>
      <c r="M1719" s="26"/>
      <c r="N1719" s="22"/>
      <c r="O1719" s="21"/>
      <c r="P1719" s="22"/>
      <c r="Q1719" s="29" t="str">
        <f aca="false">IF(C1719="","",IF(O1719&lt;&gt;"",O1719,IFERROR(INDEX(Produk!$J$2:$J$100,MATCH(C1719,Produk!$A$2:$A$100,0)),"PRODUK?")))</f>
        <v/>
      </c>
      <c r="R1719" s="29" t="str">
        <f aca="false">IF(A1719="","",IF(COUNTIF(Anggota!$A$2:$A$2001,A1719)=0,"TIDAK ADA","OK"))</f>
        <v/>
      </c>
      <c r="S1719" s="29" t="str">
        <f aca="false">IF(H1719="","",IF(OR(J1719="",L1719=""),"-",IF(ABS(H1719-J1719*L1719)&gt;Info_Koperasi!$C$10,"SELISIH","OK")))</f>
        <v/>
      </c>
    </row>
    <row r="1720" customFormat="false" ht="15" hidden="false" customHeight="false" outlineLevel="0" collapsed="false">
      <c r="A1720" s="21"/>
      <c r="B1720" s="22"/>
      <c r="C1720" s="21"/>
      <c r="D1720" s="21"/>
      <c r="E1720" s="28"/>
      <c r="F1720" s="24"/>
      <c r="G1720" s="26"/>
      <c r="H1720" s="24"/>
      <c r="I1720" s="24"/>
      <c r="J1720" s="24"/>
      <c r="K1720" s="24"/>
      <c r="L1720" s="26"/>
      <c r="M1720" s="26"/>
      <c r="N1720" s="22"/>
      <c r="O1720" s="21"/>
      <c r="P1720" s="22"/>
      <c r="Q1720" s="29" t="str">
        <f aca="false">IF(C1720="","",IF(O1720&lt;&gt;"",O1720,IFERROR(INDEX(Produk!$J$2:$J$100,MATCH(C1720,Produk!$A$2:$A$100,0)),"PRODUK?")))</f>
        <v/>
      </c>
      <c r="R1720" s="29" t="str">
        <f aca="false">IF(A1720="","",IF(COUNTIF(Anggota!$A$2:$A$2001,A1720)=0,"TIDAK ADA","OK"))</f>
        <v/>
      </c>
      <c r="S1720" s="29" t="str">
        <f aca="false">IF(H1720="","",IF(OR(J1720="",L1720=""),"-",IF(ABS(H1720-J1720*L1720)&gt;Info_Koperasi!$C$10,"SELISIH","OK")))</f>
        <v/>
      </c>
    </row>
    <row r="1721" customFormat="false" ht="15" hidden="false" customHeight="false" outlineLevel="0" collapsed="false">
      <c r="A1721" s="21"/>
      <c r="B1721" s="22"/>
      <c r="C1721" s="21"/>
      <c r="D1721" s="21"/>
      <c r="E1721" s="28"/>
      <c r="F1721" s="24"/>
      <c r="G1721" s="26"/>
      <c r="H1721" s="24"/>
      <c r="I1721" s="24"/>
      <c r="J1721" s="24"/>
      <c r="K1721" s="24"/>
      <c r="L1721" s="26"/>
      <c r="M1721" s="26"/>
      <c r="N1721" s="22"/>
      <c r="O1721" s="21"/>
      <c r="P1721" s="22"/>
      <c r="Q1721" s="29" t="str">
        <f aca="false">IF(C1721="","",IF(O1721&lt;&gt;"",O1721,IFERROR(INDEX(Produk!$J$2:$J$100,MATCH(C1721,Produk!$A$2:$A$100,0)),"PRODUK?")))</f>
        <v/>
      </c>
      <c r="R1721" s="29" t="str">
        <f aca="false">IF(A1721="","",IF(COUNTIF(Anggota!$A$2:$A$2001,A1721)=0,"TIDAK ADA","OK"))</f>
        <v/>
      </c>
      <c r="S1721" s="29" t="str">
        <f aca="false">IF(H1721="","",IF(OR(J1721="",L1721=""),"-",IF(ABS(H1721-J1721*L1721)&gt;Info_Koperasi!$C$10,"SELISIH","OK")))</f>
        <v/>
      </c>
    </row>
    <row r="1722" customFormat="false" ht="15" hidden="false" customHeight="false" outlineLevel="0" collapsed="false">
      <c r="A1722" s="21"/>
      <c r="B1722" s="22"/>
      <c r="C1722" s="21"/>
      <c r="D1722" s="21"/>
      <c r="E1722" s="28"/>
      <c r="F1722" s="24"/>
      <c r="G1722" s="26"/>
      <c r="H1722" s="24"/>
      <c r="I1722" s="24"/>
      <c r="J1722" s="24"/>
      <c r="K1722" s="24"/>
      <c r="L1722" s="26"/>
      <c r="M1722" s="26"/>
      <c r="N1722" s="22"/>
      <c r="O1722" s="21"/>
      <c r="P1722" s="22"/>
      <c r="Q1722" s="29" t="str">
        <f aca="false">IF(C1722="","",IF(O1722&lt;&gt;"",O1722,IFERROR(INDEX(Produk!$J$2:$J$100,MATCH(C1722,Produk!$A$2:$A$100,0)),"PRODUK?")))</f>
        <v/>
      </c>
      <c r="R1722" s="29" t="str">
        <f aca="false">IF(A1722="","",IF(COUNTIF(Anggota!$A$2:$A$2001,A1722)=0,"TIDAK ADA","OK"))</f>
        <v/>
      </c>
      <c r="S1722" s="29" t="str">
        <f aca="false">IF(H1722="","",IF(OR(J1722="",L1722=""),"-",IF(ABS(H1722-J1722*L1722)&gt;Info_Koperasi!$C$10,"SELISIH","OK")))</f>
        <v/>
      </c>
    </row>
    <row r="1723" customFormat="false" ht="15" hidden="false" customHeight="false" outlineLevel="0" collapsed="false">
      <c r="A1723" s="21"/>
      <c r="B1723" s="22"/>
      <c r="C1723" s="21"/>
      <c r="D1723" s="21"/>
      <c r="E1723" s="28"/>
      <c r="F1723" s="24"/>
      <c r="G1723" s="26"/>
      <c r="H1723" s="24"/>
      <c r="I1723" s="24"/>
      <c r="J1723" s="24"/>
      <c r="K1723" s="24"/>
      <c r="L1723" s="26"/>
      <c r="M1723" s="26"/>
      <c r="N1723" s="22"/>
      <c r="O1723" s="21"/>
      <c r="P1723" s="22"/>
      <c r="Q1723" s="29" t="str">
        <f aca="false">IF(C1723="","",IF(O1723&lt;&gt;"",O1723,IFERROR(INDEX(Produk!$J$2:$J$100,MATCH(C1723,Produk!$A$2:$A$100,0)),"PRODUK?")))</f>
        <v/>
      </c>
      <c r="R1723" s="29" t="str">
        <f aca="false">IF(A1723="","",IF(COUNTIF(Anggota!$A$2:$A$2001,A1723)=0,"TIDAK ADA","OK"))</f>
        <v/>
      </c>
      <c r="S1723" s="29" t="str">
        <f aca="false">IF(H1723="","",IF(OR(J1723="",L1723=""),"-",IF(ABS(H1723-J1723*L1723)&gt;Info_Koperasi!$C$10,"SELISIH","OK")))</f>
        <v/>
      </c>
    </row>
    <row r="1724" customFormat="false" ht="15" hidden="false" customHeight="false" outlineLevel="0" collapsed="false">
      <c r="A1724" s="21"/>
      <c r="B1724" s="22"/>
      <c r="C1724" s="21"/>
      <c r="D1724" s="21"/>
      <c r="E1724" s="28"/>
      <c r="F1724" s="24"/>
      <c r="G1724" s="26"/>
      <c r="H1724" s="24"/>
      <c r="I1724" s="24"/>
      <c r="J1724" s="24"/>
      <c r="K1724" s="24"/>
      <c r="L1724" s="26"/>
      <c r="M1724" s="26"/>
      <c r="N1724" s="22"/>
      <c r="O1724" s="21"/>
      <c r="P1724" s="22"/>
      <c r="Q1724" s="29" t="str">
        <f aca="false">IF(C1724="","",IF(O1724&lt;&gt;"",O1724,IFERROR(INDEX(Produk!$J$2:$J$100,MATCH(C1724,Produk!$A$2:$A$100,0)),"PRODUK?")))</f>
        <v/>
      </c>
      <c r="R1724" s="29" t="str">
        <f aca="false">IF(A1724="","",IF(COUNTIF(Anggota!$A$2:$A$2001,A1724)=0,"TIDAK ADA","OK"))</f>
        <v/>
      </c>
      <c r="S1724" s="29" t="str">
        <f aca="false">IF(H1724="","",IF(OR(J1724="",L1724=""),"-",IF(ABS(H1724-J1724*L1724)&gt;Info_Koperasi!$C$10,"SELISIH","OK")))</f>
        <v/>
      </c>
    </row>
    <row r="1725" customFormat="false" ht="15" hidden="false" customHeight="false" outlineLevel="0" collapsed="false">
      <c r="A1725" s="21"/>
      <c r="B1725" s="22"/>
      <c r="C1725" s="21"/>
      <c r="D1725" s="21"/>
      <c r="E1725" s="28"/>
      <c r="F1725" s="24"/>
      <c r="G1725" s="26"/>
      <c r="H1725" s="24"/>
      <c r="I1725" s="24"/>
      <c r="J1725" s="24"/>
      <c r="K1725" s="24"/>
      <c r="L1725" s="26"/>
      <c r="M1725" s="26"/>
      <c r="N1725" s="22"/>
      <c r="O1725" s="21"/>
      <c r="P1725" s="22"/>
      <c r="Q1725" s="29" t="str">
        <f aca="false">IF(C1725="","",IF(O1725&lt;&gt;"",O1725,IFERROR(INDEX(Produk!$J$2:$J$100,MATCH(C1725,Produk!$A$2:$A$100,0)),"PRODUK?")))</f>
        <v/>
      </c>
      <c r="R1725" s="29" t="str">
        <f aca="false">IF(A1725="","",IF(COUNTIF(Anggota!$A$2:$A$2001,A1725)=0,"TIDAK ADA","OK"))</f>
        <v/>
      </c>
      <c r="S1725" s="29" t="str">
        <f aca="false">IF(H1725="","",IF(OR(J1725="",L1725=""),"-",IF(ABS(H1725-J1725*L1725)&gt;Info_Koperasi!$C$10,"SELISIH","OK")))</f>
        <v/>
      </c>
    </row>
    <row r="1726" customFormat="false" ht="15" hidden="false" customHeight="false" outlineLevel="0" collapsed="false">
      <c r="A1726" s="21"/>
      <c r="B1726" s="22"/>
      <c r="C1726" s="21"/>
      <c r="D1726" s="21"/>
      <c r="E1726" s="28"/>
      <c r="F1726" s="24"/>
      <c r="G1726" s="26"/>
      <c r="H1726" s="24"/>
      <c r="I1726" s="24"/>
      <c r="J1726" s="24"/>
      <c r="K1726" s="24"/>
      <c r="L1726" s="26"/>
      <c r="M1726" s="26"/>
      <c r="N1726" s="22"/>
      <c r="O1726" s="21"/>
      <c r="P1726" s="22"/>
      <c r="Q1726" s="29" t="str">
        <f aca="false">IF(C1726="","",IF(O1726&lt;&gt;"",O1726,IFERROR(INDEX(Produk!$J$2:$J$100,MATCH(C1726,Produk!$A$2:$A$100,0)),"PRODUK?")))</f>
        <v/>
      </c>
      <c r="R1726" s="29" t="str">
        <f aca="false">IF(A1726="","",IF(COUNTIF(Anggota!$A$2:$A$2001,A1726)=0,"TIDAK ADA","OK"))</f>
        <v/>
      </c>
      <c r="S1726" s="29" t="str">
        <f aca="false">IF(H1726="","",IF(OR(J1726="",L1726=""),"-",IF(ABS(H1726-J1726*L1726)&gt;Info_Koperasi!$C$10,"SELISIH","OK")))</f>
        <v/>
      </c>
    </row>
    <row r="1727" customFormat="false" ht="15" hidden="false" customHeight="false" outlineLevel="0" collapsed="false">
      <c r="A1727" s="21"/>
      <c r="B1727" s="22"/>
      <c r="C1727" s="21"/>
      <c r="D1727" s="21"/>
      <c r="E1727" s="28"/>
      <c r="F1727" s="24"/>
      <c r="G1727" s="26"/>
      <c r="H1727" s="24"/>
      <c r="I1727" s="24"/>
      <c r="J1727" s="24"/>
      <c r="K1727" s="24"/>
      <c r="L1727" s="26"/>
      <c r="M1727" s="26"/>
      <c r="N1727" s="22"/>
      <c r="O1727" s="21"/>
      <c r="P1727" s="22"/>
      <c r="Q1727" s="29" t="str">
        <f aca="false">IF(C1727="","",IF(O1727&lt;&gt;"",O1727,IFERROR(INDEX(Produk!$J$2:$J$100,MATCH(C1727,Produk!$A$2:$A$100,0)),"PRODUK?")))</f>
        <v/>
      </c>
      <c r="R1727" s="29" t="str">
        <f aca="false">IF(A1727="","",IF(COUNTIF(Anggota!$A$2:$A$2001,A1727)=0,"TIDAK ADA","OK"))</f>
        <v/>
      </c>
      <c r="S1727" s="29" t="str">
        <f aca="false">IF(H1727="","",IF(OR(J1727="",L1727=""),"-",IF(ABS(H1727-J1727*L1727)&gt;Info_Koperasi!$C$10,"SELISIH","OK")))</f>
        <v/>
      </c>
    </row>
    <row r="1728" customFormat="false" ht="15" hidden="false" customHeight="false" outlineLevel="0" collapsed="false">
      <c r="A1728" s="21"/>
      <c r="B1728" s="22"/>
      <c r="C1728" s="21"/>
      <c r="D1728" s="21"/>
      <c r="E1728" s="28"/>
      <c r="F1728" s="24"/>
      <c r="G1728" s="26"/>
      <c r="H1728" s="24"/>
      <c r="I1728" s="24"/>
      <c r="J1728" s="24"/>
      <c r="K1728" s="24"/>
      <c r="L1728" s="26"/>
      <c r="M1728" s="26"/>
      <c r="N1728" s="22"/>
      <c r="O1728" s="21"/>
      <c r="P1728" s="22"/>
      <c r="Q1728" s="29" t="str">
        <f aca="false">IF(C1728="","",IF(O1728&lt;&gt;"",O1728,IFERROR(INDEX(Produk!$J$2:$J$100,MATCH(C1728,Produk!$A$2:$A$100,0)),"PRODUK?")))</f>
        <v/>
      </c>
      <c r="R1728" s="29" t="str">
        <f aca="false">IF(A1728="","",IF(COUNTIF(Anggota!$A$2:$A$2001,A1728)=0,"TIDAK ADA","OK"))</f>
        <v/>
      </c>
      <c r="S1728" s="29" t="str">
        <f aca="false">IF(H1728="","",IF(OR(J1728="",L1728=""),"-",IF(ABS(H1728-J1728*L1728)&gt;Info_Koperasi!$C$10,"SELISIH","OK")))</f>
        <v/>
      </c>
    </row>
    <row r="1729" customFormat="false" ht="15" hidden="false" customHeight="false" outlineLevel="0" collapsed="false">
      <c r="A1729" s="21"/>
      <c r="B1729" s="22"/>
      <c r="C1729" s="21"/>
      <c r="D1729" s="21"/>
      <c r="E1729" s="28"/>
      <c r="F1729" s="24"/>
      <c r="G1729" s="26"/>
      <c r="H1729" s="24"/>
      <c r="I1729" s="24"/>
      <c r="J1729" s="24"/>
      <c r="K1729" s="24"/>
      <c r="L1729" s="26"/>
      <c r="M1729" s="26"/>
      <c r="N1729" s="22"/>
      <c r="O1729" s="21"/>
      <c r="P1729" s="22"/>
      <c r="Q1729" s="29" t="str">
        <f aca="false">IF(C1729="","",IF(O1729&lt;&gt;"",O1729,IFERROR(INDEX(Produk!$J$2:$J$100,MATCH(C1729,Produk!$A$2:$A$100,0)),"PRODUK?")))</f>
        <v/>
      </c>
      <c r="R1729" s="29" t="str">
        <f aca="false">IF(A1729="","",IF(COUNTIF(Anggota!$A$2:$A$2001,A1729)=0,"TIDAK ADA","OK"))</f>
        <v/>
      </c>
      <c r="S1729" s="29" t="str">
        <f aca="false">IF(H1729="","",IF(OR(J1729="",L1729=""),"-",IF(ABS(H1729-J1729*L1729)&gt;Info_Koperasi!$C$10,"SELISIH","OK")))</f>
        <v/>
      </c>
    </row>
    <row r="1730" customFormat="false" ht="15" hidden="false" customHeight="false" outlineLevel="0" collapsed="false">
      <c r="A1730" s="21"/>
      <c r="B1730" s="22"/>
      <c r="C1730" s="21"/>
      <c r="D1730" s="21"/>
      <c r="E1730" s="28"/>
      <c r="F1730" s="24"/>
      <c r="G1730" s="26"/>
      <c r="H1730" s="24"/>
      <c r="I1730" s="24"/>
      <c r="J1730" s="24"/>
      <c r="K1730" s="24"/>
      <c r="L1730" s="26"/>
      <c r="M1730" s="26"/>
      <c r="N1730" s="22"/>
      <c r="O1730" s="21"/>
      <c r="P1730" s="22"/>
      <c r="Q1730" s="29" t="str">
        <f aca="false">IF(C1730="","",IF(O1730&lt;&gt;"",O1730,IFERROR(INDEX(Produk!$J$2:$J$100,MATCH(C1730,Produk!$A$2:$A$100,0)),"PRODUK?")))</f>
        <v/>
      </c>
      <c r="R1730" s="29" t="str">
        <f aca="false">IF(A1730="","",IF(COUNTIF(Anggota!$A$2:$A$2001,A1730)=0,"TIDAK ADA","OK"))</f>
        <v/>
      </c>
      <c r="S1730" s="29" t="str">
        <f aca="false">IF(H1730="","",IF(OR(J1730="",L1730=""),"-",IF(ABS(H1730-J1730*L1730)&gt;Info_Koperasi!$C$10,"SELISIH","OK")))</f>
        <v/>
      </c>
    </row>
    <row r="1731" customFormat="false" ht="15" hidden="false" customHeight="false" outlineLevel="0" collapsed="false">
      <c r="A1731" s="21"/>
      <c r="B1731" s="22"/>
      <c r="C1731" s="21"/>
      <c r="D1731" s="21"/>
      <c r="E1731" s="28"/>
      <c r="F1731" s="24"/>
      <c r="G1731" s="26"/>
      <c r="H1731" s="24"/>
      <c r="I1731" s="24"/>
      <c r="J1731" s="24"/>
      <c r="K1731" s="24"/>
      <c r="L1731" s="26"/>
      <c r="M1731" s="26"/>
      <c r="N1731" s="22"/>
      <c r="O1731" s="21"/>
      <c r="P1731" s="22"/>
      <c r="Q1731" s="29" t="str">
        <f aca="false">IF(C1731="","",IF(O1731&lt;&gt;"",O1731,IFERROR(INDEX(Produk!$J$2:$J$100,MATCH(C1731,Produk!$A$2:$A$100,0)),"PRODUK?")))</f>
        <v/>
      </c>
      <c r="R1731" s="29" t="str">
        <f aca="false">IF(A1731="","",IF(COUNTIF(Anggota!$A$2:$A$2001,A1731)=0,"TIDAK ADA","OK"))</f>
        <v/>
      </c>
      <c r="S1731" s="29" t="str">
        <f aca="false">IF(H1731="","",IF(OR(J1731="",L1731=""),"-",IF(ABS(H1731-J1731*L1731)&gt;Info_Koperasi!$C$10,"SELISIH","OK")))</f>
        <v/>
      </c>
    </row>
    <row r="1732" customFormat="false" ht="15" hidden="false" customHeight="false" outlineLevel="0" collapsed="false">
      <c r="A1732" s="21"/>
      <c r="B1732" s="22"/>
      <c r="C1732" s="21"/>
      <c r="D1732" s="21"/>
      <c r="E1732" s="28"/>
      <c r="F1732" s="24"/>
      <c r="G1732" s="26"/>
      <c r="H1732" s="24"/>
      <c r="I1732" s="24"/>
      <c r="J1732" s="24"/>
      <c r="K1732" s="24"/>
      <c r="L1732" s="26"/>
      <c r="M1732" s="26"/>
      <c r="N1732" s="22"/>
      <c r="O1732" s="21"/>
      <c r="P1732" s="22"/>
      <c r="Q1732" s="29" t="str">
        <f aca="false">IF(C1732="","",IF(O1732&lt;&gt;"",O1732,IFERROR(INDEX(Produk!$J$2:$J$100,MATCH(C1732,Produk!$A$2:$A$100,0)),"PRODUK?")))</f>
        <v/>
      </c>
      <c r="R1732" s="29" t="str">
        <f aca="false">IF(A1732="","",IF(COUNTIF(Anggota!$A$2:$A$2001,A1732)=0,"TIDAK ADA","OK"))</f>
        <v/>
      </c>
      <c r="S1732" s="29" t="str">
        <f aca="false">IF(H1732="","",IF(OR(J1732="",L1732=""),"-",IF(ABS(H1732-J1732*L1732)&gt;Info_Koperasi!$C$10,"SELISIH","OK")))</f>
        <v/>
      </c>
    </row>
    <row r="1733" customFormat="false" ht="15" hidden="false" customHeight="false" outlineLevel="0" collapsed="false">
      <c r="A1733" s="21"/>
      <c r="B1733" s="22"/>
      <c r="C1733" s="21"/>
      <c r="D1733" s="21"/>
      <c r="E1733" s="28"/>
      <c r="F1733" s="24"/>
      <c r="G1733" s="26"/>
      <c r="H1733" s="24"/>
      <c r="I1733" s="24"/>
      <c r="J1733" s="24"/>
      <c r="K1733" s="24"/>
      <c r="L1733" s="26"/>
      <c r="M1733" s="26"/>
      <c r="N1733" s="22"/>
      <c r="O1733" s="21"/>
      <c r="P1733" s="22"/>
      <c r="Q1733" s="29" t="str">
        <f aca="false">IF(C1733="","",IF(O1733&lt;&gt;"",O1733,IFERROR(INDEX(Produk!$J$2:$J$100,MATCH(C1733,Produk!$A$2:$A$100,0)),"PRODUK?")))</f>
        <v/>
      </c>
      <c r="R1733" s="29" t="str">
        <f aca="false">IF(A1733="","",IF(COUNTIF(Anggota!$A$2:$A$2001,A1733)=0,"TIDAK ADA","OK"))</f>
        <v/>
      </c>
      <c r="S1733" s="29" t="str">
        <f aca="false">IF(H1733="","",IF(OR(J1733="",L1733=""),"-",IF(ABS(H1733-J1733*L1733)&gt;Info_Koperasi!$C$10,"SELISIH","OK")))</f>
        <v/>
      </c>
    </row>
    <row r="1734" customFormat="false" ht="15" hidden="false" customHeight="false" outlineLevel="0" collapsed="false">
      <c r="A1734" s="21"/>
      <c r="B1734" s="22"/>
      <c r="C1734" s="21"/>
      <c r="D1734" s="21"/>
      <c r="E1734" s="28"/>
      <c r="F1734" s="24"/>
      <c r="G1734" s="26"/>
      <c r="H1734" s="24"/>
      <c r="I1734" s="24"/>
      <c r="J1734" s="24"/>
      <c r="K1734" s="24"/>
      <c r="L1734" s="26"/>
      <c r="M1734" s="26"/>
      <c r="N1734" s="22"/>
      <c r="O1734" s="21"/>
      <c r="P1734" s="22"/>
      <c r="Q1734" s="29" t="str">
        <f aca="false">IF(C1734="","",IF(O1734&lt;&gt;"",O1734,IFERROR(INDEX(Produk!$J$2:$J$100,MATCH(C1734,Produk!$A$2:$A$100,0)),"PRODUK?")))</f>
        <v/>
      </c>
      <c r="R1734" s="29" t="str">
        <f aca="false">IF(A1734="","",IF(COUNTIF(Anggota!$A$2:$A$2001,A1734)=0,"TIDAK ADA","OK"))</f>
        <v/>
      </c>
      <c r="S1734" s="29" t="str">
        <f aca="false">IF(H1734="","",IF(OR(J1734="",L1734=""),"-",IF(ABS(H1734-J1734*L1734)&gt;Info_Koperasi!$C$10,"SELISIH","OK")))</f>
        <v/>
      </c>
    </row>
    <row r="1735" customFormat="false" ht="15" hidden="false" customHeight="false" outlineLevel="0" collapsed="false">
      <c r="A1735" s="21"/>
      <c r="B1735" s="22"/>
      <c r="C1735" s="21"/>
      <c r="D1735" s="21"/>
      <c r="E1735" s="28"/>
      <c r="F1735" s="24"/>
      <c r="G1735" s="26"/>
      <c r="H1735" s="24"/>
      <c r="I1735" s="24"/>
      <c r="J1735" s="24"/>
      <c r="K1735" s="24"/>
      <c r="L1735" s="26"/>
      <c r="M1735" s="26"/>
      <c r="N1735" s="22"/>
      <c r="O1735" s="21"/>
      <c r="P1735" s="22"/>
      <c r="Q1735" s="29" t="str">
        <f aca="false">IF(C1735="","",IF(O1735&lt;&gt;"",O1735,IFERROR(INDEX(Produk!$J$2:$J$100,MATCH(C1735,Produk!$A$2:$A$100,0)),"PRODUK?")))</f>
        <v/>
      </c>
      <c r="R1735" s="29" t="str">
        <f aca="false">IF(A1735="","",IF(COUNTIF(Anggota!$A$2:$A$2001,A1735)=0,"TIDAK ADA","OK"))</f>
        <v/>
      </c>
      <c r="S1735" s="29" t="str">
        <f aca="false">IF(H1735="","",IF(OR(J1735="",L1735=""),"-",IF(ABS(H1735-J1735*L1735)&gt;Info_Koperasi!$C$10,"SELISIH","OK")))</f>
        <v/>
      </c>
    </row>
    <row r="1736" customFormat="false" ht="15" hidden="false" customHeight="false" outlineLevel="0" collapsed="false">
      <c r="A1736" s="21"/>
      <c r="B1736" s="22"/>
      <c r="C1736" s="21"/>
      <c r="D1736" s="21"/>
      <c r="E1736" s="28"/>
      <c r="F1736" s="24"/>
      <c r="G1736" s="26"/>
      <c r="H1736" s="24"/>
      <c r="I1736" s="24"/>
      <c r="J1736" s="24"/>
      <c r="K1736" s="24"/>
      <c r="L1736" s="26"/>
      <c r="M1736" s="26"/>
      <c r="N1736" s="22"/>
      <c r="O1736" s="21"/>
      <c r="P1736" s="22"/>
      <c r="Q1736" s="29" t="str">
        <f aca="false">IF(C1736="","",IF(O1736&lt;&gt;"",O1736,IFERROR(INDEX(Produk!$J$2:$J$100,MATCH(C1736,Produk!$A$2:$A$100,0)),"PRODUK?")))</f>
        <v/>
      </c>
      <c r="R1736" s="29" t="str">
        <f aca="false">IF(A1736="","",IF(COUNTIF(Anggota!$A$2:$A$2001,A1736)=0,"TIDAK ADA","OK"))</f>
        <v/>
      </c>
      <c r="S1736" s="29" t="str">
        <f aca="false">IF(H1736="","",IF(OR(J1736="",L1736=""),"-",IF(ABS(H1736-J1736*L1736)&gt;Info_Koperasi!$C$10,"SELISIH","OK")))</f>
        <v/>
      </c>
    </row>
    <row r="1737" customFormat="false" ht="15" hidden="false" customHeight="false" outlineLevel="0" collapsed="false">
      <c r="A1737" s="21"/>
      <c r="B1737" s="22"/>
      <c r="C1737" s="21"/>
      <c r="D1737" s="21"/>
      <c r="E1737" s="28"/>
      <c r="F1737" s="24"/>
      <c r="G1737" s="26"/>
      <c r="H1737" s="24"/>
      <c r="I1737" s="24"/>
      <c r="J1737" s="24"/>
      <c r="K1737" s="24"/>
      <c r="L1737" s="26"/>
      <c r="M1737" s="26"/>
      <c r="N1737" s="22"/>
      <c r="O1737" s="21"/>
      <c r="P1737" s="22"/>
      <c r="Q1737" s="29" t="str">
        <f aca="false">IF(C1737="","",IF(O1737&lt;&gt;"",O1737,IFERROR(INDEX(Produk!$J$2:$J$100,MATCH(C1737,Produk!$A$2:$A$100,0)),"PRODUK?")))</f>
        <v/>
      </c>
      <c r="R1737" s="29" t="str">
        <f aca="false">IF(A1737="","",IF(COUNTIF(Anggota!$A$2:$A$2001,A1737)=0,"TIDAK ADA","OK"))</f>
        <v/>
      </c>
      <c r="S1737" s="29" t="str">
        <f aca="false">IF(H1737="","",IF(OR(J1737="",L1737=""),"-",IF(ABS(H1737-J1737*L1737)&gt;Info_Koperasi!$C$10,"SELISIH","OK")))</f>
        <v/>
      </c>
    </row>
    <row r="1738" customFormat="false" ht="15" hidden="false" customHeight="false" outlineLevel="0" collapsed="false">
      <c r="A1738" s="21"/>
      <c r="B1738" s="22"/>
      <c r="C1738" s="21"/>
      <c r="D1738" s="21"/>
      <c r="E1738" s="28"/>
      <c r="F1738" s="24"/>
      <c r="G1738" s="26"/>
      <c r="H1738" s="24"/>
      <c r="I1738" s="24"/>
      <c r="J1738" s="24"/>
      <c r="K1738" s="24"/>
      <c r="L1738" s="26"/>
      <c r="M1738" s="26"/>
      <c r="N1738" s="22"/>
      <c r="O1738" s="21"/>
      <c r="P1738" s="22"/>
      <c r="Q1738" s="29" t="str">
        <f aca="false">IF(C1738="","",IF(O1738&lt;&gt;"",O1738,IFERROR(INDEX(Produk!$J$2:$J$100,MATCH(C1738,Produk!$A$2:$A$100,0)),"PRODUK?")))</f>
        <v/>
      </c>
      <c r="R1738" s="29" t="str">
        <f aca="false">IF(A1738="","",IF(COUNTIF(Anggota!$A$2:$A$2001,A1738)=0,"TIDAK ADA","OK"))</f>
        <v/>
      </c>
      <c r="S1738" s="29" t="str">
        <f aca="false">IF(H1738="","",IF(OR(J1738="",L1738=""),"-",IF(ABS(H1738-J1738*L1738)&gt;Info_Koperasi!$C$10,"SELISIH","OK")))</f>
        <v/>
      </c>
    </row>
    <row r="1739" customFormat="false" ht="15" hidden="false" customHeight="false" outlineLevel="0" collapsed="false">
      <c r="A1739" s="21"/>
      <c r="B1739" s="22"/>
      <c r="C1739" s="21"/>
      <c r="D1739" s="21"/>
      <c r="E1739" s="28"/>
      <c r="F1739" s="24"/>
      <c r="G1739" s="26"/>
      <c r="H1739" s="24"/>
      <c r="I1739" s="24"/>
      <c r="J1739" s="24"/>
      <c r="K1739" s="24"/>
      <c r="L1739" s="26"/>
      <c r="M1739" s="26"/>
      <c r="N1739" s="22"/>
      <c r="O1739" s="21"/>
      <c r="P1739" s="22"/>
      <c r="Q1739" s="29" t="str">
        <f aca="false">IF(C1739="","",IF(O1739&lt;&gt;"",O1739,IFERROR(INDEX(Produk!$J$2:$J$100,MATCH(C1739,Produk!$A$2:$A$100,0)),"PRODUK?")))</f>
        <v/>
      </c>
      <c r="R1739" s="29" t="str">
        <f aca="false">IF(A1739="","",IF(COUNTIF(Anggota!$A$2:$A$2001,A1739)=0,"TIDAK ADA","OK"))</f>
        <v/>
      </c>
      <c r="S1739" s="29" t="str">
        <f aca="false">IF(H1739="","",IF(OR(J1739="",L1739=""),"-",IF(ABS(H1739-J1739*L1739)&gt;Info_Koperasi!$C$10,"SELISIH","OK")))</f>
        <v/>
      </c>
    </row>
    <row r="1740" customFormat="false" ht="15" hidden="false" customHeight="false" outlineLevel="0" collapsed="false">
      <c r="A1740" s="21"/>
      <c r="B1740" s="22"/>
      <c r="C1740" s="21"/>
      <c r="D1740" s="21"/>
      <c r="E1740" s="28"/>
      <c r="F1740" s="24"/>
      <c r="G1740" s="26"/>
      <c r="H1740" s="24"/>
      <c r="I1740" s="24"/>
      <c r="J1740" s="24"/>
      <c r="K1740" s="24"/>
      <c r="L1740" s="26"/>
      <c r="M1740" s="26"/>
      <c r="N1740" s="22"/>
      <c r="O1740" s="21"/>
      <c r="P1740" s="22"/>
      <c r="Q1740" s="29" t="str">
        <f aca="false">IF(C1740="","",IF(O1740&lt;&gt;"",O1740,IFERROR(INDEX(Produk!$J$2:$J$100,MATCH(C1740,Produk!$A$2:$A$100,0)),"PRODUK?")))</f>
        <v/>
      </c>
      <c r="R1740" s="29" t="str">
        <f aca="false">IF(A1740="","",IF(COUNTIF(Anggota!$A$2:$A$2001,A1740)=0,"TIDAK ADA","OK"))</f>
        <v/>
      </c>
      <c r="S1740" s="29" t="str">
        <f aca="false">IF(H1740="","",IF(OR(J1740="",L1740=""),"-",IF(ABS(H1740-J1740*L1740)&gt;Info_Koperasi!$C$10,"SELISIH","OK")))</f>
        <v/>
      </c>
    </row>
    <row r="1741" customFormat="false" ht="15" hidden="false" customHeight="false" outlineLevel="0" collapsed="false">
      <c r="A1741" s="21"/>
      <c r="B1741" s="22"/>
      <c r="C1741" s="21"/>
      <c r="D1741" s="21"/>
      <c r="E1741" s="28"/>
      <c r="F1741" s="24"/>
      <c r="G1741" s="26"/>
      <c r="H1741" s="24"/>
      <c r="I1741" s="24"/>
      <c r="J1741" s="24"/>
      <c r="K1741" s="24"/>
      <c r="L1741" s="26"/>
      <c r="M1741" s="26"/>
      <c r="N1741" s="22"/>
      <c r="O1741" s="21"/>
      <c r="P1741" s="22"/>
      <c r="Q1741" s="29" t="str">
        <f aca="false">IF(C1741="","",IF(O1741&lt;&gt;"",O1741,IFERROR(INDEX(Produk!$J$2:$J$100,MATCH(C1741,Produk!$A$2:$A$100,0)),"PRODUK?")))</f>
        <v/>
      </c>
      <c r="R1741" s="29" t="str">
        <f aca="false">IF(A1741="","",IF(COUNTIF(Anggota!$A$2:$A$2001,A1741)=0,"TIDAK ADA","OK"))</f>
        <v/>
      </c>
      <c r="S1741" s="29" t="str">
        <f aca="false">IF(H1741="","",IF(OR(J1741="",L1741=""),"-",IF(ABS(H1741-J1741*L1741)&gt;Info_Koperasi!$C$10,"SELISIH","OK")))</f>
        <v/>
      </c>
    </row>
    <row r="1742" customFormat="false" ht="15" hidden="false" customHeight="false" outlineLevel="0" collapsed="false">
      <c r="A1742" s="21"/>
      <c r="B1742" s="22"/>
      <c r="C1742" s="21"/>
      <c r="D1742" s="21"/>
      <c r="E1742" s="28"/>
      <c r="F1742" s="24"/>
      <c r="G1742" s="26"/>
      <c r="H1742" s="24"/>
      <c r="I1742" s="24"/>
      <c r="J1742" s="24"/>
      <c r="K1742" s="24"/>
      <c r="L1742" s="26"/>
      <c r="M1742" s="26"/>
      <c r="N1742" s="22"/>
      <c r="O1742" s="21"/>
      <c r="P1742" s="22"/>
      <c r="Q1742" s="29" t="str">
        <f aca="false">IF(C1742="","",IF(O1742&lt;&gt;"",O1742,IFERROR(INDEX(Produk!$J$2:$J$100,MATCH(C1742,Produk!$A$2:$A$100,0)),"PRODUK?")))</f>
        <v/>
      </c>
      <c r="R1742" s="29" t="str">
        <f aca="false">IF(A1742="","",IF(COUNTIF(Anggota!$A$2:$A$2001,A1742)=0,"TIDAK ADA","OK"))</f>
        <v/>
      </c>
      <c r="S1742" s="29" t="str">
        <f aca="false">IF(H1742="","",IF(OR(J1742="",L1742=""),"-",IF(ABS(H1742-J1742*L1742)&gt;Info_Koperasi!$C$10,"SELISIH","OK")))</f>
        <v/>
      </c>
    </row>
    <row r="1743" customFormat="false" ht="15" hidden="false" customHeight="false" outlineLevel="0" collapsed="false">
      <c r="A1743" s="21"/>
      <c r="B1743" s="22"/>
      <c r="C1743" s="21"/>
      <c r="D1743" s="21"/>
      <c r="E1743" s="28"/>
      <c r="F1743" s="24"/>
      <c r="G1743" s="26"/>
      <c r="H1743" s="24"/>
      <c r="I1743" s="24"/>
      <c r="J1743" s="24"/>
      <c r="K1743" s="24"/>
      <c r="L1743" s="26"/>
      <c r="M1743" s="26"/>
      <c r="N1743" s="22"/>
      <c r="O1743" s="21"/>
      <c r="P1743" s="22"/>
      <c r="Q1743" s="29" t="str">
        <f aca="false">IF(C1743="","",IF(O1743&lt;&gt;"",O1743,IFERROR(INDEX(Produk!$J$2:$J$100,MATCH(C1743,Produk!$A$2:$A$100,0)),"PRODUK?")))</f>
        <v/>
      </c>
      <c r="R1743" s="29" t="str">
        <f aca="false">IF(A1743="","",IF(COUNTIF(Anggota!$A$2:$A$2001,A1743)=0,"TIDAK ADA","OK"))</f>
        <v/>
      </c>
      <c r="S1743" s="29" t="str">
        <f aca="false">IF(H1743="","",IF(OR(J1743="",L1743=""),"-",IF(ABS(H1743-J1743*L1743)&gt;Info_Koperasi!$C$10,"SELISIH","OK")))</f>
        <v/>
      </c>
    </row>
    <row r="1744" customFormat="false" ht="15" hidden="false" customHeight="false" outlineLevel="0" collapsed="false">
      <c r="A1744" s="21"/>
      <c r="B1744" s="22"/>
      <c r="C1744" s="21"/>
      <c r="D1744" s="21"/>
      <c r="E1744" s="28"/>
      <c r="F1744" s="24"/>
      <c r="G1744" s="26"/>
      <c r="H1744" s="24"/>
      <c r="I1744" s="24"/>
      <c r="J1744" s="24"/>
      <c r="K1744" s="24"/>
      <c r="L1744" s="26"/>
      <c r="M1744" s="26"/>
      <c r="N1744" s="22"/>
      <c r="O1744" s="21"/>
      <c r="P1744" s="22"/>
      <c r="Q1744" s="29" t="str">
        <f aca="false">IF(C1744="","",IF(O1744&lt;&gt;"",O1744,IFERROR(INDEX(Produk!$J$2:$J$100,MATCH(C1744,Produk!$A$2:$A$100,0)),"PRODUK?")))</f>
        <v/>
      </c>
      <c r="R1744" s="29" t="str">
        <f aca="false">IF(A1744="","",IF(COUNTIF(Anggota!$A$2:$A$2001,A1744)=0,"TIDAK ADA","OK"))</f>
        <v/>
      </c>
      <c r="S1744" s="29" t="str">
        <f aca="false">IF(H1744="","",IF(OR(J1744="",L1744=""),"-",IF(ABS(H1744-J1744*L1744)&gt;Info_Koperasi!$C$10,"SELISIH","OK")))</f>
        <v/>
      </c>
    </row>
    <row r="1745" customFormat="false" ht="15" hidden="false" customHeight="false" outlineLevel="0" collapsed="false">
      <c r="A1745" s="21"/>
      <c r="B1745" s="22"/>
      <c r="C1745" s="21"/>
      <c r="D1745" s="21"/>
      <c r="E1745" s="28"/>
      <c r="F1745" s="24"/>
      <c r="G1745" s="26"/>
      <c r="H1745" s="24"/>
      <c r="I1745" s="24"/>
      <c r="J1745" s="24"/>
      <c r="K1745" s="24"/>
      <c r="L1745" s="26"/>
      <c r="M1745" s="26"/>
      <c r="N1745" s="22"/>
      <c r="O1745" s="21"/>
      <c r="P1745" s="22"/>
      <c r="Q1745" s="29" t="str">
        <f aca="false">IF(C1745="","",IF(O1745&lt;&gt;"",O1745,IFERROR(INDEX(Produk!$J$2:$J$100,MATCH(C1745,Produk!$A$2:$A$100,0)),"PRODUK?")))</f>
        <v/>
      </c>
      <c r="R1745" s="29" t="str">
        <f aca="false">IF(A1745="","",IF(COUNTIF(Anggota!$A$2:$A$2001,A1745)=0,"TIDAK ADA","OK"))</f>
        <v/>
      </c>
      <c r="S1745" s="29" t="str">
        <f aca="false">IF(H1745="","",IF(OR(J1745="",L1745=""),"-",IF(ABS(H1745-J1745*L1745)&gt;Info_Koperasi!$C$10,"SELISIH","OK")))</f>
        <v/>
      </c>
    </row>
    <row r="1746" customFormat="false" ht="15" hidden="false" customHeight="false" outlineLevel="0" collapsed="false">
      <c r="A1746" s="21"/>
      <c r="B1746" s="22"/>
      <c r="C1746" s="21"/>
      <c r="D1746" s="21"/>
      <c r="E1746" s="28"/>
      <c r="F1746" s="24"/>
      <c r="G1746" s="26"/>
      <c r="H1746" s="24"/>
      <c r="I1746" s="24"/>
      <c r="J1746" s="24"/>
      <c r="K1746" s="24"/>
      <c r="L1746" s="26"/>
      <c r="M1746" s="26"/>
      <c r="N1746" s="22"/>
      <c r="O1746" s="21"/>
      <c r="P1746" s="22"/>
      <c r="Q1746" s="29" t="str">
        <f aca="false">IF(C1746="","",IF(O1746&lt;&gt;"",O1746,IFERROR(INDEX(Produk!$J$2:$J$100,MATCH(C1746,Produk!$A$2:$A$100,0)),"PRODUK?")))</f>
        <v/>
      </c>
      <c r="R1746" s="29" t="str">
        <f aca="false">IF(A1746="","",IF(COUNTIF(Anggota!$A$2:$A$2001,A1746)=0,"TIDAK ADA","OK"))</f>
        <v/>
      </c>
      <c r="S1746" s="29" t="str">
        <f aca="false">IF(H1746="","",IF(OR(J1746="",L1746=""),"-",IF(ABS(H1746-J1746*L1746)&gt;Info_Koperasi!$C$10,"SELISIH","OK")))</f>
        <v/>
      </c>
    </row>
    <row r="1747" customFormat="false" ht="15" hidden="false" customHeight="false" outlineLevel="0" collapsed="false">
      <c r="A1747" s="21"/>
      <c r="B1747" s="22"/>
      <c r="C1747" s="21"/>
      <c r="D1747" s="21"/>
      <c r="E1747" s="28"/>
      <c r="F1747" s="24"/>
      <c r="G1747" s="26"/>
      <c r="H1747" s="24"/>
      <c r="I1747" s="24"/>
      <c r="J1747" s="24"/>
      <c r="K1747" s="24"/>
      <c r="L1747" s="26"/>
      <c r="M1747" s="26"/>
      <c r="N1747" s="22"/>
      <c r="O1747" s="21"/>
      <c r="P1747" s="22"/>
      <c r="Q1747" s="29" t="str">
        <f aca="false">IF(C1747="","",IF(O1747&lt;&gt;"",O1747,IFERROR(INDEX(Produk!$J$2:$J$100,MATCH(C1747,Produk!$A$2:$A$100,0)),"PRODUK?")))</f>
        <v/>
      </c>
      <c r="R1747" s="29" t="str">
        <f aca="false">IF(A1747="","",IF(COUNTIF(Anggota!$A$2:$A$2001,A1747)=0,"TIDAK ADA","OK"))</f>
        <v/>
      </c>
      <c r="S1747" s="29" t="str">
        <f aca="false">IF(H1747="","",IF(OR(J1747="",L1747=""),"-",IF(ABS(H1747-J1747*L1747)&gt;Info_Koperasi!$C$10,"SELISIH","OK")))</f>
        <v/>
      </c>
    </row>
    <row r="1748" customFormat="false" ht="15" hidden="false" customHeight="false" outlineLevel="0" collapsed="false">
      <c r="A1748" s="21"/>
      <c r="B1748" s="22"/>
      <c r="C1748" s="21"/>
      <c r="D1748" s="21"/>
      <c r="E1748" s="28"/>
      <c r="F1748" s="24"/>
      <c r="G1748" s="26"/>
      <c r="H1748" s="24"/>
      <c r="I1748" s="24"/>
      <c r="J1748" s="24"/>
      <c r="K1748" s="24"/>
      <c r="L1748" s="26"/>
      <c r="M1748" s="26"/>
      <c r="N1748" s="22"/>
      <c r="O1748" s="21"/>
      <c r="P1748" s="22"/>
      <c r="Q1748" s="29" t="str">
        <f aca="false">IF(C1748="","",IF(O1748&lt;&gt;"",O1748,IFERROR(INDEX(Produk!$J$2:$J$100,MATCH(C1748,Produk!$A$2:$A$100,0)),"PRODUK?")))</f>
        <v/>
      </c>
      <c r="R1748" s="29" t="str">
        <f aca="false">IF(A1748="","",IF(COUNTIF(Anggota!$A$2:$A$2001,A1748)=0,"TIDAK ADA","OK"))</f>
        <v/>
      </c>
      <c r="S1748" s="29" t="str">
        <f aca="false">IF(H1748="","",IF(OR(J1748="",L1748=""),"-",IF(ABS(H1748-J1748*L1748)&gt;Info_Koperasi!$C$10,"SELISIH","OK")))</f>
        <v/>
      </c>
    </row>
    <row r="1749" customFormat="false" ht="15" hidden="false" customHeight="false" outlineLevel="0" collapsed="false">
      <c r="A1749" s="21"/>
      <c r="B1749" s="22"/>
      <c r="C1749" s="21"/>
      <c r="D1749" s="21"/>
      <c r="E1749" s="28"/>
      <c r="F1749" s="24"/>
      <c r="G1749" s="26"/>
      <c r="H1749" s="24"/>
      <c r="I1749" s="24"/>
      <c r="J1749" s="24"/>
      <c r="K1749" s="24"/>
      <c r="L1749" s="26"/>
      <c r="M1749" s="26"/>
      <c r="N1749" s="22"/>
      <c r="O1749" s="21"/>
      <c r="P1749" s="22"/>
      <c r="Q1749" s="29" t="str">
        <f aca="false">IF(C1749="","",IF(O1749&lt;&gt;"",O1749,IFERROR(INDEX(Produk!$J$2:$J$100,MATCH(C1749,Produk!$A$2:$A$100,0)),"PRODUK?")))</f>
        <v/>
      </c>
      <c r="R1749" s="29" t="str">
        <f aca="false">IF(A1749="","",IF(COUNTIF(Anggota!$A$2:$A$2001,A1749)=0,"TIDAK ADA","OK"))</f>
        <v/>
      </c>
      <c r="S1749" s="29" t="str">
        <f aca="false">IF(H1749="","",IF(OR(J1749="",L1749=""),"-",IF(ABS(H1749-J1749*L1749)&gt;Info_Koperasi!$C$10,"SELISIH","OK")))</f>
        <v/>
      </c>
    </row>
    <row r="1750" customFormat="false" ht="15" hidden="false" customHeight="false" outlineLevel="0" collapsed="false">
      <c r="A1750" s="21"/>
      <c r="B1750" s="22"/>
      <c r="C1750" s="21"/>
      <c r="D1750" s="21"/>
      <c r="E1750" s="28"/>
      <c r="F1750" s="24"/>
      <c r="G1750" s="26"/>
      <c r="H1750" s="24"/>
      <c r="I1750" s="24"/>
      <c r="J1750" s="24"/>
      <c r="K1750" s="24"/>
      <c r="L1750" s="26"/>
      <c r="M1750" s="26"/>
      <c r="N1750" s="22"/>
      <c r="O1750" s="21"/>
      <c r="P1750" s="22"/>
      <c r="Q1750" s="29" t="str">
        <f aca="false">IF(C1750="","",IF(O1750&lt;&gt;"",O1750,IFERROR(INDEX(Produk!$J$2:$J$100,MATCH(C1750,Produk!$A$2:$A$100,0)),"PRODUK?")))</f>
        <v/>
      </c>
      <c r="R1750" s="29" t="str">
        <f aca="false">IF(A1750="","",IF(COUNTIF(Anggota!$A$2:$A$2001,A1750)=0,"TIDAK ADA","OK"))</f>
        <v/>
      </c>
      <c r="S1750" s="29" t="str">
        <f aca="false">IF(H1750="","",IF(OR(J1750="",L1750=""),"-",IF(ABS(H1750-J1750*L1750)&gt;Info_Koperasi!$C$10,"SELISIH","OK")))</f>
        <v/>
      </c>
    </row>
    <row r="1751" customFormat="false" ht="15" hidden="false" customHeight="false" outlineLevel="0" collapsed="false">
      <c r="A1751" s="21"/>
      <c r="B1751" s="22"/>
      <c r="C1751" s="21"/>
      <c r="D1751" s="21"/>
      <c r="E1751" s="28"/>
      <c r="F1751" s="24"/>
      <c r="G1751" s="26"/>
      <c r="H1751" s="24"/>
      <c r="I1751" s="24"/>
      <c r="J1751" s="24"/>
      <c r="K1751" s="24"/>
      <c r="L1751" s="26"/>
      <c r="M1751" s="26"/>
      <c r="N1751" s="22"/>
      <c r="O1751" s="21"/>
      <c r="P1751" s="22"/>
      <c r="Q1751" s="29" t="str">
        <f aca="false">IF(C1751="","",IF(O1751&lt;&gt;"",O1751,IFERROR(INDEX(Produk!$J$2:$J$100,MATCH(C1751,Produk!$A$2:$A$100,0)),"PRODUK?")))</f>
        <v/>
      </c>
      <c r="R1751" s="29" t="str">
        <f aca="false">IF(A1751="","",IF(COUNTIF(Anggota!$A$2:$A$2001,A1751)=0,"TIDAK ADA","OK"))</f>
        <v/>
      </c>
      <c r="S1751" s="29" t="str">
        <f aca="false">IF(H1751="","",IF(OR(J1751="",L1751=""),"-",IF(ABS(H1751-J1751*L1751)&gt;Info_Koperasi!$C$10,"SELISIH","OK")))</f>
        <v/>
      </c>
    </row>
    <row r="1752" customFormat="false" ht="15" hidden="false" customHeight="false" outlineLevel="0" collapsed="false">
      <c r="A1752" s="21"/>
      <c r="B1752" s="22"/>
      <c r="C1752" s="21"/>
      <c r="D1752" s="21"/>
      <c r="E1752" s="28"/>
      <c r="F1752" s="24"/>
      <c r="G1752" s="26"/>
      <c r="H1752" s="24"/>
      <c r="I1752" s="24"/>
      <c r="J1752" s="24"/>
      <c r="K1752" s="24"/>
      <c r="L1752" s="26"/>
      <c r="M1752" s="26"/>
      <c r="N1752" s="22"/>
      <c r="O1752" s="21"/>
      <c r="P1752" s="22"/>
      <c r="Q1752" s="29" t="str">
        <f aca="false">IF(C1752="","",IF(O1752&lt;&gt;"",O1752,IFERROR(INDEX(Produk!$J$2:$J$100,MATCH(C1752,Produk!$A$2:$A$100,0)),"PRODUK?")))</f>
        <v/>
      </c>
      <c r="R1752" s="29" t="str">
        <f aca="false">IF(A1752="","",IF(COUNTIF(Anggota!$A$2:$A$2001,A1752)=0,"TIDAK ADA","OK"))</f>
        <v/>
      </c>
      <c r="S1752" s="29" t="str">
        <f aca="false">IF(H1752="","",IF(OR(J1752="",L1752=""),"-",IF(ABS(H1752-J1752*L1752)&gt;Info_Koperasi!$C$10,"SELISIH","OK")))</f>
        <v/>
      </c>
    </row>
    <row r="1753" customFormat="false" ht="15" hidden="false" customHeight="false" outlineLevel="0" collapsed="false">
      <c r="A1753" s="21"/>
      <c r="B1753" s="22"/>
      <c r="C1753" s="21"/>
      <c r="D1753" s="21"/>
      <c r="E1753" s="28"/>
      <c r="F1753" s="24"/>
      <c r="G1753" s="26"/>
      <c r="H1753" s="24"/>
      <c r="I1753" s="24"/>
      <c r="J1753" s="24"/>
      <c r="K1753" s="24"/>
      <c r="L1753" s="26"/>
      <c r="M1753" s="26"/>
      <c r="N1753" s="22"/>
      <c r="O1753" s="21"/>
      <c r="P1753" s="22"/>
      <c r="Q1753" s="29" t="str">
        <f aca="false">IF(C1753="","",IF(O1753&lt;&gt;"",O1753,IFERROR(INDEX(Produk!$J$2:$J$100,MATCH(C1753,Produk!$A$2:$A$100,0)),"PRODUK?")))</f>
        <v/>
      </c>
      <c r="R1753" s="29" t="str">
        <f aca="false">IF(A1753="","",IF(COUNTIF(Anggota!$A$2:$A$2001,A1753)=0,"TIDAK ADA","OK"))</f>
        <v/>
      </c>
      <c r="S1753" s="29" t="str">
        <f aca="false">IF(H1753="","",IF(OR(J1753="",L1753=""),"-",IF(ABS(H1753-J1753*L1753)&gt;Info_Koperasi!$C$10,"SELISIH","OK")))</f>
        <v/>
      </c>
    </row>
    <row r="1754" customFormat="false" ht="15" hidden="false" customHeight="false" outlineLevel="0" collapsed="false">
      <c r="A1754" s="21"/>
      <c r="B1754" s="22"/>
      <c r="C1754" s="21"/>
      <c r="D1754" s="21"/>
      <c r="E1754" s="28"/>
      <c r="F1754" s="24"/>
      <c r="G1754" s="26"/>
      <c r="H1754" s="24"/>
      <c r="I1754" s="24"/>
      <c r="J1754" s="24"/>
      <c r="K1754" s="24"/>
      <c r="L1754" s="26"/>
      <c r="M1754" s="26"/>
      <c r="N1754" s="22"/>
      <c r="O1754" s="21"/>
      <c r="P1754" s="22"/>
      <c r="Q1754" s="29" t="str">
        <f aca="false">IF(C1754="","",IF(O1754&lt;&gt;"",O1754,IFERROR(INDEX(Produk!$J$2:$J$100,MATCH(C1754,Produk!$A$2:$A$100,0)),"PRODUK?")))</f>
        <v/>
      </c>
      <c r="R1754" s="29" t="str">
        <f aca="false">IF(A1754="","",IF(COUNTIF(Anggota!$A$2:$A$2001,A1754)=0,"TIDAK ADA","OK"))</f>
        <v/>
      </c>
      <c r="S1754" s="29" t="str">
        <f aca="false">IF(H1754="","",IF(OR(J1754="",L1754=""),"-",IF(ABS(H1754-J1754*L1754)&gt;Info_Koperasi!$C$10,"SELISIH","OK")))</f>
        <v/>
      </c>
    </row>
    <row r="1755" customFormat="false" ht="15" hidden="false" customHeight="false" outlineLevel="0" collapsed="false">
      <c r="A1755" s="21"/>
      <c r="B1755" s="22"/>
      <c r="C1755" s="21"/>
      <c r="D1755" s="21"/>
      <c r="E1755" s="28"/>
      <c r="F1755" s="24"/>
      <c r="G1755" s="26"/>
      <c r="H1755" s="24"/>
      <c r="I1755" s="24"/>
      <c r="J1755" s="24"/>
      <c r="K1755" s="24"/>
      <c r="L1755" s="26"/>
      <c r="M1755" s="26"/>
      <c r="N1755" s="22"/>
      <c r="O1755" s="21"/>
      <c r="P1755" s="22"/>
      <c r="Q1755" s="29" t="str">
        <f aca="false">IF(C1755="","",IF(O1755&lt;&gt;"",O1755,IFERROR(INDEX(Produk!$J$2:$J$100,MATCH(C1755,Produk!$A$2:$A$100,0)),"PRODUK?")))</f>
        <v/>
      </c>
      <c r="R1755" s="29" t="str">
        <f aca="false">IF(A1755="","",IF(COUNTIF(Anggota!$A$2:$A$2001,A1755)=0,"TIDAK ADA","OK"))</f>
        <v/>
      </c>
      <c r="S1755" s="29" t="str">
        <f aca="false">IF(H1755="","",IF(OR(J1755="",L1755=""),"-",IF(ABS(H1755-J1755*L1755)&gt;Info_Koperasi!$C$10,"SELISIH","OK")))</f>
        <v/>
      </c>
    </row>
    <row r="1756" customFormat="false" ht="15" hidden="false" customHeight="false" outlineLevel="0" collapsed="false">
      <c r="A1756" s="21"/>
      <c r="B1756" s="22"/>
      <c r="C1756" s="21"/>
      <c r="D1756" s="21"/>
      <c r="E1756" s="28"/>
      <c r="F1756" s="24"/>
      <c r="G1756" s="26"/>
      <c r="H1756" s="24"/>
      <c r="I1756" s="24"/>
      <c r="J1756" s="24"/>
      <c r="K1756" s="24"/>
      <c r="L1756" s="26"/>
      <c r="M1756" s="26"/>
      <c r="N1756" s="22"/>
      <c r="O1756" s="21"/>
      <c r="P1756" s="22"/>
      <c r="Q1756" s="29" t="str">
        <f aca="false">IF(C1756="","",IF(O1756&lt;&gt;"",O1756,IFERROR(INDEX(Produk!$J$2:$J$100,MATCH(C1756,Produk!$A$2:$A$100,0)),"PRODUK?")))</f>
        <v/>
      </c>
      <c r="R1756" s="29" t="str">
        <f aca="false">IF(A1756="","",IF(COUNTIF(Anggota!$A$2:$A$2001,A1756)=0,"TIDAK ADA","OK"))</f>
        <v/>
      </c>
      <c r="S1756" s="29" t="str">
        <f aca="false">IF(H1756="","",IF(OR(J1756="",L1756=""),"-",IF(ABS(H1756-J1756*L1756)&gt;Info_Koperasi!$C$10,"SELISIH","OK")))</f>
        <v/>
      </c>
    </row>
    <row r="1757" customFormat="false" ht="15" hidden="false" customHeight="false" outlineLevel="0" collapsed="false">
      <c r="A1757" s="21"/>
      <c r="B1757" s="22"/>
      <c r="C1757" s="21"/>
      <c r="D1757" s="21"/>
      <c r="E1757" s="28"/>
      <c r="F1757" s="24"/>
      <c r="G1757" s="26"/>
      <c r="H1757" s="24"/>
      <c r="I1757" s="24"/>
      <c r="J1757" s="24"/>
      <c r="K1757" s="24"/>
      <c r="L1757" s="26"/>
      <c r="M1757" s="26"/>
      <c r="N1757" s="22"/>
      <c r="O1757" s="21"/>
      <c r="P1757" s="22"/>
      <c r="Q1757" s="29" t="str">
        <f aca="false">IF(C1757="","",IF(O1757&lt;&gt;"",O1757,IFERROR(INDEX(Produk!$J$2:$J$100,MATCH(C1757,Produk!$A$2:$A$100,0)),"PRODUK?")))</f>
        <v/>
      </c>
      <c r="R1757" s="29" t="str">
        <f aca="false">IF(A1757="","",IF(COUNTIF(Anggota!$A$2:$A$2001,A1757)=0,"TIDAK ADA","OK"))</f>
        <v/>
      </c>
      <c r="S1757" s="29" t="str">
        <f aca="false">IF(H1757="","",IF(OR(J1757="",L1757=""),"-",IF(ABS(H1757-J1757*L1757)&gt;Info_Koperasi!$C$10,"SELISIH","OK")))</f>
        <v/>
      </c>
    </row>
    <row r="1758" customFormat="false" ht="15" hidden="false" customHeight="false" outlineLevel="0" collapsed="false">
      <c r="A1758" s="21"/>
      <c r="B1758" s="22"/>
      <c r="C1758" s="21"/>
      <c r="D1758" s="21"/>
      <c r="E1758" s="28"/>
      <c r="F1758" s="24"/>
      <c r="G1758" s="26"/>
      <c r="H1758" s="24"/>
      <c r="I1758" s="24"/>
      <c r="J1758" s="24"/>
      <c r="K1758" s="24"/>
      <c r="L1758" s="26"/>
      <c r="M1758" s="26"/>
      <c r="N1758" s="22"/>
      <c r="O1758" s="21"/>
      <c r="P1758" s="22"/>
      <c r="Q1758" s="29" t="str">
        <f aca="false">IF(C1758="","",IF(O1758&lt;&gt;"",O1758,IFERROR(INDEX(Produk!$J$2:$J$100,MATCH(C1758,Produk!$A$2:$A$100,0)),"PRODUK?")))</f>
        <v/>
      </c>
      <c r="R1758" s="29" t="str">
        <f aca="false">IF(A1758="","",IF(COUNTIF(Anggota!$A$2:$A$2001,A1758)=0,"TIDAK ADA","OK"))</f>
        <v/>
      </c>
      <c r="S1758" s="29" t="str">
        <f aca="false">IF(H1758="","",IF(OR(J1758="",L1758=""),"-",IF(ABS(H1758-J1758*L1758)&gt;Info_Koperasi!$C$10,"SELISIH","OK")))</f>
        <v/>
      </c>
    </row>
    <row r="1759" customFormat="false" ht="15" hidden="false" customHeight="false" outlineLevel="0" collapsed="false">
      <c r="A1759" s="21"/>
      <c r="B1759" s="22"/>
      <c r="C1759" s="21"/>
      <c r="D1759" s="21"/>
      <c r="E1759" s="28"/>
      <c r="F1759" s="24"/>
      <c r="G1759" s="26"/>
      <c r="H1759" s="24"/>
      <c r="I1759" s="24"/>
      <c r="J1759" s="24"/>
      <c r="K1759" s="24"/>
      <c r="L1759" s="26"/>
      <c r="M1759" s="26"/>
      <c r="N1759" s="22"/>
      <c r="O1759" s="21"/>
      <c r="P1759" s="22"/>
      <c r="Q1759" s="29" t="str">
        <f aca="false">IF(C1759="","",IF(O1759&lt;&gt;"",O1759,IFERROR(INDEX(Produk!$J$2:$J$100,MATCH(C1759,Produk!$A$2:$A$100,0)),"PRODUK?")))</f>
        <v/>
      </c>
      <c r="R1759" s="29" t="str">
        <f aca="false">IF(A1759="","",IF(COUNTIF(Anggota!$A$2:$A$2001,A1759)=0,"TIDAK ADA","OK"))</f>
        <v/>
      </c>
      <c r="S1759" s="29" t="str">
        <f aca="false">IF(H1759="","",IF(OR(J1759="",L1759=""),"-",IF(ABS(H1759-J1759*L1759)&gt;Info_Koperasi!$C$10,"SELISIH","OK")))</f>
        <v/>
      </c>
    </row>
    <row r="1760" customFormat="false" ht="15" hidden="false" customHeight="false" outlineLevel="0" collapsed="false">
      <c r="A1760" s="21"/>
      <c r="B1760" s="22"/>
      <c r="C1760" s="21"/>
      <c r="D1760" s="21"/>
      <c r="E1760" s="28"/>
      <c r="F1760" s="24"/>
      <c r="G1760" s="26"/>
      <c r="H1760" s="24"/>
      <c r="I1760" s="24"/>
      <c r="J1760" s="24"/>
      <c r="K1760" s="24"/>
      <c r="L1760" s="26"/>
      <c r="M1760" s="26"/>
      <c r="N1760" s="22"/>
      <c r="O1760" s="21"/>
      <c r="P1760" s="22"/>
      <c r="Q1760" s="29" t="str">
        <f aca="false">IF(C1760="","",IF(O1760&lt;&gt;"",O1760,IFERROR(INDEX(Produk!$J$2:$J$100,MATCH(C1760,Produk!$A$2:$A$100,0)),"PRODUK?")))</f>
        <v/>
      </c>
      <c r="R1760" s="29" t="str">
        <f aca="false">IF(A1760="","",IF(COUNTIF(Anggota!$A$2:$A$2001,A1760)=0,"TIDAK ADA","OK"))</f>
        <v/>
      </c>
      <c r="S1760" s="29" t="str">
        <f aca="false">IF(H1760="","",IF(OR(J1760="",L1760=""),"-",IF(ABS(H1760-J1760*L1760)&gt;Info_Koperasi!$C$10,"SELISIH","OK")))</f>
        <v/>
      </c>
    </row>
    <row r="1761" customFormat="false" ht="15" hidden="false" customHeight="false" outlineLevel="0" collapsed="false">
      <c r="A1761" s="21"/>
      <c r="B1761" s="22"/>
      <c r="C1761" s="21"/>
      <c r="D1761" s="21"/>
      <c r="E1761" s="28"/>
      <c r="F1761" s="24"/>
      <c r="G1761" s="26"/>
      <c r="H1761" s="24"/>
      <c r="I1761" s="24"/>
      <c r="J1761" s="24"/>
      <c r="K1761" s="24"/>
      <c r="L1761" s="26"/>
      <c r="M1761" s="26"/>
      <c r="N1761" s="22"/>
      <c r="O1761" s="21"/>
      <c r="P1761" s="22"/>
      <c r="Q1761" s="29" t="str">
        <f aca="false">IF(C1761="","",IF(O1761&lt;&gt;"",O1761,IFERROR(INDEX(Produk!$J$2:$J$100,MATCH(C1761,Produk!$A$2:$A$100,0)),"PRODUK?")))</f>
        <v/>
      </c>
      <c r="R1761" s="29" t="str">
        <f aca="false">IF(A1761="","",IF(COUNTIF(Anggota!$A$2:$A$2001,A1761)=0,"TIDAK ADA","OK"))</f>
        <v/>
      </c>
      <c r="S1761" s="29" t="str">
        <f aca="false">IF(H1761="","",IF(OR(J1761="",L1761=""),"-",IF(ABS(H1761-J1761*L1761)&gt;Info_Koperasi!$C$10,"SELISIH","OK")))</f>
        <v/>
      </c>
    </row>
    <row r="1762" customFormat="false" ht="15" hidden="false" customHeight="false" outlineLevel="0" collapsed="false">
      <c r="A1762" s="21"/>
      <c r="B1762" s="22"/>
      <c r="C1762" s="21"/>
      <c r="D1762" s="21"/>
      <c r="E1762" s="28"/>
      <c r="F1762" s="24"/>
      <c r="G1762" s="26"/>
      <c r="H1762" s="24"/>
      <c r="I1762" s="24"/>
      <c r="J1762" s="24"/>
      <c r="K1762" s="24"/>
      <c r="L1762" s="26"/>
      <c r="M1762" s="26"/>
      <c r="N1762" s="22"/>
      <c r="O1762" s="21"/>
      <c r="P1762" s="22"/>
      <c r="Q1762" s="29" t="str">
        <f aca="false">IF(C1762="","",IF(O1762&lt;&gt;"",O1762,IFERROR(INDEX(Produk!$J$2:$J$100,MATCH(C1762,Produk!$A$2:$A$100,0)),"PRODUK?")))</f>
        <v/>
      </c>
      <c r="R1762" s="29" t="str">
        <f aca="false">IF(A1762="","",IF(COUNTIF(Anggota!$A$2:$A$2001,A1762)=0,"TIDAK ADA","OK"))</f>
        <v/>
      </c>
      <c r="S1762" s="29" t="str">
        <f aca="false">IF(H1762="","",IF(OR(J1762="",L1762=""),"-",IF(ABS(H1762-J1762*L1762)&gt;Info_Koperasi!$C$10,"SELISIH","OK")))</f>
        <v/>
      </c>
    </row>
    <row r="1763" customFormat="false" ht="15" hidden="false" customHeight="false" outlineLevel="0" collapsed="false">
      <c r="A1763" s="21"/>
      <c r="B1763" s="22"/>
      <c r="C1763" s="21"/>
      <c r="D1763" s="21"/>
      <c r="E1763" s="28"/>
      <c r="F1763" s="24"/>
      <c r="G1763" s="26"/>
      <c r="H1763" s="24"/>
      <c r="I1763" s="24"/>
      <c r="J1763" s="24"/>
      <c r="K1763" s="24"/>
      <c r="L1763" s="26"/>
      <c r="M1763" s="26"/>
      <c r="N1763" s="22"/>
      <c r="O1763" s="21"/>
      <c r="P1763" s="22"/>
      <c r="Q1763" s="29" t="str">
        <f aca="false">IF(C1763="","",IF(O1763&lt;&gt;"",O1763,IFERROR(INDEX(Produk!$J$2:$J$100,MATCH(C1763,Produk!$A$2:$A$100,0)),"PRODUK?")))</f>
        <v/>
      </c>
      <c r="R1763" s="29" t="str">
        <f aca="false">IF(A1763="","",IF(COUNTIF(Anggota!$A$2:$A$2001,A1763)=0,"TIDAK ADA","OK"))</f>
        <v/>
      </c>
      <c r="S1763" s="29" t="str">
        <f aca="false">IF(H1763="","",IF(OR(J1763="",L1763=""),"-",IF(ABS(H1763-J1763*L1763)&gt;Info_Koperasi!$C$10,"SELISIH","OK")))</f>
        <v/>
      </c>
    </row>
    <row r="1764" customFormat="false" ht="15" hidden="false" customHeight="false" outlineLevel="0" collapsed="false">
      <c r="A1764" s="21"/>
      <c r="B1764" s="22"/>
      <c r="C1764" s="21"/>
      <c r="D1764" s="21"/>
      <c r="E1764" s="28"/>
      <c r="F1764" s="24"/>
      <c r="G1764" s="26"/>
      <c r="H1764" s="24"/>
      <c r="I1764" s="24"/>
      <c r="J1764" s="24"/>
      <c r="K1764" s="24"/>
      <c r="L1764" s="26"/>
      <c r="M1764" s="26"/>
      <c r="N1764" s="22"/>
      <c r="O1764" s="21"/>
      <c r="P1764" s="22"/>
      <c r="Q1764" s="29" t="str">
        <f aca="false">IF(C1764="","",IF(O1764&lt;&gt;"",O1764,IFERROR(INDEX(Produk!$J$2:$J$100,MATCH(C1764,Produk!$A$2:$A$100,0)),"PRODUK?")))</f>
        <v/>
      </c>
      <c r="R1764" s="29" t="str">
        <f aca="false">IF(A1764="","",IF(COUNTIF(Anggota!$A$2:$A$2001,A1764)=0,"TIDAK ADA","OK"))</f>
        <v/>
      </c>
      <c r="S1764" s="29" t="str">
        <f aca="false">IF(H1764="","",IF(OR(J1764="",L1764=""),"-",IF(ABS(H1764-J1764*L1764)&gt;Info_Koperasi!$C$10,"SELISIH","OK")))</f>
        <v/>
      </c>
    </row>
    <row r="1765" customFormat="false" ht="15" hidden="false" customHeight="false" outlineLevel="0" collapsed="false">
      <c r="A1765" s="21"/>
      <c r="B1765" s="22"/>
      <c r="C1765" s="21"/>
      <c r="D1765" s="21"/>
      <c r="E1765" s="28"/>
      <c r="F1765" s="24"/>
      <c r="G1765" s="26"/>
      <c r="H1765" s="24"/>
      <c r="I1765" s="24"/>
      <c r="J1765" s="24"/>
      <c r="K1765" s="24"/>
      <c r="L1765" s="26"/>
      <c r="M1765" s="26"/>
      <c r="N1765" s="22"/>
      <c r="O1765" s="21"/>
      <c r="P1765" s="22"/>
      <c r="Q1765" s="29" t="str">
        <f aca="false">IF(C1765="","",IF(O1765&lt;&gt;"",O1765,IFERROR(INDEX(Produk!$J$2:$J$100,MATCH(C1765,Produk!$A$2:$A$100,0)),"PRODUK?")))</f>
        <v/>
      </c>
      <c r="R1765" s="29" t="str">
        <f aca="false">IF(A1765="","",IF(COUNTIF(Anggota!$A$2:$A$2001,A1765)=0,"TIDAK ADA","OK"))</f>
        <v/>
      </c>
      <c r="S1765" s="29" t="str">
        <f aca="false">IF(H1765="","",IF(OR(J1765="",L1765=""),"-",IF(ABS(H1765-J1765*L1765)&gt;Info_Koperasi!$C$10,"SELISIH","OK")))</f>
        <v/>
      </c>
    </row>
    <row r="1766" customFormat="false" ht="15" hidden="false" customHeight="false" outlineLevel="0" collapsed="false">
      <c r="A1766" s="21"/>
      <c r="B1766" s="22"/>
      <c r="C1766" s="21"/>
      <c r="D1766" s="21"/>
      <c r="E1766" s="28"/>
      <c r="F1766" s="24"/>
      <c r="G1766" s="26"/>
      <c r="H1766" s="24"/>
      <c r="I1766" s="24"/>
      <c r="J1766" s="24"/>
      <c r="K1766" s="24"/>
      <c r="L1766" s="26"/>
      <c r="M1766" s="26"/>
      <c r="N1766" s="22"/>
      <c r="O1766" s="21"/>
      <c r="P1766" s="22"/>
      <c r="Q1766" s="29" t="str">
        <f aca="false">IF(C1766="","",IF(O1766&lt;&gt;"",O1766,IFERROR(INDEX(Produk!$J$2:$J$100,MATCH(C1766,Produk!$A$2:$A$100,0)),"PRODUK?")))</f>
        <v/>
      </c>
      <c r="R1766" s="29" t="str">
        <f aca="false">IF(A1766="","",IF(COUNTIF(Anggota!$A$2:$A$2001,A1766)=0,"TIDAK ADA","OK"))</f>
        <v/>
      </c>
      <c r="S1766" s="29" t="str">
        <f aca="false">IF(H1766="","",IF(OR(J1766="",L1766=""),"-",IF(ABS(H1766-J1766*L1766)&gt;Info_Koperasi!$C$10,"SELISIH","OK")))</f>
        <v/>
      </c>
    </row>
    <row r="1767" customFormat="false" ht="15" hidden="false" customHeight="false" outlineLevel="0" collapsed="false">
      <c r="A1767" s="21"/>
      <c r="B1767" s="22"/>
      <c r="C1767" s="21"/>
      <c r="D1767" s="21"/>
      <c r="E1767" s="28"/>
      <c r="F1767" s="24"/>
      <c r="G1767" s="26"/>
      <c r="H1767" s="24"/>
      <c r="I1767" s="24"/>
      <c r="J1767" s="24"/>
      <c r="K1767" s="24"/>
      <c r="L1767" s="26"/>
      <c r="M1767" s="26"/>
      <c r="N1767" s="22"/>
      <c r="O1767" s="21"/>
      <c r="P1767" s="22"/>
      <c r="Q1767" s="29" t="str">
        <f aca="false">IF(C1767="","",IF(O1767&lt;&gt;"",O1767,IFERROR(INDEX(Produk!$J$2:$J$100,MATCH(C1767,Produk!$A$2:$A$100,0)),"PRODUK?")))</f>
        <v/>
      </c>
      <c r="R1767" s="29" t="str">
        <f aca="false">IF(A1767="","",IF(COUNTIF(Anggota!$A$2:$A$2001,A1767)=0,"TIDAK ADA","OK"))</f>
        <v/>
      </c>
      <c r="S1767" s="29" t="str">
        <f aca="false">IF(H1767="","",IF(OR(J1767="",L1767=""),"-",IF(ABS(H1767-J1767*L1767)&gt;Info_Koperasi!$C$10,"SELISIH","OK")))</f>
        <v/>
      </c>
    </row>
    <row r="1768" customFormat="false" ht="15" hidden="false" customHeight="false" outlineLevel="0" collapsed="false">
      <c r="A1768" s="21"/>
      <c r="B1768" s="22"/>
      <c r="C1768" s="21"/>
      <c r="D1768" s="21"/>
      <c r="E1768" s="28"/>
      <c r="F1768" s="24"/>
      <c r="G1768" s="26"/>
      <c r="H1768" s="24"/>
      <c r="I1768" s="24"/>
      <c r="J1768" s="24"/>
      <c r="K1768" s="24"/>
      <c r="L1768" s="26"/>
      <c r="M1768" s="26"/>
      <c r="N1768" s="22"/>
      <c r="O1768" s="21"/>
      <c r="P1768" s="22"/>
      <c r="Q1768" s="29" t="str">
        <f aca="false">IF(C1768="","",IF(O1768&lt;&gt;"",O1768,IFERROR(INDEX(Produk!$J$2:$J$100,MATCH(C1768,Produk!$A$2:$A$100,0)),"PRODUK?")))</f>
        <v/>
      </c>
      <c r="R1768" s="29" t="str">
        <f aca="false">IF(A1768="","",IF(COUNTIF(Anggota!$A$2:$A$2001,A1768)=0,"TIDAK ADA","OK"))</f>
        <v/>
      </c>
      <c r="S1768" s="29" t="str">
        <f aca="false">IF(H1768="","",IF(OR(J1768="",L1768=""),"-",IF(ABS(H1768-J1768*L1768)&gt;Info_Koperasi!$C$10,"SELISIH","OK")))</f>
        <v/>
      </c>
    </row>
    <row r="1769" customFormat="false" ht="15" hidden="false" customHeight="false" outlineLevel="0" collapsed="false">
      <c r="A1769" s="21"/>
      <c r="B1769" s="22"/>
      <c r="C1769" s="21"/>
      <c r="D1769" s="21"/>
      <c r="E1769" s="28"/>
      <c r="F1769" s="24"/>
      <c r="G1769" s="26"/>
      <c r="H1769" s="24"/>
      <c r="I1769" s="24"/>
      <c r="J1769" s="24"/>
      <c r="K1769" s="24"/>
      <c r="L1769" s="26"/>
      <c r="M1769" s="26"/>
      <c r="N1769" s="22"/>
      <c r="O1769" s="21"/>
      <c r="P1769" s="22"/>
      <c r="Q1769" s="29" t="str">
        <f aca="false">IF(C1769="","",IF(O1769&lt;&gt;"",O1769,IFERROR(INDEX(Produk!$J$2:$J$100,MATCH(C1769,Produk!$A$2:$A$100,0)),"PRODUK?")))</f>
        <v/>
      </c>
      <c r="R1769" s="29" t="str">
        <f aca="false">IF(A1769="","",IF(COUNTIF(Anggota!$A$2:$A$2001,A1769)=0,"TIDAK ADA","OK"))</f>
        <v/>
      </c>
      <c r="S1769" s="29" t="str">
        <f aca="false">IF(H1769="","",IF(OR(J1769="",L1769=""),"-",IF(ABS(H1769-J1769*L1769)&gt;Info_Koperasi!$C$10,"SELISIH","OK")))</f>
        <v/>
      </c>
    </row>
    <row r="1770" customFormat="false" ht="15" hidden="false" customHeight="false" outlineLevel="0" collapsed="false">
      <c r="A1770" s="21"/>
      <c r="B1770" s="22"/>
      <c r="C1770" s="21"/>
      <c r="D1770" s="21"/>
      <c r="E1770" s="28"/>
      <c r="F1770" s="24"/>
      <c r="G1770" s="26"/>
      <c r="H1770" s="24"/>
      <c r="I1770" s="24"/>
      <c r="J1770" s="24"/>
      <c r="K1770" s="24"/>
      <c r="L1770" s="26"/>
      <c r="M1770" s="26"/>
      <c r="N1770" s="22"/>
      <c r="O1770" s="21"/>
      <c r="P1770" s="22"/>
      <c r="Q1770" s="29" t="str">
        <f aca="false">IF(C1770="","",IF(O1770&lt;&gt;"",O1770,IFERROR(INDEX(Produk!$J$2:$J$100,MATCH(C1770,Produk!$A$2:$A$100,0)),"PRODUK?")))</f>
        <v/>
      </c>
      <c r="R1770" s="29" t="str">
        <f aca="false">IF(A1770="","",IF(COUNTIF(Anggota!$A$2:$A$2001,A1770)=0,"TIDAK ADA","OK"))</f>
        <v/>
      </c>
      <c r="S1770" s="29" t="str">
        <f aca="false">IF(H1770="","",IF(OR(J1770="",L1770=""),"-",IF(ABS(H1770-J1770*L1770)&gt;Info_Koperasi!$C$10,"SELISIH","OK")))</f>
        <v/>
      </c>
    </row>
    <row r="1771" customFormat="false" ht="15" hidden="false" customHeight="false" outlineLevel="0" collapsed="false">
      <c r="A1771" s="21"/>
      <c r="B1771" s="22"/>
      <c r="C1771" s="21"/>
      <c r="D1771" s="21"/>
      <c r="E1771" s="28"/>
      <c r="F1771" s="24"/>
      <c r="G1771" s="26"/>
      <c r="H1771" s="24"/>
      <c r="I1771" s="24"/>
      <c r="J1771" s="24"/>
      <c r="K1771" s="24"/>
      <c r="L1771" s="26"/>
      <c r="M1771" s="26"/>
      <c r="N1771" s="22"/>
      <c r="O1771" s="21"/>
      <c r="P1771" s="22"/>
      <c r="Q1771" s="29" t="str">
        <f aca="false">IF(C1771="","",IF(O1771&lt;&gt;"",O1771,IFERROR(INDEX(Produk!$J$2:$J$100,MATCH(C1771,Produk!$A$2:$A$100,0)),"PRODUK?")))</f>
        <v/>
      </c>
      <c r="R1771" s="29" t="str">
        <f aca="false">IF(A1771="","",IF(COUNTIF(Anggota!$A$2:$A$2001,A1771)=0,"TIDAK ADA","OK"))</f>
        <v/>
      </c>
      <c r="S1771" s="29" t="str">
        <f aca="false">IF(H1771="","",IF(OR(J1771="",L1771=""),"-",IF(ABS(H1771-J1771*L1771)&gt;Info_Koperasi!$C$10,"SELISIH","OK")))</f>
        <v/>
      </c>
    </row>
    <row r="1772" customFormat="false" ht="15" hidden="false" customHeight="false" outlineLevel="0" collapsed="false">
      <c r="A1772" s="21"/>
      <c r="B1772" s="22"/>
      <c r="C1772" s="21"/>
      <c r="D1772" s="21"/>
      <c r="E1772" s="28"/>
      <c r="F1772" s="24"/>
      <c r="G1772" s="26"/>
      <c r="H1772" s="24"/>
      <c r="I1772" s="24"/>
      <c r="J1772" s="24"/>
      <c r="K1772" s="24"/>
      <c r="L1772" s="26"/>
      <c r="M1772" s="26"/>
      <c r="N1772" s="22"/>
      <c r="O1772" s="21"/>
      <c r="P1772" s="22"/>
      <c r="Q1772" s="29" t="str">
        <f aca="false">IF(C1772="","",IF(O1772&lt;&gt;"",O1772,IFERROR(INDEX(Produk!$J$2:$J$100,MATCH(C1772,Produk!$A$2:$A$100,0)),"PRODUK?")))</f>
        <v/>
      </c>
      <c r="R1772" s="29" t="str">
        <f aca="false">IF(A1772="","",IF(COUNTIF(Anggota!$A$2:$A$2001,A1772)=0,"TIDAK ADA","OK"))</f>
        <v/>
      </c>
      <c r="S1772" s="29" t="str">
        <f aca="false">IF(H1772="","",IF(OR(J1772="",L1772=""),"-",IF(ABS(H1772-J1772*L1772)&gt;Info_Koperasi!$C$10,"SELISIH","OK")))</f>
        <v/>
      </c>
    </row>
    <row r="1773" customFormat="false" ht="15" hidden="false" customHeight="false" outlineLevel="0" collapsed="false">
      <c r="A1773" s="21"/>
      <c r="B1773" s="22"/>
      <c r="C1773" s="21"/>
      <c r="D1773" s="21"/>
      <c r="E1773" s="28"/>
      <c r="F1773" s="24"/>
      <c r="G1773" s="26"/>
      <c r="H1773" s="24"/>
      <c r="I1773" s="24"/>
      <c r="J1773" s="24"/>
      <c r="K1773" s="24"/>
      <c r="L1773" s="26"/>
      <c r="M1773" s="26"/>
      <c r="N1773" s="22"/>
      <c r="O1773" s="21"/>
      <c r="P1773" s="22"/>
      <c r="Q1773" s="29" t="str">
        <f aca="false">IF(C1773="","",IF(O1773&lt;&gt;"",O1773,IFERROR(INDEX(Produk!$J$2:$J$100,MATCH(C1773,Produk!$A$2:$A$100,0)),"PRODUK?")))</f>
        <v/>
      </c>
      <c r="R1773" s="29" t="str">
        <f aca="false">IF(A1773="","",IF(COUNTIF(Anggota!$A$2:$A$2001,A1773)=0,"TIDAK ADA","OK"))</f>
        <v/>
      </c>
      <c r="S1773" s="29" t="str">
        <f aca="false">IF(H1773="","",IF(OR(J1773="",L1773=""),"-",IF(ABS(H1773-J1773*L1773)&gt;Info_Koperasi!$C$10,"SELISIH","OK")))</f>
        <v/>
      </c>
    </row>
    <row r="1774" customFormat="false" ht="15" hidden="false" customHeight="false" outlineLevel="0" collapsed="false">
      <c r="A1774" s="21"/>
      <c r="B1774" s="22"/>
      <c r="C1774" s="21"/>
      <c r="D1774" s="21"/>
      <c r="E1774" s="28"/>
      <c r="F1774" s="24"/>
      <c r="G1774" s="26"/>
      <c r="H1774" s="24"/>
      <c r="I1774" s="24"/>
      <c r="J1774" s="24"/>
      <c r="K1774" s="24"/>
      <c r="L1774" s="26"/>
      <c r="M1774" s="26"/>
      <c r="N1774" s="22"/>
      <c r="O1774" s="21"/>
      <c r="P1774" s="22"/>
      <c r="Q1774" s="29" t="str">
        <f aca="false">IF(C1774="","",IF(O1774&lt;&gt;"",O1774,IFERROR(INDEX(Produk!$J$2:$J$100,MATCH(C1774,Produk!$A$2:$A$100,0)),"PRODUK?")))</f>
        <v/>
      </c>
      <c r="R1774" s="29" t="str">
        <f aca="false">IF(A1774="","",IF(COUNTIF(Anggota!$A$2:$A$2001,A1774)=0,"TIDAK ADA","OK"))</f>
        <v/>
      </c>
      <c r="S1774" s="29" t="str">
        <f aca="false">IF(H1774="","",IF(OR(J1774="",L1774=""),"-",IF(ABS(H1774-J1774*L1774)&gt;Info_Koperasi!$C$10,"SELISIH","OK")))</f>
        <v/>
      </c>
    </row>
    <row r="1775" customFormat="false" ht="15" hidden="false" customHeight="false" outlineLevel="0" collapsed="false">
      <c r="A1775" s="21"/>
      <c r="B1775" s="22"/>
      <c r="C1775" s="21"/>
      <c r="D1775" s="21"/>
      <c r="E1775" s="28"/>
      <c r="F1775" s="24"/>
      <c r="G1775" s="26"/>
      <c r="H1775" s="24"/>
      <c r="I1775" s="24"/>
      <c r="J1775" s="24"/>
      <c r="K1775" s="24"/>
      <c r="L1775" s="26"/>
      <c r="M1775" s="26"/>
      <c r="N1775" s="22"/>
      <c r="O1775" s="21"/>
      <c r="P1775" s="22"/>
      <c r="Q1775" s="29" t="str">
        <f aca="false">IF(C1775="","",IF(O1775&lt;&gt;"",O1775,IFERROR(INDEX(Produk!$J$2:$J$100,MATCH(C1775,Produk!$A$2:$A$100,0)),"PRODUK?")))</f>
        <v/>
      </c>
      <c r="R1775" s="29" t="str">
        <f aca="false">IF(A1775="","",IF(COUNTIF(Anggota!$A$2:$A$2001,A1775)=0,"TIDAK ADA","OK"))</f>
        <v/>
      </c>
      <c r="S1775" s="29" t="str">
        <f aca="false">IF(H1775="","",IF(OR(J1775="",L1775=""),"-",IF(ABS(H1775-J1775*L1775)&gt;Info_Koperasi!$C$10,"SELISIH","OK")))</f>
        <v/>
      </c>
    </row>
    <row r="1776" customFormat="false" ht="15" hidden="false" customHeight="false" outlineLevel="0" collapsed="false">
      <c r="A1776" s="21"/>
      <c r="B1776" s="22"/>
      <c r="C1776" s="21"/>
      <c r="D1776" s="21"/>
      <c r="E1776" s="28"/>
      <c r="F1776" s="24"/>
      <c r="G1776" s="26"/>
      <c r="H1776" s="24"/>
      <c r="I1776" s="24"/>
      <c r="J1776" s="24"/>
      <c r="K1776" s="24"/>
      <c r="L1776" s="26"/>
      <c r="M1776" s="26"/>
      <c r="N1776" s="22"/>
      <c r="O1776" s="21"/>
      <c r="P1776" s="22"/>
      <c r="Q1776" s="29" t="str">
        <f aca="false">IF(C1776="","",IF(O1776&lt;&gt;"",O1776,IFERROR(INDEX(Produk!$J$2:$J$100,MATCH(C1776,Produk!$A$2:$A$100,0)),"PRODUK?")))</f>
        <v/>
      </c>
      <c r="R1776" s="29" t="str">
        <f aca="false">IF(A1776="","",IF(COUNTIF(Anggota!$A$2:$A$2001,A1776)=0,"TIDAK ADA","OK"))</f>
        <v/>
      </c>
      <c r="S1776" s="29" t="str">
        <f aca="false">IF(H1776="","",IF(OR(J1776="",L1776=""),"-",IF(ABS(H1776-J1776*L1776)&gt;Info_Koperasi!$C$10,"SELISIH","OK")))</f>
        <v/>
      </c>
    </row>
    <row r="1777" customFormat="false" ht="15" hidden="false" customHeight="false" outlineLevel="0" collapsed="false">
      <c r="A1777" s="21"/>
      <c r="B1777" s="22"/>
      <c r="C1777" s="21"/>
      <c r="D1777" s="21"/>
      <c r="E1777" s="28"/>
      <c r="F1777" s="24"/>
      <c r="G1777" s="26"/>
      <c r="H1777" s="24"/>
      <c r="I1777" s="24"/>
      <c r="J1777" s="24"/>
      <c r="K1777" s="24"/>
      <c r="L1777" s="26"/>
      <c r="M1777" s="26"/>
      <c r="N1777" s="22"/>
      <c r="O1777" s="21"/>
      <c r="P1777" s="22"/>
      <c r="Q1777" s="29" t="str">
        <f aca="false">IF(C1777="","",IF(O1777&lt;&gt;"",O1777,IFERROR(INDEX(Produk!$J$2:$J$100,MATCH(C1777,Produk!$A$2:$A$100,0)),"PRODUK?")))</f>
        <v/>
      </c>
      <c r="R1777" s="29" t="str">
        <f aca="false">IF(A1777="","",IF(COUNTIF(Anggota!$A$2:$A$2001,A1777)=0,"TIDAK ADA","OK"))</f>
        <v/>
      </c>
      <c r="S1777" s="29" t="str">
        <f aca="false">IF(H1777="","",IF(OR(J1777="",L1777=""),"-",IF(ABS(H1777-J1777*L1777)&gt;Info_Koperasi!$C$10,"SELISIH","OK")))</f>
        <v/>
      </c>
    </row>
    <row r="1778" customFormat="false" ht="15" hidden="false" customHeight="false" outlineLevel="0" collapsed="false">
      <c r="A1778" s="21"/>
      <c r="B1778" s="22"/>
      <c r="C1778" s="21"/>
      <c r="D1778" s="21"/>
      <c r="E1778" s="28"/>
      <c r="F1778" s="24"/>
      <c r="G1778" s="26"/>
      <c r="H1778" s="24"/>
      <c r="I1778" s="24"/>
      <c r="J1778" s="24"/>
      <c r="K1778" s="24"/>
      <c r="L1778" s="26"/>
      <c r="M1778" s="26"/>
      <c r="N1778" s="22"/>
      <c r="O1778" s="21"/>
      <c r="P1778" s="22"/>
      <c r="Q1778" s="29" t="str">
        <f aca="false">IF(C1778="","",IF(O1778&lt;&gt;"",O1778,IFERROR(INDEX(Produk!$J$2:$J$100,MATCH(C1778,Produk!$A$2:$A$100,0)),"PRODUK?")))</f>
        <v/>
      </c>
      <c r="R1778" s="29" t="str">
        <f aca="false">IF(A1778="","",IF(COUNTIF(Anggota!$A$2:$A$2001,A1778)=0,"TIDAK ADA","OK"))</f>
        <v/>
      </c>
      <c r="S1778" s="29" t="str">
        <f aca="false">IF(H1778="","",IF(OR(J1778="",L1778=""),"-",IF(ABS(H1778-J1778*L1778)&gt;Info_Koperasi!$C$10,"SELISIH","OK")))</f>
        <v/>
      </c>
    </row>
    <row r="1779" customFormat="false" ht="15" hidden="false" customHeight="false" outlineLevel="0" collapsed="false">
      <c r="A1779" s="21"/>
      <c r="B1779" s="22"/>
      <c r="C1779" s="21"/>
      <c r="D1779" s="21"/>
      <c r="E1779" s="28"/>
      <c r="F1779" s="24"/>
      <c r="G1779" s="26"/>
      <c r="H1779" s="24"/>
      <c r="I1779" s="24"/>
      <c r="J1779" s="24"/>
      <c r="K1779" s="24"/>
      <c r="L1779" s="26"/>
      <c r="M1779" s="26"/>
      <c r="N1779" s="22"/>
      <c r="O1779" s="21"/>
      <c r="P1779" s="22"/>
      <c r="Q1779" s="29" t="str">
        <f aca="false">IF(C1779="","",IF(O1779&lt;&gt;"",O1779,IFERROR(INDEX(Produk!$J$2:$J$100,MATCH(C1779,Produk!$A$2:$A$100,0)),"PRODUK?")))</f>
        <v/>
      </c>
      <c r="R1779" s="29" t="str">
        <f aca="false">IF(A1779="","",IF(COUNTIF(Anggota!$A$2:$A$2001,A1779)=0,"TIDAK ADA","OK"))</f>
        <v/>
      </c>
      <c r="S1779" s="29" t="str">
        <f aca="false">IF(H1779="","",IF(OR(J1779="",L1779=""),"-",IF(ABS(H1779-J1779*L1779)&gt;Info_Koperasi!$C$10,"SELISIH","OK")))</f>
        <v/>
      </c>
    </row>
    <row r="1780" customFormat="false" ht="15" hidden="false" customHeight="false" outlineLevel="0" collapsed="false">
      <c r="A1780" s="21"/>
      <c r="B1780" s="22"/>
      <c r="C1780" s="21"/>
      <c r="D1780" s="21"/>
      <c r="E1780" s="28"/>
      <c r="F1780" s="24"/>
      <c r="G1780" s="26"/>
      <c r="H1780" s="24"/>
      <c r="I1780" s="24"/>
      <c r="J1780" s="24"/>
      <c r="K1780" s="24"/>
      <c r="L1780" s="26"/>
      <c r="M1780" s="26"/>
      <c r="N1780" s="22"/>
      <c r="O1780" s="21"/>
      <c r="P1780" s="22"/>
      <c r="Q1780" s="29" t="str">
        <f aca="false">IF(C1780="","",IF(O1780&lt;&gt;"",O1780,IFERROR(INDEX(Produk!$J$2:$J$100,MATCH(C1780,Produk!$A$2:$A$100,0)),"PRODUK?")))</f>
        <v/>
      </c>
      <c r="R1780" s="29" t="str">
        <f aca="false">IF(A1780="","",IF(COUNTIF(Anggota!$A$2:$A$2001,A1780)=0,"TIDAK ADA","OK"))</f>
        <v/>
      </c>
      <c r="S1780" s="29" t="str">
        <f aca="false">IF(H1780="","",IF(OR(J1780="",L1780=""),"-",IF(ABS(H1780-J1780*L1780)&gt;Info_Koperasi!$C$10,"SELISIH","OK")))</f>
        <v/>
      </c>
    </row>
    <row r="1781" customFormat="false" ht="15" hidden="false" customHeight="false" outlineLevel="0" collapsed="false">
      <c r="A1781" s="21"/>
      <c r="B1781" s="22"/>
      <c r="C1781" s="21"/>
      <c r="D1781" s="21"/>
      <c r="E1781" s="28"/>
      <c r="F1781" s="24"/>
      <c r="G1781" s="26"/>
      <c r="H1781" s="24"/>
      <c r="I1781" s="24"/>
      <c r="J1781" s="24"/>
      <c r="K1781" s="24"/>
      <c r="L1781" s="26"/>
      <c r="M1781" s="26"/>
      <c r="N1781" s="22"/>
      <c r="O1781" s="21"/>
      <c r="P1781" s="22"/>
      <c r="Q1781" s="29" t="str">
        <f aca="false">IF(C1781="","",IF(O1781&lt;&gt;"",O1781,IFERROR(INDEX(Produk!$J$2:$J$100,MATCH(C1781,Produk!$A$2:$A$100,0)),"PRODUK?")))</f>
        <v/>
      </c>
      <c r="R1781" s="29" t="str">
        <f aca="false">IF(A1781="","",IF(COUNTIF(Anggota!$A$2:$A$2001,A1781)=0,"TIDAK ADA","OK"))</f>
        <v/>
      </c>
      <c r="S1781" s="29" t="str">
        <f aca="false">IF(H1781="","",IF(OR(J1781="",L1781=""),"-",IF(ABS(H1781-J1781*L1781)&gt;Info_Koperasi!$C$10,"SELISIH","OK")))</f>
        <v/>
      </c>
    </row>
    <row r="1782" customFormat="false" ht="15" hidden="false" customHeight="false" outlineLevel="0" collapsed="false">
      <c r="A1782" s="21"/>
      <c r="B1782" s="22"/>
      <c r="C1782" s="21"/>
      <c r="D1782" s="21"/>
      <c r="E1782" s="28"/>
      <c r="F1782" s="24"/>
      <c r="G1782" s="26"/>
      <c r="H1782" s="24"/>
      <c r="I1782" s="24"/>
      <c r="J1782" s="24"/>
      <c r="K1782" s="24"/>
      <c r="L1782" s="26"/>
      <c r="M1782" s="26"/>
      <c r="N1782" s="22"/>
      <c r="O1782" s="21"/>
      <c r="P1782" s="22"/>
      <c r="Q1782" s="29" t="str">
        <f aca="false">IF(C1782="","",IF(O1782&lt;&gt;"",O1782,IFERROR(INDEX(Produk!$J$2:$J$100,MATCH(C1782,Produk!$A$2:$A$100,0)),"PRODUK?")))</f>
        <v/>
      </c>
      <c r="R1782" s="29" t="str">
        <f aca="false">IF(A1782="","",IF(COUNTIF(Anggota!$A$2:$A$2001,A1782)=0,"TIDAK ADA","OK"))</f>
        <v/>
      </c>
      <c r="S1782" s="29" t="str">
        <f aca="false">IF(H1782="","",IF(OR(J1782="",L1782=""),"-",IF(ABS(H1782-J1782*L1782)&gt;Info_Koperasi!$C$10,"SELISIH","OK")))</f>
        <v/>
      </c>
    </row>
    <row r="1783" customFormat="false" ht="15" hidden="false" customHeight="false" outlineLevel="0" collapsed="false">
      <c r="A1783" s="21"/>
      <c r="B1783" s="22"/>
      <c r="C1783" s="21"/>
      <c r="D1783" s="21"/>
      <c r="E1783" s="28"/>
      <c r="F1783" s="24"/>
      <c r="G1783" s="26"/>
      <c r="H1783" s="24"/>
      <c r="I1783" s="24"/>
      <c r="J1783" s="24"/>
      <c r="K1783" s="24"/>
      <c r="L1783" s="26"/>
      <c r="M1783" s="26"/>
      <c r="N1783" s="22"/>
      <c r="O1783" s="21"/>
      <c r="P1783" s="22"/>
      <c r="Q1783" s="29" t="str">
        <f aca="false">IF(C1783="","",IF(O1783&lt;&gt;"",O1783,IFERROR(INDEX(Produk!$J$2:$J$100,MATCH(C1783,Produk!$A$2:$A$100,0)),"PRODUK?")))</f>
        <v/>
      </c>
      <c r="R1783" s="29" t="str">
        <f aca="false">IF(A1783="","",IF(COUNTIF(Anggota!$A$2:$A$2001,A1783)=0,"TIDAK ADA","OK"))</f>
        <v/>
      </c>
      <c r="S1783" s="29" t="str">
        <f aca="false">IF(H1783="","",IF(OR(J1783="",L1783=""),"-",IF(ABS(H1783-J1783*L1783)&gt;Info_Koperasi!$C$10,"SELISIH","OK")))</f>
        <v/>
      </c>
    </row>
    <row r="1784" customFormat="false" ht="15" hidden="false" customHeight="false" outlineLevel="0" collapsed="false">
      <c r="A1784" s="21"/>
      <c r="B1784" s="22"/>
      <c r="C1784" s="21"/>
      <c r="D1784" s="21"/>
      <c r="E1784" s="28"/>
      <c r="F1784" s="24"/>
      <c r="G1784" s="26"/>
      <c r="H1784" s="24"/>
      <c r="I1784" s="24"/>
      <c r="J1784" s="24"/>
      <c r="K1784" s="24"/>
      <c r="L1784" s="26"/>
      <c r="M1784" s="26"/>
      <c r="N1784" s="22"/>
      <c r="O1784" s="21"/>
      <c r="P1784" s="22"/>
      <c r="Q1784" s="29" t="str">
        <f aca="false">IF(C1784="","",IF(O1784&lt;&gt;"",O1784,IFERROR(INDEX(Produk!$J$2:$J$100,MATCH(C1784,Produk!$A$2:$A$100,0)),"PRODUK?")))</f>
        <v/>
      </c>
      <c r="R1784" s="29" t="str">
        <f aca="false">IF(A1784="","",IF(COUNTIF(Anggota!$A$2:$A$2001,A1784)=0,"TIDAK ADA","OK"))</f>
        <v/>
      </c>
      <c r="S1784" s="29" t="str">
        <f aca="false">IF(H1784="","",IF(OR(J1784="",L1784=""),"-",IF(ABS(H1784-J1784*L1784)&gt;Info_Koperasi!$C$10,"SELISIH","OK")))</f>
        <v/>
      </c>
    </row>
    <row r="1785" customFormat="false" ht="15" hidden="false" customHeight="false" outlineLevel="0" collapsed="false">
      <c r="A1785" s="21"/>
      <c r="B1785" s="22"/>
      <c r="C1785" s="21"/>
      <c r="D1785" s="21"/>
      <c r="E1785" s="28"/>
      <c r="F1785" s="24"/>
      <c r="G1785" s="26"/>
      <c r="H1785" s="24"/>
      <c r="I1785" s="24"/>
      <c r="J1785" s="24"/>
      <c r="K1785" s="24"/>
      <c r="L1785" s="26"/>
      <c r="M1785" s="26"/>
      <c r="N1785" s="22"/>
      <c r="O1785" s="21"/>
      <c r="P1785" s="22"/>
      <c r="Q1785" s="29" t="str">
        <f aca="false">IF(C1785="","",IF(O1785&lt;&gt;"",O1785,IFERROR(INDEX(Produk!$J$2:$J$100,MATCH(C1785,Produk!$A$2:$A$100,0)),"PRODUK?")))</f>
        <v/>
      </c>
      <c r="R1785" s="29" t="str">
        <f aca="false">IF(A1785="","",IF(COUNTIF(Anggota!$A$2:$A$2001,A1785)=0,"TIDAK ADA","OK"))</f>
        <v/>
      </c>
      <c r="S1785" s="29" t="str">
        <f aca="false">IF(H1785="","",IF(OR(J1785="",L1785=""),"-",IF(ABS(H1785-J1785*L1785)&gt;Info_Koperasi!$C$10,"SELISIH","OK")))</f>
        <v/>
      </c>
    </row>
    <row r="1786" customFormat="false" ht="15" hidden="false" customHeight="false" outlineLevel="0" collapsed="false">
      <c r="A1786" s="21"/>
      <c r="B1786" s="22"/>
      <c r="C1786" s="21"/>
      <c r="D1786" s="21"/>
      <c r="E1786" s="28"/>
      <c r="F1786" s="24"/>
      <c r="G1786" s="26"/>
      <c r="H1786" s="24"/>
      <c r="I1786" s="24"/>
      <c r="J1786" s="24"/>
      <c r="K1786" s="24"/>
      <c r="L1786" s="26"/>
      <c r="M1786" s="26"/>
      <c r="N1786" s="22"/>
      <c r="O1786" s="21"/>
      <c r="P1786" s="22"/>
      <c r="Q1786" s="29" t="str">
        <f aca="false">IF(C1786="","",IF(O1786&lt;&gt;"",O1786,IFERROR(INDEX(Produk!$J$2:$J$100,MATCH(C1786,Produk!$A$2:$A$100,0)),"PRODUK?")))</f>
        <v/>
      </c>
      <c r="R1786" s="29" t="str">
        <f aca="false">IF(A1786="","",IF(COUNTIF(Anggota!$A$2:$A$2001,A1786)=0,"TIDAK ADA","OK"))</f>
        <v/>
      </c>
      <c r="S1786" s="29" t="str">
        <f aca="false">IF(H1786="","",IF(OR(J1786="",L1786=""),"-",IF(ABS(H1786-J1786*L1786)&gt;Info_Koperasi!$C$10,"SELISIH","OK")))</f>
        <v/>
      </c>
    </row>
    <row r="1787" customFormat="false" ht="15" hidden="false" customHeight="false" outlineLevel="0" collapsed="false">
      <c r="A1787" s="21"/>
      <c r="B1787" s="22"/>
      <c r="C1787" s="21"/>
      <c r="D1787" s="21"/>
      <c r="E1787" s="28"/>
      <c r="F1787" s="24"/>
      <c r="G1787" s="26"/>
      <c r="H1787" s="24"/>
      <c r="I1787" s="24"/>
      <c r="J1787" s="24"/>
      <c r="K1787" s="24"/>
      <c r="L1787" s="26"/>
      <c r="M1787" s="26"/>
      <c r="N1787" s="22"/>
      <c r="O1787" s="21"/>
      <c r="P1787" s="22"/>
      <c r="Q1787" s="29" t="str">
        <f aca="false">IF(C1787="","",IF(O1787&lt;&gt;"",O1787,IFERROR(INDEX(Produk!$J$2:$J$100,MATCH(C1787,Produk!$A$2:$A$100,0)),"PRODUK?")))</f>
        <v/>
      </c>
      <c r="R1787" s="29" t="str">
        <f aca="false">IF(A1787="","",IF(COUNTIF(Anggota!$A$2:$A$2001,A1787)=0,"TIDAK ADA","OK"))</f>
        <v/>
      </c>
      <c r="S1787" s="29" t="str">
        <f aca="false">IF(H1787="","",IF(OR(J1787="",L1787=""),"-",IF(ABS(H1787-J1787*L1787)&gt;Info_Koperasi!$C$10,"SELISIH","OK")))</f>
        <v/>
      </c>
    </row>
    <row r="1788" customFormat="false" ht="15" hidden="false" customHeight="false" outlineLevel="0" collapsed="false">
      <c r="A1788" s="21"/>
      <c r="B1788" s="22"/>
      <c r="C1788" s="21"/>
      <c r="D1788" s="21"/>
      <c r="E1788" s="28"/>
      <c r="F1788" s="24"/>
      <c r="G1788" s="26"/>
      <c r="H1788" s="24"/>
      <c r="I1788" s="24"/>
      <c r="J1788" s="24"/>
      <c r="K1788" s="24"/>
      <c r="L1788" s="26"/>
      <c r="M1788" s="26"/>
      <c r="N1788" s="22"/>
      <c r="O1788" s="21"/>
      <c r="P1788" s="22"/>
      <c r="Q1788" s="29" t="str">
        <f aca="false">IF(C1788="","",IF(O1788&lt;&gt;"",O1788,IFERROR(INDEX(Produk!$J$2:$J$100,MATCH(C1788,Produk!$A$2:$A$100,0)),"PRODUK?")))</f>
        <v/>
      </c>
      <c r="R1788" s="29" t="str">
        <f aca="false">IF(A1788="","",IF(COUNTIF(Anggota!$A$2:$A$2001,A1788)=0,"TIDAK ADA","OK"))</f>
        <v/>
      </c>
      <c r="S1788" s="29" t="str">
        <f aca="false">IF(H1788="","",IF(OR(J1788="",L1788=""),"-",IF(ABS(H1788-J1788*L1788)&gt;Info_Koperasi!$C$10,"SELISIH","OK")))</f>
        <v/>
      </c>
    </row>
    <row r="1789" customFormat="false" ht="15" hidden="false" customHeight="false" outlineLevel="0" collapsed="false">
      <c r="A1789" s="21"/>
      <c r="B1789" s="22"/>
      <c r="C1789" s="21"/>
      <c r="D1789" s="21"/>
      <c r="E1789" s="28"/>
      <c r="F1789" s="24"/>
      <c r="G1789" s="26"/>
      <c r="H1789" s="24"/>
      <c r="I1789" s="24"/>
      <c r="J1789" s="24"/>
      <c r="K1789" s="24"/>
      <c r="L1789" s="26"/>
      <c r="M1789" s="26"/>
      <c r="N1789" s="22"/>
      <c r="O1789" s="21"/>
      <c r="P1789" s="22"/>
      <c r="Q1789" s="29" t="str">
        <f aca="false">IF(C1789="","",IF(O1789&lt;&gt;"",O1789,IFERROR(INDEX(Produk!$J$2:$J$100,MATCH(C1789,Produk!$A$2:$A$100,0)),"PRODUK?")))</f>
        <v/>
      </c>
      <c r="R1789" s="29" t="str">
        <f aca="false">IF(A1789="","",IF(COUNTIF(Anggota!$A$2:$A$2001,A1789)=0,"TIDAK ADA","OK"))</f>
        <v/>
      </c>
      <c r="S1789" s="29" t="str">
        <f aca="false">IF(H1789="","",IF(OR(J1789="",L1789=""),"-",IF(ABS(H1789-J1789*L1789)&gt;Info_Koperasi!$C$10,"SELISIH","OK")))</f>
        <v/>
      </c>
    </row>
    <row r="1790" customFormat="false" ht="15" hidden="false" customHeight="false" outlineLevel="0" collapsed="false">
      <c r="A1790" s="21"/>
      <c r="B1790" s="22"/>
      <c r="C1790" s="21"/>
      <c r="D1790" s="21"/>
      <c r="E1790" s="28"/>
      <c r="F1790" s="24"/>
      <c r="G1790" s="26"/>
      <c r="H1790" s="24"/>
      <c r="I1790" s="24"/>
      <c r="J1790" s="24"/>
      <c r="K1790" s="24"/>
      <c r="L1790" s="26"/>
      <c r="M1790" s="26"/>
      <c r="N1790" s="22"/>
      <c r="O1790" s="21"/>
      <c r="P1790" s="22"/>
      <c r="Q1790" s="29" t="str">
        <f aca="false">IF(C1790="","",IF(O1790&lt;&gt;"",O1790,IFERROR(INDEX(Produk!$J$2:$J$100,MATCH(C1790,Produk!$A$2:$A$100,0)),"PRODUK?")))</f>
        <v/>
      </c>
      <c r="R1790" s="29" t="str">
        <f aca="false">IF(A1790="","",IF(COUNTIF(Anggota!$A$2:$A$2001,A1790)=0,"TIDAK ADA","OK"))</f>
        <v/>
      </c>
      <c r="S1790" s="29" t="str">
        <f aca="false">IF(H1790="","",IF(OR(J1790="",L1790=""),"-",IF(ABS(H1790-J1790*L1790)&gt;Info_Koperasi!$C$10,"SELISIH","OK")))</f>
        <v/>
      </c>
    </row>
    <row r="1791" customFormat="false" ht="15" hidden="false" customHeight="false" outlineLevel="0" collapsed="false">
      <c r="A1791" s="21"/>
      <c r="B1791" s="22"/>
      <c r="C1791" s="21"/>
      <c r="D1791" s="21"/>
      <c r="E1791" s="28"/>
      <c r="F1791" s="24"/>
      <c r="G1791" s="26"/>
      <c r="H1791" s="24"/>
      <c r="I1791" s="24"/>
      <c r="J1791" s="24"/>
      <c r="K1791" s="24"/>
      <c r="L1791" s="26"/>
      <c r="M1791" s="26"/>
      <c r="N1791" s="22"/>
      <c r="O1791" s="21"/>
      <c r="P1791" s="22"/>
      <c r="Q1791" s="29" t="str">
        <f aca="false">IF(C1791="","",IF(O1791&lt;&gt;"",O1791,IFERROR(INDEX(Produk!$J$2:$J$100,MATCH(C1791,Produk!$A$2:$A$100,0)),"PRODUK?")))</f>
        <v/>
      </c>
      <c r="R1791" s="29" t="str">
        <f aca="false">IF(A1791="","",IF(COUNTIF(Anggota!$A$2:$A$2001,A1791)=0,"TIDAK ADA","OK"))</f>
        <v/>
      </c>
      <c r="S1791" s="29" t="str">
        <f aca="false">IF(H1791="","",IF(OR(J1791="",L1791=""),"-",IF(ABS(H1791-J1791*L1791)&gt;Info_Koperasi!$C$10,"SELISIH","OK")))</f>
        <v/>
      </c>
    </row>
    <row r="1792" customFormat="false" ht="15" hidden="false" customHeight="false" outlineLevel="0" collapsed="false">
      <c r="A1792" s="21"/>
      <c r="B1792" s="22"/>
      <c r="C1792" s="21"/>
      <c r="D1792" s="21"/>
      <c r="E1792" s="28"/>
      <c r="F1792" s="24"/>
      <c r="G1792" s="26"/>
      <c r="H1792" s="24"/>
      <c r="I1792" s="24"/>
      <c r="J1792" s="24"/>
      <c r="K1792" s="24"/>
      <c r="L1792" s="26"/>
      <c r="M1792" s="26"/>
      <c r="N1792" s="22"/>
      <c r="O1792" s="21"/>
      <c r="P1792" s="22"/>
      <c r="Q1792" s="29" t="str">
        <f aca="false">IF(C1792="","",IF(O1792&lt;&gt;"",O1792,IFERROR(INDEX(Produk!$J$2:$J$100,MATCH(C1792,Produk!$A$2:$A$100,0)),"PRODUK?")))</f>
        <v/>
      </c>
      <c r="R1792" s="29" t="str">
        <f aca="false">IF(A1792="","",IF(COUNTIF(Anggota!$A$2:$A$2001,A1792)=0,"TIDAK ADA","OK"))</f>
        <v/>
      </c>
      <c r="S1792" s="29" t="str">
        <f aca="false">IF(H1792="","",IF(OR(J1792="",L1792=""),"-",IF(ABS(H1792-J1792*L1792)&gt;Info_Koperasi!$C$10,"SELISIH","OK")))</f>
        <v/>
      </c>
    </row>
    <row r="1793" customFormat="false" ht="15" hidden="false" customHeight="false" outlineLevel="0" collapsed="false">
      <c r="A1793" s="21"/>
      <c r="B1793" s="22"/>
      <c r="C1793" s="21"/>
      <c r="D1793" s="21"/>
      <c r="E1793" s="28"/>
      <c r="F1793" s="24"/>
      <c r="G1793" s="26"/>
      <c r="H1793" s="24"/>
      <c r="I1793" s="24"/>
      <c r="J1793" s="24"/>
      <c r="K1793" s="24"/>
      <c r="L1793" s="26"/>
      <c r="M1793" s="26"/>
      <c r="N1793" s="22"/>
      <c r="O1793" s="21"/>
      <c r="P1793" s="22"/>
      <c r="Q1793" s="29" t="str">
        <f aca="false">IF(C1793="","",IF(O1793&lt;&gt;"",O1793,IFERROR(INDEX(Produk!$J$2:$J$100,MATCH(C1793,Produk!$A$2:$A$100,0)),"PRODUK?")))</f>
        <v/>
      </c>
      <c r="R1793" s="29" t="str">
        <f aca="false">IF(A1793="","",IF(COUNTIF(Anggota!$A$2:$A$2001,A1793)=0,"TIDAK ADA","OK"))</f>
        <v/>
      </c>
      <c r="S1793" s="29" t="str">
        <f aca="false">IF(H1793="","",IF(OR(J1793="",L1793=""),"-",IF(ABS(H1793-J1793*L1793)&gt;Info_Koperasi!$C$10,"SELISIH","OK")))</f>
        <v/>
      </c>
    </row>
    <row r="1794" customFormat="false" ht="15" hidden="false" customHeight="false" outlineLevel="0" collapsed="false">
      <c r="A1794" s="21"/>
      <c r="B1794" s="22"/>
      <c r="C1794" s="21"/>
      <c r="D1794" s="21"/>
      <c r="E1794" s="28"/>
      <c r="F1794" s="24"/>
      <c r="G1794" s="26"/>
      <c r="H1794" s="24"/>
      <c r="I1794" s="24"/>
      <c r="J1794" s="24"/>
      <c r="K1794" s="24"/>
      <c r="L1794" s="26"/>
      <c r="M1794" s="26"/>
      <c r="N1794" s="22"/>
      <c r="O1794" s="21"/>
      <c r="P1794" s="22"/>
      <c r="Q1794" s="29" t="str">
        <f aca="false">IF(C1794="","",IF(O1794&lt;&gt;"",O1794,IFERROR(INDEX(Produk!$J$2:$J$100,MATCH(C1794,Produk!$A$2:$A$100,0)),"PRODUK?")))</f>
        <v/>
      </c>
      <c r="R1794" s="29" t="str">
        <f aca="false">IF(A1794="","",IF(COUNTIF(Anggota!$A$2:$A$2001,A1794)=0,"TIDAK ADA","OK"))</f>
        <v/>
      </c>
      <c r="S1794" s="29" t="str">
        <f aca="false">IF(H1794="","",IF(OR(J1794="",L1794=""),"-",IF(ABS(H1794-J1794*L1794)&gt;Info_Koperasi!$C$10,"SELISIH","OK")))</f>
        <v/>
      </c>
    </row>
    <row r="1795" customFormat="false" ht="15" hidden="false" customHeight="false" outlineLevel="0" collapsed="false">
      <c r="A1795" s="21"/>
      <c r="B1795" s="22"/>
      <c r="C1795" s="21"/>
      <c r="D1795" s="21"/>
      <c r="E1795" s="28"/>
      <c r="F1795" s="24"/>
      <c r="G1795" s="26"/>
      <c r="H1795" s="24"/>
      <c r="I1795" s="24"/>
      <c r="J1795" s="24"/>
      <c r="K1795" s="24"/>
      <c r="L1795" s="26"/>
      <c r="M1795" s="26"/>
      <c r="N1795" s="22"/>
      <c r="O1795" s="21"/>
      <c r="P1795" s="22"/>
      <c r="Q1795" s="29" t="str">
        <f aca="false">IF(C1795="","",IF(O1795&lt;&gt;"",O1795,IFERROR(INDEX(Produk!$J$2:$J$100,MATCH(C1795,Produk!$A$2:$A$100,0)),"PRODUK?")))</f>
        <v/>
      </c>
      <c r="R1795" s="29" t="str">
        <f aca="false">IF(A1795="","",IF(COUNTIF(Anggota!$A$2:$A$2001,A1795)=0,"TIDAK ADA","OK"))</f>
        <v/>
      </c>
      <c r="S1795" s="29" t="str">
        <f aca="false">IF(H1795="","",IF(OR(J1795="",L1795=""),"-",IF(ABS(H1795-J1795*L1795)&gt;Info_Koperasi!$C$10,"SELISIH","OK")))</f>
        <v/>
      </c>
    </row>
    <row r="1796" customFormat="false" ht="15" hidden="false" customHeight="false" outlineLevel="0" collapsed="false">
      <c r="A1796" s="21"/>
      <c r="B1796" s="22"/>
      <c r="C1796" s="21"/>
      <c r="D1796" s="21"/>
      <c r="E1796" s="28"/>
      <c r="F1796" s="24"/>
      <c r="G1796" s="26"/>
      <c r="H1796" s="24"/>
      <c r="I1796" s="24"/>
      <c r="J1796" s="24"/>
      <c r="K1796" s="24"/>
      <c r="L1796" s="26"/>
      <c r="M1796" s="26"/>
      <c r="N1796" s="22"/>
      <c r="O1796" s="21"/>
      <c r="P1796" s="22"/>
      <c r="Q1796" s="29" t="str">
        <f aca="false">IF(C1796="","",IF(O1796&lt;&gt;"",O1796,IFERROR(INDEX(Produk!$J$2:$J$100,MATCH(C1796,Produk!$A$2:$A$100,0)),"PRODUK?")))</f>
        <v/>
      </c>
      <c r="R1796" s="29" t="str">
        <f aca="false">IF(A1796="","",IF(COUNTIF(Anggota!$A$2:$A$2001,A1796)=0,"TIDAK ADA","OK"))</f>
        <v/>
      </c>
      <c r="S1796" s="29" t="str">
        <f aca="false">IF(H1796="","",IF(OR(J1796="",L1796=""),"-",IF(ABS(H1796-J1796*L1796)&gt;Info_Koperasi!$C$10,"SELISIH","OK")))</f>
        <v/>
      </c>
    </row>
    <row r="1797" customFormat="false" ht="15" hidden="false" customHeight="false" outlineLevel="0" collapsed="false">
      <c r="A1797" s="21"/>
      <c r="B1797" s="22"/>
      <c r="C1797" s="21"/>
      <c r="D1797" s="21"/>
      <c r="E1797" s="28"/>
      <c r="F1797" s="24"/>
      <c r="G1797" s="26"/>
      <c r="H1797" s="24"/>
      <c r="I1797" s="24"/>
      <c r="J1797" s="24"/>
      <c r="K1797" s="24"/>
      <c r="L1797" s="26"/>
      <c r="M1797" s="26"/>
      <c r="N1797" s="22"/>
      <c r="O1797" s="21"/>
      <c r="P1797" s="22"/>
      <c r="Q1797" s="29" t="str">
        <f aca="false">IF(C1797="","",IF(O1797&lt;&gt;"",O1797,IFERROR(INDEX(Produk!$J$2:$J$100,MATCH(C1797,Produk!$A$2:$A$100,0)),"PRODUK?")))</f>
        <v/>
      </c>
      <c r="R1797" s="29" t="str">
        <f aca="false">IF(A1797="","",IF(COUNTIF(Anggota!$A$2:$A$2001,A1797)=0,"TIDAK ADA","OK"))</f>
        <v/>
      </c>
      <c r="S1797" s="29" t="str">
        <f aca="false">IF(H1797="","",IF(OR(J1797="",L1797=""),"-",IF(ABS(H1797-J1797*L1797)&gt;Info_Koperasi!$C$10,"SELISIH","OK")))</f>
        <v/>
      </c>
    </row>
    <row r="1798" customFormat="false" ht="15" hidden="false" customHeight="false" outlineLevel="0" collapsed="false">
      <c r="A1798" s="21"/>
      <c r="B1798" s="22"/>
      <c r="C1798" s="21"/>
      <c r="D1798" s="21"/>
      <c r="E1798" s="28"/>
      <c r="F1798" s="24"/>
      <c r="G1798" s="26"/>
      <c r="H1798" s="24"/>
      <c r="I1798" s="24"/>
      <c r="J1798" s="24"/>
      <c r="K1798" s="24"/>
      <c r="L1798" s="26"/>
      <c r="M1798" s="26"/>
      <c r="N1798" s="22"/>
      <c r="O1798" s="21"/>
      <c r="P1798" s="22"/>
      <c r="Q1798" s="29" t="str">
        <f aca="false">IF(C1798="","",IF(O1798&lt;&gt;"",O1798,IFERROR(INDEX(Produk!$J$2:$J$100,MATCH(C1798,Produk!$A$2:$A$100,0)),"PRODUK?")))</f>
        <v/>
      </c>
      <c r="R1798" s="29" t="str">
        <f aca="false">IF(A1798="","",IF(COUNTIF(Anggota!$A$2:$A$2001,A1798)=0,"TIDAK ADA","OK"))</f>
        <v/>
      </c>
      <c r="S1798" s="29" t="str">
        <f aca="false">IF(H1798="","",IF(OR(J1798="",L1798=""),"-",IF(ABS(H1798-J1798*L1798)&gt;Info_Koperasi!$C$10,"SELISIH","OK")))</f>
        <v/>
      </c>
    </row>
    <row r="1799" customFormat="false" ht="15" hidden="false" customHeight="false" outlineLevel="0" collapsed="false">
      <c r="A1799" s="21"/>
      <c r="B1799" s="22"/>
      <c r="C1799" s="21"/>
      <c r="D1799" s="21"/>
      <c r="E1799" s="28"/>
      <c r="F1799" s="24"/>
      <c r="G1799" s="26"/>
      <c r="H1799" s="24"/>
      <c r="I1799" s="24"/>
      <c r="J1799" s="24"/>
      <c r="K1799" s="24"/>
      <c r="L1799" s="26"/>
      <c r="M1799" s="26"/>
      <c r="N1799" s="22"/>
      <c r="O1799" s="21"/>
      <c r="P1799" s="22"/>
      <c r="Q1799" s="29" t="str">
        <f aca="false">IF(C1799="","",IF(O1799&lt;&gt;"",O1799,IFERROR(INDEX(Produk!$J$2:$J$100,MATCH(C1799,Produk!$A$2:$A$100,0)),"PRODUK?")))</f>
        <v/>
      </c>
      <c r="R1799" s="29" t="str">
        <f aca="false">IF(A1799="","",IF(COUNTIF(Anggota!$A$2:$A$2001,A1799)=0,"TIDAK ADA","OK"))</f>
        <v/>
      </c>
      <c r="S1799" s="29" t="str">
        <f aca="false">IF(H1799="","",IF(OR(J1799="",L1799=""),"-",IF(ABS(H1799-J1799*L1799)&gt;Info_Koperasi!$C$10,"SELISIH","OK")))</f>
        <v/>
      </c>
    </row>
    <row r="1800" customFormat="false" ht="15" hidden="false" customHeight="false" outlineLevel="0" collapsed="false">
      <c r="A1800" s="21"/>
      <c r="B1800" s="22"/>
      <c r="C1800" s="21"/>
      <c r="D1800" s="21"/>
      <c r="E1800" s="28"/>
      <c r="F1800" s="24"/>
      <c r="G1800" s="26"/>
      <c r="H1800" s="24"/>
      <c r="I1800" s="24"/>
      <c r="J1800" s="24"/>
      <c r="K1800" s="24"/>
      <c r="L1800" s="26"/>
      <c r="M1800" s="26"/>
      <c r="N1800" s="22"/>
      <c r="O1800" s="21"/>
      <c r="P1800" s="22"/>
      <c r="Q1800" s="29" t="str">
        <f aca="false">IF(C1800="","",IF(O1800&lt;&gt;"",O1800,IFERROR(INDEX(Produk!$J$2:$J$100,MATCH(C1800,Produk!$A$2:$A$100,0)),"PRODUK?")))</f>
        <v/>
      </c>
      <c r="R1800" s="29" t="str">
        <f aca="false">IF(A1800="","",IF(COUNTIF(Anggota!$A$2:$A$2001,A1800)=0,"TIDAK ADA","OK"))</f>
        <v/>
      </c>
      <c r="S1800" s="29" t="str">
        <f aca="false">IF(H1800="","",IF(OR(J1800="",L1800=""),"-",IF(ABS(H1800-J1800*L1800)&gt;Info_Koperasi!$C$10,"SELISIH","OK")))</f>
        <v/>
      </c>
    </row>
    <row r="1801" customFormat="false" ht="15" hidden="false" customHeight="false" outlineLevel="0" collapsed="false">
      <c r="A1801" s="21"/>
      <c r="B1801" s="22"/>
      <c r="C1801" s="21"/>
      <c r="D1801" s="21"/>
      <c r="E1801" s="28"/>
      <c r="F1801" s="24"/>
      <c r="G1801" s="26"/>
      <c r="H1801" s="24"/>
      <c r="I1801" s="24"/>
      <c r="J1801" s="24"/>
      <c r="K1801" s="24"/>
      <c r="L1801" s="26"/>
      <c r="M1801" s="26"/>
      <c r="N1801" s="22"/>
      <c r="O1801" s="21"/>
      <c r="P1801" s="22"/>
      <c r="Q1801" s="29" t="str">
        <f aca="false">IF(C1801="","",IF(O1801&lt;&gt;"",O1801,IFERROR(INDEX(Produk!$J$2:$J$100,MATCH(C1801,Produk!$A$2:$A$100,0)),"PRODUK?")))</f>
        <v/>
      </c>
      <c r="R1801" s="29" t="str">
        <f aca="false">IF(A1801="","",IF(COUNTIF(Anggota!$A$2:$A$2001,A1801)=0,"TIDAK ADA","OK"))</f>
        <v/>
      </c>
      <c r="S1801" s="29" t="str">
        <f aca="false">IF(H1801="","",IF(OR(J1801="",L1801=""),"-",IF(ABS(H1801-J1801*L1801)&gt;Info_Koperasi!$C$10,"SELISIH","OK")))</f>
        <v/>
      </c>
    </row>
    <row r="1802" customFormat="false" ht="15" hidden="false" customHeight="false" outlineLevel="0" collapsed="false">
      <c r="A1802" s="21"/>
      <c r="B1802" s="22"/>
      <c r="C1802" s="21"/>
      <c r="D1802" s="21"/>
      <c r="E1802" s="28"/>
      <c r="F1802" s="24"/>
      <c r="G1802" s="26"/>
      <c r="H1802" s="24"/>
      <c r="I1802" s="24"/>
      <c r="J1802" s="24"/>
      <c r="K1802" s="24"/>
      <c r="L1802" s="26"/>
      <c r="M1802" s="26"/>
      <c r="N1802" s="22"/>
      <c r="O1802" s="21"/>
      <c r="P1802" s="22"/>
      <c r="Q1802" s="29" t="str">
        <f aca="false">IF(C1802="","",IF(O1802&lt;&gt;"",O1802,IFERROR(INDEX(Produk!$J$2:$J$100,MATCH(C1802,Produk!$A$2:$A$100,0)),"PRODUK?")))</f>
        <v/>
      </c>
      <c r="R1802" s="29" t="str">
        <f aca="false">IF(A1802="","",IF(COUNTIF(Anggota!$A$2:$A$2001,A1802)=0,"TIDAK ADA","OK"))</f>
        <v/>
      </c>
      <c r="S1802" s="29" t="str">
        <f aca="false">IF(H1802="","",IF(OR(J1802="",L1802=""),"-",IF(ABS(H1802-J1802*L1802)&gt;Info_Koperasi!$C$10,"SELISIH","OK")))</f>
        <v/>
      </c>
    </row>
    <row r="1803" customFormat="false" ht="15" hidden="false" customHeight="false" outlineLevel="0" collapsed="false">
      <c r="A1803" s="21"/>
      <c r="B1803" s="22"/>
      <c r="C1803" s="21"/>
      <c r="D1803" s="21"/>
      <c r="E1803" s="28"/>
      <c r="F1803" s="24"/>
      <c r="G1803" s="26"/>
      <c r="H1803" s="24"/>
      <c r="I1803" s="24"/>
      <c r="J1803" s="24"/>
      <c r="K1803" s="24"/>
      <c r="L1803" s="26"/>
      <c r="M1803" s="26"/>
      <c r="N1803" s="22"/>
      <c r="O1803" s="21"/>
      <c r="P1803" s="22"/>
      <c r="Q1803" s="29" t="str">
        <f aca="false">IF(C1803="","",IF(O1803&lt;&gt;"",O1803,IFERROR(INDEX(Produk!$J$2:$J$100,MATCH(C1803,Produk!$A$2:$A$100,0)),"PRODUK?")))</f>
        <v/>
      </c>
      <c r="R1803" s="29" t="str">
        <f aca="false">IF(A1803="","",IF(COUNTIF(Anggota!$A$2:$A$2001,A1803)=0,"TIDAK ADA","OK"))</f>
        <v/>
      </c>
      <c r="S1803" s="29" t="str">
        <f aca="false">IF(H1803="","",IF(OR(J1803="",L1803=""),"-",IF(ABS(H1803-J1803*L1803)&gt;Info_Koperasi!$C$10,"SELISIH","OK")))</f>
        <v/>
      </c>
    </row>
    <row r="1804" customFormat="false" ht="15" hidden="false" customHeight="false" outlineLevel="0" collapsed="false">
      <c r="A1804" s="21"/>
      <c r="B1804" s="22"/>
      <c r="C1804" s="21"/>
      <c r="D1804" s="21"/>
      <c r="E1804" s="28"/>
      <c r="F1804" s="24"/>
      <c r="G1804" s="26"/>
      <c r="H1804" s="24"/>
      <c r="I1804" s="24"/>
      <c r="J1804" s="24"/>
      <c r="K1804" s="24"/>
      <c r="L1804" s="26"/>
      <c r="M1804" s="26"/>
      <c r="N1804" s="22"/>
      <c r="O1804" s="21"/>
      <c r="P1804" s="22"/>
      <c r="Q1804" s="29" t="str">
        <f aca="false">IF(C1804="","",IF(O1804&lt;&gt;"",O1804,IFERROR(INDEX(Produk!$J$2:$J$100,MATCH(C1804,Produk!$A$2:$A$100,0)),"PRODUK?")))</f>
        <v/>
      </c>
      <c r="R1804" s="29" t="str">
        <f aca="false">IF(A1804="","",IF(COUNTIF(Anggota!$A$2:$A$2001,A1804)=0,"TIDAK ADA","OK"))</f>
        <v/>
      </c>
      <c r="S1804" s="29" t="str">
        <f aca="false">IF(H1804="","",IF(OR(J1804="",L1804=""),"-",IF(ABS(H1804-J1804*L1804)&gt;Info_Koperasi!$C$10,"SELISIH","OK")))</f>
        <v/>
      </c>
    </row>
    <row r="1805" customFormat="false" ht="15" hidden="false" customHeight="false" outlineLevel="0" collapsed="false">
      <c r="A1805" s="21"/>
      <c r="B1805" s="22"/>
      <c r="C1805" s="21"/>
      <c r="D1805" s="21"/>
      <c r="E1805" s="28"/>
      <c r="F1805" s="24"/>
      <c r="G1805" s="26"/>
      <c r="H1805" s="24"/>
      <c r="I1805" s="24"/>
      <c r="J1805" s="24"/>
      <c r="K1805" s="24"/>
      <c r="L1805" s="26"/>
      <c r="M1805" s="26"/>
      <c r="N1805" s="22"/>
      <c r="O1805" s="21"/>
      <c r="P1805" s="22"/>
      <c r="Q1805" s="29" t="str">
        <f aca="false">IF(C1805="","",IF(O1805&lt;&gt;"",O1805,IFERROR(INDEX(Produk!$J$2:$J$100,MATCH(C1805,Produk!$A$2:$A$100,0)),"PRODUK?")))</f>
        <v/>
      </c>
      <c r="R1805" s="29" t="str">
        <f aca="false">IF(A1805="","",IF(COUNTIF(Anggota!$A$2:$A$2001,A1805)=0,"TIDAK ADA","OK"))</f>
        <v/>
      </c>
      <c r="S1805" s="29" t="str">
        <f aca="false">IF(H1805="","",IF(OR(J1805="",L1805=""),"-",IF(ABS(H1805-J1805*L1805)&gt;Info_Koperasi!$C$10,"SELISIH","OK")))</f>
        <v/>
      </c>
    </row>
    <row r="1806" customFormat="false" ht="15" hidden="false" customHeight="false" outlineLevel="0" collapsed="false">
      <c r="A1806" s="21"/>
      <c r="B1806" s="22"/>
      <c r="C1806" s="21"/>
      <c r="D1806" s="21"/>
      <c r="E1806" s="28"/>
      <c r="F1806" s="24"/>
      <c r="G1806" s="26"/>
      <c r="H1806" s="24"/>
      <c r="I1806" s="24"/>
      <c r="J1806" s="24"/>
      <c r="K1806" s="24"/>
      <c r="L1806" s="26"/>
      <c r="M1806" s="26"/>
      <c r="N1806" s="22"/>
      <c r="O1806" s="21"/>
      <c r="P1806" s="22"/>
      <c r="Q1806" s="29" t="str">
        <f aca="false">IF(C1806="","",IF(O1806&lt;&gt;"",O1806,IFERROR(INDEX(Produk!$J$2:$J$100,MATCH(C1806,Produk!$A$2:$A$100,0)),"PRODUK?")))</f>
        <v/>
      </c>
      <c r="R1806" s="29" t="str">
        <f aca="false">IF(A1806="","",IF(COUNTIF(Anggota!$A$2:$A$2001,A1806)=0,"TIDAK ADA","OK"))</f>
        <v/>
      </c>
      <c r="S1806" s="29" t="str">
        <f aca="false">IF(H1806="","",IF(OR(J1806="",L1806=""),"-",IF(ABS(H1806-J1806*L1806)&gt;Info_Koperasi!$C$10,"SELISIH","OK")))</f>
        <v/>
      </c>
    </row>
    <row r="1807" customFormat="false" ht="15" hidden="false" customHeight="false" outlineLevel="0" collapsed="false">
      <c r="A1807" s="21"/>
      <c r="B1807" s="22"/>
      <c r="C1807" s="21"/>
      <c r="D1807" s="21"/>
      <c r="E1807" s="28"/>
      <c r="F1807" s="24"/>
      <c r="G1807" s="26"/>
      <c r="H1807" s="24"/>
      <c r="I1807" s="24"/>
      <c r="J1807" s="24"/>
      <c r="K1807" s="24"/>
      <c r="L1807" s="26"/>
      <c r="M1807" s="26"/>
      <c r="N1807" s="22"/>
      <c r="O1807" s="21"/>
      <c r="P1807" s="22"/>
      <c r="Q1807" s="29" t="str">
        <f aca="false">IF(C1807="","",IF(O1807&lt;&gt;"",O1807,IFERROR(INDEX(Produk!$J$2:$J$100,MATCH(C1807,Produk!$A$2:$A$100,0)),"PRODUK?")))</f>
        <v/>
      </c>
      <c r="R1807" s="29" t="str">
        <f aca="false">IF(A1807="","",IF(COUNTIF(Anggota!$A$2:$A$2001,A1807)=0,"TIDAK ADA","OK"))</f>
        <v/>
      </c>
      <c r="S1807" s="29" t="str">
        <f aca="false">IF(H1807="","",IF(OR(J1807="",L1807=""),"-",IF(ABS(H1807-J1807*L1807)&gt;Info_Koperasi!$C$10,"SELISIH","OK")))</f>
        <v/>
      </c>
    </row>
    <row r="1808" customFormat="false" ht="15" hidden="false" customHeight="false" outlineLevel="0" collapsed="false">
      <c r="A1808" s="21"/>
      <c r="B1808" s="22"/>
      <c r="C1808" s="21"/>
      <c r="D1808" s="21"/>
      <c r="E1808" s="28"/>
      <c r="F1808" s="24"/>
      <c r="G1808" s="26"/>
      <c r="H1808" s="24"/>
      <c r="I1808" s="24"/>
      <c r="J1808" s="24"/>
      <c r="K1808" s="24"/>
      <c r="L1808" s="26"/>
      <c r="M1808" s="26"/>
      <c r="N1808" s="22"/>
      <c r="O1808" s="21"/>
      <c r="P1808" s="22"/>
      <c r="Q1808" s="29" t="str">
        <f aca="false">IF(C1808="","",IF(O1808&lt;&gt;"",O1808,IFERROR(INDEX(Produk!$J$2:$J$100,MATCH(C1808,Produk!$A$2:$A$100,0)),"PRODUK?")))</f>
        <v/>
      </c>
      <c r="R1808" s="29" t="str">
        <f aca="false">IF(A1808="","",IF(COUNTIF(Anggota!$A$2:$A$2001,A1808)=0,"TIDAK ADA","OK"))</f>
        <v/>
      </c>
      <c r="S1808" s="29" t="str">
        <f aca="false">IF(H1808="","",IF(OR(J1808="",L1808=""),"-",IF(ABS(H1808-J1808*L1808)&gt;Info_Koperasi!$C$10,"SELISIH","OK")))</f>
        <v/>
      </c>
    </row>
    <row r="1809" customFormat="false" ht="15" hidden="false" customHeight="false" outlineLevel="0" collapsed="false">
      <c r="A1809" s="21"/>
      <c r="B1809" s="22"/>
      <c r="C1809" s="21"/>
      <c r="D1809" s="21"/>
      <c r="E1809" s="28"/>
      <c r="F1809" s="24"/>
      <c r="G1809" s="26"/>
      <c r="H1809" s="24"/>
      <c r="I1809" s="24"/>
      <c r="J1809" s="24"/>
      <c r="K1809" s="24"/>
      <c r="L1809" s="26"/>
      <c r="M1809" s="26"/>
      <c r="N1809" s="22"/>
      <c r="O1809" s="21"/>
      <c r="P1809" s="22"/>
      <c r="Q1809" s="29" t="str">
        <f aca="false">IF(C1809="","",IF(O1809&lt;&gt;"",O1809,IFERROR(INDEX(Produk!$J$2:$J$100,MATCH(C1809,Produk!$A$2:$A$100,0)),"PRODUK?")))</f>
        <v/>
      </c>
      <c r="R1809" s="29" t="str">
        <f aca="false">IF(A1809="","",IF(COUNTIF(Anggota!$A$2:$A$2001,A1809)=0,"TIDAK ADA","OK"))</f>
        <v/>
      </c>
      <c r="S1809" s="29" t="str">
        <f aca="false">IF(H1809="","",IF(OR(J1809="",L1809=""),"-",IF(ABS(H1809-J1809*L1809)&gt;Info_Koperasi!$C$10,"SELISIH","OK")))</f>
        <v/>
      </c>
    </row>
    <row r="1810" customFormat="false" ht="15" hidden="false" customHeight="false" outlineLevel="0" collapsed="false">
      <c r="A1810" s="21"/>
      <c r="B1810" s="22"/>
      <c r="C1810" s="21"/>
      <c r="D1810" s="21"/>
      <c r="E1810" s="28"/>
      <c r="F1810" s="24"/>
      <c r="G1810" s="26"/>
      <c r="H1810" s="24"/>
      <c r="I1810" s="24"/>
      <c r="J1810" s="24"/>
      <c r="K1810" s="24"/>
      <c r="L1810" s="26"/>
      <c r="M1810" s="26"/>
      <c r="N1810" s="22"/>
      <c r="O1810" s="21"/>
      <c r="P1810" s="22"/>
      <c r="Q1810" s="29" t="str">
        <f aca="false">IF(C1810="","",IF(O1810&lt;&gt;"",O1810,IFERROR(INDEX(Produk!$J$2:$J$100,MATCH(C1810,Produk!$A$2:$A$100,0)),"PRODUK?")))</f>
        <v/>
      </c>
      <c r="R1810" s="29" t="str">
        <f aca="false">IF(A1810="","",IF(COUNTIF(Anggota!$A$2:$A$2001,A1810)=0,"TIDAK ADA","OK"))</f>
        <v/>
      </c>
      <c r="S1810" s="29" t="str">
        <f aca="false">IF(H1810="","",IF(OR(J1810="",L1810=""),"-",IF(ABS(H1810-J1810*L1810)&gt;Info_Koperasi!$C$10,"SELISIH","OK")))</f>
        <v/>
      </c>
    </row>
    <row r="1811" customFormat="false" ht="15" hidden="false" customHeight="false" outlineLevel="0" collapsed="false">
      <c r="A1811" s="21"/>
      <c r="B1811" s="22"/>
      <c r="C1811" s="21"/>
      <c r="D1811" s="21"/>
      <c r="E1811" s="28"/>
      <c r="F1811" s="24"/>
      <c r="G1811" s="26"/>
      <c r="H1811" s="24"/>
      <c r="I1811" s="24"/>
      <c r="J1811" s="24"/>
      <c r="K1811" s="24"/>
      <c r="L1811" s="26"/>
      <c r="M1811" s="26"/>
      <c r="N1811" s="22"/>
      <c r="O1811" s="21"/>
      <c r="P1811" s="22"/>
      <c r="Q1811" s="29" t="str">
        <f aca="false">IF(C1811="","",IF(O1811&lt;&gt;"",O1811,IFERROR(INDEX(Produk!$J$2:$J$100,MATCH(C1811,Produk!$A$2:$A$100,0)),"PRODUK?")))</f>
        <v/>
      </c>
      <c r="R1811" s="29" t="str">
        <f aca="false">IF(A1811="","",IF(COUNTIF(Anggota!$A$2:$A$2001,A1811)=0,"TIDAK ADA","OK"))</f>
        <v/>
      </c>
      <c r="S1811" s="29" t="str">
        <f aca="false">IF(H1811="","",IF(OR(J1811="",L1811=""),"-",IF(ABS(H1811-J1811*L1811)&gt;Info_Koperasi!$C$10,"SELISIH","OK")))</f>
        <v/>
      </c>
    </row>
    <row r="1812" customFormat="false" ht="15" hidden="false" customHeight="false" outlineLevel="0" collapsed="false">
      <c r="A1812" s="21"/>
      <c r="B1812" s="22"/>
      <c r="C1812" s="21"/>
      <c r="D1812" s="21"/>
      <c r="E1812" s="28"/>
      <c r="F1812" s="24"/>
      <c r="G1812" s="26"/>
      <c r="H1812" s="24"/>
      <c r="I1812" s="24"/>
      <c r="J1812" s="24"/>
      <c r="K1812" s="24"/>
      <c r="L1812" s="26"/>
      <c r="M1812" s="26"/>
      <c r="N1812" s="22"/>
      <c r="O1812" s="21"/>
      <c r="P1812" s="22"/>
      <c r="Q1812" s="29" t="str">
        <f aca="false">IF(C1812="","",IF(O1812&lt;&gt;"",O1812,IFERROR(INDEX(Produk!$J$2:$J$100,MATCH(C1812,Produk!$A$2:$A$100,0)),"PRODUK?")))</f>
        <v/>
      </c>
      <c r="R1812" s="29" t="str">
        <f aca="false">IF(A1812="","",IF(COUNTIF(Anggota!$A$2:$A$2001,A1812)=0,"TIDAK ADA","OK"))</f>
        <v/>
      </c>
      <c r="S1812" s="29" t="str">
        <f aca="false">IF(H1812="","",IF(OR(J1812="",L1812=""),"-",IF(ABS(H1812-J1812*L1812)&gt;Info_Koperasi!$C$10,"SELISIH","OK")))</f>
        <v/>
      </c>
    </row>
    <row r="1813" customFormat="false" ht="15" hidden="false" customHeight="false" outlineLevel="0" collapsed="false">
      <c r="A1813" s="21"/>
      <c r="B1813" s="22"/>
      <c r="C1813" s="21"/>
      <c r="D1813" s="21"/>
      <c r="E1813" s="28"/>
      <c r="F1813" s="24"/>
      <c r="G1813" s="26"/>
      <c r="H1813" s="24"/>
      <c r="I1813" s="24"/>
      <c r="J1813" s="24"/>
      <c r="K1813" s="24"/>
      <c r="L1813" s="26"/>
      <c r="M1813" s="26"/>
      <c r="N1813" s="22"/>
      <c r="O1813" s="21"/>
      <c r="P1813" s="22"/>
      <c r="Q1813" s="29" t="str">
        <f aca="false">IF(C1813="","",IF(O1813&lt;&gt;"",O1813,IFERROR(INDEX(Produk!$J$2:$J$100,MATCH(C1813,Produk!$A$2:$A$100,0)),"PRODUK?")))</f>
        <v/>
      </c>
      <c r="R1813" s="29" t="str">
        <f aca="false">IF(A1813="","",IF(COUNTIF(Anggota!$A$2:$A$2001,A1813)=0,"TIDAK ADA","OK"))</f>
        <v/>
      </c>
      <c r="S1813" s="29" t="str">
        <f aca="false">IF(H1813="","",IF(OR(J1813="",L1813=""),"-",IF(ABS(H1813-J1813*L1813)&gt;Info_Koperasi!$C$10,"SELISIH","OK")))</f>
        <v/>
      </c>
    </row>
    <row r="1814" customFormat="false" ht="15" hidden="false" customHeight="false" outlineLevel="0" collapsed="false">
      <c r="A1814" s="21"/>
      <c r="B1814" s="22"/>
      <c r="C1814" s="21"/>
      <c r="D1814" s="21"/>
      <c r="E1814" s="28"/>
      <c r="F1814" s="24"/>
      <c r="G1814" s="26"/>
      <c r="H1814" s="24"/>
      <c r="I1814" s="24"/>
      <c r="J1814" s="24"/>
      <c r="K1814" s="24"/>
      <c r="L1814" s="26"/>
      <c r="M1814" s="26"/>
      <c r="N1814" s="22"/>
      <c r="O1814" s="21"/>
      <c r="P1814" s="22"/>
      <c r="Q1814" s="29" t="str">
        <f aca="false">IF(C1814="","",IF(O1814&lt;&gt;"",O1814,IFERROR(INDEX(Produk!$J$2:$J$100,MATCH(C1814,Produk!$A$2:$A$100,0)),"PRODUK?")))</f>
        <v/>
      </c>
      <c r="R1814" s="29" t="str">
        <f aca="false">IF(A1814="","",IF(COUNTIF(Anggota!$A$2:$A$2001,A1814)=0,"TIDAK ADA","OK"))</f>
        <v/>
      </c>
      <c r="S1814" s="29" t="str">
        <f aca="false">IF(H1814="","",IF(OR(J1814="",L1814=""),"-",IF(ABS(H1814-J1814*L1814)&gt;Info_Koperasi!$C$10,"SELISIH","OK")))</f>
        <v/>
      </c>
    </row>
    <row r="1815" customFormat="false" ht="15" hidden="false" customHeight="false" outlineLevel="0" collapsed="false">
      <c r="A1815" s="21"/>
      <c r="B1815" s="22"/>
      <c r="C1815" s="21"/>
      <c r="D1815" s="21"/>
      <c r="E1815" s="28"/>
      <c r="F1815" s="24"/>
      <c r="G1815" s="26"/>
      <c r="H1815" s="24"/>
      <c r="I1815" s="24"/>
      <c r="J1815" s="24"/>
      <c r="K1815" s="24"/>
      <c r="L1815" s="26"/>
      <c r="M1815" s="26"/>
      <c r="N1815" s="22"/>
      <c r="O1815" s="21"/>
      <c r="P1815" s="22"/>
      <c r="Q1815" s="29" t="str">
        <f aca="false">IF(C1815="","",IF(O1815&lt;&gt;"",O1815,IFERROR(INDEX(Produk!$J$2:$J$100,MATCH(C1815,Produk!$A$2:$A$100,0)),"PRODUK?")))</f>
        <v/>
      </c>
      <c r="R1815" s="29" t="str">
        <f aca="false">IF(A1815="","",IF(COUNTIF(Anggota!$A$2:$A$2001,A1815)=0,"TIDAK ADA","OK"))</f>
        <v/>
      </c>
      <c r="S1815" s="29" t="str">
        <f aca="false">IF(H1815="","",IF(OR(J1815="",L1815=""),"-",IF(ABS(H1815-J1815*L1815)&gt;Info_Koperasi!$C$10,"SELISIH","OK")))</f>
        <v/>
      </c>
    </row>
    <row r="1816" customFormat="false" ht="15" hidden="false" customHeight="false" outlineLevel="0" collapsed="false">
      <c r="A1816" s="21"/>
      <c r="B1816" s="22"/>
      <c r="C1816" s="21"/>
      <c r="D1816" s="21"/>
      <c r="E1816" s="28"/>
      <c r="F1816" s="24"/>
      <c r="G1816" s="26"/>
      <c r="H1816" s="24"/>
      <c r="I1816" s="24"/>
      <c r="J1816" s="24"/>
      <c r="K1816" s="24"/>
      <c r="L1816" s="26"/>
      <c r="M1816" s="26"/>
      <c r="N1816" s="22"/>
      <c r="O1816" s="21"/>
      <c r="P1816" s="22"/>
      <c r="Q1816" s="29" t="str">
        <f aca="false">IF(C1816="","",IF(O1816&lt;&gt;"",O1816,IFERROR(INDEX(Produk!$J$2:$J$100,MATCH(C1816,Produk!$A$2:$A$100,0)),"PRODUK?")))</f>
        <v/>
      </c>
      <c r="R1816" s="29" t="str">
        <f aca="false">IF(A1816="","",IF(COUNTIF(Anggota!$A$2:$A$2001,A1816)=0,"TIDAK ADA","OK"))</f>
        <v/>
      </c>
      <c r="S1816" s="29" t="str">
        <f aca="false">IF(H1816="","",IF(OR(J1816="",L1816=""),"-",IF(ABS(H1816-J1816*L1816)&gt;Info_Koperasi!$C$10,"SELISIH","OK")))</f>
        <v/>
      </c>
    </row>
    <row r="1817" customFormat="false" ht="15" hidden="false" customHeight="false" outlineLevel="0" collapsed="false">
      <c r="A1817" s="21"/>
      <c r="B1817" s="22"/>
      <c r="C1817" s="21"/>
      <c r="D1817" s="21"/>
      <c r="E1817" s="28"/>
      <c r="F1817" s="24"/>
      <c r="G1817" s="26"/>
      <c r="H1817" s="24"/>
      <c r="I1817" s="24"/>
      <c r="J1817" s="24"/>
      <c r="K1817" s="24"/>
      <c r="L1817" s="26"/>
      <c r="M1817" s="26"/>
      <c r="N1817" s="22"/>
      <c r="O1817" s="21"/>
      <c r="P1817" s="22"/>
      <c r="Q1817" s="29" t="str">
        <f aca="false">IF(C1817="","",IF(O1817&lt;&gt;"",O1817,IFERROR(INDEX(Produk!$J$2:$J$100,MATCH(C1817,Produk!$A$2:$A$100,0)),"PRODUK?")))</f>
        <v/>
      </c>
      <c r="R1817" s="29" t="str">
        <f aca="false">IF(A1817="","",IF(COUNTIF(Anggota!$A$2:$A$2001,A1817)=0,"TIDAK ADA","OK"))</f>
        <v/>
      </c>
      <c r="S1817" s="29" t="str">
        <f aca="false">IF(H1817="","",IF(OR(J1817="",L1817=""),"-",IF(ABS(H1817-J1817*L1817)&gt;Info_Koperasi!$C$10,"SELISIH","OK")))</f>
        <v/>
      </c>
    </row>
    <row r="1818" customFormat="false" ht="15" hidden="false" customHeight="false" outlineLevel="0" collapsed="false">
      <c r="A1818" s="21"/>
      <c r="B1818" s="22"/>
      <c r="C1818" s="21"/>
      <c r="D1818" s="21"/>
      <c r="E1818" s="28"/>
      <c r="F1818" s="24"/>
      <c r="G1818" s="26"/>
      <c r="H1818" s="24"/>
      <c r="I1818" s="24"/>
      <c r="J1818" s="24"/>
      <c r="K1818" s="24"/>
      <c r="L1818" s="26"/>
      <c r="M1818" s="26"/>
      <c r="N1818" s="22"/>
      <c r="O1818" s="21"/>
      <c r="P1818" s="22"/>
      <c r="Q1818" s="29" t="str">
        <f aca="false">IF(C1818="","",IF(O1818&lt;&gt;"",O1818,IFERROR(INDEX(Produk!$J$2:$J$100,MATCH(C1818,Produk!$A$2:$A$100,0)),"PRODUK?")))</f>
        <v/>
      </c>
      <c r="R1818" s="29" t="str">
        <f aca="false">IF(A1818="","",IF(COUNTIF(Anggota!$A$2:$A$2001,A1818)=0,"TIDAK ADA","OK"))</f>
        <v/>
      </c>
      <c r="S1818" s="29" t="str">
        <f aca="false">IF(H1818="","",IF(OR(J1818="",L1818=""),"-",IF(ABS(H1818-J1818*L1818)&gt;Info_Koperasi!$C$10,"SELISIH","OK")))</f>
        <v/>
      </c>
    </row>
    <row r="1819" customFormat="false" ht="15" hidden="false" customHeight="false" outlineLevel="0" collapsed="false">
      <c r="A1819" s="21"/>
      <c r="B1819" s="22"/>
      <c r="C1819" s="21"/>
      <c r="D1819" s="21"/>
      <c r="E1819" s="28"/>
      <c r="F1819" s="24"/>
      <c r="G1819" s="26"/>
      <c r="H1819" s="24"/>
      <c r="I1819" s="24"/>
      <c r="J1819" s="24"/>
      <c r="K1819" s="24"/>
      <c r="L1819" s="26"/>
      <c r="M1819" s="26"/>
      <c r="N1819" s="22"/>
      <c r="O1819" s="21"/>
      <c r="P1819" s="22"/>
      <c r="Q1819" s="29" t="str">
        <f aca="false">IF(C1819="","",IF(O1819&lt;&gt;"",O1819,IFERROR(INDEX(Produk!$J$2:$J$100,MATCH(C1819,Produk!$A$2:$A$100,0)),"PRODUK?")))</f>
        <v/>
      </c>
      <c r="R1819" s="29" t="str">
        <f aca="false">IF(A1819="","",IF(COUNTIF(Anggota!$A$2:$A$2001,A1819)=0,"TIDAK ADA","OK"))</f>
        <v/>
      </c>
      <c r="S1819" s="29" t="str">
        <f aca="false">IF(H1819="","",IF(OR(J1819="",L1819=""),"-",IF(ABS(H1819-J1819*L1819)&gt;Info_Koperasi!$C$10,"SELISIH","OK")))</f>
        <v/>
      </c>
    </row>
    <row r="1820" customFormat="false" ht="15" hidden="false" customHeight="false" outlineLevel="0" collapsed="false">
      <c r="A1820" s="21"/>
      <c r="B1820" s="22"/>
      <c r="C1820" s="21"/>
      <c r="D1820" s="21"/>
      <c r="E1820" s="28"/>
      <c r="F1820" s="24"/>
      <c r="G1820" s="26"/>
      <c r="H1820" s="24"/>
      <c r="I1820" s="24"/>
      <c r="J1820" s="24"/>
      <c r="K1820" s="24"/>
      <c r="L1820" s="26"/>
      <c r="M1820" s="26"/>
      <c r="N1820" s="22"/>
      <c r="O1820" s="21"/>
      <c r="P1820" s="22"/>
      <c r="Q1820" s="29" t="str">
        <f aca="false">IF(C1820="","",IF(O1820&lt;&gt;"",O1820,IFERROR(INDEX(Produk!$J$2:$J$100,MATCH(C1820,Produk!$A$2:$A$100,0)),"PRODUK?")))</f>
        <v/>
      </c>
      <c r="R1820" s="29" t="str">
        <f aca="false">IF(A1820="","",IF(COUNTIF(Anggota!$A$2:$A$2001,A1820)=0,"TIDAK ADA","OK"))</f>
        <v/>
      </c>
      <c r="S1820" s="29" t="str">
        <f aca="false">IF(H1820="","",IF(OR(J1820="",L1820=""),"-",IF(ABS(H1820-J1820*L1820)&gt;Info_Koperasi!$C$10,"SELISIH","OK")))</f>
        <v/>
      </c>
    </row>
    <row r="1821" customFormat="false" ht="15" hidden="false" customHeight="false" outlineLevel="0" collapsed="false">
      <c r="A1821" s="21"/>
      <c r="B1821" s="22"/>
      <c r="C1821" s="21"/>
      <c r="D1821" s="21"/>
      <c r="E1821" s="28"/>
      <c r="F1821" s="24"/>
      <c r="G1821" s="26"/>
      <c r="H1821" s="24"/>
      <c r="I1821" s="24"/>
      <c r="J1821" s="24"/>
      <c r="K1821" s="24"/>
      <c r="L1821" s="26"/>
      <c r="M1821" s="26"/>
      <c r="N1821" s="22"/>
      <c r="O1821" s="21"/>
      <c r="P1821" s="22"/>
      <c r="Q1821" s="29" t="str">
        <f aca="false">IF(C1821="","",IF(O1821&lt;&gt;"",O1821,IFERROR(INDEX(Produk!$J$2:$J$100,MATCH(C1821,Produk!$A$2:$A$100,0)),"PRODUK?")))</f>
        <v/>
      </c>
      <c r="R1821" s="29" t="str">
        <f aca="false">IF(A1821="","",IF(COUNTIF(Anggota!$A$2:$A$2001,A1821)=0,"TIDAK ADA","OK"))</f>
        <v/>
      </c>
      <c r="S1821" s="29" t="str">
        <f aca="false">IF(H1821="","",IF(OR(J1821="",L1821=""),"-",IF(ABS(H1821-J1821*L1821)&gt;Info_Koperasi!$C$10,"SELISIH","OK")))</f>
        <v/>
      </c>
    </row>
    <row r="1822" customFormat="false" ht="15" hidden="false" customHeight="false" outlineLevel="0" collapsed="false">
      <c r="A1822" s="21"/>
      <c r="B1822" s="22"/>
      <c r="C1822" s="21"/>
      <c r="D1822" s="21"/>
      <c r="E1822" s="28"/>
      <c r="F1822" s="24"/>
      <c r="G1822" s="26"/>
      <c r="H1822" s="24"/>
      <c r="I1822" s="24"/>
      <c r="J1822" s="24"/>
      <c r="K1822" s="24"/>
      <c r="L1822" s="26"/>
      <c r="M1822" s="26"/>
      <c r="N1822" s="22"/>
      <c r="O1822" s="21"/>
      <c r="P1822" s="22"/>
      <c r="Q1822" s="29" t="str">
        <f aca="false">IF(C1822="","",IF(O1822&lt;&gt;"",O1822,IFERROR(INDEX(Produk!$J$2:$J$100,MATCH(C1822,Produk!$A$2:$A$100,0)),"PRODUK?")))</f>
        <v/>
      </c>
      <c r="R1822" s="29" t="str">
        <f aca="false">IF(A1822="","",IF(COUNTIF(Anggota!$A$2:$A$2001,A1822)=0,"TIDAK ADA","OK"))</f>
        <v/>
      </c>
      <c r="S1822" s="29" t="str">
        <f aca="false">IF(H1822="","",IF(OR(J1822="",L1822=""),"-",IF(ABS(H1822-J1822*L1822)&gt;Info_Koperasi!$C$10,"SELISIH","OK")))</f>
        <v/>
      </c>
    </row>
    <row r="1823" customFormat="false" ht="15" hidden="false" customHeight="false" outlineLevel="0" collapsed="false">
      <c r="A1823" s="21"/>
      <c r="B1823" s="22"/>
      <c r="C1823" s="21"/>
      <c r="D1823" s="21"/>
      <c r="E1823" s="28"/>
      <c r="F1823" s="24"/>
      <c r="G1823" s="26"/>
      <c r="H1823" s="24"/>
      <c r="I1823" s="24"/>
      <c r="J1823" s="24"/>
      <c r="K1823" s="24"/>
      <c r="L1823" s="26"/>
      <c r="M1823" s="26"/>
      <c r="N1823" s="22"/>
      <c r="O1823" s="21"/>
      <c r="P1823" s="22"/>
      <c r="Q1823" s="29" t="str">
        <f aca="false">IF(C1823="","",IF(O1823&lt;&gt;"",O1823,IFERROR(INDEX(Produk!$J$2:$J$100,MATCH(C1823,Produk!$A$2:$A$100,0)),"PRODUK?")))</f>
        <v/>
      </c>
      <c r="R1823" s="29" t="str">
        <f aca="false">IF(A1823="","",IF(COUNTIF(Anggota!$A$2:$A$2001,A1823)=0,"TIDAK ADA","OK"))</f>
        <v/>
      </c>
      <c r="S1823" s="29" t="str">
        <f aca="false">IF(H1823="","",IF(OR(J1823="",L1823=""),"-",IF(ABS(H1823-J1823*L1823)&gt;Info_Koperasi!$C$10,"SELISIH","OK")))</f>
        <v/>
      </c>
    </row>
    <row r="1824" customFormat="false" ht="15" hidden="false" customHeight="false" outlineLevel="0" collapsed="false">
      <c r="A1824" s="21"/>
      <c r="B1824" s="22"/>
      <c r="C1824" s="21"/>
      <c r="D1824" s="21"/>
      <c r="E1824" s="28"/>
      <c r="F1824" s="24"/>
      <c r="G1824" s="26"/>
      <c r="H1824" s="24"/>
      <c r="I1824" s="24"/>
      <c r="J1824" s="24"/>
      <c r="K1824" s="24"/>
      <c r="L1824" s="26"/>
      <c r="M1824" s="26"/>
      <c r="N1824" s="22"/>
      <c r="O1824" s="21"/>
      <c r="P1824" s="22"/>
      <c r="Q1824" s="29" t="str">
        <f aca="false">IF(C1824="","",IF(O1824&lt;&gt;"",O1824,IFERROR(INDEX(Produk!$J$2:$J$100,MATCH(C1824,Produk!$A$2:$A$100,0)),"PRODUK?")))</f>
        <v/>
      </c>
      <c r="R1824" s="29" t="str">
        <f aca="false">IF(A1824="","",IF(COUNTIF(Anggota!$A$2:$A$2001,A1824)=0,"TIDAK ADA","OK"))</f>
        <v/>
      </c>
      <c r="S1824" s="29" t="str">
        <f aca="false">IF(H1824="","",IF(OR(J1824="",L1824=""),"-",IF(ABS(H1824-J1824*L1824)&gt;Info_Koperasi!$C$10,"SELISIH","OK")))</f>
        <v/>
      </c>
    </row>
    <row r="1825" customFormat="false" ht="15" hidden="false" customHeight="false" outlineLevel="0" collapsed="false">
      <c r="A1825" s="21"/>
      <c r="B1825" s="22"/>
      <c r="C1825" s="21"/>
      <c r="D1825" s="21"/>
      <c r="E1825" s="28"/>
      <c r="F1825" s="24"/>
      <c r="G1825" s="26"/>
      <c r="H1825" s="24"/>
      <c r="I1825" s="24"/>
      <c r="J1825" s="24"/>
      <c r="K1825" s="24"/>
      <c r="L1825" s="26"/>
      <c r="M1825" s="26"/>
      <c r="N1825" s="22"/>
      <c r="O1825" s="21"/>
      <c r="P1825" s="22"/>
      <c r="Q1825" s="29" t="str">
        <f aca="false">IF(C1825="","",IF(O1825&lt;&gt;"",O1825,IFERROR(INDEX(Produk!$J$2:$J$100,MATCH(C1825,Produk!$A$2:$A$100,0)),"PRODUK?")))</f>
        <v/>
      </c>
      <c r="R1825" s="29" t="str">
        <f aca="false">IF(A1825="","",IF(COUNTIF(Anggota!$A$2:$A$2001,A1825)=0,"TIDAK ADA","OK"))</f>
        <v/>
      </c>
      <c r="S1825" s="29" t="str">
        <f aca="false">IF(H1825="","",IF(OR(J1825="",L1825=""),"-",IF(ABS(H1825-J1825*L1825)&gt;Info_Koperasi!$C$10,"SELISIH","OK")))</f>
        <v/>
      </c>
    </row>
    <row r="1826" customFormat="false" ht="15" hidden="false" customHeight="false" outlineLevel="0" collapsed="false">
      <c r="A1826" s="21"/>
      <c r="B1826" s="22"/>
      <c r="C1826" s="21"/>
      <c r="D1826" s="21"/>
      <c r="E1826" s="28"/>
      <c r="F1826" s="24"/>
      <c r="G1826" s="26"/>
      <c r="H1826" s="24"/>
      <c r="I1826" s="24"/>
      <c r="J1826" s="24"/>
      <c r="K1826" s="24"/>
      <c r="L1826" s="26"/>
      <c r="M1826" s="26"/>
      <c r="N1826" s="22"/>
      <c r="O1826" s="21"/>
      <c r="P1826" s="22"/>
      <c r="Q1826" s="29" t="str">
        <f aca="false">IF(C1826="","",IF(O1826&lt;&gt;"",O1826,IFERROR(INDEX(Produk!$J$2:$J$100,MATCH(C1826,Produk!$A$2:$A$100,0)),"PRODUK?")))</f>
        <v/>
      </c>
      <c r="R1826" s="29" t="str">
        <f aca="false">IF(A1826="","",IF(COUNTIF(Anggota!$A$2:$A$2001,A1826)=0,"TIDAK ADA","OK"))</f>
        <v/>
      </c>
      <c r="S1826" s="29" t="str">
        <f aca="false">IF(H1826="","",IF(OR(J1826="",L1826=""),"-",IF(ABS(H1826-J1826*L1826)&gt;Info_Koperasi!$C$10,"SELISIH","OK")))</f>
        <v/>
      </c>
    </row>
    <row r="1827" customFormat="false" ht="15" hidden="false" customHeight="false" outlineLevel="0" collapsed="false">
      <c r="A1827" s="21"/>
      <c r="B1827" s="22"/>
      <c r="C1827" s="21"/>
      <c r="D1827" s="21"/>
      <c r="E1827" s="28"/>
      <c r="F1827" s="24"/>
      <c r="G1827" s="26"/>
      <c r="H1827" s="24"/>
      <c r="I1827" s="24"/>
      <c r="J1827" s="24"/>
      <c r="K1827" s="24"/>
      <c r="L1827" s="26"/>
      <c r="M1827" s="26"/>
      <c r="N1827" s="22"/>
      <c r="O1827" s="21"/>
      <c r="P1827" s="22"/>
      <c r="Q1827" s="29" t="str">
        <f aca="false">IF(C1827="","",IF(O1827&lt;&gt;"",O1827,IFERROR(INDEX(Produk!$J$2:$J$100,MATCH(C1827,Produk!$A$2:$A$100,0)),"PRODUK?")))</f>
        <v/>
      </c>
      <c r="R1827" s="29" t="str">
        <f aca="false">IF(A1827="","",IF(COUNTIF(Anggota!$A$2:$A$2001,A1827)=0,"TIDAK ADA","OK"))</f>
        <v/>
      </c>
      <c r="S1827" s="29" t="str">
        <f aca="false">IF(H1827="","",IF(OR(J1827="",L1827=""),"-",IF(ABS(H1827-J1827*L1827)&gt;Info_Koperasi!$C$10,"SELISIH","OK")))</f>
        <v/>
      </c>
    </row>
    <row r="1828" customFormat="false" ht="15" hidden="false" customHeight="false" outlineLevel="0" collapsed="false">
      <c r="A1828" s="21"/>
      <c r="B1828" s="22"/>
      <c r="C1828" s="21"/>
      <c r="D1828" s="21"/>
      <c r="E1828" s="28"/>
      <c r="F1828" s="24"/>
      <c r="G1828" s="26"/>
      <c r="H1828" s="24"/>
      <c r="I1828" s="24"/>
      <c r="J1828" s="24"/>
      <c r="K1828" s="24"/>
      <c r="L1828" s="26"/>
      <c r="M1828" s="26"/>
      <c r="N1828" s="22"/>
      <c r="O1828" s="21"/>
      <c r="P1828" s="22"/>
      <c r="Q1828" s="29" t="str">
        <f aca="false">IF(C1828="","",IF(O1828&lt;&gt;"",O1828,IFERROR(INDEX(Produk!$J$2:$J$100,MATCH(C1828,Produk!$A$2:$A$100,0)),"PRODUK?")))</f>
        <v/>
      </c>
      <c r="R1828" s="29" t="str">
        <f aca="false">IF(A1828="","",IF(COUNTIF(Anggota!$A$2:$A$2001,A1828)=0,"TIDAK ADA","OK"))</f>
        <v/>
      </c>
      <c r="S1828" s="29" t="str">
        <f aca="false">IF(H1828="","",IF(OR(J1828="",L1828=""),"-",IF(ABS(H1828-J1828*L1828)&gt;Info_Koperasi!$C$10,"SELISIH","OK")))</f>
        <v/>
      </c>
    </row>
    <row r="1829" customFormat="false" ht="15" hidden="false" customHeight="false" outlineLevel="0" collapsed="false">
      <c r="A1829" s="21"/>
      <c r="B1829" s="22"/>
      <c r="C1829" s="21"/>
      <c r="D1829" s="21"/>
      <c r="E1829" s="28"/>
      <c r="F1829" s="24"/>
      <c r="G1829" s="26"/>
      <c r="H1829" s="24"/>
      <c r="I1829" s="24"/>
      <c r="J1829" s="24"/>
      <c r="K1829" s="24"/>
      <c r="L1829" s="26"/>
      <c r="M1829" s="26"/>
      <c r="N1829" s="22"/>
      <c r="O1829" s="21"/>
      <c r="P1829" s="22"/>
      <c r="Q1829" s="29" t="str">
        <f aca="false">IF(C1829="","",IF(O1829&lt;&gt;"",O1829,IFERROR(INDEX(Produk!$J$2:$J$100,MATCH(C1829,Produk!$A$2:$A$100,0)),"PRODUK?")))</f>
        <v/>
      </c>
      <c r="R1829" s="29" t="str">
        <f aca="false">IF(A1829="","",IF(COUNTIF(Anggota!$A$2:$A$2001,A1829)=0,"TIDAK ADA","OK"))</f>
        <v/>
      </c>
      <c r="S1829" s="29" t="str">
        <f aca="false">IF(H1829="","",IF(OR(J1829="",L1829=""),"-",IF(ABS(H1829-J1829*L1829)&gt;Info_Koperasi!$C$10,"SELISIH","OK")))</f>
        <v/>
      </c>
    </row>
    <row r="1830" customFormat="false" ht="15" hidden="false" customHeight="false" outlineLevel="0" collapsed="false">
      <c r="A1830" s="21"/>
      <c r="B1830" s="22"/>
      <c r="C1830" s="21"/>
      <c r="D1830" s="21"/>
      <c r="E1830" s="28"/>
      <c r="F1830" s="24"/>
      <c r="G1830" s="26"/>
      <c r="H1830" s="24"/>
      <c r="I1830" s="24"/>
      <c r="J1830" s="24"/>
      <c r="K1830" s="24"/>
      <c r="L1830" s="26"/>
      <c r="M1830" s="26"/>
      <c r="N1830" s="22"/>
      <c r="O1830" s="21"/>
      <c r="P1830" s="22"/>
      <c r="Q1830" s="29" t="str">
        <f aca="false">IF(C1830="","",IF(O1830&lt;&gt;"",O1830,IFERROR(INDEX(Produk!$J$2:$J$100,MATCH(C1830,Produk!$A$2:$A$100,0)),"PRODUK?")))</f>
        <v/>
      </c>
      <c r="R1830" s="29" t="str">
        <f aca="false">IF(A1830="","",IF(COUNTIF(Anggota!$A$2:$A$2001,A1830)=0,"TIDAK ADA","OK"))</f>
        <v/>
      </c>
      <c r="S1830" s="29" t="str">
        <f aca="false">IF(H1830="","",IF(OR(J1830="",L1830=""),"-",IF(ABS(H1830-J1830*L1830)&gt;Info_Koperasi!$C$10,"SELISIH","OK")))</f>
        <v/>
      </c>
    </row>
    <row r="1831" customFormat="false" ht="15" hidden="false" customHeight="false" outlineLevel="0" collapsed="false">
      <c r="A1831" s="21"/>
      <c r="B1831" s="22"/>
      <c r="C1831" s="21"/>
      <c r="D1831" s="21"/>
      <c r="E1831" s="28"/>
      <c r="F1831" s="24"/>
      <c r="G1831" s="26"/>
      <c r="H1831" s="24"/>
      <c r="I1831" s="24"/>
      <c r="J1831" s="24"/>
      <c r="K1831" s="24"/>
      <c r="L1831" s="26"/>
      <c r="M1831" s="26"/>
      <c r="N1831" s="22"/>
      <c r="O1831" s="21"/>
      <c r="P1831" s="22"/>
      <c r="Q1831" s="29" t="str">
        <f aca="false">IF(C1831="","",IF(O1831&lt;&gt;"",O1831,IFERROR(INDEX(Produk!$J$2:$J$100,MATCH(C1831,Produk!$A$2:$A$100,0)),"PRODUK?")))</f>
        <v/>
      </c>
      <c r="R1831" s="29" t="str">
        <f aca="false">IF(A1831="","",IF(COUNTIF(Anggota!$A$2:$A$2001,A1831)=0,"TIDAK ADA","OK"))</f>
        <v/>
      </c>
      <c r="S1831" s="29" t="str">
        <f aca="false">IF(H1831="","",IF(OR(J1831="",L1831=""),"-",IF(ABS(H1831-J1831*L1831)&gt;Info_Koperasi!$C$10,"SELISIH","OK")))</f>
        <v/>
      </c>
    </row>
    <row r="1832" customFormat="false" ht="15" hidden="false" customHeight="false" outlineLevel="0" collapsed="false">
      <c r="A1832" s="21"/>
      <c r="B1832" s="22"/>
      <c r="C1832" s="21"/>
      <c r="D1832" s="21"/>
      <c r="E1832" s="28"/>
      <c r="F1832" s="24"/>
      <c r="G1832" s="26"/>
      <c r="H1832" s="24"/>
      <c r="I1832" s="24"/>
      <c r="J1832" s="24"/>
      <c r="K1832" s="24"/>
      <c r="L1832" s="26"/>
      <c r="M1832" s="26"/>
      <c r="N1832" s="22"/>
      <c r="O1832" s="21"/>
      <c r="P1832" s="22"/>
      <c r="Q1832" s="29" t="str">
        <f aca="false">IF(C1832="","",IF(O1832&lt;&gt;"",O1832,IFERROR(INDEX(Produk!$J$2:$J$100,MATCH(C1832,Produk!$A$2:$A$100,0)),"PRODUK?")))</f>
        <v/>
      </c>
      <c r="R1832" s="29" t="str">
        <f aca="false">IF(A1832="","",IF(COUNTIF(Anggota!$A$2:$A$2001,A1832)=0,"TIDAK ADA","OK"))</f>
        <v/>
      </c>
      <c r="S1832" s="29" t="str">
        <f aca="false">IF(H1832="","",IF(OR(J1832="",L1832=""),"-",IF(ABS(H1832-J1832*L1832)&gt;Info_Koperasi!$C$10,"SELISIH","OK")))</f>
        <v/>
      </c>
    </row>
    <row r="1833" customFormat="false" ht="15" hidden="false" customHeight="false" outlineLevel="0" collapsed="false">
      <c r="A1833" s="21"/>
      <c r="B1833" s="22"/>
      <c r="C1833" s="21"/>
      <c r="D1833" s="21"/>
      <c r="E1833" s="28"/>
      <c r="F1833" s="24"/>
      <c r="G1833" s="26"/>
      <c r="H1833" s="24"/>
      <c r="I1833" s="24"/>
      <c r="J1833" s="24"/>
      <c r="K1833" s="24"/>
      <c r="L1833" s="26"/>
      <c r="M1833" s="26"/>
      <c r="N1833" s="22"/>
      <c r="O1833" s="21"/>
      <c r="P1833" s="22"/>
      <c r="Q1833" s="29" t="str">
        <f aca="false">IF(C1833="","",IF(O1833&lt;&gt;"",O1833,IFERROR(INDEX(Produk!$J$2:$J$100,MATCH(C1833,Produk!$A$2:$A$100,0)),"PRODUK?")))</f>
        <v/>
      </c>
      <c r="R1833" s="29" t="str">
        <f aca="false">IF(A1833="","",IF(COUNTIF(Anggota!$A$2:$A$2001,A1833)=0,"TIDAK ADA","OK"))</f>
        <v/>
      </c>
      <c r="S1833" s="29" t="str">
        <f aca="false">IF(H1833="","",IF(OR(J1833="",L1833=""),"-",IF(ABS(H1833-J1833*L1833)&gt;Info_Koperasi!$C$10,"SELISIH","OK")))</f>
        <v/>
      </c>
    </row>
    <row r="1834" customFormat="false" ht="15" hidden="false" customHeight="false" outlineLevel="0" collapsed="false">
      <c r="A1834" s="21"/>
      <c r="B1834" s="22"/>
      <c r="C1834" s="21"/>
      <c r="D1834" s="21"/>
      <c r="E1834" s="28"/>
      <c r="F1834" s="24"/>
      <c r="G1834" s="26"/>
      <c r="H1834" s="24"/>
      <c r="I1834" s="24"/>
      <c r="J1834" s="24"/>
      <c r="K1834" s="24"/>
      <c r="L1834" s="26"/>
      <c r="M1834" s="26"/>
      <c r="N1834" s="22"/>
      <c r="O1834" s="21"/>
      <c r="P1834" s="22"/>
      <c r="Q1834" s="29" t="str">
        <f aca="false">IF(C1834="","",IF(O1834&lt;&gt;"",O1834,IFERROR(INDEX(Produk!$J$2:$J$100,MATCH(C1834,Produk!$A$2:$A$100,0)),"PRODUK?")))</f>
        <v/>
      </c>
      <c r="R1834" s="29" t="str">
        <f aca="false">IF(A1834="","",IF(COUNTIF(Anggota!$A$2:$A$2001,A1834)=0,"TIDAK ADA","OK"))</f>
        <v/>
      </c>
      <c r="S1834" s="29" t="str">
        <f aca="false">IF(H1834="","",IF(OR(J1834="",L1834=""),"-",IF(ABS(H1834-J1834*L1834)&gt;Info_Koperasi!$C$10,"SELISIH","OK")))</f>
        <v/>
      </c>
    </row>
    <row r="1835" customFormat="false" ht="15" hidden="false" customHeight="false" outlineLevel="0" collapsed="false">
      <c r="A1835" s="21"/>
      <c r="B1835" s="22"/>
      <c r="C1835" s="21"/>
      <c r="D1835" s="21"/>
      <c r="E1835" s="28"/>
      <c r="F1835" s="24"/>
      <c r="G1835" s="26"/>
      <c r="H1835" s="24"/>
      <c r="I1835" s="24"/>
      <c r="J1835" s="24"/>
      <c r="K1835" s="24"/>
      <c r="L1835" s="26"/>
      <c r="M1835" s="26"/>
      <c r="N1835" s="22"/>
      <c r="O1835" s="21"/>
      <c r="P1835" s="22"/>
      <c r="Q1835" s="29" t="str">
        <f aca="false">IF(C1835="","",IF(O1835&lt;&gt;"",O1835,IFERROR(INDEX(Produk!$J$2:$J$100,MATCH(C1835,Produk!$A$2:$A$100,0)),"PRODUK?")))</f>
        <v/>
      </c>
      <c r="R1835" s="29" t="str">
        <f aca="false">IF(A1835="","",IF(COUNTIF(Anggota!$A$2:$A$2001,A1835)=0,"TIDAK ADA","OK"))</f>
        <v/>
      </c>
      <c r="S1835" s="29" t="str">
        <f aca="false">IF(H1835="","",IF(OR(J1835="",L1835=""),"-",IF(ABS(H1835-J1835*L1835)&gt;Info_Koperasi!$C$10,"SELISIH","OK")))</f>
        <v/>
      </c>
    </row>
    <row r="1836" customFormat="false" ht="15" hidden="false" customHeight="false" outlineLevel="0" collapsed="false">
      <c r="A1836" s="21"/>
      <c r="B1836" s="22"/>
      <c r="C1836" s="21"/>
      <c r="D1836" s="21"/>
      <c r="E1836" s="28"/>
      <c r="F1836" s="24"/>
      <c r="G1836" s="26"/>
      <c r="H1836" s="24"/>
      <c r="I1836" s="24"/>
      <c r="J1836" s="24"/>
      <c r="K1836" s="24"/>
      <c r="L1836" s="26"/>
      <c r="M1836" s="26"/>
      <c r="N1836" s="22"/>
      <c r="O1836" s="21"/>
      <c r="P1836" s="22"/>
      <c r="Q1836" s="29" t="str">
        <f aca="false">IF(C1836="","",IF(O1836&lt;&gt;"",O1836,IFERROR(INDEX(Produk!$J$2:$J$100,MATCH(C1836,Produk!$A$2:$A$100,0)),"PRODUK?")))</f>
        <v/>
      </c>
      <c r="R1836" s="29" t="str">
        <f aca="false">IF(A1836="","",IF(COUNTIF(Anggota!$A$2:$A$2001,A1836)=0,"TIDAK ADA","OK"))</f>
        <v/>
      </c>
      <c r="S1836" s="29" t="str">
        <f aca="false">IF(H1836="","",IF(OR(J1836="",L1836=""),"-",IF(ABS(H1836-J1836*L1836)&gt;Info_Koperasi!$C$10,"SELISIH","OK")))</f>
        <v/>
      </c>
    </row>
    <row r="1837" customFormat="false" ht="15" hidden="false" customHeight="false" outlineLevel="0" collapsed="false">
      <c r="A1837" s="21"/>
      <c r="B1837" s="22"/>
      <c r="C1837" s="21"/>
      <c r="D1837" s="21"/>
      <c r="E1837" s="28"/>
      <c r="F1837" s="24"/>
      <c r="G1837" s="26"/>
      <c r="H1837" s="24"/>
      <c r="I1837" s="24"/>
      <c r="J1837" s="24"/>
      <c r="K1837" s="24"/>
      <c r="L1837" s="26"/>
      <c r="M1837" s="26"/>
      <c r="N1837" s="22"/>
      <c r="O1837" s="21"/>
      <c r="P1837" s="22"/>
      <c r="Q1837" s="29" t="str">
        <f aca="false">IF(C1837="","",IF(O1837&lt;&gt;"",O1837,IFERROR(INDEX(Produk!$J$2:$J$100,MATCH(C1837,Produk!$A$2:$A$100,0)),"PRODUK?")))</f>
        <v/>
      </c>
      <c r="R1837" s="29" t="str">
        <f aca="false">IF(A1837="","",IF(COUNTIF(Anggota!$A$2:$A$2001,A1837)=0,"TIDAK ADA","OK"))</f>
        <v/>
      </c>
      <c r="S1837" s="29" t="str">
        <f aca="false">IF(H1837="","",IF(OR(J1837="",L1837=""),"-",IF(ABS(H1837-J1837*L1837)&gt;Info_Koperasi!$C$10,"SELISIH","OK")))</f>
        <v/>
      </c>
    </row>
    <row r="1838" customFormat="false" ht="15" hidden="false" customHeight="false" outlineLevel="0" collapsed="false">
      <c r="A1838" s="21"/>
      <c r="B1838" s="22"/>
      <c r="C1838" s="21"/>
      <c r="D1838" s="21"/>
      <c r="E1838" s="28"/>
      <c r="F1838" s="24"/>
      <c r="G1838" s="26"/>
      <c r="H1838" s="24"/>
      <c r="I1838" s="24"/>
      <c r="J1838" s="24"/>
      <c r="K1838" s="24"/>
      <c r="L1838" s="26"/>
      <c r="M1838" s="26"/>
      <c r="N1838" s="22"/>
      <c r="O1838" s="21"/>
      <c r="P1838" s="22"/>
      <c r="Q1838" s="29" t="str">
        <f aca="false">IF(C1838="","",IF(O1838&lt;&gt;"",O1838,IFERROR(INDEX(Produk!$J$2:$J$100,MATCH(C1838,Produk!$A$2:$A$100,0)),"PRODUK?")))</f>
        <v/>
      </c>
      <c r="R1838" s="29" t="str">
        <f aca="false">IF(A1838="","",IF(COUNTIF(Anggota!$A$2:$A$2001,A1838)=0,"TIDAK ADA","OK"))</f>
        <v/>
      </c>
      <c r="S1838" s="29" t="str">
        <f aca="false">IF(H1838="","",IF(OR(J1838="",L1838=""),"-",IF(ABS(H1838-J1838*L1838)&gt;Info_Koperasi!$C$10,"SELISIH","OK")))</f>
        <v/>
      </c>
    </row>
    <row r="1839" customFormat="false" ht="15" hidden="false" customHeight="false" outlineLevel="0" collapsed="false">
      <c r="A1839" s="21"/>
      <c r="B1839" s="22"/>
      <c r="C1839" s="21"/>
      <c r="D1839" s="21"/>
      <c r="E1839" s="28"/>
      <c r="F1839" s="24"/>
      <c r="G1839" s="26"/>
      <c r="H1839" s="24"/>
      <c r="I1839" s="24"/>
      <c r="J1839" s="24"/>
      <c r="K1839" s="24"/>
      <c r="L1839" s="26"/>
      <c r="M1839" s="26"/>
      <c r="N1839" s="22"/>
      <c r="O1839" s="21"/>
      <c r="P1839" s="22"/>
      <c r="Q1839" s="29" t="str">
        <f aca="false">IF(C1839="","",IF(O1839&lt;&gt;"",O1839,IFERROR(INDEX(Produk!$J$2:$J$100,MATCH(C1839,Produk!$A$2:$A$100,0)),"PRODUK?")))</f>
        <v/>
      </c>
      <c r="R1839" s="29" t="str">
        <f aca="false">IF(A1839="","",IF(COUNTIF(Anggota!$A$2:$A$2001,A1839)=0,"TIDAK ADA","OK"))</f>
        <v/>
      </c>
      <c r="S1839" s="29" t="str">
        <f aca="false">IF(H1839="","",IF(OR(J1839="",L1839=""),"-",IF(ABS(H1839-J1839*L1839)&gt;Info_Koperasi!$C$10,"SELISIH","OK")))</f>
        <v/>
      </c>
    </row>
    <row r="1840" customFormat="false" ht="15" hidden="false" customHeight="false" outlineLevel="0" collapsed="false">
      <c r="A1840" s="21"/>
      <c r="B1840" s="22"/>
      <c r="C1840" s="21"/>
      <c r="D1840" s="21"/>
      <c r="E1840" s="28"/>
      <c r="F1840" s="24"/>
      <c r="G1840" s="26"/>
      <c r="H1840" s="24"/>
      <c r="I1840" s="24"/>
      <c r="J1840" s="24"/>
      <c r="K1840" s="24"/>
      <c r="L1840" s="26"/>
      <c r="M1840" s="26"/>
      <c r="N1840" s="22"/>
      <c r="O1840" s="21"/>
      <c r="P1840" s="22"/>
      <c r="Q1840" s="29" t="str">
        <f aca="false">IF(C1840="","",IF(O1840&lt;&gt;"",O1840,IFERROR(INDEX(Produk!$J$2:$J$100,MATCH(C1840,Produk!$A$2:$A$100,0)),"PRODUK?")))</f>
        <v/>
      </c>
      <c r="R1840" s="29" t="str">
        <f aca="false">IF(A1840="","",IF(COUNTIF(Anggota!$A$2:$A$2001,A1840)=0,"TIDAK ADA","OK"))</f>
        <v/>
      </c>
      <c r="S1840" s="29" t="str">
        <f aca="false">IF(H1840="","",IF(OR(J1840="",L1840=""),"-",IF(ABS(H1840-J1840*L1840)&gt;Info_Koperasi!$C$10,"SELISIH","OK")))</f>
        <v/>
      </c>
    </row>
    <row r="1841" customFormat="false" ht="15" hidden="false" customHeight="false" outlineLevel="0" collapsed="false">
      <c r="A1841" s="21"/>
      <c r="B1841" s="22"/>
      <c r="C1841" s="21"/>
      <c r="D1841" s="21"/>
      <c r="E1841" s="28"/>
      <c r="F1841" s="24"/>
      <c r="G1841" s="26"/>
      <c r="H1841" s="24"/>
      <c r="I1841" s="24"/>
      <c r="J1841" s="24"/>
      <c r="K1841" s="24"/>
      <c r="L1841" s="26"/>
      <c r="M1841" s="26"/>
      <c r="N1841" s="22"/>
      <c r="O1841" s="21"/>
      <c r="P1841" s="22"/>
      <c r="Q1841" s="29" t="str">
        <f aca="false">IF(C1841="","",IF(O1841&lt;&gt;"",O1841,IFERROR(INDEX(Produk!$J$2:$J$100,MATCH(C1841,Produk!$A$2:$A$100,0)),"PRODUK?")))</f>
        <v/>
      </c>
      <c r="R1841" s="29" t="str">
        <f aca="false">IF(A1841="","",IF(COUNTIF(Anggota!$A$2:$A$2001,A1841)=0,"TIDAK ADA","OK"))</f>
        <v/>
      </c>
      <c r="S1841" s="29" t="str">
        <f aca="false">IF(H1841="","",IF(OR(J1841="",L1841=""),"-",IF(ABS(H1841-J1841*L1841)&gt;Info_Koperasi!$C$10,"SELISIH","OK")))</f>
        <v/>
      </c>
    </row>
    <row r="1842" customFormat="false" ht="15" hidden="false" customHeight="false" outlineLevel="0" collapsed="false">
      <c r="A1842" s="21"/>
      <c r="B1842" s="22"/>
      <c r="C1842" s="21"/>
      <c r="D1842" s="21"/>
      <c r="E1842" s="28"/>
      <c r="F1842" s="24"/>
      <c r="G1842" s="26"/>
      <c r="H1842" s="24"/>
      <c r="I1842" s="24"/>
      <c r="J1842" s="24"/>
      <c r="K1842" s="24"/>
      <c r="L1842" s="26"/>
      <c r="M1842" s="26"/>
      <c r="N1842" s="22"/>
      <c r="O1842" s="21"/>
      <c r="P1842" s="22"/>
      <c r="Q1842" s="29" t="str">
        <f aca="false">IF(C1842="","",IF(O1842&lt;&gt;"",O1842,IFERROR(INDEX(Produk!$J$2:$J$100,MATCH(C1842,Produk!$A$2:$A$100,0)),"PRODUK?")))</f>
        <v/>
      </c>
      <c r="R1842" s="29" t="str">
        <f aca="false">IF(A1842="","",IF(COUNTIF(Anggota!$A$2:$A$2001,A1842)=0,"TIDAK ADA","OK"))</f>
        <v/>
      </c>
      <c r="S1842" s="29" t="str">
        <f aca="false">IF(H1842="","",IF(OR(J1842="",L1842=""),"-",IF(ABS(H1842-J1842*L1842)&gt;Info_Koperasi!$C$10,"SELISIH","OK")))</f>
        <v/>
      </c>
    </row>
    <row r="1843" customFormat="false" ht="15" hidden="false" customHeight="false" outlineLevel="0" collapsed="false">
      <c r="A1843" s="21"/>
      <c r="B1843" s="22"/>
      <c r="C1843" s="21"/>
      <c r="D1843" s="21"/>
      <c r="E1843" s="28"/>
      <c r="F1843" s="24"/>
      <c r="G1843" s="26"/>
      <c r="H1843" s="24"/>
      <c r="I1843" s="24"/>
      <c r="J1843" s="24"/>
      <c r="K1843" s="24"/>
      <c r="L1843" s="26"/>
      <c r="M1843" s="26"/>
      <c r="N1843" s="22"/>
      <c r="O1843" s="21"/>
      <c r="P1843" s="22"/>
      <c r="Q1843" s="29" t="str">
        <f aca="false">IF(C1843="","",IF(O1843&lt;&gt;"",O1843,IFERROR(INDEX(Produk!$J$2:$J$100,MATCH(C1843,Produk!$A$2:$A$100,0)),"PRODUK?")))</f>
        <v/>
      </c>
      <c r="R1843" s="29" t="str">
        <f aca="false">IF(A1843="","",IF(COUNTIF(Anggota!$A$2:$A$2001,A1843)=0,"TIDAK ADA","OK"))</f>
        <v/>
      </c>
      <c r="S1843" s="29" t="str">
        <f aca="false">IF(H1843="","",IF(OR(J1843="",L1843=""),"-",IF(ABS(H1843-J1843*L1843)&gt;Info_Koperasi!$C$10,"SELISIH","OK")))</f>
        <v/>
      </c>
    </row>
    <row r="1844" customFormat="false" ht="15" hidden="false" customHeight="false" outlineLevel="0" collapsed="false">
      <c r="A1844" s="21"/>
      <c r="B1844" s="22"/>
      <c r="C1844" s="21"/>
      <c r="D1844" s="21"/>
      <c r="E1844" s="28"/>
      <c r="F1844" s="24"/>
      <c r="G1844" s="26"/>
      <c r="H1844" s="24"/>
      <c r="I1844" s="24"/>
      <c r="J1844" s="24"/>
      <c r="K1844" s="24"/>
      <c r="L1844" s="26"/>
      <c r="M1844" s="26"/>
      <c r="N1844" s="22"/>
      <c r="O1844" s="21"/>
      <c r="P1844" s="22"/>
      <c r="Q1844" s="29" t="str">
        <f aca="false">IF(C1844="","",IF(O1844&lt;&gt;"",O1844,IFERROR(INDEX(Produk!$J$2:$J$100,MATCH(C1844,Produk!$A$2:$A$100,0)),"PRODUK?")))</f>
        <v/>
      </c>
      <c r="R1844" s="29" t="str">
        <f aca="false">IF(A1844="","",IF(COUNTIF(Anggota!$A$2:$A$2001,A1844)=0,"TIDAK ADA","OK"))</f>
        <v/>
      </c>
      <c r="S1844" s="29" t="str">
        <f aca="false">IF(H1844="","",IF(OR(J1844="",L1844=""),"-",IF(ABS(H1844-J1844*L1844)&gt;Info_Koperasi!$C$10,"SELISIH","OK")))</f>
        <v/>
      </c>
    </row>
    <row r="1845" customFormat="false" ht="15" hidden="false" customHeight="false" outlineLevel="0" collapsed="false">
      <c r="A1845" s="21"/>
      <c r="B1845" s="22"/>
      <c r="C1845" s="21"/>
      <c r="D1845" s="21"/>
      <c r="E1845" s="28"/>
      <c r="F1845" s="24"/>
      <c r="G1845" s="26"/>
      <c r="H1845" s="24"/>
      <c r="I1845" s="24"/>
      <c r="J1845" s="24"/>
      <c r="K1845" s="24"/>
      <c r="L1845" s="26"/>
      <c r="M1845" s="26"/>
      <c r="N1845" s="22"/>
      <c r="O1845" s="21"/>
      <c r="P1845" s="22"/>
      <c r="Q1845" s="29" t="str">
        <f aca="false">IF(C1845="","",IF(O1845&lt;&gt;"",O1845,IFERROR(INDEX(Produk!$J$2:$J$100,MATCH(C1845,Produk!$A$2:$A$100,0)),"PRODUK?")))</f>
        <v/>
      </c>
      <c r="R1845" s="29" t="str">
        <f aca="false">IF(A1845="","",IF(COUNTIF(Anggota!$A$2:$A$2001,A1845)=0,"TIDAK ADA","OK"))</f>
        <v/>
      </c>
      <c r="S1845" s="29" t="str">
        <f aca="false">IF(H1845="","",IF(OR(J1845="",L1845=""),"-",IF(ABS(H1845-J1845*L1845)&gt;Info_Koperasi!$C$10,"SELISIH","OK")))</f>
        <v/>
      </c>
    </row>
    <row r="1846" customFormat="false" ht="15" hidden="false" customHeight="false" outlineLevel="0" collapsed="false">
      <c r="A1846" s="21"/>
      <c r="B1846" s="22"/>
      <c r="C1846" s="21"/>
      <c r="D1846" s="21"/>
      <c r="E1846" s="28"/>
      <c r="F1846" s="24"/>
      <c r="G1846" s="26"/>
      <c r="H1846" s="24"/>
      <c r="I1846" s="24"/>
      <c r="J1846" s="24"/>
      <c r="K1846" s="24"/>
      <c r="L1846" s="26"/>
      <c r="M1846" s="26"/>
      <c r="N1846" s="22"/>
      <c r="O1846" s="21"/>
      <c r="P1846" s="22"/>
      <c r="Q1846" s="29" t="str">
        <f aca="false">IF(C1846="","",IF(O1846&lt;&gt;"",O1846,IFERROR(INDEX(Produk!$J$2:$J$100,MATCH(C1846,Produk!$A$2:$A$100,0)),"PRODUK?")))</f>
        <v/>
      </c>
      <c r="R1846" s="29" t="str">
        <f aca="false">IF(A1846="","",IF(COUNTIF(Anggota!$A$2:$A$2001,A1846)=0,"TIDAK ADA","OK"))</f>
        <v/>
      </c>
      <c r="S1846" s="29" t="str">
        <f aca="false">IF(H1846="","",IF(OR(J1846="",L1846=""),"-",IF(ABS(H1846-J1846*L1846)&gt;Info_Koperasi!$C$10,"SELISIH","OK")))</f>
        <v/>
      </c>
    </row>
    <row r="1847" customFormat="false" ht="15" hidden="false" customHeight="false" outlineLevel="0" collapsed="false">
      <c r="A1847" s="21"/>
      <c r="B1847" s="22"/>
      <c r="C1847" s="21"/>
      <c r="D1847" s="21"/>
      <c r="E1847" s="28"/>
      <c r="F1847" s="24"/>
      <c r="G1847" s="26"/>
      <c r="H1847" s="24"/>
      <c r="I1847" s="24"/>
      <c r="J1847" s="24"/>
      <c r="K1847" s="24"/>
      <c r="L1847" s="26"/>
      <c r="M1847" s="26"/>
      <c r="N1847" s="22"/>
      <c r="O1847" s="21"/>
      <c r="P1847" s="22"/>
      <c r="Q1847" s="29" t="str">
        <f aca="false">IF(C1847="","",IF(O1847&lt;&gt;"",O1847,IFERROR(INDEX(Produk!$J$2:$J$100,MATCH(C1847,Produk!$A$2:$A$100,0)),"PRODUK?")))</f>
        <v/>
      </c>
      <c r="R1847" s="29" t="str">
        <f aca="false">IF(A1847="","",IF(COUNTIF(Anggota!$A$2:$A$2001,A1847)=0,"TIDAK ADA","OK"))</f>
        <v/>
      </c>
      <c r="S1847" s="29" t="str">
        <f aca="false">IF(H1847="","",IF(OR(J1847="",L1847=""),"-",IF(ABS(H1847-J1847*L1847)&gt;Info_Koperasi!$C$10,"SELISIH","OK")))</f>
        <v/>
      </c>
    </row>
    <row r="1848" customFormat="false" ht="15" hidden="false" customHeight="false" outlineLevel="0" collapsed="false">
      <c r="A1848" s="21"/>
      <c r="B1848" s="22"/>
      <c r="C1848" s="21"/>
      <c r="D1848" s="21"/>
      <c r="E1848" s="28"/>
      <c r="F1848" s="24"/>
      <c r="G1848" s="26"/>
      <c r="H1848" s="24"/>
      <c r="I1848" s="24"/>
      <c r="J1848" s="24"/>
      <c r="K1848" s="24"/>
      <c r="L1848" s="26"/>
      <c r="M1848" s="26"/>
      <c r="N1848" s="22"/>
      <c r="O1848" s="21"/>
      <c r="P1848" s="22"/>
      <c r="Q1848" s="29" t="str">
        <f aca="false">IF(C1848="","",IF(O1848&lt;&gt;"",O1848,IFERROR(INDEX(Produk!$J$2:$J$100,MATCH(C1848,Produk!$A$2:$A$100,0)),"PRODUK?")))</f>
        <v/>
      </c>
      <c r="R1848" s="29" t="str">
        <f aca="false">IF(A1848="","",IF(COUNTIF(Anggota!$A$2:$A$2001,A1848)=0,"TIDAK ADA","OK"))</f>
        <v/>
      </c>
      <c r="S1848" s="29" t="str">
        <f aca="false">IF(H1848="","",IF(OR(J1848="",L1848=""),"-",IF(ABS(H1848-J1848*L1848)&gt;Info_Koperasi!$C$10,"SELISIH","OK")))</f>
        <v/>
      </c>
    </row>
    <row r="1849" customFormat="false" ht="15" hidden="false" customHeight="false" outlineLevel="0" collapsed="false">
      <c r="A1849" s="21"/>
      <c r="B1849" s="22"/>
      <c r="C1849" s="21"/>
      <c r="D1849" s="21"/>
      <c r="E1849" s="28"/>
      <c r="F1849" s="24"/>
      <c r="G1849" s="26"/>
      <c r="H1849" s="24"/>
      <c r="I1849" s="24"/>
      <c r="J1849" s="24"/>
      <c r="K1849" s="24"/>
      <c r="L1849" s="26"/>
      <c r="M1849" s="26"/>
      <c r="N1849" s="22"/>
      <c r="O1849" s="21"/>
      <c r="P1849" s="22"/>
      <c r="Q1849" s="29" t="str">
        <f aca="false">IF(C1849="","",IF(O1849&lt;&gt;"",O1849,IFERROR(INDEX(Produk!$J$2:$J$100,MATCH(C1849,Produk!$A$2:$A$100,0)),"PRODUK?")))</f>
        <v/>
      </c>
      <c r="R1849" s="29" t="str">
        <f aca="false">IF(A1849="","",IF(COUNTIF(Anggota!$A$2:$A$2001,A1849)=0,"TIDAK ADA","OK"))</f>
        <v/>
      </c>
      <c r="S1849" s="29" t="str">
        <f aca="false">IF(H1849="","",IF(OR(J1849="",L1849=""),"-",IF(ABS(H1849-J1849*L1849)&gt;Info_Koperasi!$C$10,"SELISIH","OK")))</f>
        <v/>
      </c>
    </row>
    <row r="1850" customFormat="false" ht="15" hidden="false" customHeight="false" outlineLevel="0" collapsed="false">
      <c r="A1850" s="21"/>
      <c r="B1850" s="22"/>
      <c r="C1850" s="21"/>
      <c r="D1850" s="21"/>
      <c r="E1850" s="28"/>
      <c r="F1850" s="24"/>
      <c r="G1850" s="26"/>
      <c r="H1850" s="24"/>
      <c r="I1850" s="24"/>
      <c r="J1850" s="24"/>
      <c r="K1850" s="24"/>
      <c r="L1850" s="26"/>
      <c r="M1850" s="26"/>
      <c r="N1850" s="22"/>
      <c r="O1850" s="21"/>
      <c r="P1850" s="22"/>
      <c r="Q1850" s="29" t="str">
        <f aca="false">IF(C1850="","",IF(O1850&lt;&gt;"",O1850,IFERROR(INDEX(Produk!$J$2:$J$100,MATCH(C1850,Produk!$A$2:$A$100,0)),"PRODUK?")))</f>
        <v/>
      </c>
      <c r="R1850" s="29" t="str">
        <f aca="false">IF(A1850="","",IF(COUNTIF(Anggota!$A$2:$A$2001,A1850)=0,"TIDAK ADA","OK"))</f>
        <v/>
      </c>
      <c r="S1850" s="29" t="str">
        <f aca="false">IF(H1850="","",IF(OR(J1850="",L1850=""),"-",IF(ABS(H1850-J1850*L1850)&gt;Info_Koperasi!$C$10,"SELISIH","OK")))</f>
        <v/>
      </c>
    </row>
    <row r="1851" customFormat="false" ht="15" hidden="false" customHeight="false" outlineLevel="0" collapsed="false">
      <c r="A1851" s="21"/>
      <c r="B1851" s="22"/>
      <c r="C1851" s="21"/>
      <c r="D1851" s="21"/>
      <c r="E1851" s="28"/>
      <c r="F1851" s="24"/>
      <c r="G1851" s="26"/>
      <c r="H1851" s="24"/>
      <c r="I1851" s="24"/>
      <c r="J1851" s="24"/>
      <c r="K1851" s="24"/>
      <c r="L1851" s="26"/>
      <c r="M1851" s="26"/>
      <c r="N1851" s="22"/>
      <c r="O1851" s="21"/>
      <c r="P1851" s="22"/>
      <c r="Q1851" s="29" t="str">
        <f aca="false">IF(C1851="","",IF(O1851&lt;&gt;"",O1851,IFERROR(INDEX(Produk!$J$2:$J$100,MATCH(C1851,Produk!$A$2:$A$100,0)),"PRODUK?")))</f>
        <v/>
      </c>
      <c r="R1851" s="29" t="str">
        <f aca="false">IF(A1851="","",IF(COUNTIF(Anggota!$A$2:$A$2001,A1851)=0,"TIDAK ADA","OK"))</f>
        <v/>
      </c>
      <c r="S1851" s="29" t="str">
        <f aca="false">IF(H1851="","",IF(OR(J1851="",L1851=""),"-",IF(ABS(H1851-J1851*L1851)&gt;Info_Koperasi!$C$10,"SELISIH","OK")))</f>
        <v/>
      </c>
    </row>
    <row r="1852" customFormat="false" ht="15" hidden="false" customHeight="false" outlineLevel="0" collapsed="false">
      <c r="A1852" s="21"/>
      <c r="B1852" s="22"/>
      <c r="C1852" s="21"/>
      <c r="D1852" s="21"/>
      <c r="E1852" s="28"/>
      <c r="F1852" s="24"/>
      <c r="G1852" s="26"/>
      <c r="H1852" s="24"/>
      <c r="I1852" s="24"/>
      <c r="J1852" s="24"/>
      <c r="K1852" s="24"/>
      <c r="L1852" s="26"/>
      <c r="M1852" s="26"/>
      <c r="N1852" s="22"/>
      <c r="O1852" s="21"/>
      <c r="P1852" s="22"/>
      <c r="Q1852" s="29" t="str">
        <f aca="false">IF(C1852="","",IF(O1852&lt;&gt;"",O1852,IFERROR(INDEX(Produk!$J$2:$J$100,MATCH(C1852,Produk!$A$2:$A$100,0)),"PRODUK?")))</f>
        <v/>
      </c>
      <c r="R1852" s="29" t="str">
        <f aca="false">IF(A1852="","",IF(COUNTIF(Anggota!$A$2:$A$2001,A1852)=0,"TIDAK ADA","OK"))</f>
        <v/>
      </c>
      <c r="S1852" s="29" t="str">
        <f aca="false">IF(H1852="","",IF(OR(J1852="",L1852=""),"-",IF(ABS(H1852-J1852*L1852)&gt;Info_Koperasi!$C$10,"SELISIH","OK")))</f>
        <v/>
      </c>
    </row>
    <row r="1853" customFormat="false" ht="15" hidden="false" customHeight="false" outlineLevel="0" collapsed="false">
      <c r="A1853" s="21"/>
      <c r="B1853" s="22"/>
      <c r="C1853" s="21"/>
      <c r="D1853" s="21"/>
      <c r="E1853" s="28"/>
      <c r="F1853" s="24"/>
      <c r="G1853" s="26"/>
      <c r="H1853" s="24"/>
      <c r="I1853" s="24"/>
      <c r="J1853" s="24"/>
      <c r="K1853" s="24"/>
      <c r="L1853" s="26"/>
      <c r="M1853" s="26"/>
      <c r="N1853" s="22"/>
      <c r="O1853" s="21"/>
      <c r="P1853" s="22"/>
      <c r="Q1853" s="29" t="str">
        <f aca="false">IF(C1853="","",IF(O1853&lt;&gt;"",O1853,IFERROR(INDEX(Produk!$J$2:$J$100,MATCH(C1853,Produk!$A$2:$A$100,0)),"PRODUK?")))</f>
        <v/>
      </c>
      <c r="R1853" s="29" t="str">
        <f aca="false">IF(A1853="","",IF(COUNTIF(Anggota!$A$2:$A$2001,A1853)=0,"TIDAK ADA","OK"))</f>
        <v/>
      </c>
      <c r="S1853" s="29" t="str">
        <f aca="false">IF(H1853="","",IF(OR(J1853="",L1853=""),"-",IF(ABS(H1853-J1853*L1853)&gt;Info_Koperasi!$C$10,"SELISIH","OK")))</f>
        <v/>
      </c>
    </row>
    <row r="1854" customFormat="false" ht="15" hidden="false" customHeight="false" outlineLevel="0" collapsed="false">
      <c r="A1854" s="21"/>
      <c r="B1854" s="22"/>
      <c r="C1854" s="21"/>
      <c r="D1854" s="21"/>
      <c r="E1854" s="28"/>
      <c r="F1854" s="24"/>
      <c r="G1854" s="26"/>
      <c r="H1854" s="24"/>
      <c r="I1854" s="24"/>
      <c r="J1854" s="24"/>
      <c r="K1854" s="24"/>
      <c r="L1854" s="26"/>
      <c r="M1854" s="26"/>
      <c r="N1854" s="22"/>
      <c r="O1854" s="21"/>
      <c r="P1854" s="22"/>
      <c r="Q1854" s="29" t="str">
        <f aca="false">IF(C1854="","",IF(O1854&lt;&gt;"",O1854,IFERROR(INDEX(Produk!$J$2:$J$100,MATCH(C1854,Produk!$A$2:$A$100,0)),"PRODUK?")))</f>
        <v/>
      </c>
      <c r="R1854" s="29" t="str">
        <f aca="false">IF(A1854="","",IF(COUNTIF(Anggota!$A$2:$A$2001,A1854)=0,"TIDAK ADA","OK"))</f>
        <v/>
      </c>
      <c r="S1854" s="29" t="str">
        <f aca="false">IF(H1854="","",IF(OR(J1854="",L1854=""),"-",IF(ABS(H1854-J1854*L1854)&gt;Info_Koperasi!$C$10,"SELISIH","OK")))</f>
        <v/>
      </c>
    </row>
    <row r="1855" customFormat="false" ht="15" hidden="false" customHeight="false" outlineLevel="0" collapsed="false">
      <c r="A1855" s="21"/>
      <c r="B1855" s="22"/>
      <c r="C1855" s="21"/>
      <c r="D1855" s="21"/>
      <c r="E1855" s="28"/>
      <c r="F1855" s="24"/>
      <c r="G1855" s="26"/>
      <c r="H1855" s="24"/>
      <c r="I1855" s="24"/>
      <c r="J1855" s="24"/>
      <c r="K1855" s="24"/>
      <c r="L1855" s="26"/>
      <c r="M1855" s="26"/>
      <c r="N1855" s="22"/>
      <c r="O1855" s="21"/>
      <c r="P1855" s="22"/>
      <c r="Q1855" s="29" t="str">
        <f aca="false">IF(C1855="","",IF(O1855&lt;&gt;"",O1855,IFERROR(INDEX(Produk!$J$2:$J$100,MATCH(C1855,Produk!$A$2:$A$100,0)),"PRODUK?")))</f>
        <v/>
      </c>
      <c r="R1855" s="29" t="str">
        <f aca="false">IF(A1855="","",IF(COUNTIF(Anggota!$A$2:$A$2001,A1855)=0,"TIDAK ADA","OK"))</f>
        <v/>
      </c>
      <c r="S1855" s="29" t="str">
        <f aca="false">IF(H1855="","",IF(OR(J1855="",L1855=""),"-",IF(ABS(H1855-J1855*L1855)&gt;Info_Koperasi!$C$10,"SELISIH","OK")))</f>
        <v/>
      </c>
    </row>
    <row r="1856" customFormat="false" ht="15" hidden="false" customHeight="false" outlineLevel="0" collapsed="false">
      <c r="A1856" s="21"/>
      <c r="B1856" s="22"/>
      <c r="C1856" s="21"/>
      <c r="D1856" s="21"/>
      <c r="E1856" s="28"/>
      <c r="F1856" s="24"/>
      <c r="G1856" s="26"/>
      <c r="H1856" s="24"/>
      <c r="I1856" s="24"/>
      <c r="J1856" s="24"/>
      <c r="K1856" s="24"/>
      <c r="L1856" s="26"/>
      <c r="M1856" s="26"/>
      <c r="N1856" s="22"/>
      <c r="O1856" s="21"/>
      <c r="P1856" s="22"/>
      <c r="Q1856" s="29" t="str">
        <f aca="false">IF(C1856="","",IF(O1856&lt;&gt;"",O1856,IFERROR(INDEX(Produk!$J$2:$J$100,MATCH(C1856,Produk!$A$2:$A$100,0)),"PRODUK?")))</f>
        <v/>
      </c>
      <c r="R1856" s="29" t="str">
        <f aca="false">IF(A1856="","",IF(COUNTIF(Anggota!$A$2:$A$2001,A1856)=0,"TIDAK ADA","OK"))</f>
        <v/>
      </c>
      <c r="S1856" s="29" t="str">
        <f aca="false">IF(H1856="","",IF(OR(J1856="",L1856=""),"-",IF(ABS(H1856-J1856*L1856)&gt;Info_Koperasi!$C$10,"SELISIH","OK")))</f>
        <v/>
      </c>
    </row>
    <row r="1857" customFormat="false" ht="15" hidden="false" customHeight="false" outlineLevel="0" collapsed="false">
      <c r="A1857" s="21"/>
      <c r="B1857" s="22"/>
      <c r="C1857" s="21"/>
      <c r="D1857" s="21"/>
      <c r="E1857" s="28"/>
      <c r="F1857" s="24"/>
      <c r="G1857" s="26"/>
      <c r="H1857" s="24"/>
      <c r="I1857" s="24"/>
      <c r="J1857" s="24"/>
      <c r="K1857" s="24"/>
      <c r="L1857" s="26"/>
      <c r="M1857" s="26"/>
      <c r="N1857" s="22"/>
      <c r="O1857" s="21"/>
      <c r="P1857" s="22"/>
      <c r="Q1857" s="29" t="str">
        <f aca="false">IF(C1857="","",IF(O1857&lt;&gt;"",O1857,IFERROR(INDEX(Produk!$J$2:$J$100,MATCH(C1857,Produk!$A$2:$A$100,0)),"PRODUK?")))</f>
        <v/>
      </c>
      <c r="R1857" s="29" t="str">
        <f aca="false">IF(A1857="","",IF(COUNTIF(Anggota!$A$2:$A$2001,A1857)=0,"TIDAK ADA","OK"))</f>
        <v/>
      </c>
      <c r="S1857" s="29" t="str">
        <f aca="false">IF(H1857="","",IF(OR(J1857="",L1857=""),"-",IF(ABS(H1857-J1857*L1857)&gt;Info_Koperasi!$C$10,"SELISIH","OK")))</f>
        <v/>
      </c>
    </row>
    <row r="1858" customFormat="false" ht="15" hidden="false" customHeight="false" outlineLevel="0" collapsed="false">
      <c r="A1858" s="21"/>
      <c r="B1858" s="22"/>
      <c r="C1858" s="21"/>
      <c r="D1858" s="21"/>
      <c r="E1858" s="28"/>
      <c r="F1858" s="24"/>
      <c r="G1858" s="26"/>
      <c r="H1858" s="24"/>
      <c r="I1858" s="24"/>
      <c r="J1858" s="24"/>
      <c r="K1858" s="24"/>
      <c r="L1858" s="26"/>
      <c r="M1858" s="26"/>
      <c r="N1858" s="22"/>
      <c r="O1858" s="21"/>
      <c r="P1858" s="22"/>
      <c r="Q1858" s="29" t="str">
        <f aca="false">IF(C1858="","",IF(O1858&lt;&gt;"",O1858,IFERROR(INDEX(Produk!$J$2:$J$100,MATCH(C1858,Produk!$A$2:$A$100,0)),"PRODUK?")))</f>
        <v/>
      </c>
      <c r="R1858" s="29" t="str">
        <f aca="false">IF(A1858="","",IF(COUNTIF(Anggota!$A$2:$A$2001,A1858)=0,"TIDAK ADA","OK"))</f>
        <v/>
      </c>
      <c r="S1858" s="29" t="str">
        <f aca="false">IF(H1858="","",IF(OR(J1858="",L1858=""),"-",IF(ABS(H1858-J1858*L1858)&gt;Info_Koperasi!$C$10,"SELISIH","OK")))</f>
        <v/>
      </c>
    </row>
    <row r="1859" customFormat="false" ht="15" hidden="false" customHeight="false" outlineLevel="0" collapsed="false">
      <c r="A1859" s="21"/>
      <c r="B1859" s="22"/>
      <c r="C1859" s="21"/>
      <c r="D1859" s="21"/>
      <c r="E1859" s="28"/>
      <c r="F1859" s="24"/>
      <c r="G1859" s="26"/>
      <c r="H1859" s="24"/>
      <c r="I1859" s="24"/>
      <c r="J1859" s="24"/>
      <c r="K1859" s="24"/>
      <c r="L1859" s="26"/>
      <c r="M1859" s="26"/>
      <c r="N1859" s="22"/>
      <c r="O1859" s="21"/>
      <c r="P1859" s="22"/>
      <c r="Q1859" s="29" t="str">
        <f aca="false">IF(C1859="","",IF(O1859&lt;&gt;"",O1859,IFERROR(INDEX(Produk!$J$2:$J$100,MATCH(C1859,Produk!$A$2:$A$100,0)),"PRODUK?")))</f>
        <v/>
      </c>
      <c r="R1859" s="29" t="str">
        <f aca="false">IF(A1859="","",IF(COUNTIF(Anggota!$A$2:$A$2001,A1859)=0,"TIDAK ADA","OK"))</f>
        <v/>
      </c>
      <c r="S1859" s="29" t="str">
        <f aca="false">IF(H1859="","",IF(OR(J1859="",L1859=""),"-",IF(ABS(H1859-J1859*L1859)&gt;Info_Koperasi!$C$10,"SELISIH","OK")))</f>
        <v/>
      </c>
    </row>
    <row r="1860" customFormat="false" ht="15" hidden="false" customHeight="false" outlineLevel="0" collapsed="false">
      <c r="A1860" s="21"/>
      <c r="B1860" s="22"/>
      <c r="C1860" s="21"/>
      <c r="D1860" s="21"/>
      <c r="E1860" s="28"/>
      <c r="F1860" s="24"/>
      <c r="G1860" s="26"/>
      <c r="H1860" s="24"/>
      <c r="I1860" s="24"/>
      <c r="J1860" s="24"/>
      <c r="K1860" s="24"/>
      <c r="L1860" s="26"/>
      <c r="M1860" s="26"/>
      <c r="N1860" s="22"/>
      <c r="O1860" s="21"/>
      <c r="P1860" s="22"/>
      <c r="Q1860" s="29" t="str">
        <f aca="false">IF(C1860="","",IF(O1860&lt;&gt;"",O1860,IFERROR(INDEX(Produk!$J$2:$J$100,MATCH(C1860,Produk!$A$2:$A$100,0)),"PRODUK?")))</f>
        <v/>
      </c>
      <c r="R1860" s="29" t="str">
        <f aca="false">IF(A1860="","",IF(COUNTIF(Anggota!$A$2:$A$2001,A1860)=0,"TIDAK ADA","OK"))</f>
        <v/>
      </c>
      <c r="S1860" s="29" t="str">
        <f aca="false">IF(H1860="","",IF(OR(J1860="",L1860=""),"-",IF(ABS(H1860-J1860*L1860)&gt;Info_Koperasi!$C$10,"SELISIH","OK")))</f>
        <v/>
      </c>
    </row>
    <row r="1861" customFormat="false" ht="15" hidden="false" customHeight="false" outlineLevel="0" collapsed="false">
      <c r="A1861" s="21"/>
      <c r="B1861" s="22"/>
      <c r="C1861" s="21"/>
      <c r="D1861" s="21"/>
      <c r="E1861" s="28"/>
      <c r="F1861" s="24"/>
      <c r="G1861" s="26"/>
      <c r="H1861" s="24"/>
      <c r="I1861" s="24"/>
      <c r="J1861" s="24"/>
      <c r="K1861" s="24"/>
      <c r="L1861" s="26"/>
      <c r="M1861" s="26"/>
      <c r="N1861" s="22"/>
      <c r="O1861" s="21"/>
      <c r="P1861" s="22"/>
      <c r="Q1861" s="29" t="str">
        <f aca="false">IF(C1861="","",IF(O1861&lt;&gt;"",O1861,IFERROR(INDEX(Produk!$J$2:$J$100,MATCH(C1861,Produk!$A$2:$A$100,0)),"PRODUK?")))</f>
        <v/>
      </c>
      <c r="R1861" s="29" t="str">
        <f aca="false">IF(A1861="","",IF(COUNTIF(Anggota!$A$2:$A$2001,A1861)=0,"TIDAK ADA","OK"))</f>
        <v/>
      </c>
      <c r="S1861" s="29" t="str">
        <f aca="false">IF(H1861="","",IF(OR(J1861="",L1861=""),"-",IF(ABS(H1861-J1861*L1861)&gt;Info_Koperasi!$C$10,"SELISIH","OK")))</f>
        <v/>
      </c>
    </row>
    <row r="1862" customFormat="false" ht="15" hidden="false" customHeight="false" outlineLevel="0" collapsed="false">
      <c r="A1862" s="21"/>
      <c r="B1862" s="22"/>
      <c r="C1862" s="21"/>
      <c r="D1862" s="21"/>
      <c r="E1862" s="28"/>
      <c r="F1862" s="24"/>
      <c r="G1862" s="26"/>
      <c r="H1862" s="24"/>
      <c r="I1862" s="24"/>
      <c r="J1862" s="24"/>
      <c r="K1862" s="24"/>
      <c r="L1862" s="26"/>
      <c r="M1862" s="26"/>
      <c r="N1862" s="22"/>
      <c r="O1862" s="21"/>
      <c r="P1862" s="22"/>
      <c r="Q1862" s="29" t="str">
        <f aca="false">IF(C1862="","",IF(O1862&lt;&gt;"",O1862,IFERROR(INDEX(Produk!$J$2:$J$100,MATCH(C1862,Produk!$A$2:$A$100,0)),"PRODUK?")))</f>
        <v/>
      </c>
      <c r="R1862" s="29" t="str">
        <f aca="false">IF(A1862="","",IF(COUNTIF(Anggota!$A$2:$A$2001,A1862)=0,"TIDAK ADA","OK"))</f>
        <v/>
      </c>
      <c r="S1862" s="29" t="str">
        <f aca="false">IF(H1862="","",IF(OR(J1862="",L1862=""),"-",IF(ABS(H1862-J1862*L1862)&gt;Info_Koperasi!$C$10,"SELISIH","OK")))</f>
        <v/>
      </c>
    </row>
    <row r="1863" customFormat="false" ht="15" hidden="false" customHeight="false" outlineLevel="0" collapsed="false">
      <c r="A1863" s="21"/>
      <c r="B1863" s="22"/>
      <c r="C1863" s="21"/>
      <c r="D1863" s="21"/>
      <c r="E1863" s="28"/>
      <c r="F1863" s="24"/>
      <c r="G1863" s="26"/>
      <c r="H1863" s="24"/>
      <c r="I1863" s="24"/>
      <c r="J1863" s="24"/>
      <c r="K1863" s="24"/>
      <c r="L1863" s="26"/>
      <c r="M1863" s="26"/>
      <c r="N1863" s="22"/>
      <c r="O1863" s="21"/>
      <c r="P1863" s="22"/>
      <c r="Q1863" s="29" t="str">
        <f aca="false">IF(C1863="","",IF(O1863&lt;&gt;"",O1863,IFERROR(INDEX(Produk!$J$2:$J$100,MATCH(C1863,Produk!$A$2:$A$100,0)),"PRODUK?")))</f>
        <v/>
      </c>
      <c r="R1863" s="29" t="str">
        <f aca="false">IF(A1863="","",IF(COUNTIF(Anggota!$A$2:$A$2001,A1863)=0,"TIDAK ADA","OK"))</f>
        <v/>
      </c>
      <c r="S1863" s="29" t="str">
        <f aca="false">IF(H1863="","",IF(OR(J1863="",L1863=""),"-",IF(ABS(H1863-J1863*L1863)&gt;Info_Koperasi!$C$10,"SELISIH","OK")))</f>
        <v/>
      </c>
    </row>
    <row r="1864" customFormat="false" ht="15" hidden="false" customHeight="false" outlineLevel="0" collapsed="false">
      <c r="A1864" s="21"/>
      <c r="B1864" s="22"/>
      <c r="C1864" s="21"/>
      <c r="D1864" s="21"/>
      <c r="E1864" s="28"/>
      <c r="F1864" s="24"/>
      <c r="G1864" s="26"/>
      <c r="H1864" s="24"/>
      <c r="I1864" s="24"/>
      <c r="J1864" s="24"/>
      <c r="K1864" s="24"/>
      <c r="L1864" s="26"/>
      <c r="M1864" s="26"/>
      <c r="N1864" s="22"/>
      <c r="O1864" s="21"/>
      <c r="P1864" s="22"/>
      <c r="Q1864" s="29" t="str">
        <f aca="false">IF(C1864="","",IF(O1864&lt;&gt;"",O1864,IFERROR(INDEX(Produk!$J$2:$J$100,MATCH(C1864,Produk!$A$2:$A$100,0)),"PRODUK?")))</f>
        <v/>
      </c>
      <c r="R1864" s="29" t="str">
        <f aca="false">IF(A1864="","",IF(COUNTIF(Anggota!$A$2:$A$2001,A1864)=0,"TIDAK ADA","OK"))</f>
        <v/>
      </c>
      <c r="S1864" s="29" t="str">
        <f aca="false">IF(H1864="","",IF(OR(J1864="",L1864=""),"-",IF(ABS(H1864-J1864*L1864)&gt;Info_Koperasi!$C$10,"SELISIH","OK")))</f>
        <v/>
      </c>
    </row>
    <row r="1865" customFormat="false" ht="15" hidden="false" customHeight="false" outlineLevel="0" collapsed="false">
      <c r="A1865" s="21"/>
      <c r="B1865" s="22"/>
      <c r="C1865" s="21"/>
      <c r="D1865" s="21"/>
      <c r="E1865" s="28"/>
      <c r="F1865" s="24"/>
      <c r="G1865" s="26"/>
      <c r="H1865" s="24"/>
      <c r="I1865" s="24"/>
      <c r="J1865" s="24"/>
      <c r="K1865" s="24"/>
      <c r="L1865" s="26"/>
      <c r="M1865" s="26"/>
      <c r="N1865" s="22"/>
      <c r="O1865" s="21"/>
      <c r="P1865" s="22"/>
      <c r="Q1865" s="29" t="str">
        <f aca="false">IF(C1865="","",IF(O1865&lt;&gt;"",O1865,IFERROR(INDEX(Produk!$J$2:$J$100,MATCH(C1865,Produk!$A$2:$A$100,0)),"PRODUK?")))</f>
        <v/>
      </c>
      <c r="R1865" s="29" t="str">
        <f aca="false">IF(A1865="","",IF(COUNTIF(Anggota!$A$2:$A$2001,A1865)=0,"TIDAK ADA","OK"))</f>
        <v/>
      </c>
      <c r="S1865" s="29" t="str">
        <f aca="false">IF(H1865="","",IF(OR(J1865="",L1865=""),"-",IF(ABS(H1865-J1865*L1865)&gt;Info_Koperasi!$C$10,"SELISIH","OK")))</f>
        <v/>
      </c>
    </row>
    <row r="1866" customFormat="false" ht="15" hidden="false" customHeight="false" outlineLevel="0" collapsed="false">
      <c r="A1866" s="21"/>
      <c r="B1866" s="22"/>
      <c r="C1866" s="21"/>
      <c r="D1866" s="21"/>
      <c r="E1866" s="28"/>
      <c r="F1866" s="24"/>
      <c r="G1866" s="26"/>
      <c r="H1866" s="24"/>
      <c r="I1866" s="24"/>
      <c r="J1866" s="24"/>
      <c r="K1866" s="24"/>
      <c r="L1866" s="26"/>
      <c r="M1866" s="26"/>
      <c r="N1866" s="22"/>
      <c r="O1866" s="21"/>
      <c r="P1866" s="22"/>
      <c r="Q1866" s="29" t="str">
        <f aca="false">IF(C1866="","",IF(O1866&lt;&gt;"",O1866,IFERROR(INDEX(Produk!$J$2:$J$100,MATCH(C1866,Produk!$A$2:$A$100,0)),"PRODUK?")))</f>
        <v/>
      </c>
      <c r="R1866" s="29" t="str">
        <f aca="false">IF(A1866="","",IF(COUNTIF(Anggota!$A$2:$A$2001,A1866)=0,"TIDAK ADA","OK"))</f>
        <v/>
      </c>
      <c r="S1866" s="29" t="str">
        <f aca="false">IF(H1866="","",IF(OR(J1866="",L1866=""),"-",IF(ABS(H1866-J1866*L1866)&gt;Info_Koperasi!$C$10,"SELISIH","OK")))</f>
        <v/>
      </c>
    </row>
    <row r="1867" customFormat="false" ht="15" hidden="false" customHeight="false" outlineLevel="0" collapsed="false">
      <c r="A1867" s="21"/>
      <c r="B1867" s="22"/>
      <c r="C1867" s="21"/>
      <c r="D1867" s="21"/>
      <c r="E1867" s="28"/>
      <c r="F1867" s="24"/>
      <c r="G1867" s="26"/>
      <c r="H1867" s="24"/>
      <c r="I1867" s="24"/>
      <c r="J1867" s="24"/>
      <c r="K1867" s="24"/>
      <c r="L1867" s="26"/>
      <c r="M1867" s="26"/>
      <c r="N1867" s="22"/>
      <c r="O1867" s="21"/>
      <c r="P1867" s="22"/>
      <c r="Q1867" s="29" t="str">
        <f aca="false">IF(C1867="","",IF(O1867&lt;&gt;"",O1867,IFERROR(INDEX(Produk!$J$2:$J$100,MATCH(C1867,Produk!$A$2:$A$100,0)),"PRODUK?")))</f>
        <v/>
      </c>
      <c r="R1867" s="29" t="str">
        <f aca="false">IF(A1867="","",IF(COUNTIF(Anggota!$A$2:$A$2001,A1867)=0,"TIDAK ADA","OK"))</f>
        <v/>
      </c>
      <c r="S1867" s="29" t="str">
        <f aca="false">IF(H1867="","",IF(OR(J1867="",L1867=""),"-",IF(ABS(H1867-J1867*L1867)&gt;Info_Koperasi!$C$10,"SELISIH","OK")))</f>
        <v/>
      </c>
    </row>
    <row r="1868" customFormat="false" ht="15" hidden="false" customHeight="false" outlineLevel="0" collapsed="false">
      <c r="A1868" s="21"/>
      <c r="B1868" s="22"/>
      <c r="C1868" s="21"/>
      <c r="D1868" s="21"/>
      <c r="E1868" s="28"/>
      <c r="F1868" s="24"/>
      <c r="G1868" s="26"/>
      <c r="H1868" s="24"/>
      <c r="I1868" s="24"/>
      <c r="J1868" s="24"/>
      <c r="K1868" s="24"/>
      <c r="L1868" s="26"/>
      <c r="M1868" s="26"/>
      <c r="N1868" s="22"/>
      <c r="O1868" s="21"/>
      <c r="P1868" s="22"/>
      <c r="Q1868" s="29" t="str">
        <f aca="false">IF(C1868="","",IF(O1868&lt;&gt;"",O1868,IFERROR(INDEX(Produk!$J$2:$J$100,MATCH(C1868,Produk!$A$2:$A$100,0)),"PRODUK?")))</f>
        <v/>
      </c>
      <c r="R1868" s="29" t="str">
        <f aca="false">IF(A1868="","",IF(COUNTIF(Anggota!$A$2:$A$2001,A1868)=0,"TIDAK ADA","OK"))</f>
        <v/>
      </c>
      <c r="S1868" s="29" t="str">
        <f aca="false">IF(H1868="","",IF(OR(J1868="",L1868=""),"-",IF(ABS(H1868-J1868*L1868)&gt;Info_Koperasi!$C$10,"SELISIH","OK")))</f>
        <v/>
      </c>
    </row>
    <row r="1869" customFormat="false" ht="15" hidden="false" customHeight="false" outlineLevel="0" collapsed="false">
      <c r="A1869" s="21"/>
      <c r="B1869" s="22"/>
      <c r="C1869" s="21"/>
      <c r="D1869" s="21"/>
      <c r="E1869" s="28"/>
      <c r="F1869" s="24"/>
      <c r="G1869" s="26"/>
      <c r="H1869" s="24"/>
      <c r="I1869" s="24"/>
      <c r="J1869" s="24"/>
      <c r="K1869" s="24"/>
      <c r="L1869" s="26"/>
      <c r="M1869" s="26"/>
      <c r="N1869" s="22"/>
      <c r="O1869" s="21"/>
      <c r="P1869" s="22"/>
      <c r="Q1869" s="29" t="str">
        <f aca="false">IF(C1869="","",IF(O1869&lt;&gt;"",O1869,IFERROR(INDEX(Produk!$J$2:$J$100,MATCH(C1869,Produk!$A$2:$A$100,0)),"PRODUK?")))</f>
        <v/>
      </c>
      <c r="R1869" s="29" t="str">
        <f aca="false">IF(A1869="","",IF(COUNTIF(Anggota!$A$2:$A$2001,A1869)=0,"TIDAK ADA","OK"))</f>
        <v/>
      </c>
      <c r="S1869" s="29" t="str">
        <f aca="false">IF(H1869="","",IF(OR(J1869="",L1869=""),"-",IF(ABS(H1869-J1869*L1869)&gt;Info_Koperasi!$C$10,"SELISIH","OK")))</f>
        <v/>
      </c>
    </row>
    <row r="1870" customFormat="false" ht="15" hidden="false" customHeight="false" outlineLevel="0" collapsed="false">
      <c r="A1870" s="21"/>
      <c r="B1870" s="22"/>
      <c r="C1870" s="21"/>
      <c r="D1870" s="21"/>
      <c r="E1870" s="28"/>
      <c r="F1870" s="24"/>
      <c r="G1870" s="26"/>
      <c r="H1870" s="24"/>
      <c r="I1870" s="24"/>
      <c r="J1870" s="24"/>
      <c r="K1870" s="24"/>
      <c r="L1870" s="26"/>
      <c r="M1870" s="26"/>
      <c r="N1870" s="22"/>
      <c r="O1870" s="21"/>
      <c r="P1870" s="22"/>
      <c r="Q1870" s="29" t="str">
        <f aca="false">IF(C1870="","",IF(O1870&lt;&gt;"",O1870,IFERROR(INDEX(Produk!$J$2:$J$100,MATCH(C1870,Produk!$A$2:$A$100,0)),"PRODUK?")))</f>
        <v/>
      </c>
      <c r="R1870" s="29" t="str">
        <f aca="false">IF(A1870="","",IF(COUNTIF(Anggota!$A$2:$A$2001,A1870)=0,"TIDAK ADA","OK"))</f>
        <v/>
      </c>
      <c r="S1870" s="29" t="str">
        <f aca="false">IF(H1870="","",IF(OR(J1870="",L1870=""),"-",IF(ABS(H1870-J1870*L1870)&gt;Info_Koperasi!$C$10,"SELISIH","OK")))</f>
        <v/>
      </c>
    </row>
    <row r="1871" customFormat="false" ht="15" hidden="false" customHeight="false" outlineLevel="0" collapsed="false">
      <c r="A1871" s="21"/>
      <c r="B1871" s="22"/>
      <c r="C1871" s="21"/>
      <c r="D1871" s="21"/>
      <c r="E1871" s="28"/>
      <c r="F1871" s="24"/>
      <c r="G1871" s="26"/>
      <c r="H1871" s="24"/>
      <c r="I1871" s="24"/>
      <c r="J1871" s="24"/>
      <c r="K1871" s="24"/>
      <c r="L1871" s="26"/>
      <c r="M1871" s="26"/>
      <c r="N1871" s="22"/>
      <c r="O1871" s="21"/>
      <c r="P1871" s="22"/>
      <c r="Q1871" s="29" t="str">
        <f aca="false">IF(C1871="","",IF(O1871&lt;&gt;"",O1871,IFERROR(INDEX(Produk!$J$2:$J$100,MATCH(C1871,Produk!$A$2:$A$100,0)),"PRODUK?")))</f>
        <v/>
      </c>
      <c r="R1871" s="29" t="str">
        <f aca="false">IF(A1871="","",IF(COUNTIF(Anggota!$A$2:$A$2001,A1871)=0,"TIDAK ADA","OK"))</f>
        <v/>
      </c>
      <c r="S1871" s="29" t="str">
        <f aca="false">IF(H1871="","",IF(OR(J1871="",L1871=""),"-",IF(ABS(H1871-J1871*L1871)&gt;Info_Koperasi!$C$10,"SELISIH","OK")))</f>
        <v/>
      </c>
    </row>
    <row r="1872" customFormat="false" ht="15" hidden="false" customHeight="false" outlineLevel="0" collapsed="false">
      <c r="A1872" s="21"/>
      <c r="B1872" s="22"/>
      <c r="C1872" s="21"/>
      <c r="D1872" s="21"/>
      <c r="E1872" s="28"/>
      <c r="F1872" s="24"/>
      <c r="G1872" s="26"/>
      <c r="H1872" s="24"/>
      <c r="I1872" s="24"/>
      <c r="J1872" s="24"/>
      <c r="K1872" s="24"/>
      <c r="L1872" s="26"/>
      <c r="M1872" s="26"/>
      <c r="N1872" s="22"/>
      <c r="O1872" s="21"/>
      <c r="P1872" s="22"/>
      <c r="Q1872" s="29" t="str">
        <f aca="false">IF(C1872="","",IF(O1872&lt;&gt;"",O1872,IFERROR(INDEX(Produk!$J$2:$J$100,MATCH(C1872,Produk!$A$2:$A$100,0)),"PRODUK?")))</f>
        <v/>
      </c>
      <c r="R1872" s="29" t="str">
        <f aca="false">IF(A1872="","",IF(COUNTIF(Anggota!$A$2:$A$2001,A1872)=0,"TIDAK ADA","OK"))</f>
        <v/>
      </c>
      <c r="S1872" s="29" t="str">
        <f aca="false">IF(H1872="","",IF(OR(J1872="",L1872=""),"-",IF(ABS(H1872-J1872*L1872)&gt;Info_Koperasi!$C$10,"SELISIH","OK")))</f>
        <v/>
      </c>
    </row>
    <row r="1873" customFormat="false" ht="15" hidden="false" customHeight="false" outlineLevel="0" collapsed="false">
      <c r="A1873" s="21"/>
      <c r="B1873" s="22"/>
      <c r="C1873" s="21"/>
      <c r="D1873" s="21"/>
      <c r="E1873" s="28"/>
      <c r="F1873" s="24"/>
      <c r="G1873" s="26"/>
      <c r="H1873" s="24"/>
      <c r="I1873" s="24"/>
      <c r="J1873" s="24"/>
      <c r="K1873" s="24"/>
      <c r="L1873" s="26"/>
      <c r="M1873" s="26"/>
      <c r="N1873" s="22"/>
      <c r="O1873" s="21"/>
      <c r="P1873" s="22"/>
      <c r="Q1873" s="29" t="str">
        <f aca="false">IF(C1873="","",IF(O1873&lt;&gt;"",O1873,IFERROR(INDEX(Produk!$J$2:$J$100,MATCH(C1873,Produk!$A$2:$A$100,0)),"PRODUK?")))</f>
        <v/>
      </c>
      <c r="R1873" s="29" t="str">
        <f aca="false">IF(A1873="","",IF(COUNTIF(Anggota!$A$2:$A$2001,A1873)=0,"TIDAK ADA","OK"))</f>
        <v/>
      </c>
      <c r="S1873" s="29" t="str">
        <f aca="false">IF(H1873="","",IF(OR(J1873="",L1873=""),"-",IF(ABS(H1873-J1873*L1873)&gt;Info_Koperasi!$C$10,"SELISIH","OK")))</f>
        <v/>
      </c>
    </row>
    <row r="1874" customFormat="false" ht="15" hidden="false" customHeight="false" outlineLevel="0" collapsed="false">
      <c r="A1874" s="21"/>
      <c r="B1874" s="22"/>
      <c r="C1874" s="21"/>
      <c r="D1874" s="21"/>
      <c r="E1874" s="28"/>
      <c r="F1874" s="24"/>
      <c r="G1874" s="26"/>
      <c r="H1874" s="24"/>
      <c r="I1874" s="24"/>
      <c r="J1874" s="24"/>
      <c r="K1874" s="24"/>
      <c r="L1874" s="26"/>
      <c r="M1874" s="26"/>
      <c r="N1874" s="22"/>
      <c r="O1874" s="21"/>
      <c r="P1874" s="22"/>
      <c r="Q1874" s="29" t="str">
        <f aca="false">IF(C1874="","",IF(O1874&lt;&gt;"",O1874,IFERROR(INDEX(Produk!$J$2:$J$100,MATCH(C1874,Produk!$A$2:$A$100,0)),"PRODUK?")))</f>
        <v/>
      </c>
      <c r="R1874" s="29" t="str">
        <f aca="false">IF(A1874="","",IF(COUNTIF(Anggota!$A$2:$A$2001,A1874)=0,"TIDAK ADA","OK"))</f>
        <v/>
      </c>
      <c r="S1874" s="29" t="str">
        <f aca="false">IF(H1874="","",IF(OR(J1874="",L1874=""),"-",IF(ABS(H1874-J1874*L1874)&gt;Info_Koperasi!$C$10,"SELISIH","OK")))</f>
        <v/>
      </c>
    </row>
    <row r="1875" customFormat="false" ht="15" hidden="false" customHeight="false" outlineLevel="0" collapsed="false">
      <c r="A1875" s="21"/>
      <c r="B1875" s="22"/>
      <c r="C1875" s="21"/>
      <c r="D1875" s="21"/>
      <c r="E1875" s="28"/>
      <c r="F1875" s="24"/>
      <c r="G1875" s="26"/>
      <c r="H1875" s="24"/>
      <c r="I1875" s="24"/>
      <c r="J1875" s="24"/>
      <c r="K1875" s="24"/>
      <c r="L1875" s="26"/>
      <c r="M1875" s="26"/>
      <c r="N1875" s="22"/>
      <c r="O1875" s="21"/>
      <c r="P1875" s="22"/>
      <c r="Q1875" s="29" t="str">
        <f aca="false">IF(C1875="","",IF(O1875&lt;&gt;"",O1875,IFERROR(INDEX(Produk!$J$2:$J$100,MATCH(C1875,Produk!$A$2:$A$100,0)),"PRODUK?")))</f>
        <v/>
      </c>
      <c r="R1875" s="29" t="str">
        <f aca="false">IF(A1875="","",IF(COUNTIF(Anggota!$A$2:$A$2001,A1875)=0,"TIDAK ADA","OK"))</f>
        <v/>
      </c>
      <c r="S1875" s="29" t="str">
        <f aca="false">IF(H1875="","",IF(OR(J1875="",L1875=""),"-",IF(ABS(H1875-J1875*L1875)&gt;Info_Koperasi!$C$10,"SELISIH","OK")))</f>
        <v/>
      </c>
    </row>
    <row r="1876" customFormat="false" ht="15" hidden="false" customHeight="false" outlineLevel="0" collapsed="false">
      <c r="A1876" s="21"/>
      <c r="B1876" s="22"/>
      <c r="C1876" s="21"/>
      <c r="D1876" s="21"/>
      <c r="E1876" s="28"/>
      <c r="F1876" s="24"/>
      <c r="G1876" s="26"/>
      <c r="H1876" s="24"/>
      <c r="I1876" s="24"/>
      <c r="J1876" s="24"/>
      <c r="K1876" s="24"/>
      <c r="L1876" s="26"/>
      <c r="M1876" s="26"/>
      <c r="N1876" s="22"/>
      <c r="O1876" s="21"/>
      <c r="P1876" s="22"/>
      <c r="Q1876" s="29" t="str">
        <f aca="false">IF(C1876="","",IF(O1876&lt;&gt;"",O1876,IFERROR(INDEX(Produk!$J$2:$J$100,MATCH(C1876,Produk!$A$2:$A$100,0)),"PRODUK?")))</f>
        <v/>
      </c>
      <c r="R1876" s="29" t="str">
        <f aca="false">IF(A1876="","",IF(COUNTIF(Anggota!$A$2:$A$2001,A1876)=0,"TIDAK ADA","OK"))</f>
        <v/>
      </c>
      <c r="S1876" s="29" t="str">
        <f aca="false">IF(H1876="","",IF(OR(J1876="",L1876=""),"-",IF(ABS(H1876-J1876*L1876)&gt;Info_Koperasi!$C$10,"SELISIH","OK")))</f>
        <v/>
      </c>
    </row>
    <row r="1877" customFormat="false" ht="15" hidden="false" customHeight="false" outlineLevel="0" collapsed="false">
      <c r="A1877" s="21"/>
      <c r="B1877" s="22"/>
      <c r="C1877" s="21"/>
      <c r="D1877" s="21"/>
      <c r="E1877" s="28"/>
      <c r="F1877" s="24"/>
      <c r="G1877" s="26"/>
      <c r="H1877" s="24"/>
      <c r="I1877" s="24"/>
      <c r="J1877" s="24"/>
      <c r="K1877" s="24"/>
      <c r="L1877" s="26"/>
      <c r="M1877" s="26"/>
      <c r="N1877" s="22"/>
      <c r="O1877" s="21"/>
      <c r="P1877" s="22"/>
      <c r="Q1877" s="29" t="str">
        <f aca="false">IF(C1877="","",IF(O1877&lt;&gt;"",O1877,IFERROR(INDEX(Produk!$J$2:$J$100,MATCH(C1877,Produk!$A$2:$A$100,0)),"PRODUK?")))</f>
        <v/>
      </c>
      <c r="R1877" s="29" t="str">
        <f aca="false">IF(A1877="","",IF(COUNTIF(Anggota!$A$2:$A$2001,A1877)=0,"TIDAK ADA","OK"))</f>
        <v/>
      </c>
      <c r="S1877" s="29" t="str">
        <f aca="false">IF(H1877="","",IF(OR(J1877="",L1877=""),"-",IF(ABS(H1877-J1877*L1877)&gt;Info_Koperasi!$C$10,"SELISIH","OK")))</f>
        <v/>
      </c>
    </row>
    <row r="1878" customFormat="false" ht="15" hidden="false" customHeight="false" outlineLevel="0" collapsed="false">
      <c r="A1878" s="21"/>
      <c r="B1878" s="22"/>
      <c r="C1878" s="21"/>
      <c r="D1878" s="21"/>
      <c r="E1878" s="28"/>
      <c r="F1878" s="24"/>
      <c r="G1878" s="26"/>
      <c r="H1878" s="24"/>
      <c r="I1878" s="24"/>
      <c r="J1878" s="24"/>
      <c r="K1878" s="24"/>
      <c r="L1878" s="26"/>
      <c r="M1878" s="26"/>
      <c r="N1878" s="22"/>
      <c r="O1878" s="21"/>
      <c r="P1878" s="22"/>
      <c r="Q1878" s="29" t="str">
        <f aca="false">IF(C1878="","",IF(O1878&lt;&gt;"",O1878,IFERROR(INDEX(Produk!$J$2:$J$100,MATCH(C1878,Produk!$A$2:$A$100,0)),"PRODUK?")))</f>
        <v/>
      </c>
      <c r="R1878" s="29" t="str">
        <f aca="false">IF(A1878="","",IF(COUNTIF(Anggota!$A$2:$A$2001,A1878)=0,"TIDAK ADA","OK"))</f>
        <v/>
      </c>
      <c r="S1878" s="29" t="str">
        <f aca="false">IF(H1878="","",IF(OR(J1878="",L1878=""),"-",IF(ABS(H1878-J1878*L1878)&gt;Info_Koperasi!$C$10,"SELISIH","OK")))</f>
        <v/>
      </c>
    </row>
    <row r="1879" customFormat="false" ht="15" hidden="false" customHeight="false" outlineLevel="0" collapsed="false">
      <c r="A1879" s="21"/>
      <c r="B1879" s="22"/>
      <c r="C1879" s="21"/>
      <c r="D1879" s="21"/>
      <c r="E1879" s="28"/>
      <c r="F1879" s="24"/>
      <c r="G1879" s="26"/>
      <c r="H1879" s="24"/>
      <c r="I1879" s="24"/>
      <c r="J1879" s="24"/>
      <c r="K1879" s="24"/>
      <c r="L1879" s="26"/>
      <c r="M1879" s="26"/>
      <c r="N1879" s="22"/>
      <c r="O1879" s="21"/>
      <c r="P1879" s="22"/>
      <c r="Q1879" s="29" t="str">
        <f aca="false">IF(C1879="","",IF(O1879&lt;&gt;"",O1879,IFERROR(INDEX(Produk!$J$2:$J$100,MATCH(C1879,Produk!$A$2:$A$100,0)),"PRODUK?")))</f>
        <v/>
      </c>
      <c r="R1879" s="29" t="str">
        <f aca="false">IF(A1879="","",IF(COUNTIF(Anggota!$A$2:$A$2001,A1879)=0,"TIDAK ADA","OK"))</f>
        <v/>
      </c>
      <c r="S1879" s="29" t="str">
        <f aca="false">IF(H1879="","",IF(OR(J1879="",L1879=""),"-",IF(ABS(H1879-J1879*L1879)&gt;Info_Koperasi!$C$10,"SELISIH","OK")))</f>
        <v/>
      </c>
    </row>
    <row r="1880" customFormat="false" ht="15" hidden="false" customHeight="false" outlineLevel="0" collapsed="false">
      <c r="A1880" s="21"/>
      <c r="B1880" s="22"/>
      <c r="C1880" s="21"/>
      <c r="D1880" s="21"/>
      <c r="E1880" s="28"/>
      <c r="F1880" s="24"/>
      <c r="G1880" s="26"/>
      <c r="H1880" s="24"/>
      <c r="I1880" s="24"/>
      <c r="J1880" s="24"/>
      <c r="K1880" s="24"/>
      <c r="L1880" s="26"/>
      <c r="M1880" s="26"/>
      <c r="N1880" s="22"/>
      <c r="O1880" s="21"/>
      <c r="P1880" s="22"/>
      <c r="Q1880" s="29" t="str">
        <f aca="false">IF(C1880="","",IF(O1880&lt;&gt;"",O1880,IFERROR(INDEX(Produk!$J$2:$J$100,MATCH(C1880,Produk!$A$2:$A$100,0)),"PRODUK?")))</f>
        <v/>
      </c>
      <c r="R1880" s="29" t="str">
        <f aca="false">IF(A1880="","",IF(COUNTIF(Anggota!$A$2:$A$2001,A1880)=0,"TIDAK ADA","OK"))</f>
        <v/>
      </c>
      <c r="S1880" s="29" t="str">
        <f aca="false">IF(H1880="","",IF(OR(J1880="",L1880=""),"-",IF(ABS(H1880-J1880*L1880)&gt;Info_Koperasi!$C$10,"SELISIH","OK")))</f>
        <v/>
      </c>
    </row>
    <row r="1881" customFormat="false" ht="15" hidden="false" customHeight="false" outlineLevel="0" collapsed="false">
      <c r="A1881" s="21"/>
      <c r="B1881" s="22"/>
      <c r="C1881" s="21"/>
      <c r="D1881" s="21"/>
      <c r="E1881" s="28"/>
      <c r="F1881" s="24"/>
      <c r="G1881" s="26"/>
      <c r="H1881" s="24"/>
      <c r="I1881" s="24"/>
      <c r="J1881" s="24"/>
      <c r="K1881" s="24"/>
      <c r="L1881" s="26"/>
      <c r="M1881" s="26"/>
      <c r="N1881" s="22"/>
      <c r="O1881" s="21"/>
      <c r="P1881" s="22"/>
      <c r="Q1881" s="29" t="str">
        <f aca="false">IF(C1881="","",IF(O1881&lt;&gt;"",O1881,IFERROR(INDEX(Produk!$J$2:$J$100,MATCH(C1881,Produk!$A$2:$A$100,0)),"PRODUK?")))</f>
        <v/>
      </c>
      <c r="R1881" s="29" t="str">
        <f aca="false">IF(A1881="","",IF(COUNTIF(Anggota!$A$2:$A$2001,A1881)=0,"TIDAK ADA","OK"))</f>
        <v/>
      </c>
      <c r="S1881" s="29" t="str">
        <f aca="false">IF(H1881="","",IF(OR(J1881="",L1881=""),"-",IF(ABS(H1881-J1881*L1881)&gt;Info_Koperasi!$C$10,"SELISIH","OK")))</f>
        <v/>
      </c>
    </row>
    <row r="1882" customFormat="false" ht="15" hidden="false" customHeight="false" outlineLevel="0" collapsed="false">
      <c r="A1882" s="21"/>
      <c r="B1882" s="22"/>
      <c r="C1882" s="21"/>
      <c r="D1882" s="21"/>
      <c r="E1882" s="28"/>
      <c r="F1882" s="24"/>
      <c r="G1882" s="26"/>
      <c r="H1882" s="24"/>
      <c r="I1882" s="24"/>
      <c r="J1882" s="24"/>
      <c r="K1882" s="24"/>
      <c r="L1882" s="26"/>
      <c r="M1882" s="26"/>
      <c r="N1882" s="22"/>
      <c r="O1882" s="21"/>
      <c r="P1882" s="22"/>
      <c r="Q1882" s="29" t="str">
        <f aca="false">IF(C1882="","",IF(O1882&lt;&gt;"",O1882,IFERROR(INDEX(Produk!$J$2:$J$100,MATCH(C1882,Produk!$A$2:$A$100,0)),"PRODUK?")))</f>
        <v/>
      </c>
      <c r="R1882" s="29" t="str">
        <f aca="false">IF(A1882="","",IF(COUNTIF(Anggota!$A$2:$A$2001,A1882)=0,"TIDAK ADA","OK"))</f>
        <v/>
      </c>
      <c r="S1882" s="29" t="str">
        <f aca="false">IF(H1882="","",IF(OR(J1882="",L1882=""),"-",IF(ABS(H1882-J1882*L1882)&gt;Info_Koperasi!$C$10,"SELISIH","OK")))</f>
        <v/>
      </c>
    </row>
    <row r="1883" customFormat="false" ht="15" hidden="false" customHeight="false" outlineLevel="0" collapsed="false">
      <c r="A1883" s="21"/>
      <c r="B1883" s="22"/>
      <c r="C1883" s="21"/>
      <c r="D1883" s="21"/>
      <c r="E1883" s="28"/>
      <c r="F1883" s="24"/>
      <c r="G1883" s="26"/>
      <c r="H1883" s="24"/>
      <c r="I1883" s="24"/>
      <c r="J1883" s="24"/>
      <c r="K1883" s="24"/>
      <c r="L1883" s="26"/>
      <c r="M1883" s="26"/>
      <c r="N1883" s="22"/>
      <c r="O1883" s="21"/>
      <c r="P1883" s="22"/>
      <c r="Q1883" s="29" t="str">
        <f aca="false">IF(C1883="","",IF(O1883&lt;&gt;"",O1883,IFERROR(INDEX(Produk!$J$2:$J$100,MATCH(C1883,Produk!$A$2:$A$100,0)),"PRODUK?")))</f>
        <v/>
      </c>
      <c r="R1883" s="29" t="str">
        <f aca="false">IF(A1883="","",IF(COUNTIF(Anggota!$A$2:$A$2001,A1883)=0,"TIDAK ADA","OK"))</f>
        <v/>
      </c>
      <c r="S1883" s="29" t="str">
        <f aca="false">IF(H1883="","",IF(OR(J1883="",L1883=""),"-",IF(ABS(H1883-J1883*L1883)&gt;Info_Koperasi!$C$10,"SELISIH","OK")))</f>
        <v/>
      </c>
    </row>
    <row r="1884" customFormat="false" ht="15" hidden="false" customHeight="false" outlineLevel="0" collapsed="false">
      <c r="A1884" s="21"/>
      <c r="B1884" s="22"/>
      <c r="C1884" s="21"/>
      <c r="D1884" s="21"/>
      <c r="E1884" s="28"/>
      <c r="F1884" s="24"/>
      <c r="G1884" s="26"/>
      <c r="H1884" s="24"/>
      <c r="I1884" s="24"/>
      <c r="J1884" s="24"/>
      <c r="K1884" s="24"/>
      <c r="L1884" s="26"/>
      <c r="M1884" s="26"/>
      <c r="N1884" s="22"/>
      <c r="O1884" s="21"/>
      <c r="P1884" s="22"/>
      <c r="Q1884" s="29" t="str">
        <f aca="false">IF(C1884="","",IF(O1884&lt;&gt;"",O1884,IFERROR(INDEX(Produk!$J$2:$J$100,MATCH(C1884,Produk!$A$2:$A$100,0)),"PRODUK?")))</f>
        <v/>
      </c>
      <c r="R1884" s="29" t="str">
        <f aca="false">IF(A1884="","",IF(COUNTIF(Anggota!$A$2:$A$2001,A1884)=0,"TIDAK ADA","OK"))</f>
        <v/>
      </c>
      <c r="S1884" s="29" t="str">
        <f aca="false">IF(H1884="","",IF(OR(J1884="",L1884=""),"-",IF(ABS(H1884-J1884*L1884)&gt;Info_Koperasi!$C$10,"SELISIH","OK")))</f>
        <v/>
      </c>
    </row>
    <row r="1885" customFormat="false" ht="15" hidden="false" customHeight="false" outlineLevel="0" collapsed="false">
      <c r="A1885" s="21"/>
      <c r="B1885" s="22"/>
      <c r="C1885" s="21"/>
      <c r="D1885" s="21"/>
      <c r="E1885" s="28"/>
      <c r="F1885" s="24"/>
      <c r="G1885" s="26"/>
      <c r="H1885" s="24"/>
      <c r="I1885" s="24"/>
      <c r="J1885" s="24"/>
      <c r="K1885" s="24"/>
      <c r="L1885" s="26"/>
      <c r="M1885" s="26"/>
      <c r="N1885" s="22"/>
      <c r="O1885" s="21"/>
      <c r="P1885" s="22"/>
      <c r="Q1885" s="29" t="str">
        <f aca="false">IF(C1885="","",IF(O1885&lt;&gt;"",O1885,IFERROR(INDEX(Produk!$J$2:$J$100,MATCH(C1885,Produk!$A$2:$A$100,0)),"PRODUK?")))</f>
        <v/>
      </c>
      <c r="R1885" s="29" t="str">
        <f aca="false">IF(A1885="","",IF(COUNTIF(Anggota!$A$2:$A$2001,A1885)=0,"TIDAK ADA","OK"))</f>
        <v/>
      </c>
      <c r="S1885" s="29" t="str">
        <f aca="false">IF(H1885="","",IF(OR(J1885="",L1885=""),"-",IF(ABS(H1885-J1885*L1885)&gt;Info_Koperasi!$C$10,"SELISIH","OK")))</f>
        <v/>
      </c>
    </row>
    <row r="1886" customFormat="false" ht="15" hidden="false" customHeight="false" outlineLevel="0" collapsed="false">
      <c r="A1886" s="21"/>
      <c r="B1886" s="22"/>
      <c r="C1886" s="21"/>
      <c r="D1886" s="21"/>
      <c r="E1886" s="28"/>
      <c r="F1886" s="24"/>
      <c r="G1886" s="26"/>
      <c r="H1886" s="24"/>
      <c r="I1886" s="24"/>
      <c r="J1886" s="24"/>
      <c r="K1886" s="24"/>
      <c r="L1886" s="26"/>
      <c r="M1886" s="26"/>
      <c r="N1886" s="22"/>
      <c r="O1886" s="21"/>
      <c r="P1886" s="22"/>
      <c r="Q1886" s="29" t="str">
        <f aca="false">IF(C1886="","",IF(O1886&lt;&gt;"",O1886,IFERROR(INDEX(Produk!$J$2:$J$100,MATCH(C1886,Produk!$A$2:$A$100,0)),"PRODUK?")))</f>
        <v/>
      </c>
      <c r="R1886" s="29" t="str">
        <f aca="false">IF(A1886="","",IF(COUNTIF(Anggota!$A$2:$A$2001,A1886)=0,"TIDAK ADA","OK"))</f>
        <v/>
      </c>
      <c r="S1886" s="29" t="str">
        <f aca="false">IF(H1886="","",IF(OR(J1886="",L1886=""),"-",IF(ABS(H1886-J1886*L1886)&gt;Info_Koperasi!$C$10,"SELISIH","OK")))</f>
        <v/>
      </c>
    </row>
    <row r="1887" customFormat="false" ht="15" hidden="false" customHeight="false" outlineLevel="0" collapsed="false">
      <c r="A1887" s="21"/>
      <c r="B1887" s="22"/>
      <c r="C1887" s="21"/>
      <c r="D1887" s="21"/>
      <c r="E1887" s="28"/>
      <c r="F1887" s="24"/>
      <c r="G1887" s="26"/>
      <c r="H1887" s="24"/>
      <c r="I1887" s="24"/>
      <c r="J1887" s="24"/>
      <c r="K1887" s="24"/>
      <c r="L1887" s="26"/>
      <c r="M1887" s="26"/>
      <c r="N1887" s="22"/>
      <c r="O1887" s="21"/>
      <c r="P1887" s="22"/>
      <c r="Q1887" s="29" t="str">
        <f aca="false">IF(C1887="","",IF(O1887&lt;&gt;"",O1887,IFERROR(INDEX(Produk!$J$2:$J$100,MATCH(C1887,Produk!$A$2:$A$100,0)),"PRODUK?")))</f>
        <v/>
      </c>
      <c r="R1887" s="29" t="str">
        <f aca="false">IF(A1887="","",IF(COUNTIF(Anggota!$A$2:$A$2001,A1887)=0,"TIDAK ADA","OK"))</f>
        <v/>
      </c>
      <c r="S1887" s="29" t="str">
        <f aca="false">IF(H1887="","",IF(OR(J1887="",L1887=""),"-",IF(ABS(H1887-J1887*L1887)&gt;Info_Koperasi!$C$10,"SELISIH","OK")))</f>
        <v/>
      </c>
    </row>
    <row r="1888" customFormat="false" ht="15" hidden="false" customHeight="false" outlineLevel="0" collapsed="false">
      <c r="A1888" s="21"/>
      <c r="B1888" s="22"/>
      <c r="C1888" s="21"/>
      <c r="D1888" s="21"/>
      <c r="E1888" s="28"/>
      <c r="F1888" s="24"/>
      <c r="G1888" s="26"/>
      <c r="H1888" s="24"/>
      <c r="I1888" s="24"/>
      <c r="J1888" s="24"/>
      <c r="K1888" s="24"/>
      <c r="L1888" s="26"/>
      <c r="M1888" s="26"/>
      <c r="N1888" s="22"/>
      <c r="O1888" s="21"/>
      <c r="P1888" s="22"/>
      <c r="Q1888" s="29" t="str">
        <f aca="false">IF(C1888="","",IF(O1888&lt;&gt;"",O1888,IFERROR(INDEX(Produk!$J$2:$J$100,MATCH(C1888,Produk!$A$2:$A$100,0)),"PRODUK?")))</f>
        <v/>
      </c>
      <c r="R1888" s="29" t="str">
        <f aca="false">IF(A1888="","",IF(COUNTIF(Anggota!$A$2:$A$2001,A1888)=0,"TIDAK ADA","OK"))</f>
        <v/>
      </c>
      <c r="S1888" s="29" t="str">
        <f aca="false">IF(H1888="","",IF(OR(J1888="",L1888=""),"-",IF(ABS(H1888-J1888*L1888)&gt;Info_Koperasi!$C$10,"SELISIH","OK")))</f>
        <v/>
      </c>
    </row>
    <row r="1889" customFormat="false" ht="15" hidden="false" customHeight="false" outlineLevel="0" collapsed="false">
      <c r="A1889" s="21"/>
      <c r="B1889" s="22"/>
      <c r="C1889" s="21"/>
      <c r="D1889" s="21"/>
      <c r="E1889" s="28"/>
      <c r="F1889" s="24"/>
      <c r="G1889" s="26"/>
      <c r="H1889" s="24"/>
      <c r="I1889" s="24"/>
      <c r="J1889" s="24"/>
      <c r="K1889" s="24"/>
      <c r="L1889" s="26"/>
      <c r="M1889" s="26"/>
      <c r="N1889" s="22"/>
      <c r="O1889" s="21"/>
      <c r="P1889" s="22"/>
      <c r="Q1889" s="29" t="str">
        <f aca="false">IF(C1889="","",IF(O1889&lt;&gt;"",O1889,IFERROR(INDEX(Produk!$J$2:$J$100,MATCH(C1889,Produk!$A$2:$A$100,0)),"PRODUK?")))</f>
        <v/>
      </c>
      <c r="R1889" s="29" t="str">
        <f aca="false">IF(A1889="","",IF(COUNTIF(Anggota!$A$2:$A$2001,A1889)=0,"TIDAK ADA","OK"))</f>
        <v/>
      </c>
      <c r="S1889" s="29" t="str">
        <f aca="false">IF(H1889="","",IF(OR(J1889="",L1889=""),"-",IF(ABS(H1889-J1889*L1889)&gt;Info_Koperasi!$C$10,"SELISIH","OK")))</f>
        <v/>
      </c>
    </row>
    <row r="1890" customFormat="false" ht="15" hidden="false" customHeight="false" outlineLevel="0" collapsed="false">
      <c r="A1890" s="21"/>
      <c r="B1890" s="22"/>
      <c r="C1890" s="21"/>
      <c r="D1890" s="21"/>
      <c r="E1890" s="28"/>
      <c r="F1890" s="24"/>
      <c r="G1890" s="26"/>
      <c r="H1890" s="24"/>
      <c r="I1890" s="24"/>
      <c r="J1890" s="24"/>
      <c r="K1890" s="24"/>
      <c r="L1890" s="26"/>
      <c r="M1890" s="26"/>
      <c r="N1890" s="22"/>
      <c r="O1890" s="21"/>
      <c r="P1890" s="22"/>
      <c r="Q1890" s="29" t="str">
        <f aca="false">IF(C1890="","",IF(O1890&lt;&gt;"",O1890,IFERROR(INDEX(Produk!$J$2:$J$100,MATCH(C1890,Produk!$A$2:$A$100,0)),"PRODUK?")))</f>
        <v/>
      </c>
      <c r="R1890" s="29" t="str">
        <f aca="false">IF(A1890="","",IF(COUNTIF(Anggota!$A$2:$A$2001,A1890)=0,"TIDAK ADA","OK"))</f>
        <v/>
      </c>
      <c r="S1890" s="29" t="str">
        <f aca="false">IF(H1890="","",IF(OR(J1890="",L1890=""),"-",IF(ABS(H1890-J1890*L1890)&gt;Info_Koperasi!$C$10,"SELISIH","OK")))</f>
        <v/>
      </c>
    </row>
    <row r="1891" customFormat="false" ht="15" hidden="false" customHeight="false" outlineLevel="0" collapsed="false">
      <c r="A1891" s="21"/>
      <c r="B1891" s="22"/>
      <c r="C1891" s="21"/>
      <c r="D1891" s="21"/>
      <c r="E1891" s="28"/>
      <c r="F1891" s="24"/>
      <c r="G1891" s="26"/>
      <c r="H1891" s="24"/>
      <c r="I1891" s="24"/>
      <c r="J1891" s="24"/>
      <c r="K1891" s="24"/>
      <c r="L1891" s="26"/>
      <c r="M1891" s="26"/>
      <c r="N1891" s="22"/>
      <c r="O1891" s="21"/>
      <c r="P1891" s="22"/>
      <c r="Q1891" s="29" t="str">
        <f aca="false">IF(C1891="","",IF(O1891&lt;&gt;"",O1891,IFERROR(INDEX(Produk!$J$2:$J$100,MATCH(C1891,Produk!$A$2:$A$100,0)),"PRODUK?")))</f>
        <v/>
      </c>
      <c r="R1891" s="29" t="str">
        <f aca="false">IF(A1891="","",IF(COUNTIF(Anggota!$A$2:$A$2001,A1891)=0,"TIDAK ADA","OK"))</f>
        <v/>
      </c>
      <c r="S1891" s="29" t="str">
        <f aca="false">IF(H1891="","",IF(OR(J1891="",L1891=""),"-",IF(ABS(H1891-J1891*L1891)&gt;Info_Koperasi!$C$10,"SELISIH","OK")))</f>
        <v/>
      </c>
    </row>
    <row r="1892" customFormat="false" ht="15" hidden="false" customHeight="false" outlineLevel="0" collapsed="false">
      <c r="A1892" s="21"/>
      <c r="B1892" s="22"/>
      <c r="C1892" s="21"/>
      <c r="D1892" s="21"/>
      <c r="E1892" s="28"/>
      <c r="F1892" s="24"/>
      <c r="G1892" s="26"/>
      <c r="H1892" s="24"/>
      <c r="I1892" s="24"/>
      <c r="J1892" s="24"/>
      <c r="K1892" s="24"/>
      <c r="L1892" s="26"/>
      <c r="M1892" s="26"/>
      <c r="N1892" s="22"/>
      <c r="O1892" s="21"/>
      <c r="P1892" s="22"/>
      <c r="Q1892" s="29" t="str">
        <f aca="false">IF(C1892="","",IF(O1892&lt;&gt;"",O1892,IFERROR(INDEX(Produk!$J$2:$J$100,MATCH(C1892,Produk!$A$2:$A$100,0)),"PRODUK?")))</f>
        <v/>
      </c>
      <c r="R1892" s="29" t="str">
        <f aca="false">IF(A1892="","",IF(COUNTIF(Anggota!$A$2:$A$2001,A1892)=0,"TIDAK ADA","OK"))</f>
        <v/>
      </c>
      <c r="S1892" s="29" t="str">
        <f aca="false">IF(H1892="","",IF(OR(J1892="",L1892=""),"-",IF(ABS(H1892-J1892*L1892)&gt;Info_Koperasi!$C$10,"SELISIH","OK")))</f>
        <v/>
      </c>
    </row>
    <row r="1893" customFormat="false" ht="15" hidden="false" customHeight="false" outlineLevel="0" collapsed="false">
      <c r="A1893" s="21"/>
      <c r="B1893" s="22"/>
      <c r="C1893" s="21"/>
      <c r="D1893" s="21"/>
      <c r="E1893" s="28"/>
      <c r="F1893" s="24"/>
      <c r="G1893" s="26"/>
      <c r="H1893" s="24"/>
      <c r="I1893" s="24"/>
      <c r="J1893" s="24"/>
      <c r="K1893" s="24"/>
      <c r="L1893" s="26"/>
      <c r="M1893" s="26"/>
      <c r="N1893" s="22"/>
      <c r="O1893" s="21"/>
      <c r="P1893" s="22"/>
      <c r="Q1893" s="29" t="str">
        <f aca="false">IF(C1893="","",IF(O1893&lt;&gt;"",O1893,IFERROR(INDEX(Produk!$J$2:$J$100,MATCH(C1893,Produk!$A$2:$A$100,0)),"PRODUK?")))</f>
        <v/>
      </c>
      <c r="R1893" s="29" t="str">
        <f aca="false">IF(A1893="","",IF(COUNTIF(Anggota!$A$2:$A$2001,A1893)=0,"TIDAK ADA","OK"))</f>
        <v/>
      </c>
      <c r="S1893" s="29" t="str">
        <f aca="false">IF(H1893="","",IF(OR(J1893="",L1893=""),"-",IF(ABS(H1893-J1893*L1893)&gt;Info_Koperasi!$C$10,"SELISIH","OK")))</f>
        <v/>
      </c>
    </row>
    <row r="1894" customFormat="false" ht="15" hidden="false" customHeight="false" outlineLevel="0" collapsed="false">
      <c r="A1894" s="21"/>
      <c r="B1894" s="22"/>
      <c r="C1894" s="21"/>
      <c r="D1894" s="21"/>
      <c r="E1894" s="28"/>
      <c r="F1894" s="24"/>
      <c r="G1894" s="26"/>
      <c r="H1894" s="24"/>
      <c r="I1894" s="24"/>
      <c r="J1894" s="24"/>
      <c r="K1894" s="24"/>
      <c r="L1894" s="26"/>
      <c r="M1894" s="26"/>
      <c r="N1894" s="22"/>
      <c r="O1894" s="21"/>
      <c r="P1894" s="22"/>
      <c r="Q1894" s="29" t="str">
        <f aca="false">IF(C1894="","",IF(O1894&lt;&gt;"",O1894,IFERROR(INDEX(Produk!$J$2:$J$100,MATCH(C1894,Produk!$A$2:$A$100,0)),"PRODUK?")))</f>
        <v/>
      </c>
      <c r="R1894" s="29" t="str">
        <f aca="false">IF(A1894="","",IF(COUNTIF(Anggota!$A$2:$A$2001,A1894)=0,"TIDAK ADA","OK"))</f>
        <v/>
      </c>
      <c r="S1894" s="29" t="str">
        <f aca="false">IF(H1894="","",IF(OR(J1894="",L1894=""),"-",IF(ABS(H1894-J1894*L1894)&gt;Info_Koperasi!$C$10,"SELISIH","OK")))</f>
        <v/>
      </c>
    </row>
    <row r="1895" customFormat="false" ht="15" hidden="false" customHeight="false" outlineLevel="0" collapsed="false">
      <c r="A1895" s="21"/>
      <c r="B1895" s="22"/>
      <c r="C1895" s="21"/>
      <c r="D1895" s="21"/>
      <c r="E1895" s="28"/>
      <c r="F1895" s="24"/>
      <c r="G1895" s="26"/>
      <c r="H1895" s="24"/>
      <c r="I1895" s="24"/>
      <c r="J1895" s="24"/>
      <c r="K1895" s="24"/>
      <c r="L1895" s="26"/>
      <c r="M1895" s="26"/>
      <c r="N1895" s="22"/>
      <c r="O1895" s="21"/>
      <c r="P1895" s="22"/>
      <c r="Q1895" s="29" t="str">
        <f aca="false">IF(C1895="","",IF(O1895&lt;&gt;"",O1895,IFERROR(INDEX(Produk!$J$2:$J$100,MATCH(C1895,Produk!$A$2:$A$100,0)),"PRODUK?")))</f>
        <v/>
      </c>
      <c r="R1895" s="29" t="str">
        <f aca="false">IF(A1895="","",IF(COUNTIF(Anggota!$A$2:$A$2001,A1895)=0,"TIDAK ADA","OK"))</f>
        <v/>
      </c>
      <c r="S1895" s="29" t="str">
        <f aca="false">IF(H1895="","",IF(OR(J1895="",L1895=""),"-",IF(ABS(H1895-J1895*L1895)&gt;Info_Koperasi!$C$10,"SELISIH","OK")))</f>
        <v/>
      </c>
    </row>
    <row r="1896" customFormat="false" ht="15" hidden="false" customHeight="false" outlineLevel="0" collapsed="false">
      <c r="A1896" s="21"/>
      <c r="B1896" s="22"/>
      <c r="C1896" s="21"/>
      <c r="D1896" s="21"/>
      <c r="E1896" s="28"/>
      <c r="F1896" s="24"/>
      <c r="G1896" s="26"/>
      <c r="H1896" s="24"/>
      <c r="I1896" s="24"/>
      <c r="J1896" s="24"/>
      <c r="K1896" s="24"/>
      <c r="L1896" s="26"/>
      <c r="M1896" s="26"/>
      <c r="N1896" s="22"/>
      <c r="O1896" s="21"/>
      <c r="P1896" s="22"/>
      <c r="Q1896" s="29" t="str">
        <f aca="false">IF(C1896="","",IF(O1896&lt;&gt;"",O1896,IFERROR(INDEX(Produk!$J$2:$J$100,MATCH(C1896,Produk!$A$2:$A$100,0)),"PRODUK?")))</f>
        <v/>
      </c>
      <c r="R1896" s="29" t="str">
        <f aca="false">IF(A1896="","",IF(COUNTIF(Anggota!$A$2:$A$2001,A1896)=0,"TIDAK ADA","OK"))</f>
        <v/>
      </c>
      <c r="S1896" s="29" t="str">
        <f aca="false">IF(H1896="","",IF(OR(J1896="",L1896=""),"-",IF(ABS(H1896-J1896*L1896)&gt;Info_Koperasi!$C$10,"SELISIH","OK")))</f>
        <v/>
      </c>
    </row>
    <row r="1897" customFormat="false" ht="15" hidden="false" customHeight="false" outlineLevel="0" collapsed="false">
      <c r="A1897" s="21"/>
      <c r="B1897" s="22"/>
      <c r="C1897" s="21"/>
      <c r="D1897" s="21"/>
      <c r="E1897" s="28"/>
      <c r="F1897" s="24"/>
      <c r="G1897" s="26"/>
      <c r="H1897" s="24"/>
      <c r="I1897" s="24"/>
      <c r="J1897" s="24"/>
      <c r="K1897" s="24"/>
      <c r="L1897" s="26"/>
      <c r="M1897" s="26"/>
      <c r="N1897" s="22"/>
      <c r="O1897" s="21"/>
      <c r="P1897" s="22"/>
      <c r="Q1897" s="29" t="str">
        <f aca="false">IF(C1897="","",IF(O1897&lt;&gt;"",O1897,IFERROR(INDEX(Produk!$J$2:$J$100,MATCH(C1897,Produk!$A$2:$A$100,0)),"PRODUK?")))</f>
        <v/>
      </c>
      <c r="R1897" s="29" t="str">
        <f aca="false">IF(A1897="","",IF(COUNTIF(Anggota!$A$2:$A$2001,A1897)=0,"TIDAK ADA","OK"))</f>
        <v/>
      </c>
      <c r="S1897" s="29" t="str">
        <f aca="false">IF(H1897="","",IF(OR(J1897="",L1897=""),"-",IF(ABS(H1897-J1897*L1897)&gt;Info_Koperasi!$C$10,"SELISIH","OK")))</f>
        <v/>
      </c>
    </row>
    <row r="1898" customFormat="false" ht="15" hidden="false" customHeight="false" outlineLevel="0" collapsed="false">
      <c r="A1898" s="21"/>
      <c r="B1898" s="22"/>
      <c r="C1898" s="21"/>
      <c r="D1898" s="21"/>
      <c r="E1898" s="28"/>
      <c r="F1898" s="24"/>
      <c r="G1898" s="26"/>
      <c r="H1898" s="24"/>
      <c r="I1898" s="24"/>
      <c r="J1898" s="24"/>
      <c r="K1898" s="24"/>
      <c r="L1898" s="26"/>
      <c r="M1898" s="26"/>
      <c r="N1898" s="22"/>
      <c r="O1898" s="21"/>
      <c r="P1898" s="22"/>
      <c r="Q1898" s="29" t="str">
        <f aca="false">IF(C1898="","",IF(O1898&lt;&gt;"",O1898,IFERROR(INDEX(Produk!$J$2:$J$100,MATCH(C1898,Produk!$A$2:$A$100,0)),"PRODUK?")))</f>
        <v/>
      </c>
      <c r="R1898" s="29" t="str">
        <f aca="false">IF(A1898="","",IF(COUNTIF(Anggota!$A$2:$A$2001,A1898)=0,"TIDAK ADA","OK"))</f>
        <v/>
      </c>
      <c r="S1898" s="29" t="str">
        <f aca="false">IF(H1898="","",IF(OR(J1898="",L1898=""),"-",IF(ABS(H1898-J1898*L1898)&gt;Info_Koperasi!$C$10,"SELISIH","OK")))</f>
        <v/>
      </c>
    </row>
    <row r="1899" customFormat="false" ht="15" hidden="false" customHeight="false" outlineLevel="0" collapsed="false">
      <c r="A1899" s="21"/>
      <c r="B1899" s="22"/>
      <c r="C1899" s="21"/>
      <c r="D1899" s="21"/>
      <c r="E1899" s="28"/>
      <c r="F1899" s="24"/>
      <c r="G1899" s="26"/>
      <c r="H1899" s="24"/>
      <c r="I1899" s="24"/>
      <c r="J1899" s="24"/>
      <c r="K1899" s="24"/>
      <c r="L1899" s="26"/>
      <c r="M1899" s="26"/>
      <c r="N1899" s="22"/>
      <c r="O1899" s="21"/>
      <c r="P1899" s="22"/>
      <c r="Q1899" s="29" t="str">
        <f aca="false">IF(C1899="","",IF(O1899&lt;&gt;"",O1899,IFERROR(INDEX(Produk!$J$2:$J$100,MATCH(C1899,Produk!$A$2:$A$100,0)),"PRODUK?")))</f>
        <v/>
      </c>
      <c r="R1899" s="29" t="str">
        <f aca="false">IF(A1899="","",IF(COUNTIF(Anggota!$A$2:$A$2001,A1899)=0,"TIDAK ADA","OK"))</f>
        <v/>
      </c>
      <c r="S1899" s="29" t="str">
        <f aca="false">IF(H1899="","",IF(OR(J1899="",L1899=""),"-",IF(ABS(H1899-J1899*L1899)&gt;Info_Koperasi!$C$10,"SELISIH","OK")))</f>
        <v/>
      </c>
    </row>
    <row r="1900" customFormat="false" ht="15" hidden="false" customHeight="false" outlineLevel="0" collapsed="false">
      <c r="A1900" s="21"/>
      <c r="B1900" s="22"/>
      <c r="C1900" s="21"/>
      <c r="D1900" s="21"/>
      <c r="E1900" s="28"/>
      <c r="F1900" s="24"/>
      <c r="G1900" s="26"/>
      <c r="H1900" s="24"/>
      <c r="I1900" s="24"/>
      <c r="J1900" s="24"/>
      <c r="K1900" s="24"/>
      <c r="L1900" s="26"/>
      <c r="M1900" s="26"/>
      <c r="N1900" s="22"/>
      <c r="O1900" s="21"/>
      <c r="P1900" s="22"/>
      <c r="Q1900" s="29" t="str">
        <f aca="false">IF(C1900="","",IF(O1900&lt;&gt;"",O1900,IFERROR(INDEX(Produk!$J$2:$J$100,MATCH(C1900,Produk!$A$2:$A$100,0)),"PRODUK?")))</f>
        <v/>
      </c>
      <c r="R1900" s="29" t="str">
        <f aca="false">IF(A1900="","",IF(COUNTIF(Anggota!$A$2:$A$2001,A1900)=0,"TIDAK ADA","OK"))</f>
        <v/>
      </c>
      <c r="S1900" s="29" t="str">
        <f aca="false">IF(H1900="","",IF(OR(J1900="",L1900=""),"-",IF(ABS(H1900-J1900*L1900)&gt;Info_Koperasi!$C$10,"SELISIH","OK")))</f>
        <v/>
      </c>
    </row>
    <row r="1901" customFormat="false" ht="15" hidden="false" customHeight="false" outlineLevel="0" collapsed="false">
      <c r="A1901" s="21"/>
      <c r="B1901" s="22"/>
      <c r="C1901" s="21"/>
      <c r="D1901" s="21"/>
      <c r="E1901" s="28"/>
      <c r="F1901" s="24"/>
      <c r="G1901" s="26"/>
      <c r="H1901" s="24"/>
      <c r="I1901" s="24"/>
      <c r="J1901" s="24"/>
      <c r="K1901" s="24"/>
      <c r="L1901" s="26"/>
      <c r="M1901" s="26"/>
      <c r="N1901" s="22"/>
      <c r="O1901" s="21"/>
      <c r="P1901" s="22"/>
      <c r="Q1901" s="29" t="str">
        <f aca="false">IF(C1901="","",IF(O1901&lt;&gt;"",O1901,IFERROR(INDEX(Produk!$J$2:$J$100,MATCH(C1901,Produk!$A$2:$A$100,0)),"PRODUK?")))</f>
        <v/>
      </c>
      <c r="R1901" s="29" t="str">
        <f aca="false">IF(A1901="","",IF(COUNTIF(Anggota!$A$2:$A$2001,A1901)=0,"TIDAK ADA","OK"))</f>
        <v/>
      </c>
      <c r="S1901" s="29" t="str">
        <f aca="false">IF(H1901="","",IF(OR(J1901="",L1901=""),"-",IF(ABS(H1901-J1901*L1901)&gt;Info_Koperasi!$C$10,"SELISIH","OK")))</f>
        <v/>
      </c>
    </row>
    <row r="1902" customFormat="false" ht="15" hidden="false" customHeight="false" outlineLevel="0" collapsed="false">
      <c r="A1902" s="21"/>
      <c r="B1902" s="22"/>
      <c r="C1902" s="21"/>
      <c r="D1902" s="21"/>
      <c r="E1902" s="28"/>
      <c r="F1902" s="24"/>
      <c r="G1902" s="26"/>
      <c r="H1902" s="24"/>
      <c r="I1902" s="24"/>
      <c r="J1902" s="24"/>
      <c r="K1902" s="24"/>
      <c r="L1902" s="26"/>
      <c r="M1902" s="26"/>
      <c r="N1902" s="22"/>
      <c r="O1902" s="21"/>
      <c r="P1902" s="22"/>
      <c r="Q1902" s="29" t="str">
        <f aca="false">IF(C1902="","",IF(O1902&lt;&gt;"",O1902,IFERROR(INDEX(Produk!$J$2:$J$100,MATCH(C1902,Produk!$A$2:$A$100,0)),"PRODUK?")))</f>
        <v/>
      </c>
      <c r="R1902" s="29" t="str">
        <f aca="false">IF(A1902="","",IF(COUNTIF(Anggota!$A$2:$A$2001,A1902)=0,"TIDAK ADA","OK"))</f>
        <v/>
      </c>
      <c r="S1902" s="29" t="str">
        <f aca="false">IF(H1902="","",IF(OR(J1902="",L1902=""),"-",IF(ABS(H1902-J1902*L1902)&gt;Info_Koperasi!$C$10,"SELISIH","OK")))</f>
        <v/>
      </c>
    </row>
    <row r="1903" customFormat="false" ht="15" hidden="false" customHeight="false" outlineLevel="0" collapsed="false">
      <c r="A1903" s="21"/>
      <c r="B1903" s="22"/>
      <c r="C1903" s="21"/>
      <c r="D1903" s="21"/>
      <c r="E1903" s="28"/>
      <c r="F1903" s="24"/>
      <c r="G1903" s="26"/>
      <c r="H1903" s="24"/>
      <c r="I1903" s="24"/>
      <c r="J1903" s="24"/>
      <c r="K1903" s="24"/>
      <c r="L1903" s="26"/>
      <c r="M1903" s="26"/>
      <c r="N1903" s="22"/>
      <c r="O1903" s="21"/>
      <c r="P1903" s="22"/>
      <c r="Q1903" s="29" t="str">
        <f aca="false">IF(C1903="","",IF(O1903&lt;&gt;"",O1903,IFERROR(INDEX(Produk!$J$2:$J$100,MATCH(C1903,Produk!$A$2:$A$100,0)),"PRODUK?")))</f>
        <v/>
      </c>
      <c r="R1903" s="29" t="str">
        <f aca="false">IF(A1903="","",IF(COUNTIF(Anggota!$A$2:$A$2001,A1903)=0,"TIDAK ADA","OK"))</f>
        <v/>
      </c>
      <c r="S1903" s="29" t="str">
        <f aca="false">IF(H1903="","",IF(OR(J1903="",L1903=""),"-",IF(ABS(H1903-J1903*L1903)&gt;Info_Koperasi!$C$10,"SELISIH","OK")))</f>
        <v/>
      </c>
    </row>
    <row r="1904" customFormat="false" ht="15" hidden="false" customHeight="false" outlineLevel="0" collapsed="false">
      <c r="A1904" s="21"/>
      <c r="B1904" s="22"/>
      <c r="C1904" s="21"/>
      <c r="D1904" s="21"/>
      <c r="E1904" s="28"/>
      <c r="F1904" s="24"/>
      <c r="G1904" s="26"/>
      <c r="H1904" s="24"/>
      <c r="I1904" s="24"/>
      <c r="J1904" s="24"/>
      <c r="K1904" s="24"/>
      <c r="L1904" s="26"/>
      <c r="M1904" s="26"/>
      <c r="N1904" s="22"/>
      <c r="O1904" s="21"/>
      <c r="P1904" s="22"/>
      <c r="Q1904" s="29" t="str">
        <f aca="false">IF(C1904="","",IF(O1904&lt;&gt;"",O1904,IFERROR(INDEX(Produk!$J$2:$J$100,MATCH(C1904,Produk!$A$2:$A$100,0)),"PRODUK?")))</f>
        <v/>
      </c>
      <c r="R1904" s="29" t="str">
        <f aca="false">IF(A1904="","",IF(COUNTIF(Anggota!$A$2:$A$2001,A1904)=0,"TIDAK ADA","OK"))</f>
        <v/>
      </c>
      <c r="S1904" s="29" t="str">
        <f aca="false">IF(H1904="","",IF(OR(J1904="",L1904=""),"-",IF(ABS(H1904-J1904*L1904)&gt;Info_Koperasi!$C$10,"SELISIH","OK")))</f>
        <v/>
      </c>
    </row>
    <row r="1905" customFormat="false" ht="15" hidden="false" customHeight="false" outlineLevel="0" collapsed="false">
      <c r="A1905" s="21"/>
      <c r="B1905" s="22"/>
      <c r="C1905" s="21"/>
      <c r="D1905" s="21"/>
      <c r="E1905" s="28"/>
      <c r="F1905" s="24"/>
      <c r="G1905" s="26"/>
      <c r="H1905" s="24"/>
      <c r="I1905" s="24"/>
      <c r="J1905" s="24"/>
      <c r="K1905" s="24"/>
      <c r="L1905" s="26"/>
      <c r="M1905" s="26"/>
      <c r="N1905" s="22"/>
      <c r="O1905" s="21"/>
      <c r="P1905" s="22"/>
      <c r="Q1905" s="29" t="str">
        <f aca="false">IF(C1905="","",IF(O1905&lt;&gt;"",O1905,IFERROR(INDEX(Produk!$J$2:$J$100,MATCH(C1905,Produk!$A$2:$A$100,0)),"PRODUK?")))</f>
        <v/>
      </c>
      <c r="R1905" s="29" t="str">
        <f aca="false">IF(A1905="","",IF(COUNTIF(Anggota!$A$2:$A$2001,A1905)=0,"TIDAK ADA","OK"))</f>
        <v/>
      </c>
      <c r="S1905" s="29" t="str">
        <f aca="false">IF(H1905="","",IF(OR(J1905="",L1905=""),"-",IF(ABS(H1905-J1905*L1905)&gt;Info_Koperasi!$C$10,"SELISIH","OK")))</f>
        <v/>
      </c>
    </row>
    <row r="1906" customFormat="false" ht="15" hidden="false" customHeight="false" outlineLevel="0" collapsed="false">
      <c r="A1906" s="21"/>
      <c r="B1906" s="22"/>
      <c r="C1906" s="21"/>
      <c r="D1906" s="21"/>
      <c r="E1906" s="28"/>
      <c r="F1906" s="24"/>
      <c r="G1906" s="26"/>
      <c r="H1906" s="24"/>
      <c r="I1906" s="24"/>
      <c r="J1906" s="24"/>
      <c r="K1906" s="24"/>
      <c r="L1906" s="26"/>
      <c r="M1906" s="26"/>
      <c r="N1906" s="22"/>
      <c r="O1906" s="21"/>
      <c r="P1906" s="22"/>
      <c r="Q1906" s="29" t="str">
        <f aca="false">IF(C1906="","",IF(O1906&lt;&gt;"",O1906,IFERROR(INDEX(Produk!$J$2:$J$100,MATCH(C1906,Produk!$A$2:$A$100,0)),"PRODUK?")))</f>
        <v/>
      </c>
      <c r="R1906" s="29" t="str">
        <f aca="false">IF(A1906="","",IF(COUNTIF(Anggota!$A$2:$A$2001,A1906)=0,"TIDAK ADA","OK"))</f>
        <v/>
      </c>
      <c r="S1906" s="29" t="str">
        <f aca="false">IF(H1906="","",IF(OR(J1906="",L1906=""),"-",IF(ABS(H1906-J1906*L1906)&gt;Info_Koperasi!$C$10,"SELISIH","OK")))</f>
        <v/>
      </c>
    </row>
    <row r="1907" customFormat="false" ht="15" hidden="false" customHeight="false" outlineLevel="0" collapsed="false">
      <c r="A1907" s="21"/>
      <c r="B1907" s="22"/>
      <c r="C1907" s="21"/>
      <c r="D1907" s="21"/>
      <c r="E1907" s="28"/>
      <c r="F1907" s="24"/>
      <c r="G1907" s="26"/>
      <c r="H1907" s="24"/>
      <c r="I1907" s="24"/>
      <c r="J1907" s="24"/>
      <c r="K1907" s="24"/>
      <c r="L1907" s="26"/>
      <c r="M1907" s="26"/>
      <c r="N1907" s="22"/>
      <c r="O1907" s="21"/>
      <c r="P1907" s="22"/>
      <c r="Q1907" s="29" t="str">
        <f aca="false">IF(C1907="","",IF(O1907&lt;&gt;"",O1907,IFERROR(INDEX(Produk!$J$2:$J$100,MATCH(C1907,Produk!$A$2:$A$100,0)),"PRODUK?")))</f>
        <v/>
      </c>
      <c r="R1907" s="29" t="str">
        <f aca="false">IF(A1907="","",IF(COUNTIF(Anggota!$A$2:$A$2001,A1907)=0,"TIDAK ADA","OK"))</f>
        <v/>
      </c>
      <c r="S1907" s="29" t="str">
        <f aca="false">IF(H1907="","",IF(OR(J1907="",L1907=""),"-",IF(ABS(H1907-J1907*L1907)&gt;Info_Koperasi!$C$10,"SELISIH","OK")))</f>
        <v/>
      </c>
    </row>
    <row r="1908" customFormat="false" ht="15" hidden="false" customHeight="false" outlineLevel="0" collapsed="false">
      <c r="A1908" s="21"/>
      <c r="B1908" s="22"/>
      <c r="C1908" s="21"/>
      <c r="D1908" s="21"/>
      <c r="E1908" s="28"/>
      <c r="F1908" s="24"/>
      <c r="G1908" s="26"/>
      <c r="H1908" s="24"/>
      <c r="I1908" s="24"/>
      <c r="J1908" s="24"/>
      <c r="K1908" s="24"/>
      <c r="L1908" s="26"/>
      <c r="M1908" s="26"/>
      <c r="N1908" s="22"/>
      <c r="O1908" s="21"/>
      <c r="P1908" s="22"/>
      <c r="Q1908" s="29" t="str">
        <f aca="false">IF(C1908="","",IF(O1908&lt;&gt;"",O1908,IFERROR(INDEX(Produk!$J$2:$J$100,MATCH(C1908,Produk!$A$2:$A$100,0)),"PRODUK?")))</f>
        <v/>
      </c>
      <c r="R1908" s="29" t="str">
        <f aca="false">IF(A1908="","",IF(COUNTIF(Anggota!$A$2:$A$2001,A1908)=0,"TIDAK ADA","OK"))</f>
        <v/>
      </c>
      <c r="S1908" s="29" t="str">
        <f aca="false">IF(H1908="","",IF(OR(J1908="",L1908=""),"-",IF(ABS(H1908-J1908*L1908)&gt;Info_Koperasi!$C$10,"SELISIH","OK")))</f>
        <v/>
      </c>
    </row>
    <row r="1909" customFormat="false" ht="15" hidden="false" customHeight="false" outlineLevel="0" collapsed="false">
      <c r="A1909" s="21"/>
      <c r="B1909" s="22"/>
      <c r="C1909" s="21"/>
      <c r="D1909" s="21"/>
      <c r="E1909" s="28"/>
      <c r="F1909" s="24"/>
      <c r="G1909" s="26"/>
      <c r="H1909" s="24"/>
      <c r="I1909" s="24"/>
      <c r="J1909" s="24"/>
      <c r="K1909" s="24"/>
      <c r="L1909" s="26"/>
      <c r="M1909" s="26"/>
      <c r="N1909" s="22"/>
      <c r="O1909" s="21"/>
      <c r="P1909" s="22"/>
      <c r="Q1909" s="29" t="str">
        <f aca="false">IF(C1909="","",IF(O1909&lt;&gt;"",O1909,IFERROR(INDEX(Produk!$J$2:$J$100,MATCH(C1909,Produk!$A$2:$A$100,0)),"PRODUK?")))</f>
        <v/>
      </c>
      <c r="R1909" s="29" t="str">
        <f aca="false">IF(A1909="","",IF(COUNTIF(Anggota!$A$2:$A$2001,A1909)=0,"TIDAK ADA","OK"))</f>
        <v/>
      </c>
      <c r="S1909" s="29" t="str">
        <f aca="false">IF(H1909="","",IF(OR(J1909="",L1909=""),"-",IF(ABS(H1909-J1909*L1909)&gt;Info_Koperasi!$C$10,"SELISIH","OK")))</f>
        <v/>
      </c>
    </row>
    <row r="1910" customFormat="false" ht="15" hidden="false" customHeight="false" outlineLevel="0" collapsed="false">
      <c r="A1910" s="21"/>
      <c r="B1910" s="22"/>
      <c r="C1910" s="21"/>
      <c r="D1910" s="21"/>
      <c r="E1910" s="28"/>
      <c r="F1910" s="24"/>
      <c r="G1910" s="26"/>
      <c r="H1910" s="24"/>
      <c r="I1910" s="24"/>
      <c r="J1910" s="24"/>
      <c r="K1910" s="24"/>
      <c r="L1910" s="26"/>
      <c r="M1910" s="26"/>
      <c r="N1910" s="22"/>
      <c r="O1910" s="21"/>
      <c r="P1910" s="22"/>
      <c r="Q1910" s="29" t="str">
        <f aca="false">IF(C1910="","",IF(O1910&lt;&gt;"",O1910,IFERROR(INDEX(Produk!$J$2:$J$100,MATCH(C1910,Produk!$A$2:$A$100,0)),"PRODUK?")))</f>
        <v/>
      </c>
      <c r="R1910" s="29" t="str">
        <f aca="false">IF(A1910="","",IF(COUNTIF(Anggota!$A$2:$A$2001,A1910)=0,"TIDAK ADA","OK"))</f>
        <v/>
      </c>
      <c r="S1910" s="29" t="str">
        <f aca="false">IF(H1910="","",IF(OR(J1910="",L1910=""),"-",IF(ABS(H1910-J1910*L1910)&gt;Info_Koperasi!$C$10,"SELISIH","OK")))</f>
        <v/>
      </c>
    </row>
    <row r="1911" customFormat="false" ht="15" hidden="false" customHeight="false" outlineLevel="0" collapsed="false">
      <c r="A1911" s="21"/>
      <c r="B1911" s="22"/>
      <c r="C1911" s="21"/>
      <c r="D1911" s="21"/>
      <c r="E1911" s="28"/>
      <c r="F1911" s="24"/>
      <c r="G1911" s="26"/>
      <c r="H1911" s="24"/>
      <c r="I1911" s="24"/>
      <c r="J1911" s="24"/>
      <c r="K1911" s="24"/>
      <c r="L1911" s="26"/>
      <c r="M1911" s="26"/>
      <c r="N1911" s="22"/>
      <c r="O1911" s="21"/>
      <c r="P1911" s="22"/>
      <c r="Q1911" s="29" t="str">
        <f aca="false">IF(C1911="","",IF(O1911&lt;&gt;"",O1911,IFERROR(INDEX(Produk!$J$2:$J$100,MATCH(C1911,Produk!$A$2:$A$100,0)),"PRODUK?")))</f>
        <v/>
      </c>
      <c r="R1911" s="29" t="str">
        <f aca="false">IF(A1911="","",IF(COUNTIF(Anggota!$A$2:$A$2001,A1911)=0,"TIDAK ADA","OK"))</f>
        <v/>
      </c>
      <c r="S1911" s="29" t="str">
        <f aca="false">IF(H1911="","",IF(OR(J1911="",L1911=""),"-",IF(ABS(H1911-J1911*L1911)&gt;Info_Koperasi!$C$10,"SELISIH","OK")))</f>
        <v/>
      </c>
    </row>
    <row r="1912" customFormat="false" ht="15" hidden="false" customHeight="false" outlineLevel="0" collapsed="false">
      <c r="A1912" s="21"/>
      <c r="B1912" s="22"/>
      <c r="C1912" s="21"/>
      <c r="D1912" s="21"/>
      <c r="E1912" s="28"/>
      <c r="F1912" s="24"/>
      <c r="G1912" s="26"/>
      <c r="H1912" s="24"/>
      <c r="I1912" s="24"/>
      <c r="J1912" s="24"/>
      <c r="K1912" s="24"/>
      <c r="L1912" s="26"/>
      <c r="M1912" s="26"/>
      <c r="N1912" s="22"/>
      <c r="O1912" s="21"/>
      <c r="P1912" s="22"/>
      <c r="Q1912" s="29" t="str">
        <f aca="false">IF(C1912="","",IF(O1912&lt;&gt;"",O1912,IFERROR(INDEX(Produk!$J$2:$J$100,MATCH(C1912,Produk!$A$2:$A$100,0)),"PRODUK?")))</f>
        <v/>
      </c>
      <c r="R1912" s="29" t="str">
        <f aca="false">IF(A1912="","",IF(COUNTIF(Anggota!$A$2:$A$2001,A1912)=0,"TIDAK ADA","OK"))</f>
        <v/>
      </c>
      <c r="S1912" s="29" t="str">
        <f aca="false">IF(H1912="","",IF(OR(J1912="",L1912=""),"-",IF(ABS(H1912-J1912*L1912)&gt;Info_Koperasi!$C$10,"SELISIH","OK")))</f>
        <v/>
      </c>
    </row>
    <row r="1913" customFormat="false" ht="15" hidden="false" customHeight="false" outlineLevel="0" collapsed="false">
      <c r="A1913" s="21"/>
      <c r="B1913" s="22"/>
      <c r="C1913" s="21"/>
      <c r="D1913" s="21"/>
      <c r="E1913" s="28"/>
      <c r="F1913" s="24"/>
      <c r="G1913" s="26"/>
      <c r="H1913" s="24"/>
      <c r="I1913" s="24"/>
      <c r="J1913" s="24"/>
      <c r="K1913" s="24"/>
      <c r="L1913" s="26"/>
      <c r="M1913" s="26"/>
      <c r="N1913" s="22"/>
      <c r="O1913" s="21"/>
      <c r="P1913" s="22"/>
      <c r="Q1913" s="29" t="str">
        <f aca="false">IF(C1913="","",IF(O1913&lt;&gt;"",O1913,IFERROR(INDEX(Produk!$J$2:$J$100,MATCH(C1913,Produk!$A$2:$A$100,0)),"PRODUK?")))</f>
        <v/>
      </c>
      <c r="R1913" s="29" t="str">
        <f aca="false">IF(A1913="","",IF(COUNTIF(Anggota!$A$2:$A$2001,A1913)=0,"TIDAK ADA","OK"))</f>
        <v/>
      </c>
      <c r="S1913" s="29" t="str">
        <f aca="false">IF(H1913="","",IF(OR(J1913="",L1913=""),"-",IF(ABS(H1913-J1913*L1913)&gt;Info_Koperasi!$C$10,"SELISIH","OK")))</f>
        <v/>
      </c>
    </row>
    <row r="1914" customFormat="false" ht="15" hidden="false" customHeight="false" outlineLevel="0" collapsed="false">
      <c r="A1914" s="21"/>
      <c r="B1914" s="22"/>
      <c r="C1914" s="21"/>
      <c r="D1914" s="21"/>
      <c r="E1914" s="28"/>
      <c r="F1914" s="24"/>
      <c r="G1914" s="26"/>
      <c r="H1914" s="24"/>
      <c r="I1914" s="24"/>
      <c r="J1914" s="24"/>
      <c r="K1914" s="24"/>
      <c r="L1914" s="26"/>
      <c r="M1914" s="26"/>
      <c r="N1914" s="22"/>
      <c r="O1914" s="21"/>
      <c r="P1914" s="22"/>
      <c r="Q1914" s="29" t="str">
        <f aca="false">IF(C1914="","",IF(O1914&lt;&gt;"",O1914,IFERROR(INDEX(Produk!$J$2:$J$100,MATCH(C1914,Produk!$A$2:$A$100,0)),"PRODUK?")))</f>
        <v/>
      </c>
      <c r="R1914" s="29" t="str">
        <f aca="false">IF(A1914="","",IF(COUNTIF(Anggota!$A$2:$A$2001,A1914)=0,"TIDAK ADA","OK"))</f>
        <v/>
      </c>
      <c r="S1914" s="29" t="str">
        <f aca="false">IF(H1914="","",IF(OR(J1914="",L1914=""),"-",IF(ABS(H1914-J1914*L1914)&gt;Info_Koperasi!$C$10,"SELISIH","OK")))</f>
        <v/>
      </c>
    </row>
    <row r="1915" customFormat="false" ht="15" hidden="false" customHeight="false" outlineLevel="0" collapsed="false">
      <c r="A1915" s="21"/>
      <c r="B1915" s="22"/>
      <c r="C1915" s="21"/>
      <c r="D1915" s="21"/>
      <c r="E1915" s="28"/>
      <c r="F1915" s="24"/>
      <c r="G1915" s="26"/>
      <c r="H1915" s="24"/>
      <c r="I1915" s="24"/>
      <c r="J1915" s="24"/>
      <c r="K1915" s="24"/>
      <c r="L1915" s="26"/>
      <c r="M1915" s="26"/>
      <c r="N1915" s="22"/>
      <c r="O1915" s="21"/>
      <c r="P1915" s="22"/>
      <c r="Q1915" s="29" t="str">
        <f aca="false">IF(C1915="","",IF(O1915&lt;&gt;"",O1915,IFERROR(INDEX(Produk!$J$2:$J$100,MATCH(C1915,Produk!$A$2:$A$100,0)),"PRODUK?")))</f>
        <v/>
      </c>
      <c r="R1915" s="29" t="str">
        <f aca="false">IF(A1915="","",IF(COUNTIF(Anggota!$A$2:$A$2001,A1915)=0,"TIDAK ADA","OK"))</f>
        <v/>
      </c>
      <c r="S1915" s="29" t="str">
        <f aca="false">IF(H1915="","",IF(OR(J1915="",L1915=""),"-",IF(ABS(H1915-J1915*L1915)&gt;Info_Koperasi!$C$10,"SELISIH","OK")))</f>
        <v/>
      </c>
    </row>
    <row r="1916" customFormat="false" ht="15" hidden="false" customHeight="false" outlineLevel="0" collapsed="false">
      <c r="A1916" s="21"/>
      <c r="B1916" s="22"/>
      <c r="C1916" s="21"/>
      <c r="D1916" s="21"/>
      <c r="E1916" s="28"/>
      <c r="F1916" s="24"/>
      <c r="G1916" s="26"/>
      <c r="H1916" s="24"/>
      <c r="I1916" s="24"/>
      <c r="J1916" s="24"/>
      <c r="K1916" s="24"/>
      <c r="L1916" s="26"/>
      <c r="M1916" s="26"/>
      <c r="N1916" s="22"/>
      <c r="O1916" s="21"/>
      <c r="P1916" s="22"/>
      <c r="Q1916" s="29" t="str">
        <f aca="false">IF(C1916="","",IF(O1916&lt;&gt;"",O1916,IFERROR(INDEX(Produk!$J$2:$J$100,MATCH(C1916,Produk!$A$2:$A$100,0)),"PRODUK?")))</f>
        <v/>
      </c>
      <c r="R1916" s="29" t="str">
        <f aca="false">IF(A1916="","",IF(COUNTIF(Anggota!$A$2:$A$2001,A1916)=0,"TIDAK ADA","OK"))</f>
        <v/>
      </c>
      <c r="S1916" s="29" t="str">
        <f aca="false">IF(H1916="","",IF(OR(J1916="",L1916=""),"-",IF(ABS(H1916-J1916*L1916)&gt;Info_Koperasi!$C$10,"SELISIH","OK")))</f>
        <v/>
      </c>
    </row>
    <row r="1917" customFormat="false" ht="15" hidden="false" customHeight="false" outlineLevel="0" collapsed="false">
      <c r="A1917" s="21"/>
      <c r="B1917" s="22"/>
      <c r="C1917" s="21"/>
      <c r="D1917" s="21"/>
      <c r="E1917" s="28"/>
      <c r="F1917" s="24"/>
      <c r="G1917" s="26"/>
      <c r="H1917" s="24"/>
      <c r="I1917" s="24"/>
      <c r="J1917" s="24"/>
      <c r="K1917" s="24"/>
      <c r="L1917" s="26"/>
      <c r="M1917" s="26"/>
      <c r="N1917" s="22"/>
      <c r="O1917" s="21"/>
      <c r="P1917" s="22"/>
      <c r="Q1917" s="29" t="str">
        <f aca="false">IF(C1917="","",IF(O1917&lt;&gt;"",O1917,IFERROR(INDEX(Produk!$J$2:$J$100,MATCH(C1917,Produk!$A$2:$A$100,0)),"PRODUK?")))</f>
        <v/>
      </c>
      <c r="R1917" s="29" t="str">
        <f aca="false">IF(A1917="","",IF(COUNTIF(Anggota!$A$2:$A$2001,A1917)=0,"TIDAK ADA","OK"))</f>
        <v/>
      </c>
      <c r="S1917" s="29" t="str">
        <f aca="false">IF(H1917="","",IF(OR(J1917="",L1917=""),"-",IF(ABS(H1917-J1917*L1917)&gt;Info_Koperasi!$C$10,"SELISIH","OK")))</f>
        <v/>
      </c>
    </row>
    <row r="1918" customFormat="false" ht="15" hidden="false" customHeight="false" outlineLevel="0" collapsed="false">
      <c r="A1918" s="21"/>
      <c r="B1918" s="22"/>
      <c r="C1918" s="21"/>
      <c r="D1918" s="21"/>
      <c r="E1918" s="28"/>
      <c r="F1918" s="24"/>
      <c r="G1918" s="26"/>
      <c r="H1918" s="24"/>
      <c r="I1918" s="24"/>
      <c r="J1918" s="24"/>
      <c r="K1918" s="24"/>
      <c r="L1918" s="26"/>
      <c r="M1918" s="26"/>
      <c r="N1918" s="22"/>
      <c r="O1918" s="21"/>
      <c r="P1918" s="22"/>
      <c r="Q1918" s="29" t="str">
        <f aca="false">IF(C1918="","",IF(O1918&lt;&gt;"",O1918,IFERROR(INDEX(Produk!$J$2:$J$100,MATCH(C1918,Produk!$A$2:$A$100,0)),"PRODUK?")))</f>
        <v/>
      </c>
      <c r="R1918" s="29" t="str">
        <f aca="false">IF(A1918="","",IF(COUNTIF(Anggota!$A$2:$A$2001,A1918)=0,"TIDAK ADA","OK"))</f>
        <v/>
      </c>
      <c r="S1918" s="29" t="str">
        <f aca="false">IF(H1918="","",IF(OR(J1918="",L1918=""),"-",IF(ABS(H1918-J1918*L1918)&gt;Info_Koperasi!$C$10,"SELISIH","OK")))</f>
        <v/>
      </c>
    </row>
    <row r="1919" customFormat="false" ht="15" hidden="false" customHeight="false" outlineLevel="0" collapsed="false">
      <c r="A1919" s="21"/>
      <c r="B1919" s="22"/>
      <c r="C1919" s="21"/>
      <c r="D1919" s="21"/>
      <c r="E1919" s="28"/>
      <c r="F1919" s="24"/>
      <c r="G1919" s="26"/>
      <c r="H1919" s="24"/>
      <c r="I1919" s="24"/>
      <c r="J1919" s="24"/>
      <c r="K1919" s="24"/>
      <c r="L1919" s="26"/>
      <c r="M1919" s="26"/>
      <c r="N1919" s="22"/>
      <c r="O1919" s="21"/>
      <c r="P1919" s="22"/>
      <c r="Q1919" s="29" t="str">
        <f aca="false">IF(C1919="","",IF(O1919&lt;&gt;"",O1919,IFERROR(INDEX(Produk!$J$2:$J$100,MATCH(C1919,Produk!$A$2:$A$100,0)),"PRODUK?")))</f>
        <v/>
      </c>
      <c r="R1919" s="29" t="str">
        <f aca="false">IF(A1919="","",IF(COUNTIF(Anggota!$A$2:$A$2001,A1919)=0,"TIDAK ADA","OK"))</f>
        <v/>
      </c>
      <c r="S1919" s="29" t="str">
        <f aca="false">IF(H1919="","",IF(OR(J1919="",L1919=""),"-",IF(ABS(H1919-J1919*L1919)&gt;Info_Koperasi!$C$10,"SELISIH","OK")))</f>
        <v/>
      </c>
    </row>
    <row r="1920" customFormat="false" ht="15" hidden="false" customHeight="false" outlineLevel="0" collapsed="false">
      <c r="A1920" s="21"/>
      <c r="B1920" s="22"/>
      <c r="C1920" s="21"/>
      <c r="D1920" s="21"/>
      <c r="E1920" s="28"/>
      <c r="F1920" s="24"/>
      <c r="G1920" s="26"/>
      <c r="H1920" s="24"/>
      <c r="I1920" s="24"/>
      <c r="J1920" s="24"/>
      <c r="K1920" s="24"/>
      <c r="L1920" s="26"/>
      <c r="M1920" s="26"/>
      <c r="N1920" s="22"/>
      <c r="O1920" s="21"/>
      <c r="P1920" s="22"/>
      <c r="Q1920" s="29" t="str">
        <f aca="false">IF(C1920="","",IF(O1920&lt;&gt;"",O1920,IFERROR(INDEX(Produk!$J$2:$J$100,MATCH(C1920,Produk!$A$2:$A$100,0)),"PRODUK?")))</f>
        <v/>
      </c>
      <c r="R1920" s="29" t="str">
        <f aca="false">IF(A1920="","",IF(COUNTIF(Anggota!$A$2:$A$2001,A1920)=0,"TIDAK ADA","OK"))</f>
        <v/>
      </c>
      <c r="S1920" s="29" t="str">
        <f aca="false">IF(H1920="","",IF(OR(J1920="",L1920=""),"-",IF(ABS(H1920-J1920*L1920)&gt;Info_Koperasi!$C$10,"SELISIH","OK")))</f>
        <v/>
      </c>
    </row>
    <row r="1921" customFormat="false" ht="15" hidden="false" customHeight="false" outlineLevel="0" collapsed="false">
      <c r="A1921" s="21"/>
      <c r="B1921" s="22"/>
      <c r="C1921" s="21"/>
      <c r="D1921" s="21"/>
      <c r="E1921" s="28"/>
      <c r="F1921" s="24"/>
      <c r="G1921" s="26"/>
      <c r="H1921" s="24"/>
      <c r="I1921" s="24"/>
      <c r="J1921" s="24"/>
      <c r="K1921" s="24"/>
      <c r="L1921" s="26"/>
      <c r="M1921" s="26"/>
      <c r="N1921" s="22"/>
      <c r="O1921" s="21"/>
      <c r="P1921" s="22"/>
      <c r="Q1921" s="29" t="str">
        <f aca="false">IF(C1921="","",IF(O1921&lt;&gt;"",O1921,IFERROR(INDEX(Produk!$J$2:$J$100,MATCH(C1921,Produk!$A$2:$A$100,0)),"PRODUK?")))</f>
        <v/>
      </c>
      <c r="R1921" s="29" t="str">
        <f aca="false">IF(A1921="","",IF(COUNTIF(Anggota!$A$2:$A$2001,A1921)=0,"TIDAK ADA","OK"))</f>
        <v/>
      </c>
      <c r="S1921" s="29" t="str">
        <f aca="false">IF(H1921="","",IF(OR(J1921="",L1921=""),"-",IF(ABS(H1921-J1921*L1921)&gt;Info_Koperasi!$C$10,"SELISIH","OK")))</f>
        <v/>
      </c>
    </row>
    <row r="1922" customFormat="false" ht="15" hidden="false" customHeight="false" outlineLevel="0" collapsed="false">
      <c r="A1922" s="21"/>
      <c r="B1922" s="22"/>
      <c r="C1922" s="21"/>
      <c r="D1922" s="21"/>
      <c r="E1922" s="28"/>
      <c r="F1922" s="24"/>
      <c r="G1922" s="26"/>
      <c r="H1922" s="24"/>
      <c r="I1922" s="24"/>
      <c r="J1922" s="24"/>
      <c r="K1922" s="24"/>
      <c r="L1922" s="26"/>
      <c r="M1922" s="26"/>
      <c r="N1922" s="22"/>
      <c r="O1922" s="21"/>
      <c r="P1922" s="22"/>
      <c r="Q1922" s="29" t="str">
        <f aca="false">IF(C1922="","",IF(O1922&lt;&gt;"",O1922,IFERROR(INDEX(Produk!$J$2:$J$100,MATCH(C1922,Produk!$A$2:$A$100,0)),"PRODUK?")))</f>
        <v/>
      </c>
      <c r="R1922" s="29" t="str">
        <f aca="false">IF(A1922="","",IF(COUNTIF(Anggota!$A$2:$A$2001,A1922)=0,"TIDAK ADA","OK"))</f>
        <v/>
      </c>
      <c r="S1922" s="29" t="str">
        <f aca="false">IF(H1922="","",IF(OR(J1922="",L1922=""),"-",IF(ABS(H1922-J1922*L1922)&gt;Info_Koperasi!$C$10,"SELISIH","OK")))</f>
        <v/>
      </c>
    </row>
    <row r="1923" customFormat="false" ht="15" hidden="false" customHeight="false" outlineLevel="0" collapsed="false">
      <c r="A1923" s="21"/>
      <c r="B1923" s="22"/>
      <c r="C1923" s="21"/>
      <c r="D1923" s="21"/>
      <c r="E1923" s="28"/>
      <c r="F1923" s="24"/>
      <c r="G1923" s="26"/>
      <c r="H1923" s="24"/>
      <c r="I1923" s="24"/>
      <c r="J1923" s="24"/>
      <c r="K1923" s="24"/>
      <c r="L1923" s="26"/>
      <c r="M1923" s="26"/>
      <c r="N1923" s="22"/>
      <c r="O1923" s="21"/>
      <c r="P1923" s="22"/>
      <c r="Q1923" s="29" t="str">
        <f aca="false">IF(C1923="","",IF(O1923&lt;&gt;"",O1923,IFERROR(INDEX(Produk!$J$2:$J$100,MATCH(C1923,Produk!$A$2:$A$100,0)),"PRODUK?")))</f>
        <v/>
      </c>
      <c r="R1923" s="29" t="str">
        <f aca="false">IF(A1923="","",IF(COUNTIF(Anggota!$A$2:$A$2001,A1923)=0,"TIDAK ADA","OK"))</f>
        <v/>
      </c>
      <c r="S1923" s="29" t="str">
        <f aca="false">IF(H1923="","",IF(OR(J1923="",L1923=""),"-",IF(ABS(H1923-J1923*L1923)&gt;Info_Koperasi!$C$10,"SELISIH","OK")))</f>
        <v/>
      </c>
    </row>
    <row r="1924" customFormat="false" ht="15" hidden="false" customHeight="false" outlineLevel="0" collapsed="false">
      <c r="A1924" s="21"/>
      <c r="B1924" s="22"/>
      <c r="C1924" s="21"/>
      <c r="D1924" s="21"/>
      <c r="E1924" s="28"/>
      <c r="F1924" s="24"/>
      <c r="G1924" s="26"/>
      <c r="H1924" s="24"/>
      <c r="I1924" s="24"/>
      <c r="J1924" s="24"/>
      <c r="K1924" s="24"/>
      <c r="L1924" s="26"/>
      <c r="M1924" s="26"/>
      <c r="N1924" s="22"/>
      <c r="O1924" s="21"/>
      <c r="P1924" s="22"/>
      <c r="Q1924" s="29" t="str">
        <f aca="false">IF(C1924="","",IF(O1924&lt;&gt;"",O1924,IFERROR(INDEX(Produk!$J$2:$J$100,MATCH(C1924,Produk!$A$2:$A$100,0)),"PRODUK?")))</f>
        <v/>
      </c>
      <c r="R1924" s="29" t="str">
        <f aca="false">IF(A1924="","",IF(COUNTIF(Anggota!$A$2:$A$2001,A1924)=0,"TIDAK ADA","OK"))</f>
        <v/>
      </c>
      <c r="S1924" s="29" t="str">
        <f aca="false">IF(H1924="","",IF(OR(J1924="",L1924=""),"-",IF(ABS(H1924-J1924*L1924)&gt;Info_Koperasi!$C$10,"SELISIH","OK")))</f>
        <v/>
      </c>
    </row>
    <row r="1925" customFormat="false" ht="15" hidden="false" customHeight="false" outlineLevel="0" collapsed="false">
      <c r="A1925" s="21"/>
      <c r="B1925" s="22"/>
      <c r="C1925" s="21"/>
      <c r="D1925" s="21"/>
      <c r="E1925" s="28"/>
      <c r="F1925" s="24"/>
      <c r="G1925" s="26"/>
      <c r="H1925" s="24"/>
      <c r="I1925" s="24"/>
      <c r="J1925" s="24"/>
      <c r="K1925" s="24"/>
      <c r="L1925" s="26"/>
      <c r="M1925" s="26"/>
      <c r="N1925" s="22"/>
      <c r="O1925" s="21"/>
      <c r="P1925" s="22"/>
      <c r="Q1925" s="29" t="str">
        <f aca="false">IF(C1925="","",IF(O1925&lt;&gt;"",O1925,IFERROR(INDEX(Produk!$J$2:$J$100,MATCH(C1925,Produk!$A$2:$A$100,0)),"PRODUK?")))</f>
        <v/>
      </c>
      <c r="R1925" s="29" t="str">
        <f aca="false">IF(A1925="","",IF(COUNTIF(Anggota!$A$2:$A$2001,A1925)=0,"TIDAK ADA","OK"))</f>
        <v/>
      </c>
      <c r="S1925" s="29" t="str">
        <f aca="false">IF(H1925="","",IF(OR(J1925="",L1925=""),"-",IF(ABS(H1925-J1925*L1925)&gt;Info_Koperasi!$C$10,"SELISIH","OK")))</f>
        <v/>
      </c>
    </row>
    <row r="1926" customFormat="false" ht="15" hidden="false" customHeight="false" outlineLevel="0" collapsed="false">
      <c r="A1926" s="21"/>
      <c r="B1926" s="22"/>
      <c r="C1926" s="21"/>
      <c r="D1926" s="21"/>
      <c r="E1926" s="28"/>
      <c r="F1926" s="24"/>
      <c r="G1926" s="26"/>
      <c r="H1926" s="24"/>
      <c r="I1926" s="24"/>
      <c r="J1926" s="24"/>
      <c r="K1926" s="24"/>
      <c r="L1926" s="26"/>
      <c r="M1926" s="26"/>
      <c r="N1926" s="22"/>
      <c r="O1926" s="21"/>
      <c r="P1926" s="22"/>
      <c r="Q1926" s="29" t="str">
        <f aca="false">IF(C1926="","",IF(O1926&lt;&gt;"",O1926,IFERROR(INDEX(Produk!$J$2:$J$100,MATCH(C1926,Produk!$A$2:$A$100,0)),"PRODUK?")))</f>
        <v/>
      </c>
      <c r="R1926" s="29" t="str">
        <f aca="false">IF(A1926="","",IF(COUNTIF(Anggota!$A$2:$A$2001,A1926)=0,"TIDAK ADA","OK"))</f>
        <v/>
      </c>
      <c r="S1926" s="29" t="str">
        <f aca="false">IF(H1926="","",IF(OR(J1926="",L1926=""),"-",IF(ABS(H1926-J1926*L1926)&gt;Info_Koperasi!$C$10,"SELISIH","OK")))</f>
        <v/>
      </c>
    </row>
    <row r="1927" customFormat="false" ht="15" hidden="false" customHeight="false" outlineLevel="0" collapsed="false">
      <c r="A1927" s="21"/>
      <c r="B1927" s="22"/>
      <c r="C1927" s="21"/>
      <c r="D1927" s="21"/>
      <c r="E1927" s="28"/>
      <c r="F1927" s="24"/>
      <c r="G1927" s="26"/>
      <c r="H1927" s="24"/>
      <c r="I1927" s="24"/>
      <c r="J1927" s="24"/>
      <c r="K1927" s="24"/>
      <c r="L1927" s="26"/>
      <c r="M1927" s="26"/>
      <c r="N1927" s="22"/>
      <c r="O1927" s="21"/>
      <c r="P1927" s="22"/>
      <c r="Q1927" s="29" t="str">
        <f aca="false">IF(C1927="","",IF(O1927&lt;&gt;"",O1927,IFERROR(INDEX(Produk!$J$2:$J$100,MATCH(C1927,Produk!$A$2:$A$100,0)),"PRODUK?")))</f>
        <v/>
      </c>
      <c r="R1927" s="29" t="str">
        <f aca="false">IF(A1927="","",IF(COUNTIF(Anggota!$A$2:$A$2001,A1927)=0,"TIDAK ADA","OK"))</f>
        <v/>
      </c>
      <c r="S1927" s="29" t="str">
        <f aca="false">IF(H1927="","",IF(OR(J1927="",L1927=""),"-",IF(ABS(H1927-J1927*L1927)&gt;Info_Koperasi!$C$10,"SELISIH","OK")))</f>
        <v/>
      </c>
    </row>
    <row r="1928" customFormat="false" ht="15" hidden="false" customHeight="false" outlineLevel="0" collapsed="false">
      <c r="A1928" s="21"/>
      <c r="B1928" s="22"/>
      <c r="C1928" s="21"/>
      <c r="D1928" s="21"/>
      <c r="E1928" s="28"/>
      <c r="F1928" s="24"/>
      <c r="G1928" s="26"/>
      <c r="H1928" s="24"/>
      <c r="I1928" s="24"/>
      <c r="J1928" s="24"/>
      <c r="K1928" s="24"/>
      <c r="L1928" s="26"/>
      <c r="M1928" s="26"/>
      <c r="N1928" s="22"/>
      <c r="O1928" s="21"/>
      <c r="P1928" s="22"/>
      <c r="Q1928" s="29" t="str">
        <f aca="false">IF(C1928="","",IF(O1928&lt;&gt;"",O1928,IFERROR(INDEX(Produk!$J$2:$J$100,MATCH(C1928,Produk!$A$2:$A$100,0)),"PRODUK?")))</f>
        <v/>
      </c>
      <c r="R1928" s="29" t="str">
        <f aca="false">IF(A1928="","",IF(COUNTIF(Anggota!$A$2:$A$2001,A1928)=0,"TIDAK ADA","OK"))</f>
        <v/>
      </c>
      <c r="S1928" s="29" t="str">
        <f aca="false">IF(H1928="","",IF(OR(J1928="",L1928=""),"-",IF(ABS(H1928-J1928*L1928)&gt;Info_Koperasi!$C$10,"SELISIH","OK")))</f>
        <v/>
      </c>
    </row>
    <row r="1929" customFormat="false" ht="15" hidden="false" customHeight="false" outlineLevel="0" collapsed="false">
      <c r="A1929" s="21"/>
      <c r="B1929" s="22"/>
      <c r="C1929" s="21"/>
      <c r="D1929" s="21"/>
      <c r="E1929" s="28"/>
      <c r="F1929" s="24"/>
      <c r="G1929" s="26"/>
      <c r="H1929" s="24"/>
      <c r="I1929" s="24"/>
      <c r="J1929" s="24"/>
      <c r="K1929" s="24"/>
      <c r="L1929" s="26"/>
      <c r="M1929" s="26"/>
      <c r="N1929" s="22"/>
      <c r="O1929" s="21"/>
      <c r="P1929" s="22"/>
      <c r="Q1929" s="29" t="str">
        <f aca="false">IF(C1929="","",IF(O1929&lt;&gt;"",O1929,IFERROR(INDEX(Produk!$J$2:$J$100,MATCH(C1929,Produk!$A$2:$A$100,0)),"PRODUK?")))</f>
        <v/>
      </c>
      <c r="R1929" s="29" t="str">
        <f aca="false">IF(A1929="","",IF(COUNTIF(Anggota!$A$2:$A$2001,A1929)=0,"TIDAK ADA","OK"))</f>
        <v/>
      </c>
      <c r="S1929" s="29" t="str">
        <f aca="false">IF(H1929="","",IF(OR(J1929="",L1929=""),"-",IF(ABS(H1929-J1929*L1929)&gt;Info_Koperasi!$C$10,"SELISIH","OK")))</f>
        <v/>
      </c>
    </row>
    <row r="1930" customFormat="false" ht="15" hidden="false" customHeight="false" outlineLevel="0" collapsed="false">
      <c r="A1930" s="21"/>
      <c r="B1930" s="22"/>
      <c r="C1930" s="21"/>
      <c r="D1930" s="21"/>
      <c r="E1930" s="28"/>
      <c r="F1930" s="24"/>
      <c r="G1930" s="26"/>
      <c r="H1930" s="24"/>
      <c r="I1930" s="24"/>
      <c r="J1930" s="24"/>
      <c r="K1930" s="24"/>
      <c r="L1930" s="26"/>
      <c r="M1930" s="26"/>
      <c r="N1930" s="22"/>
      <c r="O1930" s="21"/>
      <c r="P1930" s="22"/>
      <c r="Q1930" s="29" t="str">
        <f aca="false">IF(C1930="","",IF(O1930&lt;&gt;"",O1930,IFERROR(INDEX(Produk!$J$2:$J$100,MATCH(C1930,Produk!$A$2:$A$100,0)),"PRODUK?")))</f>
        <v/>
      </c>
      <c r="R1930" s="29" t="str">
        <f aca="false">IF(A1930="","",IF(COUNTIF(Anggota!$A$2:$A$2001,A1930)=0,"TIDAK ADA","OK"))</f>
        <v/>
      </c>
      <c r="S1930" s="29" t="str">
        <f aca="false">IF(H1930="","",IF(OR(J1930="",L1930=""),"-",IF(ABS(H1930-J1930*L1930)&gt;Info_Koperasi!$C$10,"SELISIH","OK")))</f>
        <v/>
      </c>
    </row>
    <row r="1931" customFormat="false" ht="15" hidden="false" customHeight="false" outlineLevel="0" collapsed="false">
      <c r="A1931" s="21"/>
      <c r="B1931" s="22"/>
      <c r="C1931" s="21"/>
      <c r="D1931" s="21"/>
      <c r="E1931" s="28"/>
      <c r="F1931" s="24"/>
      <c r="G1931" s="26"/>
      <c r="H1931" s="24"/>
      <c r="I1931" s="24"/>
      <c r="J1931" s="24"/>
      <c r="K1931" s="24"/>
      <c r="L1931" s="26"/>
      <c r="M1931" s="26"/>
      <c r="N1931" s="22"/>
      <c r="O1931" s="21"/>
      <c r="P1931" s="22"/>
      <c r="Q1931" s="29" t="str">
        <f aca="false">IF(C1931="","",IF(O1931&lt;&gt;"",O1931,IFERROR(INDEX(Produk!$J$2:$J$100,MATCH(C1931,Produk!$A$2:$A$100,0)),"PRODUK?")))</f>
        <v/>
      </c>
      <c r="R1931" s="29" t="str">
        <f aca="false">IF(A1931="","",IF(COUNTIF(Anggota!$A$2:$A$2001,A1931)=0,"TIDAK ADA","OK"))</f>
        <v/>
      </c>
      <c r="S1931" s="29" t="str">
        <f aca="false">IF(H1931="","",IF(OR(J1931="",L1931=""),"-",IF(ABS(H1931-J1931*L1931)&gt;Info_Koperasi!$C$10,"SELISIH","OK")))</f>
        <v/>
      </c>
    </row>
    <row r="1932" customFormat="false" ht="15" hidden="false" customHeight="false" outlineLevel="0" collapsed="false">
      <c r="A1932" s="21"/>
      <c r="B1932" s="22"/>
      <c r="C1932" s="21"/>
      <c r="D1932" s="21"/>
      <c r="E1932" s="28"/>
      <c r="F1932" s="24"/>
      <c r="G1932" s="26"/>
      <c r="H1932" s="24"/>
      <c r="I1932" s="24"/>
      <c r="J1932" s="24"/>
      <c r="K1932" s="24"/>
      <c r="L1932" s="26"/>
      <c r="M1932" s="26"/>
      <c r="N1932" s="22"/>
      <c r="O1932" s="21"/>
      <c r="P1932" s="22"/>
      <c r="Q1932" s="29" t="str">
        <f aca="false">IF(C1932="","",IF(O1932&lt;&gt;"",O1932,IFERROR(INDEX(Produk!$J$2:$J$100,MATCH(C1932,Produk!$A$2:$A$100,0)),"PRODUK?")))</f>
        <v/>
      </c>
      <c r="R1932" s="29" t="str">
        <f aca="false">IF(A1932="","",IF(COUNTIF(Anggota!$A$2:$A$2001,A1932)=0,"TIDAK ADA","OK"))</f>
        <v/>
      </c>
      <c r="S1932" s="29" t="str">
        <f aca="false">IF(H1932="","",IF(OR(J1932="",L1932=""),"-",IF(ABS(H1932-J1932*L1932)&gt;Info_Koperasi!$C$10,"SELISIH","OK")))</f>
        <v/>
      </c>
    </row>
    <row r="1933" customFormat="false" ht="15" hidden="false" customHeight="false" outlineLevel="0" collapsed="false">
      <c r="A1933" s="21"/>
      <c r="B1933" s="22"/>
      <c r="C1933" s="21"/>
      <c r="D1933" s="21"/>
      <c r="E1933" s="28"/>
      <c r="F1933" s="24"/>
      <c r="G1933" s="26"/>
      <c r="H1933" s="24"/>
      <c r="I1933" s="24"/>
      <c r="J1933" s="24"/>
      <c r="K1933" s="24"/>
      <c r="L1933" s="26"/>
      <c r="M1933" s="26"/>
      <c r="N1933" s="22"/>
      <c r="O1933" s="21"/>
      <c r="P1933" s="22"/>
      <c r="Q1933" s="29" t="str">
        <f aca="false">IF(C1933="","",IF(O1933&lt;&gt;"",O1933,IFERROR(INDEX(Produk!$J$2:$J$100,MATCH(C1933,Produk!$A$2:$A$100,0)),"PRODUK?")))</f>
        <v/>
      </c>
      <c r="R1933" s="29" t="str">
        <f aca="false">IF(A1933="","",IF(COUNTIF(Anggota!$A$2:$A$2001,A1933)=0,"TIDAK ADA","OK"))</f>
        <v/>
      </c>
      <c r="S1933" s="29" t="str">
        <f aca="false">IF(H1933="","",IF(OR(J1933="",L1933=""),"-",IF(ABS(H1933-J1933*L1933)&gt;Info_Koperasi!$C$10,"SELISIH","OK")))</f>
        <v/>
      </c>
    </row>
    <row r="1934" customFormat="false" ht="15" hidden="false" customHeight="false" outlineLevel="0" collapsed="false">
      <c r="A1934" s="21"/>
      <c r="B1934" s="22"/>
      <c r="C1934" s="21"/>
      <c r="D1934" s="21"/>
      <c r="E1934" s="28"/>
      <c r="F1934" s="24"/>
      <c r="G1934" s="26"/>
      <c r="H1934" s="24"/>
      <c r="I1934" s="24"/>
      <c r="J1934" s="24"/>
      <c r="K1934" s="24"/>
      <c r="L1934" s="26"/>
      <c r="M1934" s="26"/>
      <c r="N1934" s="22"/>
      <c r="O1934" s="21"/>
      <c r="P1934" s="22"/>
      <c r="Q1934" s="29" t="str">
        <f aca="false">IF(C1934="","",IF(O1934&lt;&gt;"",O1934,IFERROR(INDEX(Produk!$J$2:$J$100,MATCH(C1934,Produk!$A$2:$A$100,0)),"PRODUK?")))</f>
        <v/>
      </c>
      <c r="R1934" s="29" t="str">
        <f aca="false">IF(A1934="","",IF(COUNTIF(Anggota!$A$2:$A$2001,A1934)=0,"TIDAK ADA","OK"))</f>
        <v/>
      </c>
      <c r="S1934" s="29" t="str">
        <f aca="false">IF(H1934="","",IF(OR(J1934="",L1934=""),"-",IF(ABS(H1934-J1934*L1934)&gt;Info_Koperasi!$C$10,"SELISIH","OK")))</f>
        <v/>
      </c>
    </row>
    <row r="1935" customFormat="false" ht="15" hidden="false" customHeight="false" outlineLevel="0" collapsed="false">
      <c r="A1935" s="21"/>
      <c r="B1935" s="22"/>
      <c r="C1935" s="21"/>
      <c r="D1935" s="21"/>
      <c r="E1935" s="28"/>
      <c r="F1935" s="24"/>
      <c r="G1935" s="26"/>
      <c r="H1935" s="24"/>
      <c r="I1935" s="24"/>
      <c r="J1935" s="24"/>
      <c r="K1935" s="24"/>
      <c r="L1935" s="26"/>
      <c r="M1935" s="26"/>
      <c r="N1935" s="22"/>
      <c r="O1935" s="21"/>
      <c r="P1935" s="22"/>
      <c r="Q1935" s="29" t="str">
        <f aca="false">IF(C1935="","",IF(O1935&lt;&gt;"",O1935,IFERROR(INDEX(Produk!$J$2:$J$100,MATCH(C1935,Produk!$A$2:$A$100,0)),"PRODUK?")))</f>
        <v/>
      </c>
      <c r="R1935" s="29" t="str">
        <f aca="false">IF(A1935="","",IF(COUNTIF(Anggota!$A$2:$A$2001,A1935)=0,"TIDAK ADA","OK"))</f>
        <v/>
      </c>
      <c r="S1935" s="29" t="str">
        <f aca="false">IF(H1935="","",IF(OR(J1935="",L1935=""),"-",IF(ABS(H1935-J1935*L1935)&gt;Info_Koperasi!$C$10,"SELISIH","OK")))</f>
        <v/>
      </c>
    </row>
    <row r="1936" customFormat="false" ht="15" hidden="false" customHeight="false" outlineLevel="0" collapsed="false">
      <c r="A1936" s="21"/>
      <c r="B1936" s="22"/>
      <c r="C1936" s="21"/>
      <c r="D1936" s="21"/>
      <c r="E1936" s="28"/>
      <c r="F1936" s="24"/>
      <c r="G1936" s="26"/>
      <c r="H1936" s="24"/>
      <c r="I1936" s="24"/>
      <c r="J1936" s="24"/>
      <c r="K1936" s="24"/>
      <c r="L1936" s="26"/>
      <c r="M1936" s="26"/>
      <c r="N1936" s="22"/>
      <c r="O1936" s="21"/>
      <c r="P1936" s="22"/>
      <c r="Q1936" s="29" t="str">
        <f aca="false">IF(C1936="","",IF(O1936&lt;&gt;"",O1936,IFERROR(INDEX(Produk!$J$2:$J$100,MATCH(C1936,Produk!$A$2:$A$100,0)),"PRODUK?")))</f>
        <v/>
      </c>
      <c r="R1936" s="29" t="str">
        <f aca="false">IF(A1936="","",IF(COUNTIF(Anggota!$A$2:$A$2001,A1936)=0,"TIDAK ADA","OK"))</f>
        <v/>
      </c>
      <c r="S1936" s="29" t="str">
        <f aca="false">IF(H1936="","",IF(OR(J1936="",L1936=""),"-",IF(ABS(H1936-J1936*L1936)&gt;Info_Koperasi!$C$10,"SELISIH","OK")))</f>
        <v/>
      </c>
    </row>
    <row r="1937" customFormat="false" ht="15" hidden="false" customHeight="false" outlineLevel="0" collapsed="false">
      <c r="A1937" s="21"/>
      <c r="B1937" s="22"/>
      <c r="C1937" s="21"/>
      <c r="D1937" s="21"/>
      <c r="E1937" s="28"/>
      <c r="F1937" s="24"/>
      <c r="G1937" s="26"/>
      <c r="H1937" s="24"/>
      <c r="I1937" s="24"/>
      <c r="J1937" s="24"/>
      <c r="K1937" s="24"/>
      <c r="L1937" s="26"/>
      <c r="M1937" s="26"/>
      <c r="N1937" s="22"/>
      <c r="O1937" s="21"/>
      <c r="P1937" s="22"/>
      <c r="Q1937" s="29" t="str">
        <f aca="false">IF(C1937="","",IF(O1937&lt;&gt;"",O1937,IFERROR(INDEX(Produk!$J$2:$J$100,MATCH(C1937,Produk!$A$2:$A$100,0)),"PRODUK?")))</f>
        <v/>
      </c>
      <c r="R1937" s="29" t="str">
        <f aca="false">IF(A1937="","",IF(COUNTIF(Anggota!$A$2:$A$2001,A1937)=0,"TIDAK ADA","OK"))</f>
        <v/>
      </c>
      <c r="S1937" s="29" t="str">
        <f aca="false">IF(H1937="","",IF(OR(J1937="",L1937=""),"-",IF(ABS(H1937-J1937*L1937)&gt;Info_Koperasi!$C$10,"SELISIH","OK")))</f>
        <v/>
      </c>
    </row>
    <row r="1938" customFormat="false" ht="15" hidden="false" customHeight="false" outlineLevel="0" collapsed="false">
      <c r="A1938" s="21"/>
      <c r="B1938" s="22"/>
      <c r="C1938" s="21"/>
      <c r="D1938" s="21"/>
      <c r="E1938" s="28"/>
      <c r="F1938" s="24"/>
      <c r="G1938" s="26"/>
      <c r="H1938" s="24"/>
      <c r="I1938" s="24"/>
      <c r="J1938" s="24"/>
      <c r="K1938" s="24"/>
      <c r="L1938" s="26"/>
      <c r="M1938" s="26"/>
      <c r="N1938" s="22"/>
      <c r="O1938" s="21"/>
      <c r="P1938" s="22"/>
      <c r="Q1938" s="29" t="str">
        <f aca="false">IF(C1938="","",IF(O1938&lt;&gt;"",O1938,IFERROR(INDEX(Produk!$J$2:$J$100,MATCH(C1938,Produk!$A$2:$A$100,0)),"PRODUK?")))</f>
        <v/>
      </c>
      <c r="R1938" s="29" t="str">
        <f aca="false">IF(A1938="","",IF(COUNTIF(Anggota!$A$2:$A$2001,A1938)=0,"TIDAK ADA","OK"))</f>
        <v/>
      </c>
      <c r="S1938" s="29" t="str">
        <f aca="false">IF(H1938="","",IF(OR(J1938="",L1938=""),"-",IF(ABS(H1938-J1938*L1938)&gt;Info_Koperasi!$C$10,"SELISIH","OK")))</f>
        <v/>
      </c>
    </row>
    <row r="1939" customFormat="false" ht="15" hidden="false" customHeight="false" outlineLevel="0" collapsed="false">
      <c r="A1939" s="21"/>
      <c r="B1939" s="22"/>
      <c r="C1939" s="21"/>
      <c r="D1939" s="21"/>
      <c r="E1939" s="28"/>
      <c r="F1939" s="24"/>
      <c r="G1939" s="26"/>
      <c r="H1939" s="24"/>
      <c r="I1939" s="24"/>
      <c r="J1939" s="24"/>
      <c r="K1939" s="24"/>
      <c r="L1939" s="26"/>
      <c r="M1939" s="26"/>
      <c r="N1939" s="22"/>
      <c r="O1939" s="21"/>
      <c r="P1939" s="22"/>
      <c r="Q1939" s="29" t="str">
        <f aca="false">IF(C1939="","",IF(O1939&lt;&gt;"",O1939,IFERROR(INDEX(Produk!$J$2:$J$100,MATCH(C1939,Produk!$A$2:$A$100,0)),"PRODUK?")))</f>
        <v/>
      </c>
      <c r="R1939" s="29" t="str">
        <f aca="false">IF(A1939="","",IF(COUNTIF(Anggota!$A$2:$A$2001,A1939)=0,"TIDAK ADA","OK"))</f>
        <v/>
      </c>
      <c r="S1939" s="29" t="str">
        <f aca="false">IF(H1939="","",IF(OR(J1939="",L1939=""),"-",IF(ABS(H1939-J1939*L1939)&gt;Info_Koperasi!$C$10,"SELISIH","OK")))</f>
        <v/>
      </c>
    </row>
    <row r="1940" customFormat="false" ht="15" hidden="false" customHeight="false" outlineLevel="0" collapsed="false">
      <c r="A1940" s="21"/>
      <c r="B1940" s="22"/>
      <c r="C1940" s="21"/>
      <c r="D1940" s="21"/>
      <c r="E1940" s="28"/>
      <c r="F1940" s="24"/>
      <c r="G1940" s="26"/>
      <c r="H1940" s="24"/>
      <c r="I1940" s="24"/>
      <c r="J1940" s="24"/>
      <c r="K1940" s="24"/>
      <c r="L1940" s="26"/>
      <c r="M1940" s="26"/>
      <c r="N1940" s="22"/>
      <c r="O1940" s="21"/>
      <c r="P1940" s="22"/>
      <c r="Q1940" s="29" t="str">
        <f aca="false">IF(C1940="","",IF(O1940&lt;&gt;"",O1940,IFERROR(INDEX(Produk!$J$2:$J$100,MATCH(C1940,Produk!$A$2:$A$100,0)),"PRODUK?")))</f>
        <v/>
      </c>
      <c r="R1940" s="29" t="str">
        <f aca="false">IF(A1940="","",IF(COUNTIF(Anggota!$A$2:$A$2001,A1940)=0,"TIDAK ADA","OK"))</f>
        <v/>
      </c>
      <c r="S1940" s="29" t="str">
        <f aca="false">IF(H1940="","",IF(OR(J1940="",L1940=""),"-",IF(ABS(H1940-J1940*L1940)&gt;Info_Koperasi!$C$10,"SELISIH","OK")))</f>
        <v/>
      </c>
    </row>
    <row r="1941" customFormat="false" ht="15" hidden="false" customHeight="false" outlineLevel="0" collapsed="false">
      <c r="A1941" s="21"/>
      <c r="B1941" s="22"/>
      <c r="C1941" s="21"/>
      <c r="D1941" s="21"/>
      <c r="E1941" s="28"/>
      <c r="F1941" s="24"/>
      <c r="G1941" s="26"/>
      <c r="H1941" s="24"/>
      <c r="I1941" s="24"/>
      <c r="J1941" s="24"/>
      <c r="K1941" s="24"/>
      <c r="L1941" s="26"/>
      <c r="M1941" s="26"/>
      <c r="N1941" s="22"/>
      <c r="O1941" s="21"/>
      <c r="P1941" s="22"/>
      <c r="Q1941" s="29" t="str">
        <f aca="false">IF(C1941="","",IF(O1941&lt;&gt;"",O1941,IFERROR(INDEX(Produk!$J$2:$J$100,MATCH(C1941,Produk!$A$2:$A$100,0)),"PRODUK?")))</f>
        <v/>
      </c>
      <c r="R1941" s="29" t="str">
        <f aca="false">IF(A1941="","",IF(COUNTIF(Anggota!$A$2:$A$2001,A1941)=0,"TIDAK ADA","OK"))</f>
        <v/>
      </c>
      <c r="S1941" s="29" t="str">
        <f aca="false">IF(H1941="","",IF(OR(J1941="",L1941=""),"-",IF(ABS(H1941-J1941*L1941)&gt;Info_Koperasi!$C$10,"SELISIH","OK")))</f>
        <v/>
      </c>
    </row>
    <row r="1942" customFormat="false" ht="15" hidden="false" customHeight="false" outlineLevel="0" collapsed="false">
      <c r="A1942" s="21"/>
      <c r="B1942" s="22"/>
      <c r="C1942" s="21"/>
      <c r="D1942" s="21"/>
      <c r="E1942" s="28"/>
      <c r="F1942" s="24"/>
      <c r="G1942" s="26"/>
      <c r="H1942" s="24"/>
      <c r="I1942" s="24"/>
      <c r="J1942" s="24"/>
      <c r="K1942" s="24"/>
      <c r="L1942" s="26"/>
      <c r="M1942" s="26"/>
      <c r="N1942" s="22"/>
      <c r="O1942" s="21"/>
      <c r="P1942" s="22"/>
      <c r="Q1942" s="29" t="str">
        <f aca="false">IF(C1942="","",IF(O1942&lt;&gt;"",O1942,IFERROR(INDEX(Produk!$J$2:$J$100,MATCH(C1942,Produk!$A$2:$A$100,0)),"PRODUK?")))</f>
        <v/>
      </c>
      <c r="R1942" s="29" t="str">
        <f aca="false">IF(A1942="","",IF(COUNTIF(Anggota!$A$2:$A$2001,A1942)=0,"TIDAK ADA","OK"))</f>
        <v/>
      </c>
      <c r="S1942" s="29" t="str">
        <f aca="false">IF(H1942="","",IF(OR(J1942="",L1942=""),"-",IF(ABS(H1942-J1942*L1942)&gt;Info_Koperasi!$C$10,"SELISIH","OK")))</f>
        <v/>
      </c>
    </row>
    <row r="1943" customFormat="false" ht="15" hidden="false" customHeight="false" outlineLevel="0" collapsed="false">
      <c r="A1943" s="21"/>
      <c r="B1943" s="22"/>
      <c r="C1943" s="21"/>
      <c r="D1943" s="21"/>
      <c r="E1943" s="28"/>
      <c r="F1943" s="24"/>
      <c r="G1943" s="26"/>
      <c r="H1943" s="24"/>
      <c r="I1943" s="24"/>
      <c r="J1943" s="24"/>
      <c r="K1943" s="24"/>
      <c r="L1943" s="26"/>
      <c r="M1943" s="26"/>
      <c r="N1943" s="22"/>
      <c r="O1943" s="21"/>
      <c r="P1943" s="22"/>
      <c r="Q1943" s="29" t="str">
        <f aca="false">IF(C1943="","",IF(O1943&lt;&gt;"",O1943,IFERROR(INDEX(Produk!$J$2:$J$100,MATCH(C1943,Produk!$A$2:$A$100,0)),"PRODUK?")))</f>
        <v/>
      </c>
      <c r="R1943" s="29" t="str">
        <f aca="false">IF(A1943="","",IF(COUNTIF(Anggota!$A$2:$A$2001,A1943)=0,"TIDAK ADA","OK"))</f>
        <v/>
      </c>
      <c r="S1943" s="29" t="str">
        <f aca="false">IF(H1943="","",IF(OR(J1943="",L1943=""),"-",IF(ABS(H1943-J1943*L1943)&gt;Info_Koperasi!$C$10,"SELISIH","OK")))</f>
        <v/>
      </c>
    </row>
    <row r="1944" customFormat="false" ht="15" hidden="false" customHeight="false" outlineLevel="0" collapsed="false">
      <c r="A1944" s="21"/>
      <c r="B1944" s="22"/>
      <c r="C1944" s="21"/>
      <c r="D1944" s="21"/>
      <c r="E1944" s="28"/>
      <c r="F1944" s="24"/>
      <c r="G1944" s="26"/>
      <c r="H1944" s="24"/>
      <c r="I1944" s="24"/>
      <c r="J1944" s="24"/>
      <c r="K1944" s="24"/>
      <c r="L1944" s="26"/>
      <c r="M1944" s="26"/>
      <c r="N1944" s="22"/>
      <c r="O1944" s="21"/>
      <c r="P1944" s="22"/>
      <c r="Q1944" s="29" t="str">
        <f aca="false">IF(C1944="","",IF(O1944&lt;&gt;"",O1944,IFERROR(INDEX(Produk!$J$2:$J$100,MATCH(C1944,Produk!$A$2:$A$100,0)),"PRODUK?")))</f>
        <v/>
      </c>
      <c r="R1944" s="29" t="str">
        <f aca="false">IF(A1944="","",IF(COUNTIF(Anggota!$A$2:$A$2001,A1944)=0,"TIDAK ADA","OK"))</f>
        <v/>
      </c>
      <c r="S1944" s="29" t="str">
        <f aca="false">IF(H1944="","",IF(OR(J1944="",L1944=""),"-",IF(ABS(H1944-J1944*L1944)&gt;Info_Koperasi!$C$10,"SELISIH","OK")))</f>
        <v/>
      </c>
    </row>
    <row r="1945" customFormat="false" ht="15" hidden="false" customHeight="false" outlineLevel="0" collapsed="false">
      <c r="A1945" s="21"/>
      <c r="B1945" s="22"/>
      <c r="C1945" s="21"/>
      <c r="D1945" s="21"/>
      <c r="E1945" s="28"/>
      <c r="F1945" s="24"/>
      <c r="G1945" s="26"/>
      <c r="H1945" s="24"/>
      <c r="I1945" s="24"/>
      <c r="J1945" s="24"/>
      <c r="K1945" s="24"/>
      <c r="L1945" s="26"/>
      <c r="M1945" s="26"/>
      <c r="N1945" s="22"/>
      <c r="O1945" s="21"/>
      <c r="P1945" s="22"/>
      <c r="Q1945" s="29" t="str">
        <f aca="false">IF(C1945="","",IF(O1945&lt;&gt;"",O1945,IFERROR(INDEX(Produk!$J$2:$J$100,MATCH(C1945,Produk!$A$2:$A$100,0)),"PRODUK?")))</f>
        <v/>
      </c>
      <c r="R1945" s="29" t="str">
        <f aca="false">IF(A1945="","",IF(COUNTIF(Anggota!$A$2:$A$2001,A1945)=0,"TIDAK ADA","OK"))</f>
        <v/>
      </c>
      <c r="S1945" s="29" t="str">
        <f aca="false">IF(H1945="","",IF(OR(J1945="",L1945=""),"-",IF(ABS(H1945-J1945*L1945)&gt;Info_Koperasi!$C$10,"SELISIH","OK")))</f>
        <v/>
      </c>
    </row>
    <row r="1946" customFormat="false" ht="15" hidden="false" customHeight="false" outlineLevel="0" collapsed="false">
      <c r="A1946" s="21"/>
      <c r="B1946" s="22"/>
      <c r="C1946" s="21"/>
      <c r="D1946" s="21"/>
      <c r="E1946" s="28"/>
      <c r="F1946" s="24"/>
      <c r="G1946" s="26"/>
      <c r="H1946" s="24"/>
      <c r="I1946" s="24"/>
      <c r="J1946" s="24"/>
      <c r="K1946" s="24"/>
      <c r="L1946" s="26"/>
      <c r="M1946" s="26"/>
      <c r="N1946" s="22"/>
      <c r="O1946" s="21"/>
      <c r="P1946" s="22"/>
      <c r="Q1946" s="29" t="str">
        <f aca="false">IF(C1946="","",IF(O1946&lt;&gt;"",O1946,IFERROR(INDEX(Produk!$J$2:$J$100,MATCH(C1946,Produk!$A$2:$A$100,0)),"PRODUK?")))</f>
        <v/>
      </c>
      <c r="R1946" s="29" t="str">
        <f aca="false">IF(A1946="","",IF(COUNTIF(Anggota!$A$2:$A$2001,A1946)=0,"TIDAK ADA","OK"))</f>
        <v/>
      </c>
      <c r="S1946" s="29" t="str">
        <f aca="false">IF(H1946="","",IF(OR(J1946="",L1946=""),"-",IF(ABS(H1946-J1946*L1946)&gt;Info_Koperasi!$C$10,"SELISIH","OK")))</f>
        <v/>
      </c>
    </row>
    <row r="1947" customFormat="false" ht="15" hidden="false" customHeight="false" outlineLevel="0" collapsed="false">
      <c r="A1947" s="21"/>
      <c r="B1947" s="22"/>
      <c r="C1947" s="21"/>
      <c r="D1947" s="21"/>
      <c r="E1947" s="28"/>
      <c r="F1947" s="24"/>
      <c r="G1947" s="26"/>
      <c r="H1947" s="24"/>
      <c r="I1947" s="24"/>
      <c r="J1947" s="24"/>
      <c r="K1947" s="24"/>
      <c r="L1947" s="26"/>
      <c r="M1947" s="26"/>
      <c r="N1947" s="22"/>
      <c r="O1947" s="21"/>
      <c r="P1947" s="22"/>
      <c r="Q1947" s="29" t="str">
        <f aca="false">IF(C1947="","",IF(O1947&lt;&gt;"",O1947,IFERROR(INDEX(Produk!$J$2:$J$100,MATCH(C1947,Produk!$A$2:$A$100,0)),"PRODUK?")))</f>
        <v/>
      </c>
      <c r="R1947" s="29" t="str">
        <f aca="false">IF(A1947="","",IF(COUNTIF(Anggota!$A$2:$A$2001,A1947)=0,"TIDAK ADA","OK"))</f>
        <v/>
      </c>
      <c r="S1947" s="29" t="str">
        <f aca="false">IF(H1947="","",IF(OR(J1947="",L1947=""),"-",IF(ABS(H1947-J1947*L1947)&gt;Info_Koperasi!$C$10,"SELISIH","OK")))</f>
        <v/>
      </c>
    </row>
    <row r="1948" customFormat="false" ht="15" hidden="false" customHeight="false" outlineLevel="0" collapsed="false">
      <c r="A1948" s="21"/>
      <c r="B1948" s="22"/>
      <c r="C1948" s="21"/>
      <c r="D1948" s="21"/>
      <c r="E1948" s="28"/>
      <c r="F1948" s="24"/>
      <c r="G1948" s="26"/>
      <c r="H1948" s="24"/>
      <c r="I1948" s="24"/>
      <c r="J1948" s="24"/>
      <c r="K1948" s="24"/>
      <c r="L1948" s="26"/>
      <c r="M1948" s="26"/>
      <c r="N1948" s="22"/>
      <c r="O1948" s="21"/>
      <c r="P1948" s="22"/>
      <c r="Q1948" s="29" t="str">
        <f aca="false">IF(C1948="","",IF(O1948&lt;&gt;"",O1948,IFERROR(INDEX(Produk!$J$2:$J$100,MATCH(C1948,Produk!$A$2:$A$100,0)),"PRODUK?")))</f>
        <v/>
      </c>
      <c r="R1948" s="29" t="str">
        <f aca="false">IF(A1948="","",IF(COUNTIF(Anggota!$A$2:$A$2001,A1948)=0,"TIDAK ADA","OK"))</f>
        <v/>
      </c>
      <c r="S1948" s="29" t="str">
        <f aca="false">IF(H1948="","",IF(OR(J1948="",L1948=""),"-",IF(ABS(H1948-J1948*L1948)&gt;Info_Koperasi!$C$10,"SELISIH","OK")))</f>
        <v/>
      </c>
    </row>
    <row r="1949" customFormat="false" ht="15" hidden="false" customHeight="false" outlineLevel="0" collapsed="false">
      <c r="A1949" s="21"/>
      <c r="B1949" s="22"/>
      <c r="C1949" s="21"/>
      <c r="D1949" s="21"/>
      <c r="E1949" s="28"/>
      <c r="F1949" s="24"/>
      <c r="G1949" s="26"/>
      <c r="H1949" s="24"/>
      <c r="I1949" s="24"/>
      <c r="J1949" s="24"/>
      <c r="K1949" s="24"/>
      <c r="L1949" s="26"/>
      <c r="M1949" s="26"/>
      <c r="N1949" s="22"/>
      <c r="O1949" s="21"/>
      <c r="P1949" s="22"/>
      <c r="Q1949" s="29" t="str">
        <f aca="false">IF(C1949="","",IF(O1949&lt;&gt;"",O1949,IFERROR(INDEX(Produk!$J$2:$J$100,MATCH(C1949,Produk!$A$2:$A$100,0)),"PRODUK?")))</f>
        <v/>
      </c>
      <c r="R1949" s="29" t="str">
        <f aca="false">IF(A1949="","",IF(COUNTIF(Anggota!$A$2:$A$2001,A1949)=0,"TIDAK ADA","OK"))</f>
        <v/>
      </c>
      <c r="S1949" s="29" t="str">
        <f aca="false">IF(H1949="","",IF(OR(J1949="",L1949=""),"-",IF(ABS(H1949-J1949*L1949)&gt;Info_Koperasi!$C$10,"SELISIH","OK")))</f>
        <v/>
      </c>
    </row>
    <row r="1950" customFormat="false" ht="15" hidden="false" customHeight="false" outlineLevel="0" collapsed="false">
      <c r="A1950" s="21"/>
      <c r="B1950" s="22"/>
      <c r="C1950" s="21"/>
      <c r="D1950" s="21"/>
      <c r="E1950" s="28"/>
      <c r="F1950" s="24"/>
      <c r="G1950" s="26"/>
      <c r="H1950" s="24"/>
      <c r="I1950" s="24"/>
      <c r="J1950" s="24"/>
      <c r="K1950" s="24"/>
      <c r="L1950" s="26"/>
      <c r="M1950" s="26"/>
      <c r="N1950" s="22"/>
      <c r="O1950" s="21"/>
      <c r="P1950" s="22"/>
      <c r="Q1950" s="29" t="str">
        <f aca="false">IF(C1950="","",IF(O1950&lt;&gt;"",O1950,IFERROR(INDEX(Produk!$J$2:$J$100,MATCH(C1950,Produk!$A$2:$A$100,0)),"PRODUK?")))</f>
        <v/>
      </c>
      <c r="R1950" s="29" t="str">
        <f aca="false">IF(A1950="","",IF(COUNTIF(Anggota!$A$2:$A$2001,A1950)=0,"TIDAK ADA","OK"))</f>
        <v/>
      </c>
      <c r="S1950" s="29" t="str">
        <f aca="false">IF(H1950="","",IF(OR(J1950="",L1950=""),"-",IF(ABS(H1950-J1950*L1950)&gt;Info_Koperasi!$C$10,"SELISIH","OK")))</f>
        <v/>
      </c>
    </row>
    <row r="1951" customFormat="false" ht="15" hidden="false" customHeight="false" outlineLevel="0" collapsed="false">
      <c r="A1951" s="21"/>
      <c r="B1951" s="22"/>
      <c r="C1951" s="21"/>
      <c r="D1951" s="21"/>
      <c r="E1951" s="28"/>
      <c r="F1951" s="24"/>
      <c r="G1951" s="26"/>
      <c r="H1951" s="24"/>
      <c r="I1951" s="24"/>
      <c r="J1951" s="24"/>
      <c r="K1951" s="24"/>
      <c r="L1951" s="26"/>
      <c r="M1951" s="26"/>
      <c r="N1951" s="22"/>
      <c r="O1951" s="21"/>
      <c r="P1951" s="22"/>
      <c r="Q1951" s="29" t="str">
        <f aca="false">IF(C1951="","",IF(O1951&lt;&gt;"",O1951,IFERROR(INDEX(Produk!$J$2:$J$100,MATCH(C1951,Produk!$A$2:$A$100,0)),"PRODUK?")))</f>
        <v/>
      </c>
      <c r="R1951" s="29" t="str">
        <f aca="false">IF(A1951="","",IF(COUNTIF(Anggota!$A$2:$A$2001,A1951)=0,"TIDAK ADA","OK"))</f>
        <v/>
      </c>
      <c r="S1951" s="29" t="str">
        <f aca="false">IF(H1951="","",IF(OR(J1951="",L1951=""),"-",IF(ABS(H1951-J1951*L1951)&gt;Info_Koperasi!$C$10,"SELISIH","OK")))</f>
        <v/>
      </c>
    </row>
    <row r="1952" customFormat="false" ht="15" hidden="false" customHeight="false" outlineLevel="0" collapsed="false">
      <c r="A1952" s="21"/>
      <c r="B1952" s="22"/>
      <c r="C1952" s="21"/>
      <c r="D1952" s="21"/>
      <c r="E1952" s="28"/>
      <c r="F1952" s="24"/>
      <c r="G1952" s="26"/>
      <c r="H1952" s="24"/>
      <c r="I1952" s="24"/>
      <c r="J1952" s="24"/>
      <c r="K1952" s="24"/>
      <c r="L1952" s="26"/>
      <c r="M1952" s="26"/>
      <c r="N1952" s="22"/>
      <c r="O1952" s="21"/>
      <c r="P1952" s="22"/>
      <c r="Q1952" s="29" t="str">
        <f aca="false">IF(C1952="","",IF(O1952&lt;&gt;"",O1952,IFERROR(INDEX(Produk!$J$2:$J$100,MATCH(C1952,Produk!$A$2:$A$100,0)),"PRODUK?")))</f>
        <v/>
      </c>
      <c r="R1952" s="29" t="str">
        <f aca="false">IF(A1952="","",IF(COUNTIF(Anggota!$A$2:$A$2001,A1952)=0,"TIDAK ADA","OK"))</f>
        <v/>
      </c>
      <c r="S1952" s="29" t="str">
        <f aca="false">IF(H1952="","",IF(OR(J1952="",L1952=""),"-",IF(ABS(H1952-J1952*L1952)&gt;Info_Koperasi!$C$10,"SELISIH","OK")))</f>
        <v/>
      </c>
    </row>
    <row r="1953" customFormat="false" ht="15" hidden="false" customHeight="false" outlineLevel="0" collapsed="false">
      <c r="A1953" s="21"/>
      <c r="B1953" s="22"/>
      <c r="C1953" s="21"/>
      <c r="D1953" s="21"/>
      <c r="E1953" s="28"/>
      <c r="F1953" s="24"/>
      <c r="G1953" s="26"/>
      <c r="H1953" s="24"/>
      <c r="I1953" s="24"/>
      <c r="J1953" s="24"/>
      <c r="K1953" s="24"/>
      <c r="L1953" s="26"/>
      <c r="M1953" s="26"/>
      <c r="N1953" s="22"/>
      <c r="O1953" s="21"/>
      <c r="P1953" s="22"/>
      <c r="Q1953" s="29" t="str">
        <f aca="false">IF(C1953="","",IF(O1953&lt;&gt;"",O1953,IFERROR(INDEX(Produk!$J$2:$J$100,MATCH(C1953,Produk!$A$2:$A$100,0)),"PRODUK?")))</f>
        <v/>
      </c>
      <c r="R1953" s="29" t="str">
        <f aca="false">IF(A1953="","",IF(COUNTIF(Anggota!$A$2:$A$2001,A1953)=0,"TIDAK ADA","OK"))</f>
        <v/>
      </c>
      <c r="S1953" s="29" t="str">
        <f aca="false">IF(H1953="","",IF(OR(J1953="",L1953=""),"-",IF(ABS(H1953-J1953*L1953)&gt;Info_Koperasi!$C$10,"SELISIH","OK")))</f>
        <v/>
      </c>
    </row>
    <row r="1954" customFormat="false" ht="15" hidden="false" customHeight="false" outlineLevel="0" collapsed="false">
      <c r="A1954" s="21"/>
      <c r="B1954" s="22"/>
      <c r="C1954" s="21"/>
      <c r="D1954" s="21"/>
      <c r="E1954" s="28"/>
      <c r="F1954" s="24"/>
      <c r="G1954" s="26"/>
      <c r="H1954" s="24"/>
      <c r="I1954" s="24"/>
      <c r="J1954" s="24"/>
      <c r="K1954" s="24"/>
      <c r="L1954" s="26"/>
      <c r="M1954" s="26"/>
      <c r="N1954" s="22"/>
      <c r="O1954" s="21"/>
      <c r="P1954" s="22"/>
      <c r="Q1954" s="29" t="str">
        <f aca="false">IF(C1954="","",IF(O1954&lt;&gt;"",O1954,IFERROR(INDEX(Produk!$J$2:$J$100,MATCH(C1954,Produk!$A$2:$A$100,0)),"PRODUK?")))</f>
        <v/>
      </c>
      <c r="R1954" s="29" t="str">
        <f aca="false">IF(A1954="","",IF(COUNTIF(Anggota!$A$2:$A$2001,A1954)=0,"TIDAK ADA","OK"))</f>
        <v/>
      </c>
      <c r="S1954" s="29" t="str">
        <f aca="false">IF(H1954="","",IF(OR(J1954="",L1954=""),"-",IF(ABS(H1954-J1954*L1954)&gt;Info_Koperasi!$C$10,"SELISIH","OK")))</f>
        <v/>
      </c>
    </row>
    <row r="1955" customFormat="false" ht="15" hidden="false" customHeight="false" outlineLevel="0" collapsed="false">
      <c r="A1955" s="21"/>
      <c r="B1955" s="22"/>
      <c r="C1955" s="21"/>
      <c r="D1955" s="21"/>
      <c r="E1955" s="28"/>
      <c r="F1955" s="24"/>
      <c r="G1955" s="26"/>
      <c r="H1955" s="24"/>
      <c r="I1955" s="24"/>
      <c r="J1955" s="24"/>
      <c r="K1955" s="24"/>
      <c r="L1955" s="26"/>
      <c r="M1955" s="26"/>
      <c r="N1955" s="22"/>
      <c r="O1955" s="21"/>
      <c r="P1955" s="22"/>
      <c r="Q1955" s="29" t="str">
        <f aca="false">IF(C1955="","",IF(O1955&lt;&gt;"",O1955,IFERROR(INDEX(Produk!$J$2:$J$100,MATCH(C1955,Produk!$A$2:$A$100,0)),"PRODUK?")))</f>
        <v/>
      </c>
      <c r="R1955" s="29" t="str">
        <f aca="false">IF(A1955="","",IF(COUNTIF(Anggota!$A$2:$A$2001,A1955)=0,"TIDAK ADA","OK"))</f>
        <v/>
      </c>
      <c r="S1955" s="29" t="str">
        <f aca="false">IF(H1955="","",IF(OR(J1955="",L1955=""),"-",IF(ABS(H1955-J1955*L1955)&gt;Info_Koperasi!$C$10,"SELISIH","OK")))</f>
        <v/>
      </c>
    </row>
    <row r="1956" customFormat="false" ht="15" hidden="false" customHeight="false" outlineLevel="0" collapsed="false">
      <c r="A1956" s="21"/>
      <c r="B1956" s="22"/>
      <c r="C1956" s="21"/>
      <c r="D1956" s="21"/>
      <c r="E1956" s="28"/>
      <c r="F1956" s="24"/>
      <c r="G1956" s="26"/>
      <c r="H1956" s="24"/>
      <c r="I1956" s="24"/>
      <c r="J1956" s="24"/>
      <c r="K1956" s="24"/>
      <c r="L1956" s="26"/>
      <c r="M1956" s="26"/>
      <c r="N1956" s="22"/>
      <c r="O1956" s="21"/>
      <c r="P1956" s="22"/>
      <c r="Q1956" s="29" t="str">
        <f aca="false">IF(C1956="","",IF(O1956&lt;&gt;"",O1956,IFERROR(INDEX(Produk!$J$2:$J$100,MATCH(C1956,Produk!$A$2:$A$100,0)),"PRODUK?")))</f>
        <v/>
      </c>
      <c r="R1956" s="29" t="str">
        <f aca="false">IF(A1956="","",IF(COUNTIF(Anggota!$A$2:$A$2001,A1956)=0,"TIDAK ADA","OK"))</f>
        <v/>
      </c>
      <c r="S1956" s="29" t="str">
        <f aca="false">IF(H1956="","",IF(OR(J1956="",L1956=""),"-",IF(ABS(H1956-J1956*L1956)&gt;Info_Koperasi!$C$10,"SELISIH","OK")))</f>
        <v/>
      </c>
    </row>
    <row r="1957" customFormat="false" ht="15" hidden="false" customHeight="false" outlineLevel="0" collapsed="false">
      <c r="A1957" s="21"/>
      <c r="B1957" s="22"/>
      <c r="C1957" s="21"/>
      <c r="D1957" s="21"/>
      <c r="E1957" s="28"/>
      <c r="F1957" s="24"/>
      <c r="G1957" s="26"/>
      <c r="H1957" s="24"/>
      <c r="I1957" s="24"/>
      <c r="J1957" s="24"/>
      <c r="K1957" s="24"/>
      <c r="L1957" s="26"/>
      <c r="M1957" s="26"/>
      <c r="N1957" s="22"/>
      <c r="O1957" s="21"/>
      <c r="P1957" s="22"/>
      <c r="Q1957" s="29" t="str">
        <f aca="false">IF(C1957="","",IF(O1957&lt;&gt;"",O1957,IFERROR(INDEX(Produk!$J$2:$J$100,MATCH(C1957,Produk!$A$2:$A$100,0)),"PRODUK?")))</f>
        <v/>
      </c>
      <c r="R1957" s="29" t="str">
        <f aca="false">IF(A1957="","",IF(COUNTIF(Anggota!$A$2:$A$2001,A1957)=0,"TIDAK ADA","OK"))</f>
        <v/>
      </c>
      <c r="S1957" s="29" t="str">
        <f aca="false">IF(H1957="","",IF(OR(J1957="",L1957=""),"-",IF(ABS(H1957-J1957*L1957)&gt;Info_Koperasi!$C$10,"SELISIH","OK")))</f>
        <v/>
      </c>
    </row>
    <row r="1958" customFormat="false" ht="15" hidden="false" customHeight="false" outlineLevel="0" collapsed="false">
      <c r="A1958" s="21"/>
      <c r="B1958" s="22"/>
      <c r="C1958" s="21"/>
      <c r="D1958" s="21"/>
      <c r="E1958" s="28"/>
      <c r="F1958" s="24"/>
      <c r="G1958" s="26"/>
      <c r="H1958" s="24"/>
      <c r="I1958" s="24"/>
      <c r="J1958" s="24"/>
      <c r="K1958" s="24"/>
      <c r="L1958" s="26"/>
      <c r="M1958" s="26"/>
      <c r="N1958" s="22"/>
      <c r="O1958" s="21"/>
      <c r="P1958" s="22"/>
      <c r="Q1958" s="29" t="str">
        <f aca="false">IF(C1958="","",IF(O1958&lt;&gt;"",O1958,IFERROR(INDEX(Produk!$J$2:$J$100,MATCH(C1958,Produk!$A$2:$A$100,0)),"PRODUK?")))</f>
        <v/>
      </c>
      <c r="R1958" s="29" t="str">
        <f aca="false">IF(A1958="","",IF(COUNTIF(Anggota!$A$2:$A$2001,A1958)=0,"TIDAK ADA","OK"))</f>
        <v/>
      </c>
      <c r="S1958" s="29" t="str">
        <f aca="false">IF(H1958="","",IF(OR(J1958="",L1958=""),"-",IF(ABS(H1958-J1958*L1958)&gt;Info_Koperasi!$C$10,"SELISIH","OK")))</f>
        <v/>
      </c>
    </row>
    <row r="1959" customFormat="false" ht="15" hidden="false" customHeight="false" outlineLevel="0" collapsed="false">
      <c r="A1959" s="21"/>
      <c r="B1959" s="22"/>
      <c r="C1959" s="21"/>
      <c r="D1959" s="21"/>
      <c r="E1959" s="28"/>
      <c r="F1959" s="24"/>
      <c r="G1959" s="26"/>
      <c r="H1959" s="24"/>
      <c r="I1959" s="24"/>
      <c r="J1959" s="24"/>
      <c r="K1959" s="24"/>
      <c r="L1959" s="26"/>
      <c r="M1959" s="26"/>
      <c r="N1959" s="22"/>
      <c r="O1959" s="21"/>
      <c r="P1959" s="22"/>
      <c r="Q1959" s="29" t="str">
        <f aca="false">IF(C1959="","",IF(O1959&lt;&gt;"",O1959,IFERROR(INDEX(Produk!$J$2:$J$100,MATCH(C1959,Produk!$A$2:$A$100,0)),"PRODUK?")))</f>
        <v/>
      </c>
      <c r="R1959" s="29" t="str">
        <f aca="false">IF(A1959="","",IF(COUNTIF(Anggota!$A$2:$A$2001,A1959)=0,"TIDAK ADA","OK"))</f>
        <v/>
      </c>
      <c r="S1959" s="29" t="str">
        <f aca="false">IF(H1959="","",IF(OR(J1959="",L1959=""),"-",IF(ABS(H1959-J1959*L1959)&gt;Info_Koperasi!$C$10,"SELISIH","OK")))</f>
        <v/>
      </c>
    </row>
    <row r="1960" customFormat="false" ht="15" hidden="false" customHeight="false" outlineLevel="0" collapsed="false">
      <c r="A1960" s="21"/>
      <c r="B1960" s="22"/>
      <c r="C1960" s="21"/>
      <c r="D1960" s="21"/>
      <c r="E1960" s="28"/>
      <c r="F1960" s="24"/>
      <c r="G1960" s="26"/>
      <c r="H1960" s="24"/>
      <c r="I1960" s="24"/>
      <c r="J1960" s="24"/>
      <c r="K1960" s="24"/>
      <c r="L1960" s="26"/>
      <c r="M1960" s="26"/>
      <c r="N1960" s="22"/>
      <c r="O1960" s="21"/>
      <c r="P1960" s="22"/>
      <c r="Q1960" s="29" t="str">
        <f aca="false">IF(C1960="","",IF(O1960&lt;&gt;"",O1960,IFERROR(INDEX(Produk!$J$2:$J$100,MATCH(C1960,Produk!$A$2:$A$100,0)),"PRODUK?")))</f>
        <v/>
      </c>
      <c r="R1960" s="29" t="str">
        <f aca="false">IF(A1960="","",IF(COUNTIF(Anggota!$A$2:$A$2001,A1960)=0,"TIDAK ADA","OK"))</f>
        <v/>
      </c>
      <c r="S1960" s="29" t="str">
        <f aca="false">IF(H1960="","",IF(OR(J1960="",L1960=""),"-",IF(ABS(H1960-J1960*L1960)&gt;Info_Koperasi!$C$10,"SELISIH","OK")))</f>
        <v/>
      </c>
    </row>
    <row r="1961" customFormat="false" ht="15" hidden="false" customHeight="false" outlineLevel="0" collapsed="false">
      <c r="A1961" s="21"/>
      <c r="B1961" s="22"/>
      <c r="C1961" s="21"/>
      <c r="D1961" s="21"/>
      <c r="E1961" s="28"/>
      <c r="F1961" s="24"/>
      <c r="G1961" s="26"/>
      <c r="H1961" s="24"/>
      <c r="I1961" s="24"/>
      <c r="J1961" s="24"/>
      <c r="K1961" s="24"/>
      <c r="L1961" s="26"/>
      <c r="M1961" s="26"/>
      <c r="N1961" s="22"/>
      <c r="O1961" s="21"/>
      <c r="P1961" s="22"/>
      <c r="Q1961" s="29" t="str">
        <f aca="false">IF(C1961="","",IF(O1961&lt;&gt;"",O1961,IFERROR(INDEX(Produk!$J$2:$J$100,MATCH(C1961,Produk!$A$2:$A$100,0)),"PRODUK?")))</f>
        <v/>
      </c>
      <c r="R1961" s="29" t="str">
        <f aca="false">IF(A1961="","",IF(COUNTIF(Anggota!$A$2:$A$2001,A1961)=0,"TIDAK ADA","OK"))</f>
        <v/>
      </c>
      <c r="S1961" s="29" t="str">
        <f aca="false">IF(H1961="","",IF(OR(J1961="",L1961=""),"-",IF(ABS(H1961-J1961*L1961)&gt;Info_Koperasi!$C$10,"SELISIH","OK")))</f>
        <v/>
      </c>
    </row>
    <row r="1962" customFormat="false" ht="15" hidden="false" customHeight="false" outlineLevel="0" collapsed="false">
      <c r="A1962" s="21"/>
      <c r="B1962" s="22"/>
      <c r="C1962" s="21"/>
      <c r="D1962" s="21"/>
      <c r="E1962" s="28"/>
      <c r="F1962" s="24"/>
      <c r="G1962" s="26"/>
      <c r="H1962" s="24"/>
      <c r="I1962" s="24"/>
      <c r="J1962" s="24"/>
      <c r="K1962" s="24"/>
      <c r="L1962" s="26"/>
      <c r="M1962" s="26"/>
      <c r="N1962" s="22"/>
      <c r="O1962" s="21"/>
      <c r="P1962" s="22"/>
      <c r="Q1962" s="29" t="str">
        <f aca="false">IF(C1962="","",IF(O1962&lt;&gt;"",O1962,IFERROR(INDEX(Produk!$J$2:$J$100,MATCH(C1962,Produk!$A$2:$A$100,0)),"PRODUK?")))</f>
        <v/>
      </c>
      <c r="R1962" s="29" t="str">
        <f aca="false">IF(A1962="","",IF(COUNTIF(Anggota!$A$2:$A$2001,A1962)=0,"TIDAK ADA","OK"))</f>
        <v/>
      </c>
      <c r="S1962" s="29" t="str">
        <f aca="false">IF(H1962="","",IF(OR(J1962="",L1962=""),"-",IF(ABS(H1962-J1962*L1962)&gt;Info_Koperasi!$C$10,"SELISIH","OK")))</f>
        <v/>
      </c>
    </row>
    <row r="1963" customFormat="false" ht="15" hidden="false" customHeight="false" outlineLevel="0" collapsed="false">
      <c r="A1963" s="21"/>
      <c r="B1963" s="22"/>
      <c r="C1963" s="21"/>
      <c r="D1963" s="21"/>
      <c r="E1963" s="28"/>
      <c r="F1963" s="24"/>
      <c r="G1963" s="26"/>
      <c r="H1963" s="24"/>
      <c r="I1963" s="24"/>
      <c r="J1963" s="24"/>
      <c r="K1963" s="24"/>
      <c r="L1963" s="26"/>
      <c r="M1963" s="26"/>
      <c r="N1963" s="22"/>
      <c r="O1963" s="21"/>
      <c r="P1963" s="22"/>
      <c r="Q1963" s="29" t="str">
        <f aca="false">IF(C1963="","",IF(O1963&lt;&gt;"",O1963,IFERROR(INDEX(Produk!$J$2:$J$100,MATCH(C1963,Produk!$A$2:$A$100,0)),"PRODUK?")))</f>
        <v/>
      </c>
      <c r="R1963" s="29" t="str">
        <f aca="false">IF(A1963="","",IF(COUNTIF(Anggota!$A$2:$A$2001,A1963)=0,"TIDAK ADA","OK"))</f>
        <v/>
      </c>
      <c r="S1963" s="29" t="str">
        <f aca="false">IF(H1963="","",IF(OR(J1963="",L1963=""),"-",IF(ABS(H1963-J1963*L1963)&gt;Info_Koperasi!$C$10,"SELISIH","OK")))</f>
        <v/>
      </c>
    </row>
    <row r="1964" customFormat="false" ht="15" hidden="false" customHeight="false" outlineLevel="0" collapsed="false">
      <c r="A1964" s="21"/>
      <c r="B1964" s="22"/>
      <c r="C1964" s="21"/>
      <c r="D1964" s="21"/>
      <c r="E1964" s="28"/>
      <c r="F1964" s="24"/>
      <c r="G1964" s="26"/>
      <c r="H1964" s="24"/>
      <c r="I1964" s="24"/>
      <c r="J1964" s="24"/>
      <c r="K1964" s="24"/>
      <c r="L1964" s="26"/>
      <c r="M1964" s="26"/>
      <c r="N1964" s="22"/>
      <c r="O1964" s="21"/>
      <c r="P1964" s="22"/>
      <c r="Q1964" s="29" t="str">
        <f aca="false">IF(C1964="","",IF(O1964&lt;&gt;"",O1964,IFERROR(INDEX(Produk!$J$2:$J$100,MATCH(C1964,Produk!$A$2:$A$100,0)),"PRODUK?")))</f>
        <v/>
      </c>
      <c r="R1964" s="29" t="str">
        <f aca="false">IF(A1964="","",IF(COUNTIF(Anggota!$A$2:$A$2001,A1964)=0,"TIDAK ADA","OK"))</f>
        <v/>
      </c>
      <c r="S1964" s="29" t="str">
        <f aca="false">IF(H1964="","",IF(OR(J1964="",L1964=""),"-",IF(ABS(H1964-J1964*L1964)&gt;Info_Koperasi!$C$10,"SELISIH","OK")))</f>
        <v/>
      </c>
    </row>
    <row r="1965" customFormat="false" ht="15" hidden="false" customHeight="false" outlineLevel="0" collapsed="false">
      <c r="A1965" s="21"/>
      <c r="B1965" s="22"/>
      <c r="C1965" s="21"/>
      <c r="D1965" s="21"/>
      <c r="E1965" s="28"/>
      <c r="F1965" s="24"/>
      <c r="G1965" s="26"/>
      <c r="H1965" s="24"/>
      <c r="I1965" s="24"/>
      <c r="J1965" s="24"/>
      <c r="K1965" s="24"/>
      <c r="L1965" s="26"/>
      <c r="M1965" s="26"/>
      <c r="N1965" s="22"/>
      <c r="O1965" s="21"/>
      <c r="P1965" s="22"/>
      <c r="Q1965" s="29" t="str">
        <f aca="false">IF(C1965="","",IF(O1965&lt;&gt;"",O1965,IFERROR(INDEX(Produk!$J$2:$J$100,MATCH(C1965,Produk!$A$2:$A$100,0)),"PRODUK?")))</f>
        <v/>
      </c>
      <c r="R1965" s="29" t="str">
        <f aca="false">IF(A1965="","",IF(COUNTIF(Anggota!$A$2:$A$2001,A1965)=0,"TIDAK ADA","OK"))</f>
        <v/>
      </c>
      <c r="S1965" s="29" t="str">
        <f aca="false">IF(H1965="","",IF(OR(J1965="",L1965=""),"-",IF(ABS(H1965-J1965*L1965)&gt;Info_Koperasi!$C$10,"SELISIH","OK")))</f>
        <v/>
      </c>
    </row>
    <row r="1966" customFormat="false" ht="15" hidden="false" customHeight="false" outlineLevel="0" collapsed="false">
      <c r="A1966" s="21"/>
      <c r="B1966" s="22"/>
      <c r="C1966" s="21"/>
      <c r="D1966" s="21"/>
      <c r="E1966" s="28"/>
      <c r="F1966" s="24"/>
      <c r="G1966" s="26"/>
      <c r="H1966" s="24"/>
      <c r="I1966" s="24"/>
      <c r="J1966" s="24"/>
      <c r="K1966" s="24"/>
      <c r="L1966" s="26"/>
      <c r="M1966" s="26"/>
      <c r="N1966" s="22"/>
      <c r="O1966" s="21"/>
      <c r="P1966" s="22"/>
      <c r="Q1966" s="29" t="str">
        <f aca="false">IF(C1966="","",IF(O1966&lt;&gt;"",O1966,IFERROR(INDEX(Produk!$J$2:$J$100,MATCH(C1966,Produk!$A$2:$A$100,0)),"PRODUK?")))</f>
        <v/>
      </c>
      <c r="R1966" s="29" t="str">
        <f aca="false">IF(A1966="","",IF(COUNTIF(Anggota!$A$2:$A$2001,A1966)=0,"TIDAK ADA","OK"))</f>
        <v/>
      </c>
      <c r="S1966" s="29" t="str">
        <f aca="false">IF(H1966="","",IF(OR(J1966="",L1966=""),"-",IF(ABS(H1966-J1966*L1966)&gt;Info_Koperasi!$C$10,"SELISIH","OK")))</f>
        <v/>
      </c>
    </row>
    <row r="1967" customFormat="false" ht="15" hidden="false" customHeight="false" outlineLevel="0" collapsed="false">
      <c r="A1967" s="21"/>
      <c r="B1967" s="22"/>
      <c r="C1967" s="21"/>
      <c r="D1967" s="21"/>
      <c r="E1967" s="28"/>
      <c r="F1967" s="24"/>
      <c r="G1967" s="26"/>
      <c r="H1967" s="24"/>
      <c r="I1967" s="24"/>
      <c r="J1967" s="24"/>
      <c r="K1967" s="24"/>
      <c r="L1967" s="26"/>
      <c r="M1967" s="26"/>
      <c r="N1967" s="22"/>
      <c r="O1967" s="21"/>
      <c r="P1967" s="22"/>
      <c r="Q1967" s="29" t="str">
        <f aca="false">IF(C1967="","",IF(O1967&lt;&gt;"",O1967,IFERROR(INDEX(Produk!$J$2:$J$100,MATCH(C1967,Produk!$A$2:$A$100,0)),"PRODUK?")))</f>
        <v/>
      </c>
      <c r="R1967" s="29" t="str">
        <f aca="false">IF(A1967="","",IF(COUNTIF(Anggota!$A$2:$A$2001,A1967)=0,"TIDAK ADA","OK"))</f>
        <v/>
      </c>
      <c r="S1967" s="29" t="str">
        <f aca="false">IF(H1967="","",IF(OR(J1967="",L1967=""),"-",IF(ABS(H1967-J1967*L1967)&gt;Info_Koperasi!$C$10,"SELISIH","OK")))</f>
        <v/>
      </c>
    </row>
    <row r="1968" customFormat="false" ht="15" hidden="false" customHeight="false" outlineLevel="0" collapsed="false">
      <c r="A1968" s="21"/>
      <c r="B1968" s="22"/>
      <c r="C1968" s="21"/>
      <c r="D1968" s="21"/>
      <c r="E1968" s="28"/>
      <c r="F1968" s="24"/>
      <c r="G1968" s="26"/>
      <c r="H1968" s="24"/>
      <c r="I1968" s="24"/>
      <c r="J1968" s="24"/>
      <c r="K1968" s="24"/>
      <c r="L1968" s="26"/>
      <c r="M1968" s="26"/>
      <c r="N1968" s="22"/>
      <c r="O1968" s="21"/>
      <c r="P1968" s="22"/>
      <c r="Q1968" s="29" t="str">
        <f aca="false">IF(C1968="","",IF(O1968&lt;&gt;"",O1968,IFERROR(INDEX(Produk!$J$2:$J$100,MATCH(C1968,Produk!$A$2:$A$100,0)),"PRODUK?")))</f>
        <v/>
      </c>
      <c r="R1968" s="29" t="str">
        <f aca="false">IF(A1968="","",IF(COUNTIF(Anggota!$A$2:$A$2001,A1968)=0,"TIDAK ADA","OK"))</f>
        <v/>
      </c>
      <c r="S1968" s="29" t="str">
        <f aca="false">IF(H1968="","",IF(OR(J1968="",L1968=""),"-",IF(ABS(H1968-J1968*L1968)&gt;Info_Koperasi!$C$10,"SELISIH","OK")))</f>
        <v/>
      </c>
    </row>
    <row r="1969" customFormat="false" ht="15" hidden="false" customHeight="false" outlineLevel="0" collapsed="false">
      <c r="A1969" s="21"/>
      <c r="B1969" s="22"/>
      <c r="C1969" s="21"/>
      <c r="D1969" s="21"/>
      <c r="E1969" s="28"/>
      <c r="F1969" s="24"/>
      <c r="G1969" s="26"/>
      <c r="H1969" s="24"/>
      <c r="I1969" s="24"/>
      <c r="J1969" s="24"/>
      <c r="K1969" s="24"/>
      <c r="L1969" s="26"/>
      <c r="M1969" s="26"/>
      <c r="N1969" s="22"/>
      <c r="O1969" s="21"/>
      <c r="P1969" s="22"/>
      <c r="Q1969" s="29" t="str">
        <f aca="false">IF(C1969="","",IF(O1969&lt;&gt;"",O1969,IFERROR(INDEX(Produk!$J$2:$J$100,MATCH(C1969,Produk!$A$2:$A$100,0)),"PRODUK?")))</f>
        <v/>
      </c>
      <c r="R1969" s="29" t="str">
        <f aca="false">IF(A1969="","",IF(COUNTIF(Anggota!$A$2:$A$2001,A1969)=0,"TIDAK ADA","OK"))</f>
        <v/>
      </c>
      <c r="S1969" s="29" t="str">
        <f aca="false">IF(H1969="","",IF(OR(J1969="",L1969=""),"-",IF(ABS(H1969-J1969*L1969)&gt;Info_Koperasi!$C$10,"SELISIH","OK")))</f>
        <v/>
      </c>
    </row>
    <row r="1970" customFormat="false" ht="15" hidden="false" customHeight="false" outlineLevel="0" collapsed="false">
      <c r="A1970" s="21"/>
      <c r="B1970" s="22"/>
      <c r="C1970" s="21"/>
      <c r="D1970" s="21"/>
      <c r="E1970" s="28"/>
      <c r="F1970" s="24"/>
      <c r="G1970" s="26"/>
      <c r="H1970" s="24"/>
      <c r="I1970" s="24"/>
      <c r="J1970" s="24"/>
      <c r="K1970" s="24"/>
      <c r="L1970" s="26"/>
      <c r="M1970" s="26"/>
      <c r="N1970" s="22"/>
      <c r="O1970" s="21"/>
      <c r="P1970" s="22"/>
      <c r="Q1970" s="29" t="str">
        <f aca="false">IF(C1970="","",IF(O1970&lt;&gt;"",O1970,IFERROR(INDEX(Produk!$J$2:$J$100,MATCH(C1970,Produk!$A$2:$A$100,0)),"PRODUK?")))</f>
        <v/>
      </c>
      <c r="R1970" s="29" t="str">
        <f aca="false">IF(A1970="","",IF(COUNTIF(Anggota!$A$2:$A$2001,A1970)=0,"TIDAK ADA","OK"))</f>
        <v/>
      </c>
      <c r="S1970" s="29" t="str">
        <f aca="false">IF(H1970="","",IF(OR(J1970="",L1970=""),"-",IF(ABS(H1970-J1970*L1970)&gt;Info_Koperasi!$C$10,"SELISIH","OK")))</f>
        <v/>
      </c>
    </row>
    <row r="1971" customFormat="false" ht="15" hidden="false" customHeight="false" outlineLevel="0" collapsed="false">
      <c r="A1971" s="21"/>
      <c r="B1971" s="22"/>
      <c r="C1971" s="21"/>
      <c r="D1971" s="21"/>
      <c r="E1971" s="28"/>
      <c r="F1971" s="24"/>
      <c r="G1971" s="26"/>
      <c r="H1971" s="24"/>
      <c r="I1971" s="24"/>
      <c r="J1971" s="24"/>
      <c r="K1971" s="24"/>
      <c r="L1971" s="26"/>
      <c r="M1971" s="26"/>
      <c r="N1971" s="22"/>
      <c r="O1971" s="21"/>
      <c r="P1971" s="22"/>
      <c r="Q1971" s="29" t="str">
        <f aca="false">IF(C1971="","",IF(O1971&lt;&gt;"",O1971,IFERROR(INDEX(Produk!$J$2:$J$100,MATCH(C1971,Produk!$A$2:$A$100,0)),"PRODUK?")))</f>
        <v/>
      </c>
      <c r="R1971" s="29" t="str">
        <f aca="false">IF(A1971="","",IF(COUNTIF(Anggota!$A$2:$A$2001,A1971)=0,"TIDAK ADA","OK"))</f>
        <v/>
      </c>
      <c r="S1971" s="29" t="str">
        <f aca="false">IF(H1971="","",IF(OR(J1971="",L1971=""),"-",IF(ABS(H1971-J1971*L1971)&gt;Info_Koperasi!$C$10,"SELISIH","OK")))</f>
        <v/>
      </c>
    </row>
    <row r="1972" customFormat="false" ht="15" hidden="false" customHeight="false" outlineLevel="0" collapsed="false">
      <c r="A1972" s="21"/>
      <c r="B1972" s="22"/>
      <c r="C1972" s="21"/>
      <c r="D1972" s="21"/>
      <c r="E1972" s="28"/>
      <c r="F1972" s="24"/>
      <c r="G1972" s="26"/>
      <c r="H1972" s="24"/>
      <c r="I1972" s="24"/>
      <c r="J1972" s="24"/>
      <c r="K1972" s="24"/>
      <c r="L1972" s="26"/>
      <c r="M1972" s="26"/>
      <c r="N1972" s="22"/>
      <c r="O1972" s="21"/>
      <c r="P1972" s="22"/>
      <c r="Q1972" s="29" t="str">
        <f aca="false">IF(C1972="","",IF(O1972&lt;&gt;"",O1972,IFERROR(INDEX(Produk!$J$2:$J$100,MATCH(C1972,Produk!$A$2:$A$100,0)),"PRODUK?")))</f>
        <v/>
      </c>
      <c r="R1972" s="29" t="str">
        <f aca="false">IF(A1972="","",IF(COUNTIF(Anggota!$A$2:$A$2001,A1972)=0,"TIDAK ADA","OK"))</f>
        <v/>
      </c>
      <c r="S1972" s="29" t="str">
        <f aca="false">IF(H1972="","",IF(OR(J1972="",L1972=""),"-",IF(ABS(H1972-J1972*L1972)&gt;Info_Koperasi!$C$10,"SELISIH","OK")))</f>
        <v/>
      </c>
    </row>
    <row r="1973" customFormat="false" ht="15" hidden="false" customHeight="false" outlineLevel="0" collapsed="false">
      <c r="A1973" s="21"/>
      <c r="B1973" s="22"/>
      <c r="C1973" s="21"/>
      <c r="D1973" s="21"/>
      <c r="E1973" s="28"/>
      <c r="F1973" s="24"/>
      <c r="G1973" s="26"/>
      <c r="H1973" s="24"/>
      <c r="I1973" s="24"/>
      <c r="J1973" s="24"/>
      <c r="K1973" s="24"/>
      <c r="L1973" s="26"/>
      <c r="M1973" s="26"/>
      <c r="N1973" s="22"/>
      <c r="O1973" s="21"/>
      <c r="P1973" s="22"/>
      <c r="Q1973" s="29" t="str">
        <f aca="false">IF(C1973="","",IF(O1973&lt;&gt;"",O1973,IFERROR(INDEX(Produk!$J$2:$J$100,MATCH(C1973,Produk!$A$2:$A$100,0)),"PRODUK?")))</f>
        <v/>
      </c>
      <c r="R1973" s="29" t="str">
        <f aca="false">IF(A1973="","",IF(COUNTIF(Anggota!$A$2:$A$2001,A1973)=0,"TIDAK ADA","OK"))</f>
        <v/>
      </c>
      <c r="S1973" s="29" t="str">
        <f aca="false">IF(H1973="","",IF(OR(J1973="",L1973=""),"-",IF(ABS(H1973-J1973*L1973)&gt;Info_Koperasi!$C$10,"SELISIH","OK")))</f>
        <v/>
      </c>
    </row>
    <row r="1974" customFormat="false" ht="15" hidden="false" customHeight="false" outlineLevel="0" collapsed="false">
      <c r="A1974" s="21"/>
      <c r="B1974" s="22"/>
      <c r="C1974" s="21"/>
      <c r="D1974" s="21"/>
      <c r="E1974" s="28"/>
      <c r="F1974" s="24"/>
      <c r="G1974" s="26"/>
      <c r="H1974" s="24"/>
      <c r="I1974" s="24"/>
      <c r="J1974" s="24"/>
      <c r="K1974" s="24"/>
      <c r="L1974" s="26"/>
      <c r="M1974" s="26"/>
      <c r="N1974" s="22"/>
      <c r="O1974" s="21"/>
      <c r="P1974" s="22"/>
      <c r="Q1974" s="29" t="str">
        <f aca="false">IF(C1974="","",IF(O1974&lt;&gt;"",O1974,IFERROR(INDEX(Produk!$J$2:$J$100,MATCH(C1974,Produk!$A$2:$A$100,0)),"PRODUK?")))</f>
        <v/>
      </c>
      <c r="R1974" s="29" t="str">
        <f aca="false">IF(A1974="","",IF(COUNTIF(Anggota!$A$2:$A$2001,A1974)=0,"TIDAK ADA","OK"))</f>
        <v/>
      </c>
      <c r="S1974" s="29" t="str">
        <f aca="false">IF(H1974="","",IF(OR(J1974="",L1974=""),"-",IF(ABS(H1974-J1974*L1974)&gt;Info_Koperasi!$C$10,"SELISIH","OK")))</f>
        <v/>
      </c>
    </row>
    <row r="1975" customFormat="false" ht="15" hidden="false" customHeight="false" outlineLevel="0" collapsed="false">
      <c r="A1975" s="21"/>
      <c r="B1975" s="22"/>
      <c r="C1975" s="21"/>
      <c r="D1975" s="21"/>
      <c r="E1975" s="28"/>
      <c r="F1975" s="24"/>
      <c r="G1975" s="26"/>
      <c r="H1975" s="24"/>
      <c r="I1975" s="24"/>
      <c r="J1975" s="24"/>
      <c r="K1975" s="24"/>
      <c r="L1975" s="26"/>
      <c r="M1975" s="26"/>
      <c r="N1975" s="22"/>
      <c r="O1975" s="21"/>
      <c r="P1975" s="22"/>
      <c r="Q1975" s="29" t="str">
        <f aca="false">IF(C1975="","",IF(O1975&lt;&gt;"",O1975,IFERROR(INDEX(Produk!$J$2:$J$100,MATCH(C1975,Produk!$A$2:$A$100,0)),"PRODUK?")))</f>
        <v/>
      </c>
      <c r="R1975" s="29" t="str">
        <f aca="false">IF(A1975="","",IF(COUNTIF(Anggota!$A$2:$A$2001,A1975)=0,"TIDAK ADA","OK"))</f>
        <v/>
      </c>
      <c r="S1975" s="29" t="str">
        <f aca="false">IF(H1975="","",IF(OR(J1975="",L1975=""),"-",IF(ABS(H1975-J1975*L1975)&gt;Info_Koperasi!$C$10,"SELISIH","OK")))</f>
        <v/>
      </c>
    </row>
    <row r="1976" customFormat="false" ht="15" hidden="false" customHeight="false" outlineLevel="0" collapsed="false">
      <c r="A1976" s="21"/>
      <c r="B1976" s="22"/>
      <c r="C1976" s="21"/>
      <c r="D1976" s="21"/>
      <c r="E1976" s="28"/>
      <c r="F1976" s="24"/>
      <c r="G1976" s="26"/>
      <c r="H1976" s="24"/>
      <c r="I1976" s="24"/>
      <c r="J1976" s="24"/>
      <c r="K1976" s="24"/>
      <c r="L1976" s="26"/>
      <c r="M1976" s="26"/>
      <c r="N1976" s="22"/>
      <c r="O1976" s="21"/>
      <c r="P1976" s="22"/>
      <c r="Q1976" s="29" t="str">
        <f aca="false">IF(C1976="","",IF(O1976&lt;&gt;"",O1976,IFERROR(INDEX(Produk!$J$2:$J$100,MATCH(C1976,Produk!$A$2:$A$100,0)),"PRODUK?")))</f>
        <v/>
      </c>
      <c r="R1976" s="29" t="str">
        <f aca="false">IF(A1976="","",IF(COUNTIF(Anggota!$A$2:$A$2001,A1976)=0,"TIDAK ADA","OK"))</f>
        <v/>
      </c>
      <c r="S1976" s="29" t="str">
        <f aca="false">IF(H1976="","",IF(OR(J1976="",L1976=""),"-",IF(ABS(H1976-J1976*L1976)&gt;Info_Koperasi!$C$10,"SELISIH","OK")))</f>
        <v/>
      </c>
    </row>
    <row r="1977" customFormat="false" ht="15" hidden="false" customHeight="false" outlineLevel="0" collapsed="false">
      <c r="A1977" s="21"/>
      <c r="B1977" s="22"/>
      <c r="C1977" s="21"/>
      <c r="D1977" s="21"/>
      <c r="E1977" s="28"/>
      <c r="F1977" s="24"/>
      <c r="G1977" s="26"/>
      <c r="H1977" s="24"/>
      <c r="I1977" s="24"/>
      <c r="J1977" s="24"/>
      <c r="K1977" s="24"/>
      <c r="L1977" s="26"/>
      <c r="M1977" s="26"/>
      <c r="N1977" s="22"/>
      <c r="O1977" s="21"/>
      <c r="P1977" s="22"/>
      <c r="Q1977" s="29" t="str">
        <f aca="false">IF(C1977="","",IF(O1977&lt;&gt;"",O1977,IFERROR(INDEX(Produk!$J$2:$J$100,MATCH(C1977,Produk!$A$2:$A$100,0)),"PRODUK?")))</f>
        <v/>
      </c>
      <c r="R1977" s="29" t="str">
        <f aca="false">IF(A1977="","",IF(COUNTIF(Anggota!$A$2:$A$2001,A1977)=0,"TIDAK ADA","OK"))</f>
        <v/>
      </c>
      <c r="S1977" s="29" t="str">
        <f aca="false">IF(H1977="","",IF(OR(J1977="",L1977=""),"-",IF(ABS(H1977-J1977*L1977)&gt;Info_Koperasi!$C$10,"SELISIH","OK")))</f>
        <v/>
      </c>
    </row>
    <row r="1978" customFormat="false" ht="15" hidden="false" customHeight="false" outlineLevel="0" collapsed="false">
      <c r="A1978" s="21"/>
      <c r="B1978" s="22"/>
      <c r="C1978" s="21"/>
      <c r="D1978" s="21"/>
      <c r="E1978" s="28"/>
      <c r="F1978" s="24"/>
      <c r="G1978" s="26"/>
      <c r="H1978" s="24"/>
      <c r="I1978" s="24"/>
      <c r="J1978" s="24"/>
      <c r="K1978" s="24"/>
      <c r="L1978" s="26"/>
      <c r="M1978" s="26"/>
      <c r="N1978" s="22"/>
      <c r="O1978" s="21"/>
      <c r="P1978" s="22"/>
      <c r="Q1978" s="29" t="str">
        <f aca="false">IF(C1978="","",IF(O1978&lt;&gt;"",O1978,IFERROR(INDEX(Produk!$J$2:$J$100,MATCH(C1978,Produk!$A$2:$A$100,0)),"PRODUK?")))</f>
        <v/>
      </c>
      <c r="R1978" s="29" t="str">
        <f aca="false">IF(A1978="","",IF(COUNTIF(Anggota!$A$2:$A$2001,A1978)=0,"TIDAK ADA","OK"))</f>
        <v/>
      </c>
      <c r="S1978" s="29" t="str">
        <f aca="false">IF(H1978="","",IF(OR(J1978="",L1978=""),"-",IF(ABS(H1978-J1978*L1978)&gt;Info_Koperasi!$C$10,"SELISIH","OK")))</f>
        <v/>
      </c>
    </row>
    <row r="1979" customFormat="false" ht="15" hidden="false" customHeight="false" outlineLevel="0" collapsed="false">
      <c r="A1979" s="21"/>
      <c r="B1979" s="22"/>
      <c r="C1979" s="21"/>
      <c r="D1979" s="21"/>
      <c r="E1979" s="28"/>
      <c r="F1979" s="24"/>
      <c r="G1979" s="26"/>
      <c r="H1979" s="24"/>
      <c r="I1979" s="24"/>
      <c r="J1979" s="24"/>
      <c r="K1979" s="24"/>
      <c r="L1979" s="26"/>
      <c r="M1979" s="26"/>
      <c r="N1979" s="22"/>
      <c r="O1979" s="21"/>
      <c r="P1979" s="22"/>
      <c r="Q1979" s="29" t="str">
        <f aca="false">IF(C1979="","",IF(O1979&lt;&gt;"",O1979,IFERROR(INDEX(Produk!$J$2:$J$100,MATCH(C1979,Produk!$A$2:$A$100,0)),"PRODUK?")))</f>
        <v/>
      </c>
      <c r="R1979" s="29" t="str">
        <f aca="false">IF(A1979="","",IF(COUNTIF(Anggota!$A$2:$A$2001,A1979)=0,"TIDAK ADA","OK"))</f>
        <v/>
      </c>
      <c r="S1979" s="29" t="str">
        <f aca="false">IF(H1979="","",IF(OR(J1979="",L1979=""),"-",IF(ABS(H1979-J1979*L1979)&gt;Info_Koperasi!$C$10,"SELISIH","OK")))</f>
        <v/>
      </c>
    </row>
    <row r="1980" customFormat="false" ht="15" hidden="false" customHeight="false" outlineLevel="0" collapsed="false">
      <c r="A1980" s="21"/>
      <c r="B1980" s="22"/>
      <c r="C1980" s="21"/>
      <c r="D1980" s="21"/>
      <c r="E1980" s="28"/>
      <c r="F1980" s="24"/>
      <c r="G1980" s="26"/>
      <c r="H1980" s="24"/>
      <c r="I1980" s="24"/>
      <c r="J1980" s="24"/>
      <c r="K1980" s="24"/>
      <c r="L1980" s="26"/>
      <c r="M1980" s="26"/>
      <c r="N1980" s="22"/>
      <c r="O1980" s="21"/>
      <c r="P1980" s="22"/>
      <c r="Q1980" s="29" t="str">
        <f aca="false">IF(C1980="","",IF(O1980&lt;&gt;"",O1980,IFERROR(INDEX(Produk!$J$2:$J$100,MATCH(C1980,Produk!$A$2:$A$100,0)),"PRODUK?")))</f>
        <v/>
      </c>
      <c r="R1980" s="29" t="str">
        <f aca="false">IF(A1980="","",IF(COUNTIF(Anggota!$A$2:$A$2001,A1980)=0,"TIDAK ADA","OK"))</f>
        <v/>
      </c>
      <c r="S1980" s="29" t="str">
        <f aca="false">IF(H1980="","",IF(OR(J1980="",L1980=""),"-",IF(ABS(H1980-J1980*L1980)&gt;Info_Koperasi!$C$10,"SELISIH","OK")))</f>
        <v/>
      </c>
    </row>
    <row r="1981" customFormat="false" ht="15" hidden="false" customHeight="false" outlineLevel="0" collapsed="false">
      <c r="A1981" s="21"/>
      <c r="B1981" s="22"/>
      <c r="C1981" s="21"/>
      <c r="D1981" s="21"/>
      <c r="E1981" s="28"/>
      <c r="F1981" s="24"/>
      <c r="G1981" s="26"/>
      <c r="H1981" s="24"/>
      <c r="I1981" s="24"/>
      <c r="J1981" s="24"/>
      <c r="K1981" s="24"/>
      <c r="L1981" s="26"/>
      <c r="M1981" s="26"/>
      <c r="N1981" s="22"/>
      <c r="O1981" s="21"/>
      <c r="P1981" s="22"/>
      <c r="Q1981" s="29" t="str">
        <f aca="false">IF(C1981="","",IF(O1981&lt;&gt;"",O1981,IFERROR(INDEX(Produk!$J$2:$J$100,MATCH(C1981,Produk!$A$2:$A$100,0)),"PRODUK?")))</f>
        <v/>
      </c>
      <c r="R1981" s="29" t="str">
        <f aca="false">IF(A1981="","",IF(COUNTIF(Anggota!$A$2:$A$2001,A1981)=0,"TIDAK ADA","OK"))</f>
        <v/>
      </c>
      <c r="S1981" s="29" t="str">
        <f aca="false">IF(H1981="","",IF(OR(J1981="",L1981=""),"-",IF(ABS(H1981-J1981*L1981)&gt;Info_Koperasi!$C$10,"SELISIH","OK")))</f>
        <v/>
      </c>
    </row>
    <row r="1982" customFormat="false" ht="15" hidden="false" customHeight="false" outlineLevel="0" collapsed="false">
      <c r="A1982" s="21"/>
      <c r="B1982" s="22"/>
      <c r="C1982" s="21"/>
      <c r="D1982" s="21"/>
      <c r="E1982" s="28"/>
      <c r="F1982" s="24"/>
      <c r="G1982" s="26"/>
      <c r="H1982" s="24"/>
      <c r="I1982" s="24"/>
      <c r="J1982" s="24"/>
      <c r="K1982" s="24"/>
      <c r="L1982" s="26"/>
      <c r="M1982" s="26"/>
      <c r="N1982" s="22"/>
      <c r="O1982" s="21"/>
      <c r="P1982" s="22"/>
      <c r="Q1982" s="29" t="str">
        <f aca="false">IF(C1982="","",IF(O1982&lt;&gt;"",O1982,IFERROR(INDEX(Produk!$J$2:$J$100,MATCH(C1982,Produk!$A$2:$A$100,0)),"PRODUK?")))</f>
        <v/>
      </c>
      <c r="R1982" s="29" t="str">
        <f aca="false">IF(A1982="","",IF(COUNTIF(Anggota!$A$2:$A$2001,A1982)=0,"TIDAK ADA","OK"))</f>
        <v/>
      </c>
      <c r="S1982" s="29" t="str">
        <f aca="false">IF(H1982="","",IF(OR(J1982="",L1982=""),"-",IF(ABS(H1982-J1982*L1982)&gt;Info_Koperasi!$C$10,"SELISIH","OK")))</f>
        <v/>
      </c>
    </row>
    <row r="1983" customFormat="false" ht="15" hidden="false" customHeight="false" outlineLevel="0" collapsed="false">
      <c r="A1983" s="21"/>
      <c r="B1983" s="22"/>
      <c r="C1983" s="21"/>
      <c r="D1983" s="21"/>
      <c r="E1983" s="28"/>
      <c r="F1983" s="24"/>
      <c r="G1983" s="26"/>
      <c r="H1983" s="24"/>
      <c r="I1983" s="24"/>
      <c r="J1983" s="24"/>
      <c r="K1983" s="24"/>
      <c r="L1983" s="26"/>
      <c r="M1983" s="26"/>
      <c r="N1983" s="22"/>
      <c r="O1983" s="21"/>
      <c r="P1983" s="22"/>
      <c r="Q1983" s="29" t="str">
        <f aca="false">IF(C1983="","",IF(O1983&lt;&gt;"",O1983,IFERROR(INDEX(Produk!$J$2:$J$100,MATCH(C1983,Produk!$A$2:$A$100,0)),"PRODUK?")))</f>
        <v/>
      </c>
      <c r="R1983" s="29" t="str">
        <f aca="false">IF(A1983="","",IF(COUNTIF(Anggota!$A$2:$A$2001,A1983)=0,"TIDAK ADA","OK"))</f>
        <v/>
      </c>
      <c r="S1983" s="29" t="str">
        <f aca="false">IF(H1983="","",IF(OR(J1983="",L1983=""),"-",IF(ABS(H1983-J1983*L1983)&gt;Info_Koperasi!$C$10,"SELISIH","OK")))</f>
        <v/>
      </c>
    </row>
    <row r="1984" customFormat="false" ht="15" hidden="false" customHeight="false" outlineLevel="0" collapsed="false">
      <c r="A1984" s="21"/>
      <c r="B1984" s="22"/>
      <c r="C1984" s="21"/>
      <c r="D1984" s="21"/>
      <c r="E1984" s="28"/>
      <c r="F1984" s="24"/>
      <c r="G1984" s="26"/>
      <c r="H1984" s="24"/>
      <c r="I1984" s="24"/>
      <c r="J1984" s="24"/>
      <c r="K1984" s="24"/>
      <c r="L1984" s="26"/>
      <c r="M1984" s="26"/>
      <c r="N1984" s="22"/>
      <c r="O1984" s="21"/>
      <c r="P1984" s="22"/>
      <c r="Q1984" s="29" t="str">
        <f aca="false">IF(C1984="","",IF(O1984&lt;&gt;"",O1984,IFERROR(INDEX(Produk!$J$2:$J$100,MATCH(C1984,Produk!$A$2:$A$100,0)),"PRODUK?")))</f>
        <v/>
      </c>
      <c r="R1984" s="29" t="str">
        <f aca="false">IF(A1984="","",IF(COUNTIF(Anggota!$A$2:$A$2001,A1984)=0,"TIDAK ADA","OK"))</f>
        <v/>
      </c>
      <c r="S1984" s="29" t="str">
        <f aca="false">IF(H1984="","",IF(OR(J1984="",L1984=""),"-",IF(ABS(H1984-J1984*L1984)&gt;Info_Koperasi!$C$10,"SELISIH","OK")))</f>
        <v/>
      </c>
    </row>
    <row r="1985" customFormat="false" ht="15" hidden="false" customHeight="false" outlineLevel="0" collapsed="false">
      <c r="A1985" s="21"/>
      <c r="B1985" s="22"/>
      <c r="C1985" s="21"/>
      <c r="D1985" s="21"/>
      <c r="E1985" s="28"/>
      <c r="F1985" s="24"/>
      <c r="G1985" s="26"/>
      <c r="H1985" s="24"/>
      <c r="I1985" s="24"/>
      <c r="J1985" s="24"/>
      <c r="K1985" s="24"/>
      <c r="L1985" s="26"/>
      <c r="M1985" s="26"/>
      <c r="N1985" s="22"/>
      <c r="O1985" s="21"/>
      <c r="P1985" s="22"/>
      <c r="Q1985" s="29" t="str">
        <f aca="false">IF(C1985="","",IF(O1985&lt;&gt;"",O1985,IFERROR(INDEX(Produk!$J$2:$J$100,MATCH(C1985,Produk!$A$2:$A$100,0)),"PRODUK?")))</f>
        <v/>
      </c>
      <c r="R1985" s="29" t="str">
        <f aca="false">IF(A1985="","",IF(COUNTIF(Anggota!$A$2:$A$2001,A1985)=0,"TIDAK ADA","OK"))</f>
        <v/>
      </c>
      <c r="S1985" s="29" t="str">
        <f aca="false">IF(H1985="","",IF(OR(J1985="",L1985=""),"-",IF(ABS(H1985-J1985*L1985)&gt;Info_Koperasi!$C$10,"SELISIH","OK")))</f>
        <v/>
      </c>
    </row>
    <row r="1986" customFormat="false" ht="15" hidden="false" customHeight="false" outlineLevel="0" collapsed="false">
      <c r="A1986" s="21"/>
      <c r="B1986" s="22"/>
      <c r="C1986" s="21"/>
      <c r="D1986" s="21"/>
      <c r="E1986" s="28"/>
      <c r="F1986" s="24"/>
      <c r="G1986" s="26"/>
      <c r="H1986" s="24"/>
      <c r="I1986" s="24"/>
      <c r="J1986" s="24"/>
      <c r="K1986" s="24"/>
      <c r="L1986" s="26"/>
      <c r="M1986" s="26"/>
      <c r="N1986" s="22"/>
      <c r="O1986" s="21"/>
      <c r="P1986" s="22"/>
      <c r="Q1986" s="29" t="str">
        <f aca="false">IF(C1986="","",IF(O1986&lt;&gt;"",O1986,IFERROR(INDEX(Produk!$J$2:$J$100,MATCH(C1986,Produk!$A$2:$A$100,0)),"PRODUK?")))</f>
        <v/>
      </c>
      <c r="R1986" s="29" t="str">
        <f aca="false">IF(A1986="","",IF(COUNTIF(Anggota!$A$2:$A$2001,A1986)=0,"TIDAK ADA","OK"))</f>
        <v/>
      </c>
      <c r="S1986" s="29" t="str">
        <f aca="false">IF(H1986="","",IF(OR(J1986="",L1986=""),"-",IF(ABS(H1986-J1986*L1986)&gt;Info_Koperasi!$C$10,"SELISIH","OK")))</f>
        <v/>
      </c>
    </row>
    <row r="1987" customFormat="false" ht="15" hidden="false" customHeight="false" outlineLevel="0" collapsed="false">
      <c r="A1987" s="21"/>
      <c r="B1987" s="22"/>
      <c r="C1987" s="21"/>
      <c r="D1987" s="21"/>
      <c r="E1987" s="28"/>
      <c r="F1987" s="24"/>
      <c r="G1987" s="26"/>
      <c r="H1987" s="24"/>
      <c r="I1987" s="24"/>
      <c r="J1987" s="24"/>
      <c r="K1987" s="24"/>
      <c r="L1987" s="26"/>
      <c r="M1987" s="26"/>
      <c r="N1987" s="22"/>
      <c r="O1987" s="21"/>
      <c r="P1987" s="22"/>
      <c r="Q1987" s="29" t="str">
        <f aca="false">IF(C1987="","",IF(O1987&lt;&gt;"",O1987,IFERROR(INDEX(Produk!$J$2:$J$100,MATCH(C1987,Produk!$A$2:$A$100,0)),"PRODUK?")))</f>
        <v/>
      </c>
      <c r="R1987" s="29" t="str">
        <f aca="false">IF(A1987="","",IF(COUNTIF(Anggota!$A$2:$A$2001,A1987)=0,"TIDAK ADA","OK"))</f>
        <v/>
      </c>
      <c r="S1987" s="29" t="str">
        <f aca="false">IF(H1987="","",IF(OR(J1987="",L1987=""),"-",IF(ABS(H1987-J1987*L1987)&gt;Info_Koperasi!$C$10,"SELISIH","OK")))</f>
        <v/>
      </c>
    </row>
    <row r="1988" customFormat="false" ht="15" hidden="false" customHeight="false" outlineLevel="0" collapsed="false">
      <c r="A1988" s="21"/>
      <c r="B1988" s="22"/>
      <c r="C1988" s="21"/>
      <c r="D1988" s="21"/>
      <c r="E1988" s="28"/>
      <c r="F1988" s="24"/>
      <c r="G1988" s="26"/>
      <c r="H1988" s="24"/>
      <c r="I1988" s="24"/>
      <c r="J1988" s="24"/>
      <c r="K1988" s="24"/>
      <c r="L1988" s="26"/>
      <c r="M1988" s="26"/>
      <c r="N1988" s="22"/>
      <c r="O1988" s="21"/>
      <c r="P1988" s="22"/>
      <c r="Q1988" s="29" t="str">
        <f aca="false">IF(C1988="","",IF(O1988&lt;&gt;"",O1988,IFERROR(INDEX(Produk!$J$2:$J$100,MATCH(C1988,Produk!$A$2:$A$100,0)),"PRODUK?")))</f>
        <v/>
      </c>
      <c r="R1988" s="29" t="str">
        <f aca="false">IF(A1988="","",IF(COUNTIF(Anggota!$A$2:$A$2001,A1988)=0,"TIDAK ADA","OK"))</f>
        <v/>
      </c>
      <c r="S1988" s="29" t="str">
        <f aca="false">IF(H1988="","",IF(OR(J1988="",L1988=""),"-",IF(ABS(H1988-J1988*L1988)&gt;Info_Koperasi!$C$10,"SELISIH","OK")))</f>
        <v/>
      </c>
    </row>
    <row r="1989" customFormat="false" ht="15" hidden="false" customHeight="false" outlineLevel="0" collapsed="false">
      <c r="A1989" s="21"/>
      <c r="B1989" s="22"/>
      <c r="C1989" s="21"/>
      <c r="D1989" s="21"/>
      <c r="E1989" s="28"/>
      <c r="F1989" s="24"/>
      <c r="G1989" s="26"/>
      <c r="H1989" s="24"/>
      <c r="I1989" s="24"/>
      <c r="J1989" s="24"/>
      <c r="K1989" s="24"/>
      <c r="L1989" s="26"/>
      <c r="M1989" s="26"/>
      <c r="N1989" s="22"/>
      <c r="O1989" s="21"/>
      <c r="P1989" s="22"/>
      <c r="Q1989" s="29" t="str">
        <f aca="false">IF(C1989="","",IF(O1989&lt;&gt;"",O1989,IFERROR(INDEX(Produk!$J$2:$J$100,MATCH(C1989,Produk!$A$2:$A$100,0)),"PRODUK?")))</f>
        <v/>
      </c>
      <c r="R1989" s="29" t="str">
        <f aca="false">IF(A1989="","",IF(COUNTIF(Anggota!$A$2:$A$2001,A1989)=0,"TIDAK ADA","OK"))</f>
        <v/>
      </c>
      <c r="S1989" s="29" t="str">
        <f aca="false">IF(H1989="","",IF(OR(J1989="",L1989=""),"-",IF(ABS(H1989-J1989*L1989)&gt;Info_Koperasi!$C$10,"SELISIH","OK")))</f>
        <v/>
      </c>
    </row>
    <row r="1990" customFormat="false" ht="15" hidden="false" customHeight="false" outlineLevel="0" collapsed="false">
      <c r="A1990" s="21"/>
      <c r="B1990" s="22"/>
      <c r="C1990" s="21"/>
      <c r="D1990" s="21"/>
      <c r="E1990" s="28"/>
      <c r="F1990" s="24"/>
      <c r="G1990" s="26"/>
      <c r="H1990" s="24"/>
      <c r="I1990" s="24"/>
      <c r="J1990" s="24"/>
      <c r="K1990" s="24"/>
      <c r="L1990" s="26"/>
      <c r="M1990" s="26"/>
      <c r="N1990" s="22"/>
      <c r="O1990" s="21"/>
      <c r="P1990" s="22"/>
      <c r="Q1990" s="29" t="str">
        <f aca="false">IF(C1990="","",IF(O1990&lt;&gt;"",O1990,IFERROR(INDEX(Produk!$J$2:$J$100,MATCH(C1990,Produk!$A$2:$A$100,0)),"PRODUK?")))</f>
        <v/>
      </c>
      <c r="R1990" s="29" t="str">
        <f aca="false">IF(A1990="","",IF(COUNTIF(Anggota!$A$2:$A$2001,A1990)=0,"TIDAK ADA","OK"))</f>
        <v/>
      </c>
      <c r="S1990" s="29" t="str">
        <f aca="false">IF(H1990="","",IF(OR(J1990="",L1990=""),"-",IF(ABS(H1990-J1990*L1990)&gt;Info_Koperasi!$C$10,"SELISIH","OK")))</f>
        <v/>
      </c>
    </row>
    <row r="1991" customFormat="false" ht="15" hidden="false" customHeight="false" outlineLevel="0" collapsed="false">
      <c r="A1991" s="21"/>
      <c r="B1991" s="22"/>
      <c r="C1991" s="21"/>
      <c r="D1991" s="21"/>
      <c r="E1991" s="28"/>
      <c r="F1991" s="24"/>
      <c r="G1991" s="26"/>
      <c r="H1991" s="24"/>
      <c r="I1991" s="24"/>
      <c r="J1991" s="24"/>
      <c r="K1991" s="24"/>
      <c r="L1991" s="26"/>
      <c r="M1991" s="26"/>
      <c r="N1991" s="22"/>
      <c r="O1991" s="21"/>
      <c r="P1991" s="22"/>
      <c r="Q1991" s="29" t="str">
        <f aca="false">IF(C1991="","",IF(O1991&lt;&gt;"",O1991,IFERROR(INDEX(Produk!$J$2:$J$100,MATCH(C1991,Produk!$A$2:$A$100,0)),"PRODUK?")))</f>
        <v/>
      </c>
      <c r="R1991" s="29" t="str">
        <f aca="false">IF(A1991="","",IF(COUNTIF(Anggota!$A$2:$A$2001,A1991)=0,"TIDAK ADA","OK"))</f>
        <v/>
      </c>
      <c r="S1991" s="29" t="str">
        <f aca="false">IF(H1991="","",IF(OR(J1991="",L1991=""),"-",IF(ABS(H1991-J1991*L1991)&gt;Info_Koperasi!$C$10,"SELISIH","OK")))</f>
        <v/>
      </c>
    </row>
    <row r="1992" customFormat="false" ht="15" hidden="false" customHeight="false" outlineLevel="0" collapsed="false">
      <c r="A1992" s="21"/>
      <c r="B1992" s="22"/>
      <c r="C1992" s="21"/>
      <c r="D1992" s="21"/>
      <c r="E1992" s="28"/>
      <c r="F1992" s="24"/>
      <c r="G1992" s="26"/>
      <c r="H1992" s="24"/>
      <c r="I1992" s="24"/>
      <c r="J1992" s="24"/>
      <c r="K1992" s="24"/>
      <c r="L1992" s="26"/>
      <c r="M1992" s="26"/>
      <c r="N1992" s="22"/>
      <c r="O1992" s="21"/>
      <c r="P1992" s="22"/>
      <c r="Q1992" s="29" t="str">
        <f aca="false">IF(C1992="","",IF(O1992&lt;&gt;"",O1992,IFERROR(INDEX(Produk!$J$2:$J$100,MATCH(C1992,Produk!$A$2:$A$100,0)),"PRODUK?")))</f>
        <v/>
      </c>
      <c r="R1992" s="29" t="str">
        <f aca="false">IF(A1992="","",IF(COUNTIF(Anggota!$A$2:$A$2001,A1992)=0,"TIDAK ADA","OK"))</f>
        <v/>
      </c>
      <c r="S1992" s="29" t="str">
        <f aca="false">IF(H1992="","",IF(OR(J1992="",L1992=""),"-",IF(ABS(H1992-J1992*L1992)&gt;Info_Koperasi!$C$10,"SELISIH","OK")))</f>
        <v/>
      </c>
    </row>
    <row r="1993" customFormat="false" ht="15" hidden="false" customHeight="false" outlineLevel="0" collapsed="false">
      <c r="A1993" s="21"/>
      <c r="B1993" s="22"/>
      <c r="C1993" s="21"/>
      <c r="D1993" s="21"/>
      <c r="E1993" s="28"/>
      <c r="F1993" s="24"/>
      <c r="G1993" s="26"/>
      <c r="H1993" s="24"/>
      <c r="I1993" s="24"/>
      <c r="J1993" s="24"/>
      <c r="K1993" s="24"/>
      <c r="L1993" s="26"/>
      <c r="M1993" s="26"/>
      <c r="N1993" s="22"/>
      <c r="O1993" s="21"/>
      <c r="P1993" s="22"/>
      <c r="Q1993" s="29" t="str">
        <f aca="false">IF(C1993="","",IF(O1993&lt;&gt;"",O1993,IFERROR(INDEX(Produk!$J$2:$J$100,MATCH(C1993,Produk!$A$2:$A$100,0)),"PRODUK?")))</f>
        <v/>
      </c>
      <c r="R1993" s="29" t="str">
        <f aca="false">IF(A1993="","",IF(COUNTIF(Anggota!$A$2:$A$2001,A1993)=0,"TIDAK ADA","OK"))</f>
        <v/>
      </c>
      <c r="S1993" s="29" t="str">
        <f aca="false">IF(H1993="","",IF(OR(J1993="",L1993=""),"-",IF(ABS(H1993-J1993*L1993)&gt;Info_Koperasi!$C$10,"SELISIH","OK")))</f>
        <v/>
      </c>
    </row>
    <row r="1994" customFormat="false" ht="15" hidden="false" customHeight="false" outlineLevel="0" collapsed="false">
      <c r="A1994" s="21"/>
      <c r="B1994" s="22"/>
      <c r="C1994" s="21"/>
      <c r="D1994" s="21"/>
      <c r="E1994" s="28"/>
      <c r="F1994" s="24"/>
      <c r="G1994" s="26"/>
      <c r="H1994" s="24"/>
      <c r="I1994" s="24"/>
      <c r="J1994" s="24"/>
      <c r="K1994" s="24"/>
      <c r="L1994" s="26"/>
      <c r="M1994" s="26"/>
      <c r="N1994" s="22"/>
      <c r="O1994" s="21"/>
      <c r="P1994" s="22"/>
      <c r="Q1994" s="29" t="str">
        <f aca="false">IF(C1994="","",IF(O1994&lt;&gt;"",O1994,IFERROR(INDEX(Produk!$J$2:$J$100,MATCH(C1994,Produk!$A$2:$A$100,0)),"PRODUK?")))</f>
        <v/>
      </c>
      <c r="R1994" s="29" t="str">
        <f aca="false">IF(A1994="","",IF(COUNTIF(Anggota!$A$2:$A$2001,A1994)=0,"TIDAK ADA","OK"))</f>
        <v/>
      </c>
      <c r="S1994" s="29" t="str">
        <f aca="false">IF(H1994="","",IF(OR(J1994="",L1994=""),"-",IF(ABS(H1994-J1994*L1994)&gt;Info_Koperasi!$C$10,"SELISIH","OK")))</f>
        <v/>
      </c>
    </row>
    <row r="1995" customFormat="false" ht="15" hidden="false" customHeight="false" outlineLevel="0" collapsed="false">
      <c r="A1995" s="21"/>
      <c r="B1995" s="22"/>
      <c r="C1995" s="21"/>
      <c r="D1995" s="21"/>
      <c r="E1995" s="28"/>
      <c r="F1995" s="24"/>
      <c r="G1995" s="26"/>
      <c r="H1995" s="24"/>
      <c r="I1995" s="24"/>
      <c r="J1995" s="24"/>
      <c r="K1995" s="24"/>
      <c r="L1995" s="26"/>
      <c r="M1995" s="26"/>
      <c r="N1995" s="22"/>
      <c r="O1995" s="21"/>
      <c r="P1995" s="22"/>
      <c r="Q1995" s="29" t="str">
        <f aca="false">IF(C1995="","",IF(O1995&lt;&gt;"",O1995,IFERROR(INDEX(Produk!$J$2:$J$100,MATCH(C1995,Produk!$A$2:$A$100,0)),"PRODUK?")))</f>
        <v/>
      </c>
      <c r="R1995" s="29" t="str">
        <f aca="false">IF(A1995="","",IF(COUNTIF(Anggota!$A$2:$A$2001,A1995)=0,"TIDAK ADA","OK"))</f>
        <v/>
      </c>
      <c r="S1995" s="29" t="str">
        <f aca="false">IF(H1995="","",IF(OR(J1995="",L1995=""),"-",IF(ABS(H1995-J1995*L1995)&gt;Info_Koperasi!$C$10,"SELISIH","OK")))</f>
        <v/>
      </c>
    </row>
    <row r="1996" customFormat="false" ht="15" hidden="false" customHeight="false" outlineLevel="0" collapsed="false">
      <c r="A1996" s="21"/>
      <c r="B1996" s="22"/>
      <c r="C1996" s="21"/>
      <c r="D1996" s="21"/>
      <c r="E1996" s="28"/>
      <c r="F1996" s="24"/>
      <c r="G1996" s="26"/>
      <c r="H1996" s="24"/>
      <c r="I1996" s="24"/>
      <c r="J1996" s="24"/>
      <c r="K1996" s="24"/>
      <c r="L1996" s="26"/>
      <c r="M1996" s="26"/>
      <c r="N1996" s="22"/>
      <c r="O1996" s="21"/>
      <c r="P1996" s="22"/>
      <c r="Q1996" s="29" t="str">
        <f aca="false">IF(C1996="","",IF(O1996&lt;&gt;"",O1996,IFERROR(INDEX(Produk!$J$2:$J$100,MATCH(C1996,Produk!$A$2:$A$100,0)),"PRODUK?")))</f>
        <v/>
      </c>
      <c r="R1996" s="29" t="str">
        <f aca="false">IF(A1996="","",IF(COUNTIF(Anggota!$A$2:$A$2001,A1996)=0,"TIDAK ADA","OK"))</f>
        <v/>
      </c>
      <c r="S1996" s="29" t="str">
        <f aca="false">IF(H1996="","",IF(OR(J1996="",L1996=""),"-",IF(ABS(H1996-J1996*L1996)&gt;Info_Koperasi!$C$10,"SELISIH","OK")))</f>
        <v/>
      </c>
    </row>
    <row r="1997" customFormat="false" ht="15" hidden="false" customHeight="false" outlineLevel="0" collapsed="false">
      <c r="A1997" s="21"/>
      <c r="B1997" s="22"/>
      <c r="C1997" s="21"/>
      <c r="D1997" s="21"/>
      <c r="E1997" s="28"/>
      <c r="F1997" s="24"/>
      <c r="G1997" s="26"/>
      <c r="H1997" s="24"/>
      <c r="I1997" s="24"/>
      <c r="J1997" s="24"/>
      <c r="K1997" s="24"/>
      <c r="L1997" s="26"/>
      <c r="M1997" s="26"/>
      <c r="N1997" s="22"/>
      <c r="O1997" s="21"/>
      <c r="P1997" s="22"/>
      <c r="Q1997" s="29" t="str">
        <f aca="false">IF(C1997="","",IF(O1997&lt;&gt;"",O1997,IFERROR(INDEX(Produk!$J$2:$J$100,MATCH(C1997,Produk!$A$2:$A$100,0)),"PRODUK?")))</f>
        <v/>
      </c>
      <c r="R1997" s="29" t="str">
        <f aca="false">IF(A1997="","",IF(COUNTIF(Anggota!$A$2:$A$2001,A1997)=0,"TIDAK ADA","OK"))</f>
        <v/>
      </c>
      <c r="S1997" s="29" t="str">
        <f aca="false">IF(H1997="","",IF(OR(J1997="",L1997=""),"-",IF(ABS(H1997-J1997*L1997)&gt;Info_Koperasi!$C$10,"SELISIH","OK")))</f>
        <v/>
      </c>
    </row>
    <row r="1998" customFormat="false" ht="15" hidden="false" customHeight="false" outlineLevel="0" collapsed="false">
      <c r="A1998" s="21"/>
      <c r="B1998" s="22"/>
      <c r="C1998" s="21"/>
      <c r="D1998" s="21"/>
      <c r="E1998" s="28"/>
      <c r="F1998" s="24"/>
      <c r="G1998" s="26"/>
      <c r="H1998" s="24"/>
      <c r="I1998" s="24"/>
      <c r="J1998" s="24"/>
      <c r="K1998" s="24"/>
      <c r="L1998" s="26"/>
      <c r="M1998" s="26"/>
      <c r="N1998" s="22"/>
      <c r="O1998" s="21"/>
      <c r="P1998" s="22"/>
      <c r="Q1998" s="29" t="str">
        <f aca="false">IF(C1998="","",IF(O1998&lt;&gt;"",O1998,IFERROR(INDEX(Produk!$J$2:$J$100,MATCH(C1998,Produk!$A$2:$A$100,0)),"PRODUK?")))</f>
        <v/>
      </c>
      <c r="R1998" s="29" t="str">
        <f aca="false">IF(A1998="","",IF(COUNTIF(Anggota!$A$2:$A$2001,A1998)=0,"TIDAK ADA","OK"))</f>
        <v/>
      </c>
      <c r="S1998" s="29" t="str">
        <f aca="false">IF(H1998="","",IF(OR(J1998="",L1998=""),"-",IF(ABS(H1998-J1998*L1998)&gt;Info_Koperasi!$C$10,"SELISIH","OK")))</f>
        <v/>
      </c>
    </row>
    <row r="1999" customFormat="false" ht="15" hidden="false" customHeight="false" outlineLevel="0" collapsed="false">
      <c r="A1999" s="21"/>
      <c r="B1999" s="22"/>
      <c r="C1999" s="21"/>
      <c r="D1999" s="21"/>
      <c r="E1999" s="28"/>
      <c r="F1999" s="24"/>
      <c r="G1999" s="26"/>
      <c r="H1999" s="24"/>
      <c r="I1999" s="24"/>
      <c r="J1999" s="24"/>
      <c r="K1999" s="24"/>
      <c r="L1999" s="26"/>
      <c r="M1999" s="26"/>
      <c r="N1999" s="22"/>
      <c r="O1999" s="21"/>
      <c r="P1999" s="22"/>
      <c r="Q1999" s="29" t="str">
        <f aca="false">IF(C1999="","",IF(O1999&lt;&gt;"",O1999,IFERROR(INDEX(Produk!$J$2:$J$100,MATCH(C1999,Produk!$A$2:$A$100,0)),"PRODUK?")))</f>
        <v/>
      </c>
      <c r="R1999" s="29" t="str">
        <f aca="false">IF(A1999="","",IF(COUNTIF(Anggota!$A$2:$A$2001,A1999)=0,"TIDAK ADA","OK"))</f>
        <v/>
      </c>
      <c r="S1999" s="29" t="str">
        <f aca="false">IF(H1999="","",IF(OR(J1999="",L1999=""),"-",IF(ABS(H1999-J1999*L1999)&gt;Info_Koperasi!$C$10,"SELISIH","OK")))</f>
        <v/>
      </c>
    </row>
    <row r="2000" customFormat="false" ht="15" hidden="false" customHeight="false" outlineLevel="0" collapsed="false">
      <c r="A2000" s="21"/>
      <c r="B2000" s="22"/>
      <c r="C2000" s="21"/>
      <c r="D2000" s="21"/>
      <c r="E2000" s="28"/>
      <c r="F2000" s="24"/>
      <c r="G2000" s="26"/>
      <c r="H2000" s="24"/>
      <c r="I2000" s="24"/>
      <c r="J2000" s="24"/>
      <c r="K2000" s="24"/>
      <c r="L2000" s="26"/>
      <c r="M2000" s="26"/>
      <c r="N2000" s="22"/>
      <c r="O2000" s="21"/>
      <c r="P2000" s="22"/>
      <c r="Q2000" s="29" t="str">
        <f aca="false">IF(C2000="","",IF(O2000&lt;&gt;"",O2000,IFERROR(INDEX(Produk!$J$2:$J$100,MATCH(C2000,Produk!$A$2:$A$100,0)),"PRODUK?")))</f>
        <v/>
      </c>
      <c r="R2000" s="29" t="str">
        <f aca="false">IF(A2000="","",IF(COUNTIF(Anggota!$A$2:$A$2001,A2000)=0,"TIDAK ADA","OK"))</f>
        <v/>
      </c>
      <c r="S2000" s="29" t="str">
        <f aca="false">IF(H2000="","",IF(OR(J2000="",L2000=""),"-",IF(ABS(H2000-J2000*L2000)&gt;Info_Koperasi!$C$10,"SELISIH","OK")))</f>
        <v/>
      </c>
    </row>
    <row r="2001" customFormat="false" ht="15" hidden="false" customHeight="false" outlineLevel="0" collapsed="false">
      <c r="A2001" s="21"/>
      <c r="B2001" s="22"/>
      <c r="C2001" s="21"/>
      <c r="D2001" s="21"/>
      <c r="E2001" s="28"/>
      <c r="F2001" s="24"/>
      <c r="G2001" s="26"/>
      <c r="H2001" s="24"/>
      <c r="I2001" s="24"/>
      <c r="J2001" s="24"/>
      <c r="K2001" s="24"/>
      <c r="L2001" s="26"/>
      <c r="M2001" s="26"/>
      <c r="N2001" s="22"/>
      <c r="O2001" s="21"/>
      <c r="P2001" s="22"/>
      <c r="Q2001" s="29" t="str">
        <f aca="false">IF(C2001="","",IF(O2001&lt;&gt;"",O2001,IFERROR(INDEX(Produk!$J$2:$J$100,MATCH(C2001,Produk!$A$2:$A$100,0)),"PRODUK?")))</f>
        <v/>
      </c>
      <c r="R2001" s="29" t="str">
        <f aca="false">IF(A2001="","",IF(COUNTIF(Anggota!$A$2:$A$2001,A2001)=0,"TIDAK ADA","OK"))</f>
        <v/>
      </c>
      <c r="S2001" s="29" t="str">
        <f aca="false">IF(H2001="","",IF(OR(J2001="",L2001=""),"-",IF(ABS(H2001-J2001*L2001)&gt;Info_Koperasi!$C$10,"SELISIH","OK")))</f>
        <v/>
      </c>
    </row>
  </sheetData>
  <conditionalFormatting sqref="Q2:S2001">
    <cfRule type="cellIs" priority="2" operator="equal" aboveAverage="0" equalAverage="0" bottom="0" percent="0" rank="0" text="" dxfId="0">
      <formula>"GANDA"</formula>
    </cfRule>
    <cfRule type="cellIs" priority="3" operator="equal" aboveAverage="0" equalAverage="0" bottom="0" percent="0" rank="0" text="" dxfId="0">
      <formula>"TIDAK VALID"</formula>
    </cfRule>
    <cfRule type="cellIs" priority="4" operator="equal" aboveAverage="0" equalAverage="0" bottom="0" percent="0" rank="0" text="" dxfId="0">
      <formula>"TIDAK ADA"</formula>
    </cfRule>
    <cfRule type="cellIs" priority="5" operator="equal" aboveAverage="0" equalAverage="0" bottom="0" percent="0" rank="0" text="" dxfId="0">
      <formula>"PRODUK?"</formula>
    </cfRule>
    <cfRule type="cellIs" priority="6" operator="equal" aboveAverage="0" equalAverage="0" bottom="0" percent="0" rank="0" text="" dxfId="0">
      <formula>"SELISIH"</formula>
    </cfRule>
  </conditionalFormatting>
  <dataValidations count="3">
    <dataValidation allowBlank="true" error="Pilih dari daftar." errorStyle="stop" errorTitle="Nilai tidak valid" operator="between" showDropDown="false" showErrorMessage="true" showInputMessage="false" sqref="C2:C2001" type="list">
      <formula1>Produk!$A$2:$A$100</formula1>
      <formula2>0</formula2>
    </dataValidation>
    <dataValidation allowBlank="true" error="Pilih dari daftar." errorStyle="stop" errorTitle="Nilai tidak valid" operator="between" showDropDown="false" showErrorMessage="true" showInputMessage="false" sqref="N2:N2001" type="list">
      <formula1>Daftar!$J$2:$J$6</formula1>
      <formula2>0</formula2>
    </dataValidation>
    <dataValidation allowBlank="true" error="Pilih dari daftar." errorStyle="stop" errorTitle="Nilai tidak valid" operator="between" showDropDown="false" showErrorMessage="true" showInputMessage="false" sqref="O2:O2001" type="list">
      <formula1>Neraca!$A$2:$A$151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5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8"/>
    <col collapsed="false" customWidth="true" hidden="false" outlineLevel="0" max="3" min="3" style="0" width="46"/>
    <col collapsed="false" customWidth="true" hidden="false" outlineLevel="0" max="4" min="4" style="0" width="28"/>
    <col collapsed="false" customWidth="true" hidden="false" outlineLevel="0" max="5" min="5" style="0" width="24"/>
    <col collapsed="false" customWidth="true" hidden="false" outlineLevel="0" max="6" min="6" style="0" width="14"/>
  </cols>
  <sheetData>
    <row r="1" customFormat="false" ht="30" hidden="false" customHeight="true" outlineLevel="0" collapsed="false">
      <c r="A1" s="20" t="s">
        <v>44</v>
      </c>
      <c r="B1" s="20" t="s">
        <v>195</v>
      </c>
      <c r="C1" s="20" t="s">
        <v>198</v>
      </c>
      <c r="D1" s="23" t="s">
        <v>201</v>
      </c>
      <c r="E1" s="20" t="s">
        <v>204</v>
      </c>
      <c r="F1" s="20" t="s">
        <v>207</v>
      </c>
    </row>
    <row r="2" customFormat="false" ht="15" hidden="false" customHeight="false" outlineLevel="0" collapsed="false">
      <c r="A2" s="21"/>
      <c r="B2" s="24"/>
      <c r="C2" s="22"/>
      <c r="D2" s="22"/>
      <c r="E2" s="22"/>
      <c r="F2" s="28"/>
    </row>
    <row r="3" customFormat="false" ht="15" hidden="false" customHeight="false" outlineLevel="0" collapsed="false">
      <c r="A3" s="21"/>
      <c r="B3" s="24"/>
      <c r="C3" s="22"/>
      <c r="D3" s="22"/>
      <c r="E3" s="22"/>
      <c r="F3" s="28"/>
    </row>
    <row r="4" customFormat="false" ht="15" hidden="false" customHeight="false" outlineLevel="0" collapsed="false">
      <c r="A4" s="21"/>
      <c r="B4" s="24"/>
      <c r="C4" s="22"/>
      <c r="D4" s="22"/>
      <c r="E4" s="22"/>
      <c r="F4" s="28"/>
    </row>
    <row r="5" customFormat="false" ht="15" hidden="false" customHeight="false" outlineLevel="0" collapsed="false">
      <c r="A5" s="21"/>
      <c r="B5" s="24"/>
      <c r="C5" s="22"/>
      <c r="D5" s="22"/>
      <c r="E5" s="22"/>
      <c r="F5" s="28"/>
    </row>
    <row r="6" customFormat="false" ht="15" hidden="false" customHeight="false" outlineLevel="0" collapsed="false">
      <c r="A6" s="21"/>
      <c r="B6" s="24"/>
      <c r="C6" s="22"/>
      <c r="D6" s="22"/>
      <c r="E6" s="22"/>
      <c r="F6" s="28"/>
    </row>
    <row r="7" customFormat="false" ht="15" hidden="false" customHeight="false" outlineLevel="0" collapsed="false">
      <c r="A7" s="21"/>
      <c r="B7" s="24"/>
      <c r="C7" s="22"/>
      <c r="D7" s="22"/>
      <c r="E7" s="22"/>
      <c r="F7" s="28"/>
    </row>
    <row r="8" customFormat="false" ht="15" hidden="false" customHeight="false" outlineLevel="0" collapsed="false">
      <c r="A8" s="21"/>
      <c r="B8" s="24"/>
      <c r="C8" s="22"/>
      <c r="D8" s="22"/>
      <c r="E8" s="22"/>
      <c r="F8" s="28"/>
    </row>
    <row r="9" customFormat="false" ht="15" hidden="false" customHeight="false" outlineLevel="0" collapsed="false">
      <c r="A9" s="21"/>
      <c r="B9" s="24"/>
      <c r="C9" s="22"/>
      <c r="D9" s="22"/>
      <c r="E9" s="22"/>
      <c r="F9" s="28"/>
    </row>
    <row r="10" customFormat="false" ht="15" hidden="false" customHeight="false" outlineLevel="0" collapsed="false">
      <c r="A10" s="21"/>
      <c r="B10" s="24"/>
      <c r="C10" s="22"/>
      <c r="D10" s="22"/>
      <c r="E10" s="22"/>
      <c r="F10" s="28"/>
    </row>
    <row r="11" customFormat="false" ht="15" hidden="false" customHeight="false" outlineLevel="0" collapsed="false">
      <c r="A11" s="21"/>
      <c r="B11" s="24"/>
      <c r="C11" s="22"/>
      <c r="D11" s="22"/>
      <c r="E11" s="22"/>
      <c r="F11" s="28"/>
    </row>
    <row r="12" customFormat="false" ht="15" hidden="false" customHeight="false" outlineLevel="0" collapsed="false">
      <c r="A12" s="21"/>
      <c r="B12" s="24"/>
      <c r="C12" s="22"/>
      <c r="D12" s="22"/>
      <c r="E12" s="22"/>
      <c r="F12" s="28"/>
    </row>
    <row r="13" customFormat="false" ht="15" hidden="false" customHeight="false" outlineLevel="0" collapsed="false">
      <c r="A13" s="21"/>
      <c r="B13" s="24"/>
      <c r="C13" s="22"/>
      <c r="D13" s="22"/>
      <c r="E13" s="22"/>
      <c r="F13" s="28"/>
    </row>
    <row r="14" customFormat="false" ht="15" hidden="false" customHeight="false" outlineLevel="0" collapsed="false">
      <c r="A14" s="21"/>
      <c r="B14" s="24"/>
      <c r="C14" s="22"/>
      <c r="D14" s="22"/>
      <c r="E14" s="22"/>
      <c r="F14" s="28"/>
    </row>
    <row r="15" customFormat="false" ht="15" hidden="false" customHeight="false" outlineLevel="0" collapsed="false">
      <c r="A15" s="21"/>
      <c r="B15" s="24"/>
      <c r="C15" s="22"/>
      <c r="D15" s="22"/>
      <c r="E15" s="22"/>
      <c r="F15" s="28"/>
    </row>
    <row r="16" customFormat="false" ht="15" hidden="false" customHeight="false" outlineLevel="0" collapsed="false">
      <c r="A16" s="21"/>
      <c r="B16" s="24"/>
      <c r="C16" s="22"/>
      <c r="D16" s="22"/>
      <c r="E16" s="22"/>
      <c r="F16" s="28"/>
    </row>
    <row r="17" customFormat="false" ht="15" hidden="false" customHeight="false" outlineLevel="0" collapsed="false">
      <c r="A17" s="21"/>
      <c r="B17" s="24"/>
      <c r="C17" s="22"/>
      <c r="D17" s="22"/>
      <c r="E17" s="22"/>
      <c r="F17" s="28"/>
    </row>
    <row r="18" customFormat="false" ht="15" hidden="false" customHeight="false" outlineLevel="0" collapsed="false">
      <c r="A18" s="21"/>
      <c r="B18" s="24"/>
      <c r="C18" s="22"/>
      <c r="D18" s="22"/>
      <c r="E18" s="22"/>
      <c r="F18" s="28"/>
    </row>
    <row r="19" customFormat="false" ht="15" hidden="false" customHeight="false" outlineLevel="0" collapsed="false">
      <c r="A19" s="21"/>
      <c r="B19" s="24"/>
      <c r="C19" s="22"/>
      <c r="D19" s="22"/>
      <c r="E19" s="22"/>
      <c r="F19" s="28"/>
    </row>
    <row r="20" customFormat="false" ht="15" hidden="false" customHeight="false" outlineLevel="0" collapsed="false">
      <c r="A20" s="21"/>
      <c r="B20" s="24"/>
      <c r="C20" s="22"/>
      <c r="D20" s="22"/>
      <c r="E20" s="22"/>
      <c r="F20" s="28"/>
    </row>
    <row r="21" customFormat="false" ht="15" hidden="false" customHeight="false" outlineLevel="0" collapsed="false">
      <c r="A21" s="21"/>
      <c r="B21" s="24"/>
      <c r="C21" s="22"/>
      <c r="D21" s="22"/>
      <c r="E21" s="22"/>
      <c r="F21" s="28"/>
    </row>
    <row r="22" customFormat="false" ht="15" hidden="false" customHeight="false" outlineLevel="0" collapsed="false">
      <c r="A22" s="21"/>
      <c r="B22" s="24"/>
      <c r="C22" s="22"/>
      <c r="D22" s="22"/>
      <c r="E22" s="22"/>
      <c r="F22" s="28"/>
    </row>
    <row r="23" customFormat="false" ht="15" hidden="false" customHeight="false" outlineLevel="0" collapsed="false">
      <c r="A23" s="21"/>
      <c r="B23" s="24"/>
      <c r="C23" s="22"/>
      <c r="D23" s="22"/>
      <c r="E23" s="22"/>
      <c r="F23" s="28"/>
    </row>
    <row r="24" customFormat="false" ht="15" hidden="false" customHeight="false" outlineLevel="0" collapsed="false">
      <c r="A24" s="21"/>
      <c r="B24" s="24"/>
      <c r="C24" s="22"/>
      <c r="D24" s="22"/>
      <c r="E24" s="22"/>
      <c r="F24" s="28"/>
    </row>
    <row r="25" customFormat="false" ht="15" hidden="false" customHeight="false" outlineLevel="0" collapsed="false">
      <c r="A25" s="21"/>
      <c r="B25" s="24"/>
      <c r="C25" s="22"/>
      <c r="D25" s="22"/>
      <c r="E25" s="22"/>
      <c r="F25" s="28"/>
    </row>
    <row r="26" customFormat="false" ht="15" hidden="false" customHeight="false" outlineLevel="0" collapsed="false">
      <c r="A26" s="21"/>
      <c r="B26" s="24"/>
      <c r="C26" s="22"/>
      <c r="D26" s="22"/>
      <c r="E26" s="22"/>
      <c r="F26" s="28"/>
    </row>
    <row r="27" customFormat="false" ht="15" hidden="false" customHeight="false" outlineLevel="0" collapsed="false">
      <c r="A27" s="21"/>
      <c r="B27" s="24"/>
      <c r="C27" s="22"/>
      <c r="D27" s="22"/>
      <c r="E27" s="22"/>
      <c r="F27" s="28"/>
    </row>
    <row r="28" customFormat="false" ht="15" hidden="false" customHeight="false" outlineLevel="0" collapsed="false">
      <c r="A28" s="21"/>
      <c r="B28" s="24"/>
      <c r="C28" s="22"/>
      <c r="D28" s="22"/>
      <c r="E28" s="22"/>
      <c r="F28" s="28"/>
    </row>
    <row r="29" customFormat="false" ht="15" hidden="false" customHeight="false" outlineLevel="0" collapsed="false">
      <c r="A29" s="21"/>
      <c r="B29" s="24"/>
      <c r="C29" s="22"/>
      <c r="D29" s="22"/>
      <c r="E29" s="22"/>
      <c r="F29" s="28"/>
    </row>
    <row r="30" customFormat="false" ht="15" hidden="false" customHeight="false" outlineLevel="0" collapsed="false">
      <c r="A30" s="21"/>
      <c r="B30" s="24"/>
      <c r="C30" s="22"/>
      <c r="D30" s="22"/>
      <c r="E30" s="22"/>
      <c r="F30" s="28"/>
    </row>
    <row r="31" customFormat="false" ht="15" hidden="false" customHeight="false" outlineLevel="0" collapsed="false">
      <c r="A31" s="21"/>
      <c r="B31" s="24"/>
      <c r="C31" s="22"/>
      <c r="D31" s="22"/>
      <c r="E31" s="22"/>
      <c r="F31" s="28"/>
    </row>
    <row r="32" customFormat="false" ht="15" hidden="false" customHeight="false" outlineLevel="0" collapsed="false">
      <c r="A32" s="21"/>
      <c r="B32" s="24"/>
      <c r="C32" s="22"/>
      <c r="D32" s="22"/>
      <c r="E32" s="22"/>
      <c r="F32" s="28"/>
    </row>
    <row r="33" customFormat="false" ht="15" hidden="false" customHeight="false" outlineLevel="0" collapsed="false">
      <c r="A33" s="21"/>
      <c r="B33" s="24"/>
      <c r="C33" s="22"/>
      <c r="D33" s="22"/>
      <c r="E33" s="22"/>
      <c r="F33" s="28"/>
    </row>
    <row r="34" customFormat="false" ht="15" hidden="false" customHeight="false" outlineLevel="0" collapsed="false">
      <c r="A34" s="21"/>
      <c r="B34" s="24"/>
      <c r="C34" s="22"/>
      <c r="D34" s="22"/>
      <c r="E34" s="22"/>
      <c r="F34" s="28"/>
    </row>
    <row r="35" customFormat="false" ht="15" hidden="false" customHeight="false" outlineLevel="0" collapsed="false">
      <c r="A35" s="21"/>
      <c r="B35" s="24"/>
      <c r="C35" s="22"/>
      <c r="D35" s="22"/>
      <c r="E35" s="22"/>
      <c r="F35" s="28"/>
    </row>
    <row r="36" customFormat="false" ht="15" hidden="false" customHeight="false" outlineLevel="0" collapsed="false">
      <c r="A36" s="21"/>
      <c r="B36" s="24"/>
      <c r="C36" s="22"/>
      <c r="D36" s="22"/>
      <c r="E36" s="22"/>
      <c r="F36" s="28"/>
    </row>
    <row r="37" customFormat="false" ht="15" hidden="false" customHeight="false" outlineLevel="0" collapsed="false">
      <c r="A37" s="21"/>
      <c r="B37" s="24"/>
      <c r="C37" s="22"/>
      <c r="D37" s="22"/>
      <c r="E37" s="22"/>
      <c r="F37" s="28"/>
    </row>
    <row r="38" customFormat="false" ht="15" hidden="false" customHeight="false" outlineLevel="0" collapsed="false">
      <c r="A38" s="21"/>
      <c r="B38" s="24"/>
      <c r="C38" s="22"/>
      <c r="D38" s="22"/>
      <c r="E38" s="22"/>
      <c r="F38" s="28"/>
    </row>
    <row r="39" customFormat="false" ht="15" hidden="false" customHeight="false" outlineLevel="0" collapsed="false">
      <c r="A39" s="21"/>
      <c r="B39" s="24"/>
      <c r="C39" s="22"/>
      <c r="D39" s="22"/>
      <c r="E39" s="22"/>
      <c r="F39" s="28"/>
    </row>
    <row r="40" customFormat="false" ht="15" hidden="false" customHeight="false" outlineLevel="0" collapsed="false">
      <c r="A40" s="21"/>
      <c r="B40" s="24"/>
      <c r="C40" s="22"/>
      <c r="D40" s="22"/>
      <c r="E40" s="22"/>
      <c r="F40" s="28"/>
    </row>
    <row r="41" customFormat="false" ht="15" hidden="false" customHeight="false" outlineLevel="0" collapsed="false">
      <c r="A41" s="21"/>
      <c r="B41" s="24"/>
      <c r="C41" s="22"/>
      <c r="D41" s="22"/>
      <c r="E41" s="22"/>
      <c r="F41" s="28"/>
    </row>
    <row r="42" customFormat="false" ht="15" hidden="false" customHeight="false" outlineLevel="0" collapsed="false">
      <c r="A42" s="21"/>
      <c r="B42" s="24"/>
      <c r="C42" s="22"/>
      <c r="D42" s="22"/>
      <c r="E42" s="22"/>
      <c r="F42" s="28"/>
    </row>
    <row r="43" customFormat="false" ht="15" hidden="false" customHeight="false" outlineLevel="0" collapsed="false">
      <c r="A43" s="21"/>
      <c r="B43" s="24"/>
      <c r="C43" s="22"/>
      <c r="D43" s="22"/>
      <c r="E43" s="22"/>
      <c r="F43" s="28"/>
    </row>
    <row r="44" customFormat="false" ht="15" hidden="false" customHeight="false" outlineLevel="0" collapsed="false">
      <c r="A44" s="21"/>
      <c r="B44" s="24"/>
      <c r="C44" s="22"/>
      <c r="D44" s="22"/>
      <c r="E44" s="22"/>
      <c r="F44" s="28"/>
    </row>
    <row r="45" customFormat="false" ht="15" hidden="false" customHeight="false" outlineLevel="0" collapsed="false">
      <c r="A45" s="21"/>
      <c r="B45" s="24"/>
      <c r="C45" s="22"/>
      <c r="D45" s="22"/>
      <c r="E45" s="22"/>
      <c r="F45" s="28"/>
    </row>
    <row r="46" customFormat="false" ht="15" hidden="false" customHeight="false" outlineLevel="0" collapsed="false">
      <c r="A46" s="21"/>
      <c r="B46" s="24"/>
      <c r="C46" s="22"/>
      <c r="D46" s="22"/>
      <c r="E46" s="22"/>
      <c r="F46" s="28"/>
    </row>
    <row r="47" customFormat="false" ht="15" hidden="false" customHeight="false" outlineLevel="0" collapsed="false">
      <c r="A47" s="21"/>
      <c r="B47" s="24"/>
      <c r="C47" s="22"/>
      <c r="D47" s="22"/>
      <c r="E47" s="22"/>
      <c r="F47" s="28"/>
    </row>
    <row r="48" customFormat="false" ht="15" hidden="false" customHeight="false" outlineLevel="0" collapsed="false">
      <c r="A48" s="21"/>
      <c r="B48" s="24"/>
      <c r="C48" s="22"/>
      <c r="D48" s="22"/>
      <c r="E48" s="22"/>
      <c r="F48" s="28"/>
    </row>
    <row r="49" customFormat="false" ht="15" hidden="false" customHeight="false" outlineLevel="0" collapsed="false">
      <c r="A49" s="21"/>
      <c r="B49" s="24"/>
      <c r="C49" s="22"/>
      <c r="D49" s="22"/>
      <c r="E49" s="22"/>
      <c r="F49" s="28"/>
    </row>
    <row r="50" customFormat="false" ht="15" hidden="false" customHeight="false" outlineLevel="0" collapsed="false">
      <c r="A50" s="21"/>
      <c r="B50" s="24"/>
      <c r="C50" s="22"/>
      <c r="D50" s="22"/>
      <c r="E50" s="22"/>
      <c r="F50" s="28"/>
    </row>
    <row r="51" customFormat="false" ht="15" hidden="false" customHeight="false" outlineLevel="0" collapsed="false">
      <c r="A51" s="21"/>
      <c r="B51" s="24"/>
      <c r="C51" s="22"/>
      <c r="D51" s="22"/>
      <c r="E51" s="22"/>
      <c r="F51" s="28"/>
    </row>
    <row r="52" customFormat="false" ht="15" hidden="false" customHeight="false" outlineLevel="0" collapsed="false">
      <c r="A52" s="21"/>
      <c r="B52" s="24"/>
      <c r="C52" s="22"/>
      <c r="D52" s="22"/>
      <c r="E52" s="22"/>
      <c r="F52" s="28"/>
    </row>
    <row r="53" customFormat="false" ht="15" hidden="false" customHeight="false" outlineLevel="0" collapsed="false">
      <c r="A53" s="21"/>
      <c r="B53" s="24"/>
      <c r="C53" s="22"/>
      <c r="D53" s="22"/>
      <c r="E53" s="22"/>
      <c r="F53" s="28"/>
    </row>
    <row r="54" customFormat="false" ht="15" hidden="false" customHeight="false" outlineLevel="0" collapsed="false">
      <c r="A54" s="21"/>
      <c r="B54" s="24"/>
      <c r="C54" s="22"/>
      <c r="D54" s="22"/>
      <c r="E54" s="22"/>
      <c r="F54" s="28"/>
    </row>
    <row r="55" customFormat="false" ht="15" hidden="false" customHeight="false" outlineLevel="0" collapsed="false">
      <c r="A55" s="21"/>
      <c r="B55" s="24"/>
      <c r="C55" s="22"/>
      <c r="D55" s="22"/>
      <c r="E55" s="22"/>
      <c r="F55" s="28"/>
    </row>
    <row r="56" customFormat="false" ht="15" hidden="false" customHeight="false" outlineLevel="0" collapsed="false">
      <c r="A56" s="21"/>
      <c r="B56" s="24"/>
      <c r="C56" s="22"/>
      <c r="D56" s="22"/>
      <c r="E56" s="22"/>
      <c r="F56" s="28"/>
    </row>
    <row r="57" customFormat="false" ht="15" hidden="false" customHeight="false" outlineLevel="0" collapsed="false">
      <c r="A57" s="21"/>
      <c r="B57" s="24"/>
      <c r="C57" s="22"/>
      <c r="D57" s="22"/>
      <c r="E57" s="22"/>
      <c r="F57" s="28"/>
    </row>
    <row r="58" customFormat="false" ht="15" hidden="false" customHeight="false" outlineLevel="0" collapsed="false">
      <c r="A58" s="21"/>
      <c r="B58" s="24"/>
      <c r="C58" s="22"/>
      <c r="D58" s="22"/>
      <c r="E58" s="22"/>
      <c r="F58" s="28"/>
    </row>
    <row r="59" customFormat="false" ht="15" hidden="false" customHeight="false" outlineLevel="0" collapsed="false">
      <c r="A59" s="21"/>
      <c r="B59" s="24"/>
      <c r="C59" s="22"/>
      <c r="D59" s="22"/>
      <c r="E59" s="22"/>
      <c r="F59" s="28"/>
    </row>
    <row r="60" customFormat="false" ht="15" hidden="false" customHeight="false" outlineLevel="0" collapsed="false">
      <c r="A60" s="21"/>
      <c r="B60" s="24"/>
      <c r="C60" s="22"/>
      <c r="D60" s="22"/>
      <c r="E60" s="22"/>
      <c r="F60" s="28"/>
    </row>
    <row r="61" customFormat="false" ht="15" hidden="false" customHeight="false" outlineLevel="0" collapsed="false">
      <c r="A61" s="21"/>
      <c r="B61" s="24"/>
      <c r="C61" s="22"/>
      <c r="D61" s="22"/>
      <c r="E61" s="22"/>
      <c r="F61" s="28"/>
    </row>
    <row r="62" customFormat="false" ht="15" hidden="false" customHeight="false" outlineLevel="0" collapsed="false">
      <c r="A62" s="21"/>
      <c r="B62" s="24"/>
      <c r="C62" s="22"/>
      <c r="D62" s="22"/>
      <c r="E62" s="22"/>
      <c r="F62" s="28"/>
    </row>
    <row r="63" customFormat="false" ht="15" hidden="false" customHeight="false" outlineLevel="0" collapsed="false">
      <c r="A63" s="21"/>
      <c r="B63" s="24"/>
      <c r="C63" s="22"/>
      <c r="D63" s="22"/>
      <c r="E63" s="22"/>
      <c r="F63" s="28"/>
    </row>
    <row r="64" customFormat="false" ht="15" hidden="false" customHeight="false" outlineLevel="0" collapsed="false">
      <c r="A64" s="21"/>
      <c r="B64" s="24"/>
      <c r="C64" s="22"/>
      <c r="D64" s="22"/>
      <c r="E64" s="22"/>
      <c r="F64" s="28"/>
    </row>
    <row r="65" customFormat="false" ht="15" hidden="false" customHeight="false" outlineLevel="0" collapsed="false">
      <c r="A65" s="21"/>
      <c r="B65" s="24"/>
      <c r="C65" s="22"/>
      <c r="D65" s="22"/>
      <c r="E65" s="22"/>
      <c r="F65" s="28"/>
    </row>
    <row r="66" customFormat="false" ht="15" hidden="false" customHeight="false" outlineLevel="0" collapsed="false">
      <c r="A66" s="21"/>
      <c r="B66" s="24"/>
      <c r="C66" s="22"/>
      <c r="D66" s="22"/>
      <c r="E66" s="22"/>
      <c r="F66" s="28"/>
    </row>
    <row r="67" customFormat="false" ht="15" hidden="false" customHeight="false" outlineLevel="0" collapsed="false">
      <c r="A67" s="21"/>
      <c r="B67" s="24"/>
      <c r="C67" s="22"/>
      <c r="D67" s="22"/>
      <c r="E67" s="22"/>
      <c r="F67" s="28"/>
    </row>
    <row r="68" customFormat="false" ht="15" hidden="false" customHeight="false" outlineLevel="0" collapsed="false">
      <c r="A68" s="21"/>
      <c r="B68" s="24"/>
      <c r="C68" s="22"/>
      <c r="D68" s="22"/>
      <c r="E68" s="22"/>
      <c r="F68" s="28"/>
    </row>
    <row r="69" customFormat="false" ht="15" hidden="false" customHeight="false" outlineLevel="0" collapsed="false">
      <c r="A69" s="21"/>
      <c r="B69" s="24"/>
      <c r="C69" s="22"/>
      <c r="D69" s="22"/>
      <c r="E69" s="22"/>
      <c r="F69" s="28"/>
    </row>
    <row r="70" customFormat="false" ht="15" hidden="false" customHeight="false" outlineLevel="0" collapsed="false">
      <c r="A70" s="21"/>
      <c r="B70" s="24"/>
      <c r="C70" s="22"/>
      <c r="D70" s="22"/>
      <c r="E70" s="22"/>
      <c r="F70" s="28"/>
    </row>
    <row r="71" customFormat="false" ht="15" hidden="false" customHeight="false" outlineLevel="0" collapsed="false">
      <c r="A71" s="21"/>
      <c r="B71" s="24"/>
      <c r="C71" s="22"/>
      <c r="D71" s="22"/>
      <c r="E71" s="22"/>
      <c r="F71" s="28"/>
    </row>
    <row r="72" customFormat="false" ht="15" hidden="false" customHeight="false" outlineLevel="0" collapsed="false">
      <c r="A72" s="21"/>
      <c r="B72" s="24"/>
      <c r="C72" s="22"/>
      <c r="D72" s="22"/>
      <c r="E72" s="22"/>
      <c r="F72" s="28"/>
    </row>
    <row r="73" customFormat="false" ht="15" hidden="false" customHeight="false" outlineLevel="0" collapsed="false">
      <c r="A73" s="21"/>
      <c r="B73" s="24"/>
      <c r="C73" s="22"/>
      <c r="D73" s="22"/>
      <c r="E73" s="22"/>
      <c r="F73" s="28"/>
    </row>
    <row r="74" customFormat="false" ht="15" hidden="false" customHeight="false" outlineLevel="0" collapsed="false">
      <c r="A74" s="21"/>
      <c r="B74" s="24"/>
      <c r="C74" s="22"/>
      <c r="D74" s="22"/>
      <c r="E74" s="22"/>
      <c r="F74" s="28"/>
    </row>
    <row r="75" customFormat="false" ht="15" hidden="false" customHeight="false" outlineLevel="0" collapsed="false">
      <c r="A75" s="21"/>
      <c r="B75" s="24"/>
      <c r="C75" s="22"/>
      <c r="D75" s="22"/>
      <c r="E75" s="22"/>
      <c r="F75" s="28"/>
    </row>
    <row r="76" customFormat="false" ht="15" hidden="false" customHeight="false" outlineLevel="0" collapsed="false">
      <c r="A76" s="21"/>
      <c r="B76" s="24"/>
      <c r="C76" s="22"/>
      <c r="D76" s="22"/>
      <c r="E76" s="22"/>
      <c r="F76" s="28"/>
    </row>
    <row r="77" customFormat="false" ht="15" hidden="false" customHeight="false" outlineLevel="0" collapsed="false">
      <c r="A77" s="21"/>
      <c r="B77" s="24"/>
      <c r="C77" s="22"/>
      <c r="D77" s="22"/>
      <c r="E77" s="22"/>
      <c r="F77" s="28"/>
    </row>
    <row r="78" customFormat="false" ht="15" hidden="false" customHeight="false" outlineLevel="0" collapsed="false">
      <c r="A78" s="21"/>
      <c r="B78" s="24"/>
      <c r="C78" s="22"/>
      <c r="D78" s="22"/>
      <c r="E78" s="22"/>
      <c r="F78" s="28"/>
    </row>
    <row r="79" customFormat="false" ht="15" hidden="false" customHeight="false" outlineLevel="0" collapsed="false">
      <c r="A79" s="21"/>
      <c r="B79" s="24"/>
      <c r="C79" s="22"/>
      <c r="D79" s="22"/>
      <c r="E79" s="22"/>
      <c r="F79" s="28"/>
    </row>
    <row r="80" customFormat="false" ht="15" hidden="false" customHeight="false" outlineLevel="0" collapsed="false">
      <c r="A80" s="21"/>
      <c r="B80" s="24"/>
      <c r="C80" s="22"/>
      <c r="D80" s="22"/>
      <c r="E80" s="22"/>
      <c r="F80" s="28"/>
    </row>
    <row r="81" customFormat="false" ht="15" hidden="false" customHeight="false" outlineLevel="0" collapsed="false">
      <c r="A81" s="21"/>
      <c r="B81" s="24"/>
      <c r="C81" s="22"/>
      <c r="D81" s="22"/>
      <c r="E81" s="22"/>
      <c r="F81" s="28"/>
    </row>
    <row r="82" customFormat="false" ht="15" hidden="false" customHeight="false" outlineLevel="0" collapsed="false">
      <c r="A82" s="21"/>
      <c r="B82" s="24"/>
      <c r="C82" s="22"/>
      <c r="D82" s="22"/>
      <c r="E82" s="22"/>
      <c r="F82" s="28"/>
    </row>
    <row r="83" customFormat="false" ht="15" hidden="false" customHeight="false" outlineLevel="0" collapsed="false">
      <c r="A83" s="21"/>
      <c r="B83" s="24"/>
      <c r="C83" s="22"/>
      <c r="D83" s="22"/>
      <c r="E83" s="22"/>
      <c r="F83" s="28"/>
    </row>
    <row r="84" customFormat="false" ht="15" hidden="false" customHeight="false" outlineLevel="0" collapsed="false">
      <c r="A84" s="21"/>
      <c r="B84" s="24"/>
      <c r="C84" s="22"/>
      <c r="D84" s="22"/>
      <c r="E84" s="22"/>
      <c r="F84" s="28"/>
    </row>
    <row r="85" customFormat="false" ht="15" hidden="false" customHeight="false" outlineLevel="0" collapsed="false">
      <c r="A85" s="21"/>
      <c r="B85" s="24"/>
      <c r="C85" s="22"/>
      <c r="D85" s="22"/>
      <c r="E85" s="22"/>
      <c r="F85" s="28"/>
    </row>
    <row r="86" customFormat="false" ht="15" hidden="false" customHeight="false" outlineLevel="0" collapsed="false">
      <c r="A86" s="21"/>
      <c r="B86" s="24"/>
      <c r="C86" s="22"/>
      <c r="D86" s="22"/>
      <c r="E86" s="22"/>
      <c r="F86" s="28"/>
    </row>
    <row r="87" customFormat="false" ht="15" hidden="false" customHeight="false" outlineLevel="0" collapsed="false">
      <c r="A87" s="21"/>
      <c r="B87" s="24"/>
      <c r="C87" s="22"/>
      <c r="D87" s="22"/>
      <c r="E87" s="22"/>
      <c r="F87" s="28"/>
    </row>
    <row r="88" customFormat="false" ht="15" hidden="false" customHeight="false" outlineLevel="0" collapsed="false">
      <c r="A88" s="21"/>
      <c r="B88" s="24"/>
      <c r="C88" s="22"/>
      <c r="D88" s="22"/>
      <c r="E88" s="22"/>
      <c r="F88" s="28"/>
    </row>
    <row r="89" customFormat="false" ht="15" hidden="false" customHeight="false" outlineLevel="0" collapsed="false">
      <c r="A89" s="21"/>
      <c r="B89" s="24"/>
      <c r="C89" s="22"/>
      <c r="D89" s="22"/>
      <c r="E89" s="22"/>
      <c r="F89" s="28"/>
    </row>
    <row r="90" customFormat="false" ht="15" hidden="false" customHeight="false" outlineLevel="0" collapsed="false">
      <c r="A90" s="21"/>
      <c r="B90" s="24"/>
      <c r="C90" s="22"/>
      <c r="D90" s="22"/>
      <c r="E90" s="22"/>
      <c r="F90" s="28"/>
    </row>
    <row r="91" customFormat="false" ht="15" hidden="false" customHeight="false" outlineLevel="0" collapsed="false">
      <c r="A91" s="21"/>
      <c r="B91" s="24"/>
      <c r="C91" s="22"/>
      <c r="D91" s="22"/>
      <c r="E91" s="22"/>
      <c r="F91" s="28"/>
    </row>
    <row r="92" customFormat="false" ht="15" hidden="false" customHeight="false" outlineLevel="0" collapsed="false">
      <c r="A92" s="21"/>
      <c r="B92" s="24"/>
      <c r="C92" s="22"/>
      <c r="D92" s="22"/>
      <c r="E92" s="22"/>
      <c r="F92" s="28"/>
    </row>
    <row r="93" customFormat="false" ht="15" hidden="false" customHeight="false" outlineLevel="0" collapsed="false">
      <c r="A93" s="21"/>
      <c r="B93" s="24"/>
      <c r="C93" s="22"/>
      <c r="D93" s="22"/>
      <c r="E93" s="22"/>
      <c r="F93" s="28"/>
    </row>
    <row r="94" customFormat="false" ht="15" hidden="false" customHeight="false" outlineLevel="0" collapsed="false">
      <c r="A94" s="21"/>
      <c r="B94" s="24"/>
      <c r="C94" s="22"/>
      <c r="D94" s="22"/>
      <c r="E94" s="22"/>
      <c r="F94" s="28"/>
    </row>
    <row r="95" customFormat="false" ht="15" hidden="false" customHeight="false" outlineLevel="0" collapsed="false">
      <c r="A95" s="21"/>
      <c r="B95" s="24"/>
      <c r="C95" s="22"/>
      <c r="D95" s="22"/>
      <c r="E95" s="22"/>
      <c r="F95" s="28"/>
    </row>
    <row r="96" customFormat="false" ht="15" hidden="false" customHeight="false" outlineLevel="0" collapsed="false">
      <c r="A96" s="21"/>
      <c r="B96" s="24"/>
      <c r="C96" s="22"/>
      <c r="D96" s="22"/>
      <c r="E96" s="22"/>
      <c r="F96" s="28"/>
    </row>
    <row r="97" customFormat="false" ht="15" hidden="false" customHeight="false" outlineLevel="0" collapsed="false">
      <c r="A97" s="21"/>
      <c r="B97" s="24"/>
      <c r="C97" s="22"/>
      <c r="D97" s="22"/>
      <c r="E97" s="22"/>
      <c r="F97" s="28"/>
    </row>
    <row r="98" customFormat="false" ht="15" hidden="false" customHeight="false" outlineLevel="0" collapsed="false">
      <c r="A98" s="21"/>
      <c r="B98" s="24"/>
      <c r="C98" s="22"/>
      <c r="D98" s="22"/>
      <c r="E98" s="22"/>
      <c r="F98" s="28"/>
    </row>
    <row r="99" customFormat="false" ht="15" hidden="false" customHeight="false" outlineLevel="0" collapsed="false">
      <c r="A99" s="21"/>
      <c r="B99" s="24"/>
      <c r="C99" s="22"/>
      <c r="D99" s="22"/>
      <c r="E99" s="22"/>
      <c r="F99" s="28"/>
    </row>
    <row r="100" customFormat="false" ht="15" hidden="false" customHeight="false" outlineLevel="0" collapsed="false">
      <c r="A100" s="21"/>
      <c r="B100" s="24"/>
      <c r="C100" s="22"/>
      <c r="D100" s="22"/>
      <c r="E100" s="22"/>
      <c r="F100" s="28"/>
    </row>
    <row r="101" customFormat="false" ht="15" hidden="false" customHeight="false" outlineLevel="0" collapsed="false">
      <c r="A101" s="21"/>
      <c r="B101" s="24"/>
      <c r="C101" s="22"/>
      <c r="D101" s="22"/>
      <c r="E101" s="22"/>
      <c r="F101" s="28"/>
    </row>
    <row r="102" customFormat="false" ht="15" hidden="false" customHeight="false" outlineLevel="0" collapsed="false">
      <c r="A102" s="21"/>
      <c r="B102" s="24"/>
      <c r="C102" s="22"/>
      <c r="D102" s="22"/>
      <c r="E102" s="22"/>
      <c r="F102" s="28"/>
    </row>
    <row r="103" customFormat="false" ht="15" hidden="false" customHeight="false" outlineLevel="0" collapsed="false">
      <c r="A103" s="21"/>
      <c r="B103" s="24"/>
      <c r="C103" s="22"/>
      <c r="D103" s="22"/>
      <c r="E103" s="22"/>
      <c r="F103" s="28"/>
    </row>
    <row r="104" customFormat="false" ht="15" hidden="false" customHeight="false" outlineLevel="0" collapsed="false">
      <c r="A104" s="21"/>
      <c r="B104" s="24"/>
      <c r="C104" s="22"/>
      <c r="D104" s="22"/>
      <c r="E104" s="22"/>
      <c r="F104" s="28"/>
    </row>
    <row r="105" customFormat="false" ht="15" hidden="false" customHeight="false" outlineLevel="0" collapsed="false">
      <c r="A105" s="21"/>
      <c r="B105" s="24"/>
      <c r="C105" s="22"/>
      <c r="D105" s="22"/>
      <c r="E105" s="22"/>
      <c r="F105" s="28"/>
    </row>
    <row r="106" customFormat="false" ht="15" hidden="false" customHeight="false" outlineLevel="0" collapsed="false">
      <c r="A106" s="21"/>
      <c r="B106" s="24"/>
      <c r="C106" s="22"/>
      <c r="D106" s="22"/>
      <c r="E106" s="22"/>
      <c r="F106" s="28"/>
    </row>
    <row r="107" customFormat="false" ht="15" hidden="false" customHeight="false" outlineLevel="0" collapsed="false">
      <c r="A107" s="21"/>
      <c r="B107" s="24"/>
      <c r="C107" s="22"/>
      <c r="D107" s="22"/>
      <c r="E107" s="22"/>
      <c r="F107" s="28"/>
    </row>
    <row r="108" customFormat="false" ht="15" hidden="false" customHeight="false" outlineLevel="0" collapsed="false">
      <c r="A108" s="21"/>
      <c r="B108" s="24"/>
      <c r="C108" s="22"/>
      <c r="D108" s="22"/>
      <c r="E108" s="22"/>
      <c r="F108" s="28"/>
    </row>
    <row r="109" customFormat="false" ht="15" hidden="false" customHeight="false" outlineLevel="0" collapsed="false">
      <c r="A109" s="21"/>
      <c r="B109" s="24"/>
      <c r="C109" s="22"/>
      <c r="D109" s="22"/>
      <c r="E109" s="22"/>
      <c r="F109" s="28"/>
    </row>
    <row r="110" customFormat="false" ht="15" hidden="false" customHeight="false" outlineLevel="0" collapsed="false">
      <c r="A110" s="21"/>
      <c r="B110" s="24"/>
      <c r="C110" s="22"/>
      <c r="D110" s="22"/>
      <c r="E110" s="22"/>
      <c r="F110" s="28"/>
    </row>
    <row r="111" customFormat="false" ht="15" hidden="false" customHeight="false" outlineLevel="0" collapsed="false">
      <c r="A111" s="21"/>
      <c r="B111" s="24"/>
      <c r="C111" s="22"/>
      <c r="D111" s="22"/>
      <c r="E111" s="22"/>
      <c r="F111" s="28"/>
    </row>
    <row r="112" customFormat="false" ht="15" hidden="false" customHeight="false" outlineLevel="0" collapsed="false">
      <c r="A112" s="21"/>
      <c r="B112" s="24"/>
      <c r="C112" s="22"/>
      <c r="D112" s="22"/>
      <c r="E112" s="22"/>
      <c r="F112" s="28"/>
    </row>
    <row r="113" customFormat="false" ht="15" hidden="false" customHeight="false" outlineLevel="0" collapsed="false">
      <c r="A113" s="21"/>
      <c r="B113" s="24"/>
      <c r="C113" s="22"/>
      <c r="D113" s="22"/>
      <c r="E113" s="22"/>
      <c r="F113" s="28"/>
    </row>
    <row r="114" customFormat="false" ht="15" hidden="false" customHeight="false" outlineLevel="0" collapsed="false">
      <c r="A114" s="21"/>
      <c r="B114" s="24"/>
      <c r="C114" s="22"/>
      <c r="D114" s="22"/>
      <c r="E114" s="22"/>
      <c r="F114" s="28"/>
    </row>
    <row r="115" customFormat="false" ht="15" hidden="false" customHeight="false" outlineLevel="0" collapsed="false">
      <c r="A115" s="21"/>
      <c r="B115" s="24"/>
      <c r="C115" s="22"/>
      <c r="D115" s="22"/>
      <c r="E115" s="22"/>
      <c r="F115" s="28"/>
    </row>
    <row r="116" customFormat="false" ht="15" hidden="false" customHeight="false" outlineLevel="0" collapsed="false">
      <c r="A116" s="21"/>
      <c r="B116" s="24"/>
      <c r="C116" s="22"/>
      <c r="D116" s="22"/>
      <c r="E116" s="22"/>
      <c r="F116" s="28"/>
    </row>
    <row r="117" customFormat="false" ht="15" hidden="false" customHeight="false" outlineLevel="0" collapsed="false">
      <c r="A117" s="21"/>
      <c r="B117" s="24"/>
      <c r="C117" s="22"/>
      <c r="D117" s="22"/>
      <c r="E117" s="22"/>
      <c r="F117" s="28"/>
    </row>
    <row r="118" customFormat="false" ht="15" hidden="false" customHeight="false" outlineLevel="0" collapsed="false">
      <c r="A118" s="21"/>
      <c r="B118" s="24"/>
      <c r="C118" s="22"/>
      <c r="D118" s="22"/>
      <c r="E118" s="22"/>
      <c r="F118" s="28"/>
    </row>
    <row r="119" customFormat="false" ht="15" hidden="false" customHeight="false" outlineLevel="0" collapsed="false">
      <c r="A119" s="21"/>
      <c r="B119" s="24"/>
      <c r="C119" s="22"/>
      <c r="D119" s="22"/>
      <c r="E119" s="22"/>
      <c r="F119" s="28"/>
    </row>
    <row r="120" customFormat="false" ht="15" hidden="false" customHeight="false" outlineLevel="0" collapsed="false">
      <c r="A120" s="21"/>
      <c r="B120" s="24"/>
      <c r="C120" s="22"/>
      <c r="D120" s="22"/>
      <c r="E120" s="22"/>
      <c r="F120" s="28"/>
    </row>
    <row r="121" customFormat="false" ht="15" hidden="false" customHeight="false" outlineLevel="0" collapsed="false">
      <c r="A121" s="21"/>
      <c r="B121" s="24"/>
      <c r="C121" s="22"/>
      <c r="D121" s="22"/>
      <c r="E121" s="22"/>
      <c r="F121" s="28"/>
    </row>
    <row r="122" customFormat="false" ht="15" hidden="false" customHeight="false" outlineLevel="0" collapsed="false">
      <c r="A122" s="21"/>
      <c r="B122" s="24"/>
      <c r="C122" s="22"/>
      <c r="D122" s="22"/>
      <c r="E122" s="22"/>
      <c r="F122" s="28"/>
    </row>
    <row r="123" customFormat="false" ht="15" hidden="false" customHeight="false" outlineLevel="0" collapsed="false">
      <c r="A123" s="21"/>
      <c r="B123" s="24"/>
      <c r="C123" s="22"/>
      <c r="D123" s="22"/>
      <c r="E123" s="22"/>
      <c r="F123" s="28"/>
    </row>
    <row r="124" customFormat="false" ht="15" hidden="false" customHeight="false" outlineLevel="0" collapsed="false">
      <c r="A124" s="21"/>
      <c r="B124" s="24"/>
      <c r="C124" s="22"/>
      <c r="D124" s="22"/>
      <c r="E124" s="22"/>
      <c r="F124" s="28"/>
    </row>
    <row r="125" customFormat="false" ht="15" hidden="false" customHeight="false" outlineLevel="0" collapsed="false">
      <c r="A125" s="21"/>
      <c r="B125" s="24"/>
      <c r="C125" s="22"/>
      <c r="D125" s="22"/>
      <c r="E125" s="22"/>
      <c r="F125" s="28"/>
    </row>
    <row r="126" customFormat="false" ht="15" hidden="false" customHeight="false" outlineLevel="0" collapsed="false">
      <c r="A126" s="21"/>
      <c r="B126" s="24"/>
      <c r="C126" s="22"/>
      <c r="D126" s="22"/>
      <c r="E126" s="22"/>
      <c r="F126" s="28"/>
    </row>
    <row r="127" customFormat="false" ht="15" hidden="false" customHeight="false" outlineLevel="0" collapsed="false">
      <c r="A127" s="21"/>
      <c r="B127" s="24"/>
      <c r="C127" s="22"/>
      <c r="D127" s="22"/>
      <c r="E127" s="22"/>
      <c r="F127" s="28"/>
    </row>
    <row r="128" customFormat="false" ht="15" hidden="false" customHeight="false" outlineLevel="0" collapsed="false">
      <c r="A128" s="21"/>
      <c r="B128" s="24"/>
      <c r="C128" s="22"/>
      <c r="D128" s="22"/>
      <c r="E128" s="22"/>
      <c r="F128" s="28"/>
    </row>
    <row r="129" customFormat="false" ht="15" hidden="false" customHeight="false" outlineLevel="0" collapsed="false">
      <c r="A129" s="21"/>
      <c r="B129" s="24"/>
      <c r="C129" s="22"/>
      <c r="D129" s="22"/>
      <c r="E129" s="22"/>
      <c r="F129" s="28"/>
    </row>
    <row r="130" customFormat="false" ht="15" hidden="false" customHeight="false" outlineLevel="0" collapsed="false">
      <c r="A130" s="21"/>
      <c r="B130" s="24"/>
      <c r="C130" s="22"/>
      <c r="D130" s="22"/>
      <c r="E130" s="22"/>
      <c r="F130" s="28"/>
    </row>
    <row r="131" customFormat="false" ht="15" hidden="false" customHeight="false" outlineLevel="0" collapsed="false">
      <c r="A131" s="21"/>
      <c r="B131" s="24"/>
      <c r="C131" s="22"/>
      <c r="D131" s="22"/>
      <c r="E131" s="22"/>
      <c r="F131" s="28"/>
    </row>
    <row r="132" customFormat="false" ht="15" hidden="false" customHeight="false" outlineLevel="0" collapsed="false">
      <c r="A132" s="21"/>
      <c r="B132" s="24"/>
      <c r="C132" s="22"/>
      <c r="D132" s="22"/>
      <c r="E132" s="22"/>
      <c r="F132" s="28"/>
    </row>
    <row r="133" customFormat="false" ht="15" hidden="false" customHeight="false" outlineLevel="0" collapsed="false">
      <c r="A133" s="21"/>
      <c r="B133" s="24"/>
      <c r="C133" s="22"/>
      <c r="D133" s="22"/>
      <c r="E133" s="22"/>
      <c r="F133" s="28"/>
    </row>
    <row r="134" customFormat="false" ht="15" hidden="false" customHeight="false" outlineLevel="0" collapsed="false">
      <c r="A134" s="21"/>
      <c r="B134" s="24"/>
      <c r="C134" s="22"/>
      <c r="D134" s="22"/>
      <c r="E134" s="22"/>
      <c r="F134" s="28"/>
    </row>
    <row r="135" customFormat="false" ht="15" hidden="false" customHeight="false" outlineLevel="0" collapsed="false">
      <c r="A135" s="21"/>
      <c r="B135" s="24"/>
      <c r="C135" s="22"/>
      <c r="D135" s="22"/>
      <c r="E135" s="22"/>
      <c r="F135" s="28"/>
    </row>
    <row r="136" customFormat="false" ht="15" hidden="false" customHeight="false" outlineLevel="0" collapsed="false">
      <c r="A136" s="21"/>
      <c r="B136" s="24"/>
      <c r="C136" s="22"/>
      <c r="D136" s="22"/>
      <c r="E136" s="22"/>
      <c r="F136" s="28"/>
    </row>
    <row r="137" customFormat="false" ht="15" hidden="false" customHeight="false" outlineLevel="0" collapsed="false">
      <c r="A137" s="21"/>
      <c r="B137" s="24"/>
      <c r="C137" s="22"/>
      <c r="D137" s="22"/>
      <c r="E137" s="22"/>
      <c r="F137" s="28"/>
    </row>
    <row r="138" customFormat="false" ht="15" hidden="false" customHeight="false" outlineLevel="0" collapsed="false">
      <c r="A138" s="21"/>
      <c r="B138" s="24"/>
      <c r="C138" s="22"/>
      <c r="D138" s="22"/>
      <c r="E138" s="22"/>
      <c r="F138" s="28"/>
    </row>
    <row r="139" customFormat="false" ht="15" hidden="false" customHeight="false" outlineLevel="0" collapsed="false">
      <c r="A139" s="21"/>
      <c r="B139" s="24"/>
      <c r="C139" s="22"/>
      <c r="D139" s="22"/>
      <c r="E139" s="22"/>
      <c r="F139" s="28"/>
    </row>
    <row r="140" customFormat="false" ht="15" hidden="false" customHeight="false" outlineLevel="0" collapsed="false">
      <c r="A140" s="21"/>
      <c r="B140" s="24"/>
      <c r="C140" s="22"/>
      <c r="D140" s="22"/>
      <c r="E140" s="22"/>
      <c r="F140" s="28"/>
    </row>
    <row r="141" customFormat="false" ht="15" hidden="false" customHeight="false" outlineLevel="0" collapsed="false">
      <c r="A141" s="21"/>
      <c r="B141" s="24"/>
      <c r="C141" s="22"/>
      <c r="D141" s="22"/>
      <c r="E141" s="22"/>
      <c r="F141" s="28"/>
    </row>
    <row r="142" customFormat="false" ht="15" hidden="false" customHeight="false" outlineLevel="0" collapsed="false">
      <c r="A142" s="21"/>
      <c r="B142" s="24"/>
      <c r="C142" s="22"/>
      <c r="D142" s="22"/>
      <c r="E142" s="22"/>
      <c r="F142" s="28"/>
    </row>
    <row r="143" customFormat="false" ht="15" hidden="false" customHeight="false" outlineLevel="0" collapsed="false">
      <c r="A143" s="21"/>
      <c r="B143" s="24"/>
      <c r="C143" s="22"/>
      <c r="D143" s="22"/>
      <c r="E143" s="22"/>
      <c r="F143" s="28"/>
    </row>
    <row r="144" customFormat="false" ht="15" hidden="false" customHeight="false" outlineLevel="0" collapsed="false">
      <c r="A144" s="21"/>
      <c r="B144" s="24"/>
      <c r="C144" s="22"/>
      <c r="D144" s="22"/>
      <c r="E144" s="22"/>
      <c r="F144" s="28"/>
    </row>
    <row r="145" customFormat="false" ht="15" hidden="false" customHeight="false" outlineLevel="0" collapsed="false">
      <c r="A145" s="21"/>
      <c r="B145" s="24"/>
      <c r="C145" s="22"/>
      <c r="D145" s="22"/>
      <c r="E145" s="22"/>
      <c r="F145" s="28"/>
    </row>
    <row r="146" customFormat="false" ht="15" hidden="false" customHeight="false" outlineLevel="0" collapsed="false">
      <c r="A146" s="21"/>
      <c r="B146" s="24"/>
      <c r="C146" s="22"/>
      <c r="D146" s="22"/>
      <c r="E146" s="22"/>
      <c r="F146" s="28"/>
    </row>
    <row r="147" customFormat="false" ht="15" hidden="false" customHeight="false" outlineLevel="0" collapsed="false">
      <c r="A147" s="21"/>
      <c r="B147" s="24"/>
      <c r="C147" s="22"/>
      <c r="D147" s="22"/>
      <c r="E147" s="22"/>
      <c r="F147" s="28"/>
    </row>
    <row r="148" customFormat="false" ht="15" hidden="false" customHeight="false" outlineLevel="0" collapsed="false">
      <c r="A148" s="21"/>
      <c r="B148" s="24"/>
      <c r="C148" s="22"/>
      <c r="D148" s="22"/>
      <c r="E148" s="22"/>
      <c r="F148" s="28"/>
    </row>
    <row r="149" customFormat="false" ht="15" hidden="false" customHeight="false" outlineLevel="0" collapsed="false">
      <c r="A149" s="21"/>
      <c r="B149" s="24"/>
      <c r="C149" s="22"/>
      <c r="D149" s="22"/>
      <c r="E149" s="22"/>
      <c r="F149" s="28"/>
    </row>
    <row r="150" customFormat="false" ht="15" hidden="false" customHeight="false" outlineLevel="0" collapsed="false">
      <c r="A150" s="21"/>
      <c r="B150" s="24"/>
      <c r="C150" s="22"/>
      <c r="D150" s="22"/>
      <c r="E150" s="22"/>
      <c r="F150" s="28"/>
    </row>
    <row r="151" customFormat="false" ht="15" hidden="false" customHeight="false" outlineLevel="0" collapsed="false">
      <c r="A151" s="21"/>
      <c r="B151" s="24"/>
      <c r="C151" s="22"/>
      <c r="D151" s="22"/>
      <c r="E151" s="22"/>
      <c r="F151" s="28"/>
    </row>
  </sheetData>
  <dataValidations count="1">
    <dataValidation allowBlank="true" error="Pilih dari daftar." errorStyle="stop" errorTitle="Nilai tidak valid" operator="between" showDropDown="false" showErrorMessage="true" showInputMessage="false" sqref="A2:A151" type="list">
      <formula1>Neraca!$A$2:$A$151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0"/>
    <col collapsed="false" customWidth="true" hidden="false" outlineLevel="0" max="3" min="3" style="0" width="14"/>
    <col collapsed="false" customWidth="true" hidden="false" outlineLevel="0" max="4" min="4" style="0" width="17"/>
    <col collapsed="false" customWidth="true" hidden="false" outlineLevel="0" max="5" min="5" style="0" width="18"/>
    <col collapsed="false" customWidth="true" hidden="false" outlineLevel="0" max="6" min="6" style="0" width="16"/>
    <col collapsed="false" customWidth="true" hidden="false" outlineLevel="0" max="7" min="7" style="0" width="12"/>
    <col collapsed="false" customWidth="true" hidden="false" outlineLevel="0" max="8" min="8" style="0" width="26"/>
  </cols>
  <sheetData>
    <row r="1" customFormat="false" ht="30" hidden="false" customHeight="true" outlineLevel="0" collapsed="false">
      <c r="A1" s="20" t="s">
        <v>210</v>
      </c>
      <c r="B1" s="23" t="s">
        <v>213</v>
      </c>
      <c r="C1" s="23" t="s">
        <v>215</v>
      </c>
      <c r="D1" s="20" t="s">
        <v>217</v>
      </c>
      <c r="E1" s="23" t="s">
        <v>219</v>
      </c>
      <c r="F1" s="27" t="s">
        <v>222</v>
      </c>
      <c r="G1" s="20" t="s">
        <v>44</v>
      </c>
      <c r="H1" s="23" t="s">
        <v>133</v>
      </c>
    </row>
    <row r="2" customFormat="false" ht="15" hidden="false" customHeight="false" outlineLevel="0" collapsed="false">
      <c r="A2" s="22"/>
      <c r="B2" s="26"/>
      <c r="C2" s="28"/>
      <c r="D2" s="24"/>
      <c r="E2" s="24"/>
      <c r="F2" s="30" t="str">
        <f aca="false">IF(D2="","",D2-N(E2))</f>
        <v/>
      </c>
      <c r="G2" s="21"/>
      <c r="H2" s="22"/>
    </row>
    <row r="3" customFormat="false" ht="15" hidden="false" customHeight="false" outlineLevel="0" collapsed="false">
      <c r="A3" s="22"/>
      <c r="B3" s="26"/>
      <c r="C3" s="28"/>
      <c r="D3" s="24"/>
      <c r="E3" s="24"/>
      <c r="F3" s="30" t="str">
        <f aca="false">IF(D3="","",D3-N(E3))</f>
        <v/>
      </c>
      <c r="G3" s="21"/>
      <c r="H3" s="22"/>
    </row>
    <row r="4" customFormat="false" ht="15" hidden="false" customHeight="false" outlineLevel="0" collapsed="false">
      <c r="A4" s="22"/>
      <c r="B4" s="26"/>
      <c r="C4" s="28"/>
      <c r="D4" s="24"/>
      <c r="E4" s="24"/>
      <c r="F4" s="30" t="str">
        <f aca="false">IF(D4="","",D4-N(E4))</f>
        <v/>
      </c>
      <c r="G4" s="21"/>
      <c r="H4" s="22"/>
    </row>
    <row r="5" customFormat="false" ht="15" hidden="false" customHeight="false" outlineLevel="0" collapsed="false">
      <c r="A5" s="22"/>
      <c r="B5" s="26"/>
      <c r="C5" s="28"/>
      <c r="D5" s="24"/>
      <c r="E5" s="24"/>
      <c r="F5" s="30" t="str">
        <f aca="false">IF(D5="","",D5-N(E5))</f>
        <v/>
      </c>
      <c r="G5" s="21"/>
      <c r="H5" s="22"/>
    </row>
    <row r="6" customFormat="false" ht="15" hidden="false" customHeight="false" outlineLevel="0" collapsed="false">
      <c r="A6" s="22"/>
      <c r="B6" s="26"/>
      <c r="C6" s="28"/>
      <c r="D6" s="24"/>
      <c r="E6" s="24"/>
      <c r="F6" s="30" t="str">
        <f aca="false">IF(D6="","",D6-N(E6))</f>
        <v/>
      </c>
      <c r="G6" s="21"/>
      <c r="H6" s="22"/>
    </row>
    <row r="7" customFormat="false" ht="15" hidden="false" customHeight="false" outlineLevel="0" collapsed="false">
      <c r="A7" s="22"/>
      <c r="B7" s="26"/>
      <c r="C7" s="28"/>
      <c r="D7" s="24"/>
      <c r="E7" s="24"/>
      <c r="F7" s="30" t="str">
        <f aca="false">IF(D7="","",D7-N(E7))</f>
        <v/>
      </c>
      <c r="G7" s="21"/>
      <c r="H7" s="22"/>
    </row>
    <row r="8" customFormat="false" ht="15" hidden="false" customHeight="false" outlineLevel="0" collapsed="false">
      <c r="A8" s="22"/>
      <c r="B8" s="26"/>
      <c r="C8" s="28"/>
      <c r="D8" s="24"/>
      <c r="E8" s="24"/>
      <c r="F8" s="30" t="str">
        <f aca="false">IF(D8="","",D8-N(E8))</f>
        <v/>
      </c>
      <c r="G8" s="21"/>
      <c r="H8" s="22"/>
    </row>
    <row r="9" customFormat="false" ht="15" hidden="false" customHeight="false" outlineLevel="0" collapsed="false">
      <c r="A9" s="22"/>
      <c r="B9" s="26"/>
      <c r="C9" s="28"/>
      <c r="D9" s="24"/>
      <c r="E9" s="24"/>
      <c r="F9" s="30" t="str">
        <f aca="false">IF(D9="","",D9-N(E9))</f>
        <v/>
      </c>
      <c r="G9" s="21"/>
      <c r="H9" s="22"/>
    </row>
    <row r="10" customFormat="false" ht="15" hidden="false" customHeight="false" outlineLevel="0" collapsed="false">
      <c r="A10" s="22"/>
      <c r="B10" s="26"/>
      <c r="C10" s="28"/>
      <c r="D10" s="24"/>
      <c r="E10" s="24"/>
      <c r="F10" s="30" t="str">
        <f aca="false">IF(D10="","",D10-N(E10))</f>
        <v/>
      </c>
      <c r="G10" s="21"/>
      <c r="H10" s="22"/>
    </row>
    <row r="11" customFormat="false" ht="15" hidden="false" customHeight="false" outlineLevel="0" collapsed="false">
      <c r="A11" s="22"/>
      <c r="B11" s="26"/>
      <c r="C11" s="28"/>
      <c r="D11" s="24"/>
      <c r="E11" s="24"/>
      <c r="F11" s="30" t="str">
        <f aca="false">IF(D11="","",D11-N(E11))</f>
        <v/>
      </c>
      <c r="G11" s="21"/>
      <c r="H11" s="22"/>
    </row>
    <row r="12" customFormat="false" ht="15" hidden="false" customHeight="false" outlineLevel="0" collapsed="false">
      <c r="A12" s="22"/>
      <c r="B12" s="26"/>
      <c r="C12" s="28"/>
      <c r="D12" s="24"/>
      <c r="E12" s="24"/>
      <c r="F12" s="30" t="str">
        <f aca="false">IF(D12="","",D12-N(E12))</f>
        <v/>
      </c>
      <c r="G12" s="21"/>
      <c r="H12" s="22"/>
    </row>
    <row r="13" customFormat="false" ht="15" hidden="false" customHeight="false" outlineLevel="0" collapsed="false">
      <c r="A13" s="22"/>
      <c r="B13" s="26"/>
      <c r="C13" s="28"/>
      <c r="D13" s="24"/>
      <c r="E13" s="24"/>
      <c r="F13" s="30" t="str">
        <f aca="false">IF(D13="","",D13-N(E13))</f>
        <v/>
      </c>
      <c r="G13" s="21"/>
      <c r="H13" s="22"/>
    </row>
    <row r="14" customFormat="false" ht="15" hidden="false" customHeight="false" outlineLevel="0" collapsed="false">
      <c r="A14" s="22"/>
      <c r="B14" s="26"/>
      <c r="C14" s="28"/>
      <c r="D14" s="24"/>
      <c r="E14" s="24"/>
      <c r="F14" s="30" t="str">
        <f aca="false">IF(D14="","",D14-N(E14))</f>
        <v/>
      </c>
      <c r="G14" s="21"/>
      <c r="H14" s="22"/>
    </row>
    <row r="15" customFormat="false" ht="15" hidden="false" customHeight="false" outlineLevel="0" collapsed="false">
      <c r="A15" s="22"/>
      <c r="B15" s="26"/>
      <c r="C15" s="28"/>
      <c r="D15" s="24"/>
      <c r="E15" s="24"/>
      <c r="F15" s="30" t="str">
        <f aca="false">IF(D15="","",D15-N(E15))</f>
        <v/>
      </c>
      <c r="G15" s="21"/>
      <c r="H15" s="22"/>
    </row>
    <row r="16" customFormat="false" ht="15" hidden="false" customHeight="false" outlineLevel="0" collapsed="false">
      <c r="A16" s="22"/>
      <c r="B16" s="26"/>
      <c r="C16" s="28"/>
      <c r="D16" s="24"/>
      <c r="E16" s="24"/>
      <c r="F16" s="30" t="str">
        <f aca="false">IF(D16="","",D16-N(E16))</f>
        <v/>
      </c>
      <c r="G16" s="21"/>
      <c r="H16" s="22"/>
    </row>
    <row r="17" customFormat="false" ht="15" hidden="false" customHeight="false" outlineLevel="0" collapsed="false">
      <c r="A17" s="22"/>
      <c r="B17" s="26"/>
      <c r="C17" s="28"/>
      <c r="D17" s="24"/>
      <c r="E17" s="24"/>
      <c r="F17" s="30" t="str">
        <f aca="false">IF(D17="","",D17-N(E17))</f>
        <v/>
      </c>
      <c r="G17" s="21"/>
      <c r="H17" s="22"/>
    </row>
    <row r="18" customFormat="false" ht="15" hidden="false" customHeight="false" outlineLevel="0" collapsed="false">
      <c r="A18" s="22"/>
      <c r="B18" s="26"/>
      <c r="C18" s="28"/>
      <c r="D18" s="24"/>
      <c r="E18" s="24"/>
      <c r="F18" s="30" t="str">
        <f aca="false">IF(D18="","",D18-N(E18))</f>
        <v/>
      </c>
      <c r="G18" s="21"/>
      <c r="H18" s="22"/>
    </row>
    <row r="19" customFormat="false" ht="15" hidden="false" customHeight="false" outlineLevel="0" collapsed="false">
      <c r="A19" s="22"/>
      <c r="B19" s="26"/>
      <c r="C19" s="28"/>
      <c r="D19" s="24"/>
      <c r="E19" s="24"/>
      <c r="F19" s="30" t="str">
        <f aca="false">IF(D19="","",D19-N(E19))</f>
        <v/>
      </c>
      <c r="G19" s="21"/>
      <c r="H19" s="22"/>
    </row>
    <row r="20" customFormat="false" ht="15" hidden="false" customHeight="false" outlineLevel="0" collapsed="false">
      <c r="A20" s="22"/>
      <c r="B20" s="26"/>
      <c r="C20" s="28"/>
      <c r="D20" s="24"/>
      <c r="E20" s="24"/>
      <c r="F20" s="30" t="str">
        <f aca="false">IF(D20="","",D20-N(E20))</f>
        <v/>
      </c>
      <c r="G20" s="21"/>
      <c r="H20" s="22"/>
    </row>
    <row r="21" customFormat="false" ht="15" hidden="false" customHeight="false" outlineLevel="0" collapsed="false">
      <c r="A21" s="22"/>
      <c r="B21" s="26"/>
      <c r="C21" s="28"/>
      <c r="D21" s="24"/>
      <c r="E21" s="24"/>
      <c r="F21" s="30" t="str">
        <f aca="false">IF(D21="","",D21-N(E21))</f>
        <v/>
      </c>
      <c r="G21" s="21"/>
      <c r="H21" s="22"/>
    </row>
    <row r="22" customFormat="false" ht="15" hidden="false" customHeight="false" outlineLevel="0" collapsed="false">
      <c r="A22" s="22"/>
      <c r="B22" s="26"/>
      <c r="C22" s="28"/>
      <c r="D22" s="24"/>
      <c r="E22" s="24"/>
      <c r="F22" s="30" t="str">
        <f aca="false">IF(D22="","",D22-N(E22))</f>
        <v/>
      </c>
      <c r="G22" s="21"/>
      <c r="H22" s="22"/>
    </row>
    <row r="23" customFormat="false" ht="15" hidden="false" customHeight="false" outlineLevel="0" collapsed="false">
      <c r="A23" s="22"/>
      <c r="B23" s="26"/>
      <c r="C23" s="28"/>
      <c r="D23" s="24"/>
      <c r="E23" s="24"/>
      <c r="F23" s="30" t="str">
        <f aca="false">IF(D23="","",D23-N(E23))</f>
        <v/>
      </c>
      <c r="G23" s="21"/>
      <c r="H23" s="22"/>
    </row>
    <row r="24" customFormat="false" ht="15" hidden="false" customHeight="false" outlineLevel="0" collapsed="false">
      <c r="A24" s="22"/>
      <c r="B24" s="26"/>
      <c r="C24" s="28"/>
      <c r="D24" s="24"/>
      <c r="E24" s="24"/>
      <c r="F24" s="30" t="str">
        <f aca="false">IF(D24="","",D24-N(E24))</f>
        <v/>
      </c>
      <c r="G24" s="21"/>
      <c r="H24" s="22"/>
    </row>
    <row r="25" customFormat="false" ht="15" hidden="false" customHeight="false" outlineLevel="0" collapsed="false">
      <c r="A25" s="22"/>
      <c r="B25" s="26"/>
      <c r="C25" s="28"/>
      <c r="D25" s="24"/>
      <c r="E25" s="24"/>
      <c r="F25" s="30" t="str">
        <f aca="false">IF(D25="","",D25-N(E25))</f>
        <v/>
      </c>
      <c r="G25" s="21"/>
      <c r="H25" s="22"/>
    </row>
    <row r="26" customFormat="false" ht="15" hidden="false" customHeight="false" outlineLevel="0" collapsed="false">
      <c r="A26" s="22"/>
      <c r="B26" s="26"/>
      <c r="C26" s="28"/>
      <c r="D26" s="24"/>
      <c r="E26" s="24"/>
      <c r="F26" s="30" t="str">
        <f aca="false">IF(D26="","",D26-N(E26))</f>
        <v/>
      </c>
      <c r="G26" s="21"/>
      <c r="H26" s="22"/>
    </row>
    <row r="27" customFormat="false" ht="15" hidden="false" customHeight="false" outlineLevel="0" collapsed="false">
      <c r="A27" s="22"/>
      <c r="B27" s="26"/>
      <c r="C27" s="28"/>
      <c r="D27" s="24"/>
      <c r="E27" s="24"/>
      <c r="F27" s="30" t="str">
        <f aca="false">IF(D27="","",D27-N(E27))</f>
        <v/>
      </c>
      <c r="G27" s="21"/>
      <c r="H27" s="22"/>
    </row>
    <row r="28" customFormat="false" ht="15" hidden="false" customHeight="false" outlineLevel="0" collapsed="false">
      <c r="A28" s="22"/>
      <c r="B28" s="26"/>
      <c r="C28" s="28"/>
      <c r="D28" s="24"/>
      <c r="E28" s="24"/>
      <c r="F28" s="30" t="str">
        <f aca="false">IF(D28="","",D28-N(E28))</f>
        <v/>
      </c>
      <c r="G28" s="21"/>
      <c r="H28" s="22"/>
    </row>
    <row r="29" customFormat="false" ht="15" hidden="false" customHeight="false" outlineLevel="0" collapsed="false">
      <c r="A29" s="22"/>
      <c r="B29" s="26"/>
      <c r="C29" s="28"/>
      <c r="D29" s="24"/>
      <c r="E29" s="24"/>
      <c r="F29" s="30" t="str">
        <f aca="false">IF(D29="","",D29-N(E29))</f>
        <v/>
      </c>
      <c r="G29" s="21"/>
      <c r="H29" s="22"/>
    </row>
    <row r="30" customFormat="false" ht="15" hidden="false" customHeight="false" outlineLevel="0" collapsed="false">
      <c r="A30" s="22"/>
      <c r="B30" s="26"/>
      <c r="C30" s="28"/>
      <c r="D30" s="24"/>
      <c r="E30" s="24"/>
      <c r="F30" s="30" t="str">
        <f aca="false">IF(D30="","",D30-N(E30))</f>
        <v/>
      </c>
      <c r="G30" s="21"/>
      <c r="H30" s="22"/>
    </row>
    <row r="31" customFormat="false" ht="15" hidden="false" customHeight="false" outlineLevel="0" collapsed="false">
      <c r="A31" s="22"/>
      <c r="B31" s="26"/>
      <c r="C31" s="28"/>
      <c r="D31" s="24"/>
      <c r="E31" s="24"/>
      <c r="F31" s="30" t="str">
        <f aca="false">IF(D31="","",D31-N(E31))</f>
        <v/>
      </c>
      <c r="G31" s="21"/>
      <c r="H31" s="22"/>
    </row>
    <row r="32" customFormat="false" ht="15" hidden="false" customHeight="false" outlineLevel="0" collapsed="false">
      <c r="A32" s="22"/>
      <c r="B32" s="26"/>
      <c r="C32" s="28"/>
      <c r="D32" s="24"/>
      <c r="E32" s="24"/>
      <c r="F32" s="30" t="str">
        <f aca="false">IF(D32="","",D32-N(E32))</f>
        <v/>
      </c>
      <c r="G32" s="21"/>
      <c r="H32" s="22"/>
    </row>
    <row r="33" customFormat="false" ht="15" hidden="false" customHeight="false" outlineLevel="0" collapsed="false">
      <c r="A33" s="22"/>
      <c r="B33" s="26"/>
      <c r="C33" s="28"/>
      <c r="D33" s="24"/>
      <c r="E33" s="24"/>
      <c r="F33" s="30" t="str">
        <f aca="false">IF(D33="","",D33-N(E33))</f>
        <v/>
      </c>
      <c r="G33" s="21"/>
      <c r="H33" s="22"/>
    </row>
    <row r="34" customFormat="false" ht="15" hidden="false" customHeight="false" outlineLevel="0" collapsed="false">
      <c r="A34" s="22"/>
      <c r="B34" s="26"/>
      <c r="C34" s="28"/>
      <c r="D34" s="24"/>
      <c r="E34" s="24"/>
      <c r="F34" s="30" t="str">
        <f aca="false">IF(D34="","",D34-N(E34))</f>
        <v/>
      </c>
      <c r="G34" s="21"/>
      <c r="H34" s="22"/>
    </row>
    <row r="35" customFormat="false" ht="15" hidden="false" customHeight="false" outlineLevel="0" collapsed="false">
      <c r="A35" s="22"/>
      <c r="B35" s="26"/>
      <c r="C35" s="28"/>
      <c r="D35" s="24"/>
      <c r="E35" s="24"/>
      <c r="F35" s="30" t="str">
        <f aca="false">IF(D35="","",D35-N(E35))</f>
        <v/>
      </c>
      <c r="G35" s="21"/>
      <c r="H35" s="22"/>
    </row>
    <row r="36" customFormat="false" ht="15" hidden="false" customHeight="false" outlineLevel="0" collapsed="false">
      <c r="A36" s="22"/>
      <c r="B36" s="26"/>
      <c r="C36" s="28"/>
      <c r="D36" s="24"/>
      <c r="E36" s="24"/>
      <c r="F36" s="30" t="str">
        <f aca="false">IF(D36="","",D36-N(E36))</f>
        <v/>
      </c>
      <c r="G36" s="21"/>
      <c r="H36" s="22"/>
    </row>
    <row r="37" customFormat="false" ht="15" hidden="false" customHeight="false" outlineLevel="0" collapsed="false">
      <c r="A37" s="22"/>
      <c r="B37" s="26"/>
      <c r="C37" s="28"/>
      <c r="D37" s="24"/>
      <c r="E37" s="24"/>
      <c r="F37" s="30" t="str">
        <f aca="false">IF(D37="","",D37-N(E37))</f>
        <v/>
      </c>
      <c r="G37" s="21"/>
      <c r="H37" s="22"/>
    </row>
    <row r="38" customFormat="false" ht="15" hidden="false" customHeight="false" outlineLevel="0" collapsed="false">
      <c r="A38" s="22"/>
      <c r="B38" s="26"/>
      <c r="C38" s="28"/>
      <c r="D38" s="24"/>
      <c r="E38" s="24"/>
      <c r="F38" s="30" t="str">
        <f aca="false">IF(D38="","",D38-N(E38))</f>
        <v/>
      </c>
      <c r="G38" s="21"/>
      <c r="H38" s="22"/>
    </row>
    <row r="39" customFormat="false" ht="15" hidden="false" customHeight="false" outlineLevel="0" collapsed="false">
      <c r="A39" s="22"/>
      <c r="B39" s="26"/>
      <c r="C39" s="28"/>
      <c r="D39" s="24"/>
      <c r="E39" s="24"/>
      <c r="F39" s="30" t="str">
        <f aca="false">IF(D39="","",D39-N(E39))</f>
        <v/>
      </c>
      <c r="G39" s="21"/>
      <c r="H39" s="22"/>
    </row>
    <row r="40" customFormat="false" ht="15" hidden="false" customHeight="false" outlineLevel="0" collapsed="false">
      <c r="A40" s="22"/>
      <c r="B40" s="26"/>
      <c r="C40" s="28"/>
      <c r="D40" s="24"/>
      <c r="E40" s="24"/>
      <c r="F40" s="30" t="str">
        <f aca="false">IF(D40="","",D40-N(E40))</f>
        <v/>
      </c>
      <c r="G40" s="21"/>
      <c r="H40" s="22"/>
    </row>
    <row r="41" customFormat="false" ht="15" hidden="false" customHeight="false" outlineLevel="0" collapsed="false">
      <c r="A41" s="22"/>
      <c r="B41" s="26"/>
      <c r="C41" s="28"/>
      <c r="D41" s="24"/>
      <c r="E41" s="24"/>
      <c r="F41" s="30" t="str">
        <f aca="false">IF(D41="","",D41-N(E41))</f>
        <v/>
      </c>
      <c r="G41" s="21"/>
      <c r="H41" s="22"/>
    </row>
    <row r="42" customFormat="false" ht="15" hidden="false" customHeight="false" outlineLevel="0" collapsed="false">
      <c r="A42" s="22"/>
      <c r="B42" s="26"/>
      <c r="C42" s="28"/>
      <c r="D42" s="24"/>
      <c r="E42" s="24"/>
      <c r="F42" s="30" t="str">
        <f aca="false">IF(D42="","",D42-N(E42))</f>
        <v/>
      </c>
      <c r="G42" s="21"/>
      <c r="H42" s="22"/>
    </row>
    <row r="43" customFormat="false" ht="15" hidden="false" customHeight="false" outlineLevel="0" collapsed="false">
      <c r="A43" s="22"/>
      <c r="B43" s="26"/>
      <c r="C43" s="28"/>
      <c r="D43" s="24"/>
      <c r="E43" s="24"/>
      <c r="F43" s="30" t="str">
        <f aca="false">IF(D43="","",D43-N(E43))</f>
        <v/>
      </c>
      <c r="G43" s="21"/>
      <c r="H43" s="22"/>
    </row>
    <row r="44" customFormat="false" ht="15" hidden="false" customHeight="false" outlineLevel="0" collapsed="false">
      <c r="A44" s="22"/>
      <c r="B44" s="26"/>
      <c r="C44" s="28"/>
      <c r="D44" s="24"/>
      <c r="E44" s="24"/>
      <c r="F44" s="30" t="str">
        <f aca="false">IF(D44="","",D44-N(E44))</f>
        <v/>
      </c>
      <c r="G44" s="21"/>
      <c r="H44" s="22"/>
    </row>
    <row r="45" customFormat="false" ht="15" hidden="false" customHeight="false" outlineLevel="0" collapsed="false">
      <c r="A45" s="22"/>
      <c r="B45" s="26"/>
      <c r="C45" s="28"/>
      <c r="D45" s="24"/>
      <c r="E45" s="24"/>
      <c r="F45" s="30" t="str">
        <f aca="false">IF(D45="","",D45-N(E45))</f>
        <v/>
      </c>
      <c r="G45" s="21"/>
      <c r="H45" s="22"/>
    </row>
    <row r="46" customFormat="false" ht="15" hidden="false" customHeight="false" outlineLevel="0" collapsed="false">
      <c r="A46" s="22"/>
      <c r="B46" s="26"/>
      <c r="C46" s="28"/>
      <c r="D46" s="24"/>
      <c r="E46" s="24"/>
      <c r="F46" s="30" t="str">
        <f aca="false">IF(D46="","",D46-N(E46))</f>
        <v/>
      </c>
      <c r="G46" s="21"/>
      <c r="H46" s="22"/>
    </row>
    <row r="47" customFormat="false" ht="15" hidden="false" customHeight="false" outlineLevel="0" collapsed="false">
      <c r="A47" s="22"/>
      <c r="B47" s="26"/>
      <c r="C47" s="28"/>
      <c r="D47" s="24"/>
      <c r="E47" s="24"/>
      <c r="F47" s="30" t="str">
        <f aca="false">IF(D47="","",D47-N(E47))</f>
        <v/>
      </c>
      <c r="G47" s="21"/>
      <c r="H47" s="22"/>
    </row>
    <row r="48" customFormat="false" ht="15" hidden="false" customHeight="false" outlineLevel="0" collapsed="false">
      <c r="A48" s="22"/>
      <c r="B48" s="26"/>
      <c r="C48" s="28"/>
      <c r="D48" s="24"/>
      <c r="E48" s="24"/>
      <c r="F48" s="30" t="str">
        <f aca="false">IF(D48="","",D48-N(E48))</f>
        <v/>
      </c>
      <c r="G48" s="21"/>
      <c r="H48" s="22"/>
    </row>
    <row r="49" customFormat="false" ht="15" hidden="false" customHeight="false" outlineLevel="0" collapsed="false">
      <c r="A49" s="22"/>
      <c r="B49" s="26"/>
      <c r="C49" s="28"/>
      <c r="D49" s="24"/>
      <c r="E49" s="24"/>
      <c r="F49" s="30" t="str">
        <f aca="false">IF(D49="","",D49-N(E49))</f>
        <v/>
      </c>
      <c r="G49" s="21"/>
      <c r="H49" s="22"/>
    </row>
    <row r="50" customFormat="false" ht="15" hidden="false" customHeight="false" outlineLevel="0" collapsed="false">
      <c r="A50" s="22"/>
      <c r="B50" s="26"/>
      <c r="C50" s="28"/>
      <c r="D50" s="24"/>
      <c r="E50" s="24"/>
      <c r="F50" s="30" t="str">
        <f aca="false">IF(D50="","",D50-N(E50))</f>
        <v/>
      </c>
      <c r="G50" s="21"/>
      <c r="H50" s="22"/>
    </row>
    <row r="51" customFormat="false" ht="15" hidden="false" customHeight="false" outlineLevel="0" collapsed="false">
      <c r="A51" s="22"/>
      <c r="B51" s="26"/>
      <c r="C51" s="28"/>
      <c r="D51" s="24"/>
      <c r="E51" s="24"/>
      <c r="F51" s="30" t="str">
        <f aca="false">IF(D51="","",D51-N(E51))</f>
        <v/>
      </c>
      <c r="G51" s="21"/>
      <c r="H51" s="22"/>
    </row>
    <row r="52" customFormat="false" ht="15" hidden="false" customHeight="false" outlineLevel="0" collapsed="false">
      <c r="A52" s="22"/>
      <c r="B52" s="26"/>
      <c r="C52" s="28"/>
      <c r="D52" s="24"/>
      <c r="E52" s="24"/>
      <c r="F52" s="30" t="str">
        <f aca="false">IF(D52="","",D52-N(E52))</f>
        <v/>
      </c>
      <c r="G52" s="21"/>
      <c r="H52" s="22"/>
    </row>
    <row r="53" customFormat="false" ht="15" hidden="false" customHeight="false" outlineLevel="0" collapsed="false">
      <c r="A53" s="22"/>
      <c r="B53" s="26"/>
      <c r="C53" s="28"/>
      <c r="D53" s="24"/>
      <c r="E53" s="24"/>
      <c r="F53" s="30" t="str">
        <f aca="false">IF(D53="","",D53-N(E53))</f>
        <v/>
      </c>
      <c r="G53" s="21"/>
      <c r="H53" s="22"/>
    </row>
    <row r="54" customFormat="false" ht="15" hidden="false" customHeight="false" outlineLevel="0" collapsed="false">
      <c r="A54" s="22"/>
      <c r="B54" s="26"/>
      <c r="C54" s="28"/>
      <c r="D54" s="24"/>
      <c r="E54" s="24"/>
      <c r="F54" s="30" t="str">
        <f aca="false">IF(D54="","",D54-N(E54))</f>
        <v/>
      </c>
      <c r="G54" s="21"/>
      <c r="H54" s="22"/>
    </row>
    <row r="55" customFormat="false" ht="15" hidden="false" customHeight="false" outlineLevel="0" collapsed="false">
      <c r="A55" s="22"/>
      <c r="B55" s="26"/>
      <c r="C55" s="28"/>
      <c r="D55" s="24"/>
      <c r="E55" s="24"/>
      <c r="F55" s="30" t="str">
        <f aca="false">IF(D55="","",D55-N(E55))</f>
        <v/>
      </c>
      <c r="G55" s="21"/>
      <c r="H55" s="22"/>
    </row>
    <row r="56" customFormat="false" ht="15" hidden="false" customHeight="false" outlineLevel="0" collapsed="false">
      <c r="A56" s="22"/>
      <c r="B56" s="26"/>
      <c r="C56" s="28"/>
      <c r="D56" s="24"/>
      <c r="E56" s="24"/>
      <c r="F56" s="30" t="str">
        <f aca="false">IF(D56="","",D56-N(E56))</f>
        <v/>
      </c>
      <c r="G56" s="21"/>
      <c r="H56" s="22"/>
    </row>
    <row r="57" customFormat="false" ht="15" hidden="false" customHeight="false" outlineLevel="0" collapsed="false">
      <c r="A57" s="22"/>
      <c r="B57" s="26"/>
      <c r="C57" s="28"/>
      <c r="D57" s="24"/>
      <c r="E57" s="24"/>
      <c r="F57" s="30" t="str">
        <f aca="false">IF(D57="","",D57-N(E57))</f>
        <v/>
      </c>
      <c r="G57" s="21"/>
      <c r="H57" s="22"/>
    </row>
    <row r="58" customFormat="false" ht="15" hidden="false" customHeight="false" outlineLevel="0" collapsed="false">
      <c r="A58" s="22"/>
      <c r="B58" s="26"/>
      <c r="C58" s="28"/>
      <c r="D58" s="24"/>
      <c r="E58" s="24"/>
      <c r="F58" s="30" t="str">
        <f aca="false">IF(D58="","",D58-N(E58))</f>
        <v/>
      </c>
      <c r="G58" s="21"/>
      <c r="H58" s="22"/>
    </row>
    <row r="59" customFormat="false" ht="15" hidden="false" customHeight="false" outlineLevel="0" collapsed="false">
      <c r="A59" s="22"/>
      <c r="B59" s="26"/>
      <c r="C59" s="28"/>
      <c r="D59" s="24"/>
      <c r="E59" s="24"/>
      <c r="F59" s="30" t="str">
        <f aca="false">IF(D59="","",D59-N(E59))</f>
        <v/>
      </c>
      <c r="G59" s="21"/>
      <c r="H59" s="22"/>
    </row>
    <row r="60" customFormat="false" ht="15" hidden="false" customHeight="false" outlineLevel="0" collapsed="false">
      <c r="A60" s="22"/>
      <c r="B60" s="26"/>
      <c r="C60" s="28"/>
      <c r="D60" s="24"/>
      <c r="E60" s="24"/>
      <c r="F60" s="30" t="str">
        <f aca="false">IF(D60="","",D60-N(E60))</f>
        <v/>
      </c>
      <c r="G60" s="21"/>
      <c r="H60" s="22"/>
    </row>
    <row r="61" customFormat="false" ht="15" hidden="false" customHeight="false" outlineLevel="0" collapsed="false">
      <c r="A61" s="22"/>
      <c r="B61" s="26"/>
      <c r="C61" s="28"/>
      <c r="D61" s="24"/>
      <c r="E61" s="24"/>
      <c r="F61" s="30" t="str">
        <f aca="false">IF(D61="","",D61-N(E61))</f>
        <v/>
      </c>
      <c r="G61" s="21"/>
      <c r="H61" s="22"/>
    </row>
    <row r="62" customFormat="false" ht="15" hidden="false" customHeight="false" outlineLevel="0" collapsed="false">
      <c r="A62" s="22"/>
      <c r="B62" s="26"/>
      <c r="C62" s="28"/>
      <c r="D62" s="24"/>
      <c r="E62" s="24"/>
      <c r="F62" s="30" t="str">
        <f aca="false">IF(D62="","",D62-N(E62))</f>
        <v/>
      </c>
      <c r="G62" s="21"/>
      <c r="H62" s="22"/>
    </row>
    <row r="63" customFormat="false" ht="15" hidden="false" customHeight="false" outlineLevel="0" collapsed="false">
      <c r="A63" s="22"/>
      <c r="B63" s="26"/>
      <c r="C63" s="28"/>
      <c r="D63" s="24"/>
      <c r="E63" s="24"/>
      <c r="F63" s="30" t="str">
        <f aca="false">IF(D63="","",D63-N(E63))</f>
        <v/>
      </c>
      <c r="G63" s="21"/>
      <c r="H63" s="22"/>
    </row>
    <row r="64" customFormat="false" ht="15" hidden="false" customHeight="false" outlineLevel="0" collapsed="false">
      <c r="A64" s="22"/>
      <c r="B64" s="26"/>
      <c r="C64" s="28"/>
      <c r="D64" s="24"/>
      <c r="E64" s="24"/>
      <c r="F64" s="30" t="str">
        <f aca="false">IF(D64="","",D64-N(E64))</f>
        <v/>
      </c>
      <c r="G64" s="21"/>
      <c r="H64" s="22"/>
    </row>
    <row r="65" customFormat="false" ht="15" hidden="false" customHeight="false" outlineLevel="0" collapsed="false">
      <c r="A65" s="22"/>
      <c r="B65" s="26"/>
      <c r="C65" s="28"/>
      <c r="D65" s="24"/>
      <c r="E65" s="24"/>
      <c r="F65" s="30" t="str">
        <f aca="false">IF(D65="","",D65-N(E65))</f>
        <v/>
      </c>
      <c r="G65" s="21"/>
      <c r="H65" s="22"/>
    </row>
    <row r="66" customFormat="false" ht="15" hidden="false" customHeight="false" outlineLevel="0" collapsed="false">
      <c r="A66" s="22"/>
      <c r="B66" s="26"/>
      <c r="C66" s="28"/>
      <c r="D66" s="24"/>
      <c r="E66" s="24"/>
      <c r="F66" s="30" t="str">
        <f aca="false">IF(D66="","",D66-N(E66))</f>
        <v/>
      </c>
      <c r="G66" s="21"/>
      <c r="H66" s="22"/>
    </row>
    <row r="67" customFormat="false" ht="15" hidden="false" customHeight="false" outlineLevel="0" collapsed="false">
      <c r="A67" s="22"/>
      <c r="B67" s="26"/>
      <c r="C67" s="28"/>
      <c r="D67" s="24"/>
      <c r="E67" s="24"/>
      <c r="F67" s="30" t="str">
        <f aca="false">IF(D67="","",D67-N(E67))</f>
        <v/>
      </c>
      <c r="G67" s="21"/>
      <c r="H67" s="22"/>
    </row>
    <row r="68" customFormat="false" ht="15" hidden="false" customHeight="false" outlineLevel="0" collapsed="false">
      <c r="A68" s="22"/>
      <c r="B68" s="26"/>
      <c r="C68" s="28"/>
      <c r="D68" s="24"/>
      <c r="E68" s="24"/>
      <c r="F68" s="30" t="str">
        <f aca="false">IF(D68="","",D68-N(E68))</f>
        <v/>
      </c>
      <c r="G68" s="21"/>
      <c r="H68" s="22"/>
    </row>
    <row r="69" customFormat="false" ht="15" hidden="false" customHeight="false" outlineLevel="0" collapsed="false">
      <c r="A69" s="22"/>
      <c r="B69" s="26"/>
      <c r="C69" s="28"/>
      <c r="D69" s="24"/>
      <c r="E69" s="24"/>
      <c r="F69" s="30" t="str">
        <f aca="false">IF(D69="","",D69-N(E69))</f>
        <v/>
      </c>
      <c r="G69" s="21"/>
      <c r="H69" s="22"/>
    </row>
    <row r="70" customFormat="false" ht="15" hidden="false" customHeight="false" outlineLevel="0" collapsed="false">
      <c r="A70" s="22"/>
      <c r="B70" s="26"/>
      <c r="C70" s="28"/>
      <c r="D70" s="24"/>
      <c r="E70" s="24"/>
      <c r="F70" s="30" t="str">
        <f aca="false">IF(D70="","",D70-N(E70))</f>
        <v/>
      </c>
      <c r="G70" s="21"/>
      <c r="H70" s="22"/>
    </row>
    <row r="71" customFormat="false" ht="15" hidden="false" customHeight="false" outlineLevel="0" collapsed="false">
      <c r="A71" s="22"/>
      <c r="B71" s="26"/>
      <c r="C71" s="28"/>
      <c r="D71" s="24"/>
      <c r="E71" s="24"/>
      <c r="F71" s="30" t="str">
        <f aca="false">IF(D71="","",D71-N(E71))</f>
        <v/>
      </c>
      <c r="G71" s="21"/>
      <c r="H71" s="22"/>
    </row>
    <row r="72" customFormat="false" ht="15" hidden="false" customHeight="false" outlineLevel="0" collapsed="false">
      <c r="A72" s="22"/>
      <c r="B72" s="26"/>
      <c r="C72" s="28"/>
      <c r="D72" s="24"/>
      <c r="E72" s="24"/>
      <c r="F72" s="30" t="str">
        <f aca="false">IF(D72="","",D72-N(E72))</f>
        <v/>
      </c>
      <c r="G72" s="21"/>
      <c r="H72" s="22"/>
    </row>
    <row r="73" customFormat="false" ht="15" hidden="false" customHeight="false" outlineLevel="0" collapsed="false">
      <c r="A73" s="22"/>
      <c r="B73" s="26"/>
      <c r="C73" s="28"/>
      <c r="D73" s="24"/>
      <c r="E73" s="24"/>
      <c r="F73" s="30" t="str">
        <f aca="false">IF(D73="","",D73-N(E73))</f>
        <v/>
      </c>
      <c r="G73" s="21"/>
      <c r="H73" s="22"/>
    </row>
    <row r="74" customFormat="false" ht="15" hidden="false" customHeight="false" outlineLevel="0" collapsed="false">
      <c r="A74" s="22"/>
      <c r="B74" s="26"/>
      <c r="C74" s="28"/>
      <c r="D74" s="24"/>
      <c r="E74" s="24"/>
      <c r="F74" s="30" t="str">
        <f aca="false">IF(D74="","",D74-N(E74))</f>
        <v/>
      </c>
      <c r="G74" s="21"/>
      <c r="H74" s="22"/>
    </row>
    <row r="75" customFormat="false" ht="15" hidden="false" customHeight="false" outlineLevel="0" collapsed="false">
      <c r="A75" s="22"/>
      <c r="B75" s="26"/>
      <c r="C75" s="28"/>
      <c r="D75" s="24"/>
      <c r="E75" s="24"/>
      <c r="F75" s="30" t="str">
        <f aca="false">IF(D75="","",D75-N(E75))</f>
        <v/>
      </c>
      <c r="G75" s="21"/>
      <c r="H75" s="22"/>
    </row>
    <row r="76" customFormat="false" ht="15" hidden="false" customHeight="false" outlineLevel="0" collapsed="false">
      <c r="A76" s="22"/>
      <c r="B76" s="26"/>
      <c r="C76" s="28"/>
      <c r="D76" s="24"/>
      <c r="E76" s="24"/>
      <c r="F76" s="30" t="str">
        <f aca="false">IF(D76="","",D76-N(E76))</f>
        <v/>
      </c>
      <c r="G76" s="21"/>
      <c r="H76" s="22"/>
    </row>
    <row r="77" customFormat="false" ht="15" hidden="false" customHeight="false" outlineLevel="0" collapsed="false">
      <c r="A77" s="22"/>
      <c r="B77" s="26"/>
      <c r="C77" s="28"/>
      <c r="D77" s="24"/>
      <c r="E77" s="24"/>
      <c r="F77" s="30" t="str">
        <f aca="false">IF(D77="","",D77-N(E77))</f>
        <v/>
      </c>
      <c r="G77" s="21"/>
      <c r="H77" s="22"/>
    </row>
    <row r="78" customFormat="false" ht="15" hidden="false" customHeight="false" outlineLevel="0" collapsed="false">
      <c r="A78" s="22"/>
      <c r="B78" s="26"/>
      <c r="C78" s="28"/>
      <c r="D78" s="24"/>
      <c r="E78" s="24"/>
      <c r="F78" s="30" t="str">
        <f aca="false">IF(D78="","",D78-N(E78))</f>
        <v/>
      </c>
      <c r="G78" s="21"/>
      <c r="H78" s="22"/>
    </row>
    <row r="79" customFormat="false" ht="15" hidden="false" customHeight="false" outlineLevel="0" collapsed="false">
      <c r="A79" s="22"/>
      <c r="B79" s="26"/>
      <c r="C79" s="28"/>
      <c r="D79" s="24"/>
      <c r="E79" s="24"/>
      <c r="F79" s="30" t="str">
        <f aca="false">IF(D79="","",D79-N(E79))</f>
        <v/>
      </c>
      <c r="G79" s="21"/>
      <c r="H79" s="22"/>
    </row>
    <row r="80" customFormat="false" ht="15" hidden="false" customHeight="false" outlineLevel="0" collapsed="false">
      <c r="A80" s="22"/>
      <c r="B80" s="26"/>
      <c r="C80" s="28"/>
      <c r="D80" s="24"/>
      <c r="E80" s="24"/>
      <c r="F80" s="30" t="str">
        <f aca="false">IF(D80="","",D80-N(E80))</f>
        <v/>
      </c>
      <c r="G80" s="21"/>
      <c r="H80" s="22"/>
    </row>
    <row r="81" customFormat="false" ht="15" hidden="false" customHeight="false" outlineLevel="0" collapsed="false">
      <c r="A81" s="22"/>
      <c r="B81" s="26"/>
      <c r="C81" s="28"/>
      <c r="D81" s="24"/>
      <c r="E81" s="24"/>
      <c r="F81" s="30" t="str">
        <f aca="false">IF(D81="","",D81-N(E81))</f>
        <v/>
      </c>
      <c r="G81" s="21"/>
      <c r="H81" s="22"/>
    </row>
    <row r="82" customFormat="false" ht="15" hidden="false" customHeight="false" outlineLevel="0" collapsed="false">
      <c r="A82" s="22"/>
      <c r="B82" s="26"/>
      <c r="C82" s="28"/>
      <c r="D82" s="24"/>
      <c r="E82" s="24"/>
      <c r="F82" s="30" t="str">
        <f aca="false">IF(D82="","",D82-N(E82))</f>
        <v/>
      </c>
      <c r="G82" s="21"/>
      <c r="H82" s="22"/>
    </row>
    <row r="83" customFormat="false" ht="15" hidden="false" customHeight="false" outlineLevel="0" collapsed="false">
      <c r="A83" s="22"/>
      <c r="B83" s="26"/>
      <c r="C83" s="28"/>
      <c r="D83" s="24"/>
      <c r="E83" s="24"/>
      <c r="F83" s="30" t="str">
        <f aca="false">IF(D83="","",D83-N(E83))</f>
        <v/>
      </c>
      <c r="G83" s="21"/>
      <c r="H83" s="22"/>
    </row>
    <row r="84" customFormat="false" ht="15" hidden="false" customHeight="false" outlineLevel="0" collapsed="false">
      <c r="A84" s="22"/>
      <c r="B84" s="26"/>
      <c r="C84" s="28"/>
      <c r="D84" s="24"/>
      <c r="E84" s="24"/>
      <c r="F84" s="30" t="str">
        <f aca="false">IF(D84="","",D84-N(E84))</f>
        <v/>
      </c>
      <c r="G84" s="21"/>
      <c r="H84" s="22"/>
    </row>
    <row r="85" customFormat="false" ht="15" hidden="false" customHeight="false" outlineLevel="0" collapsed="false">
      <c r="A85" s="22"/>
      <c r="B85" s="26"/>
      <c r="C85" s="28"/>
      <c r="D85" s="24"/>
      <c r="E85" s="24"/>
      <c r="F85" s="30" t="str">
        <f aca="false">IF(D85="","",D85-N(E85))</f>
        <v/>
      </c>
      <c r="G85" s="21"/>
      <c r="H85" s="22"/>
    </row>
    <row r="86" customFormat="false" ht="15" hidden="false" customHeight="false" outlineLevel="0" collapsed="false">
      <c r="A86" s="22"/>
      <c r="B86" s="26"/>
      <c r="C86" s="28"/>
      <c r="D86" s="24"/>
      <c r="E86" s="24"/>
      <c r="F86" s="30" t="str">
        <f aca="false">IF(D86="","",D86-N(E86))</f>
        <v/>
      </c>
      <c r="G86" s="21"/>
      <c r="H86" s="22"/>
    </row>
    <row r="87" customFormat="false" ht="15" hidden="false" customHeight="false" outlineLevel="0" collapsed="false">
      <c r="A87" s="22"/>
      <c r="B87" s="26"/>
      <c r="C87" s="28"/>
      <c r="D87" s="24"/>
      <c r="E87" s="24"/>
      <c r="F87" s="30" t="str">
        <f aca="false">IF(D87="","",D87-N(E87))</f>
        <v/>
      </c>
      <c r="G87" s="21"/>
      <c r="H87" s="22"/>
    </row>
    <row r="88" customFormat="false" ht="15" hidden="false" customHeight="false" outlineLevel="0" collapsed="false">
      <c r="A88" s="22"/>
      <c r="B88" s="26"/>
      <c r="C88" s="28"/>
      <c r="D88" s="24"/>
      <c r="E88" s="24"/>
      <c r="F88" s="30" t="str">
        <f aca="false">IF(D88="","",D88-N(E88))</f>
        <v/>
      </c>
      <c r="G88" s="21"/>
      <c r="H88" s="22"/>
    </row>
    <row r="89" customFormat="false" ht="15" hidden="false" customHeight="false" outlineLevel="0" collapsed="false">
      <c r="A89" s="22"/>
      <c r="B89" s="26"/>
      <c r="C89" s="28"/>
      <c r="D89" s="24"/>
      <c r="E89" s="24"/>
      <c r="F89" s="30" t="str">
        <f aca="false">IF(D89="","",D89-N(E89))</f>
        <v/>
      </c>
      <c r="G89" s="21"/>
      <c r="H89" s="22"/>
    </row>
    <row r="90" customFormat="false" ht="15" hidden="false" customHeight="false" outlineLevel="0" collapsed="false">
      <c r="A90" s="22"/>
      <c r="B90" s="26"/>
      <c r="C90" s="28"/>
      <c r="D90" s="24"/>
      <c r="E90" s="24"/>
      <c r="F90" s="30" t="str">
        <f aca="false">IF(D90="","",D90-N(E90))</f>
        <v/>
      </c>
      <c r="G90" s="21"/>
      <c r="H90" s="22"/>
    </row>
    <row r="91" customFormat="false" ht="15" hidden="false" customHeight="false" outlineLevel="0" collapsed="false">
      <c r="A91" s="22"/>
      <c r="B91" s="26"/>
      <c r="C91" s="28"/>
      <c r="D91" s="24"/>
      <c r="E91" s="24"/>
      <c r="F91" s="30" t="str">
        <f aca="false">IF(D91="","",D91-N(E91))</f>
        <v/>
      </c>
      <c r="G91" s="21"/>
      <c r="H91" s="22"/>
    </row>
    <row r="92" customFormat="false" ht="15" hidden="false" customHeight="false" outlineLevel="0" collapsed="false">
      <c r="A92" s="22"/>
      <c r="B92" s="26"/>
      <c r="C92" s="28"/>
      <c r="D92" s="24"/>
      <c r="E92" s="24"/>
      <c r="F92" s="30" t="str">
        <f aca="false">IF(D92="","",D92-N(E92))</f>
        <v/>
      </c>
      <c r="G92" s="21"/>
      <c r="H92" s="22"/>
    </row>
    <row r="93" customFormat="false" ht="15" hidden="false" customHeight="false" outlineLevel="0" collapsed="false">
      <c r="A93" s="22"/>
      <c r="B93" s="26"/>
      <c r="C93" s="28"/>
      <c r="D93" s="24"/>
      <c r="E93" s="24"/>
      <c r="F93" s="30" t="str">
        <f aca="false">IF(D93="","",D93-N(E93))</f>
        <v/>
      </c>
      <c r="G93" s="21"/>
      <c r="H93" s="22"/>
    </row>
    <row r="94" customFormat="false" ht="15" hidden="false" customHeight="false" outlineLevel="0" collapsed="false">
      <c r="A94" s="22"/>
      <c r="B94" s="26"/>
      <c r="C94" s="28"/>
      <c r="D94" s="24"/>
      <c r="E94" s="24"/>
      <c r="F94" s="30" t="str">
        <f aca="false">IF(D94="","",D94-N(E94))</f>
        <v/>
      </c>
      <c r="G94" s="21"/>
      <c r="H94" s="22"/>
    </row>
    <row r="95" customFormat="false" ht="15" hidden="false" customHeight="false" outlineLevel="0" collapsed="false">
      <c r="A95" s="22"/>
      <c r="B95" s="26"/>
      <c r="C95" s="28"/>
      <c r="D95" s="24"/>
      <c r="E95" s="24"/>
      <c r="F95" s="30" t="str">
        <f aca="false">IF(D95="","",D95-N(E95))</f>
        <v/>
      </c>
      <c r="G95" s="21"/>
      <c r="H95" s="22"/>
    </row>
    <row r="96" customFormat="false" ht="15" hidden="false" customHeight="false" outlineLevel="0" collapsed="false">
      <c r="A96" s="22"/>
      <c r="B96" s="26"/>
      <c r="C96" s="28"/>
      <c r="D96" s="24"/>
      <c r="E96" s="24"/>
      <c r="F96" s="30" t="str">
        <f aca="false">IF(D96="","",D96-N(E96))</f>
        <v/>
      </c>
      <c r="G96" s="21"/>
      <c r="H96" s="22"/>
    </row>
    <row r="97" customFormat="false" ht="15" hidden="false" customHeight="false" outlineLevel="0" collapsed="false">
      <c r="A97" s="22"/>
      <c r="B97" s="26"/>
      <c r="C97" s="28"/>
      <c r="D97" s="24"/>
      <c r="E97" s="24"/>
      <c r="F97" s="30" t="str">
        <f aca="false">IF(D97="","",D97-N(E97))</f>
        <v/>
      </c>
      <c r="G97" s="21"/>
      <c r="H97" s="22"/>
    </row>
    <row r="98" customFormat="false" ht="15" hidden="false" customHeight="false" outlineLevel="0" collapsed="false">
      <c r="A98" s="22"/>
      <c r="B98" s="26"/>
      <c r="C98" s="28"/>
      <c r="D98" s="24"/>
      <c r="E98" s="24"/>
      <c r="F98" s="30" t="str">
        <f aca="false">IF(D98="","",D98-N(E98))</f>
        <v/>
      </c>
      <c r="G98" s="21"/>
      <c r="H98" s="22"/>
    </row>
    <row r="99" customFormat="false" ht="15" hidden="false" customHeight="false" outlineLevel="0" collapsed="false">
      <c r="A99" s="22"/>
      <c r="B99" s="26"/>
      <c r="C99" s="28"/>
      <c r="D99" s="24"/>
      <c r="E99" s="24"/>
      <c r="F99" s="30" t="str">
        <f aca="false">IF(D99="","",D99-N(E99))</f>
        <v/>
      </c>
      <c r="G99" s="21"/>
      <c r="H99" s="22"/>
    </row>
    <row r="100" customFormat="false" ht="15" hidden="false" customHeight="false" outlineLevel="0" collapsed="false">
      <c r="A100" s="22"/>
      <c r="B100" s="26"/>
      <c r="C100" s="28"/>
      <c r="D100" s="24"/>
      <c r="E100" s="24"/>
      <c r="F100" s="30" t="str">
        <f aca="false">IF(D100="","",D100-N(E100))</f>
        <v/>
      </c>
      <c r="G100" s="21"/>
      <c r="H100" s="22"/>
    </row>
    <row r="101" customFormat="false" ht="15" hidden="false" customHeight="false" outlineLevel="0" collapsed="false">
      <c r="A101" s="22"/>
      <c r="B101" s="26"/>
      <c r="C101" s="28"/>
      <c r="D101" s="24"/>
      <c r="E101" s="24"/>
      <c r="F101" s="30" t="str">
        <f aca="false">IF(D101="","",D101-N(E101))</f>
        <v/>
      </c>
      <c r="G101" s="21"/>
      <c r="H101" s="22"/>
    </row>
    <row r="102" customFormat="false" ht="15" hidden="false" customHeight="false" outlineLevel="0" collapsed="false">
      <c r="A102" s="22"/>
      <c r="B102" s="26"/>
      <c r="C102" s="28"/>
      <c r="D102" s="24"/>
      <c r="E102" s="24"/>
      <c r="F102" s="30" t="str">
        <f aca="false">IF(D102="","",D102-N(E102))</f>
        <v/>
      </c>
      <c r="G102" s="21"/>
      <c r="H102" s="22"/>
    </row>
    <row r="103" customFormat="false" ht="15" hidden="false" customHeight="false" outlineLevel="0" collapsed="false">
      <c r="A103" s="22"/>
      <c r="B103" s="26"/>
      <c r="C103" s="28"/>
      <c r="D103" s="24"/>
      <c r="E103" s="24"/>
      <c r="F103" s="30" t="str">
        <f aca="false">IF(D103="","",D103-N(E103))</f>
        <v/>
      </c>
      <c r="G103" s="21"/>
      <c r="H103" s="22"/>
    </row>
    <row r="104" customFormat="false" ht="15" hidden="false" customHeight="false" outlineLevel="0" collapsed="false">
      <c r="A104" s="22"/>
      <c r="B104" s="26"/>
      <c r="C104" s="28"/>
      <c r="D104" s="24"/>
      <c r="E104" s="24"/>
      <c r="F104" s="30" t="str">
        <f aca="false">IF(D104="","",D104-N(E104))</f>
        <v/>
      </c>
      <c r="G104" s="21"/>
      <c r="H104" s="22"/>
    </row>
    <row r="105" customFormat="false" ht="15" hidden="false" customHeight="false" outlineLevel="0" collapsed="false">
      <c r="A105" s="22"/>
      <c r="B105" s="26"/>
      <c r="C105" s="28"/>
      <c r="D105" s="24"/>
      <c r="E105" s="24"/>
      <c r="F105" s="30" t="str">
        <f aca="false">IF(D105="","",D105-N(E105))</f>
        <v/>
      </c>
      <c r="G105" s="21"/>
      <c r="H105" s="22"/>
    </row>
    <row r="106" customFormat="false" ht="15" hidden="false" customHeight="false" outlineLevel="0" collapsed="false">
      <c r="A106" s="22"/>
      <c r="B106" s="26"/>
      <c r="C106" s="28"/>
      <c r="D106" s="24"/>
      <c r="E106" s="24"/>
      <c r="F106" s="30" t="str">
        <f aca="false">IF(D106="","",D106-N(E106))</f>
        <v/>
      </c>
      <c r="G106" s="21"/>
      <c r="H106" s="22"/>
    </row>
    <row r="107" customFormat="false" ht="15" hidden="false" customHeight="false" outlineLevel="0" collapsed="false">
      <c r="A107" s="22"/>
      <c r="B107" s="26"/>
      <c r="C107" s="28"/>
      <c r="D107" s="24"/>
      <c r="E107" s="24"/>
      <c r="F107" s="30" t="str">
        <f aca="false">IF(D107="","",D107-N(E107))</f>
        <v/>
      </c>
      <c r="G107" s="21"/>
      <c r="H107" s="22"/>
    </row>
    <row r="108" customFormat="false" ht="15" hidden="false" customHeight="false" outlineLevel="0" collapsed="false">
      <c r="A108" s="22"/>
      <c r="B108" s="26"/>
      <c r="C108" s="28"/>
      <c r="D108" s="24"/>
      <c r="E108" s="24"/>
      <c r="F108" s="30" t="str">
        <f aca="false">IF(D108="","",D108-N(E108))</f>
        <v/>
      </c>
      <c r="G108" s="21"/>
      <c r="H108" s="22"/>
    </row>
    <row r="109" customFormat="false" ht="15" hidden="false" customHeight="false" outlineLevel="0" collapsed="false">
      <c r="A109" s="22"/>
      <c r="B109" s="26"/>
      <c r="C109" s="28"/>
      <c r="D109" s="24"/>
      <c r="E109" s="24"/>
      <c r="F109" s="30" t="str">
        <f aca="false">IF(D109="","",D109-N(E109))</f>
        <v/>
      </c>
      <c r="G109" s="21"/>
      <c r="H109" s="22"/>
    </row>
    <row r="110" customFormat="false" ht="15" hidden="false" customHeight="false" outlineLevel="0" collapsed="false">
      <c r="A110" s="22"/>
      <c r="B110" s="26"/>
      <c r="C110" s="28"/>
      <c r="D110" s="24"/>
      <c r="E110" s="24"/>
      <c r="F110" s="30" t="str">
        <f aca="false">IF(D110="","",D110-N(E110))</f>
        <v/>
      </c>
      <c r="G110" s="21"/>
      <c r="H110" s="22"/>
    </row>
    <row r="111" customFormat="false" ht="15" hidden="false" customHeight="false" outlineLevel="0" collapsed="false">
      <c r="A111" s="22"/>
      <c r="B111" s="26"/>
      <c r="C111" s="28"/>
      <c r="D111" s="24"/>
      <c r="E111" s="24"/>
      <c r="F111" s="30" t="str">
        <f aca="false">IF(D111="","",D111-N(E111))</f>
        <v/>
      </c>
      <c r="G111" s="21"/>
      <c r="H111" s="22"/>
    </row>
    <row r="112" customFormat="false" ht="15" hidden="false" customHeight="false" outlineLevel="0" collapsed="false">
      <c r="A112" s="22"/>
      <c r="B112" s="26"/>
      <c r="C112" s="28"/>
      <c r="D112" s="24"/>
      <c r="E112" s="24"/>
      <c r="F112" s="30" t="str">
        <f aca="false">IF(D112="","",D112-N(E112))</f>
        <v/>
      </c>
      <c r="G112" s="21"/>
      <c r="H112" s="22"/>
    </row>
    <row r="113" customFormat="false" ht="15" hidden="false" customHeight="false" outlineLevel="0" collapsed="false">
      <c r="A113" s="22"/>
      <c r="B113" s="26"/>
      <c r="C113" s="28"/>
      <c r="D113" s="24"/>
      <c r="E113" s="24"/>
      <c r="F113" s="30" t="str">
        <f aca="false">IF(D113="","",D113-N(E113))</f>
        <v/>
      </c>
      <c r="G113" s="21"/>
      <c r="H113" s="22"/>
    </row>
    <row r="114" customFormat="false" ht="15" hidden="false" customHeight="false" outlineLevel="0" collapsed="false">
      <c r="A114" s="22"/>
      <c r="B114" s="26"/>
      <c r="C114" s="28"/>
      <c r="D114" s="24"/>
      <c r="E114" s="24"/>
      <c r="F114" s="30" t="str">
        <f aca="false">IF(D114="","",D114-N(E114))</f>
        <v/>
      </c>
      <c r="G114" s="21"/>
      <c r="H114" s="22"/>
    </row>
    <row r="115" customFormat="false" ht="15" hidden="false" customHeight="false" outlineLevel="0" collapsed="false">
      <c r="A115" s="22"/>
      <c r="B115" s="26"/>
      <c r="C115" s="28"/>
      <c r="D115" s="24"/>
      <c r="E115" s="24"/>
      <c r="F115" s="30" t="str">
        <f aca="false">IF(D115="","",D115-N(E115))</f>
        <v/>
      </c>
      <c r="G115" s="21"/>
      <c r="H115" s="22"/>
    </row>
    <row r="116" customFormat="false" ht="15" hidden="false" customHeight="false" outlineLevel="0" collapsed="false">
      <c r="A116" s="22"/>
      <c r="B116" s="26"/>
      <c r="C116" s="28"/>
      <c r="D116" s="24"/>
      <c r="E116" s="24"/>
      <c r="F116" s="30" t="str">
        <f aca="false">IF(D116="","",D116-N(E116))</f>
        <v/>
      </c>
      <c r="G116" s="21"/>
      <c r="H116" s="22"/>
    </row>
    <row r="117" customFormat="false" ht="15" hidden="false" customHeight="false" outlineLevel="0" collapsed="false">
      <c r="A117" s="22"/>
      <c r="B117" s="26"/>
      <c r="C117" s="28"/>
      <c r="D117" s="24"/>
      <c r="E117" s="24"/>
      <c r="F117" s="30" t="str">
        <f aca="false">IF(D117="","",D117-N(E117))</f>
        <v/>
      </c>
      <c r="G117" s="21"/>
      <c r="H117" s="22"/>
    </row>
    <row r="118" customFormat="false" ht="15" hidden="false" customHeight="false" outlineLevel="0" collapsed="false">
      <c r="A118" s="22"/>
      <c r="B118" s="26"/>
      <c r="C118" s="28"/>
      <c r="D118" s="24"/>
      <c r="E118" s="24"/>
      <c r="F118" s="30" t="str">
        <f aca="false">IF(D118="","",D118-N(E118))</f>
        <v/>
      </c>
      <c r="G118" s="21"/>
      <c r="H118" s="22"/>
    </row>
    <row r="119" customFormat="false" ht="15" hidden="false" customHeight="false" outlineLevel="0" collapsed="false">
      <c r="A119" s="22"/>
      <c r="B119" s="26"/>
      <c r="C119" s="28"/>
      <c r="D119" s="24"/>
      <c r="E119" s="24"/>
      <c r="F119" s="30" t="str">
        <f aca="false">IF(D119="","",D119-N(E119))</f>
        <v/>
      </c>
      <c r="G119" s="21"/>
      <c r="H119" s="22"/>
    </row>
    <row r="120" customFormat="false" ht="15" hidden="false" customHeight="false" outlineLevel="0" collapsed="false">
      <c r="A120" s="22"/>
      <c r="B120" s="26"/>
      <c r="C120" s="28"/>
      <c r="D120" s="24"/>
      <c r="E120" s="24"/>
      <c r="F120" s="30" t="str">
        <f aca="false">IF(D120="","",D120-N(E120))</f>
        <v/>
      </c>
      <c r="G120" s="21"/>
      <c r="H120" s="22"/>
    </row>
    <row r="121" customFormat="false" ht="15" hidden="false" customHeight="false" outlineLevel="0" collapsed="false">
      <c r="A121" s="22"/>
      <c r="B121" s="26"/>
      <c r="C121" s="28"/>
      <c r="D121" s="24"/>
      <c r="E121" s="24"/>
      <c r="F121" s="30" t="str">
        <f aca="false">IF(D121="","",D121-N(E121))</f>
        <v/>
      </c>
      <c r="G121" s="21"/>
      <c r="H121" s="22"/>
    </row>
    <row r="122" customFormat="false" ht="15" hidden="false" customHeight="false" outlineLevel="0" collapsed="false">
      <c r="A122" s="22"/>
      <c r="B122" s="26"/>
      <c r="C122" s="28"/>
      <c r="D122" s="24"/>
      <c r="E122" s="24"/>
      <c r="F122" s="30" t="str">
        <f aca="false">IF(D122="","",D122-N(E122))</f>
        <v/>
      </c>
      <c r="G122" s="21"/>
      <c r="H122" s="22"/>
    </row>
    <row r="123" customFormat="false" ht="15" hidden="false" customHeight="false" outlineLevel="0" collapsed="false">
      <c r="A123" s="22"/>
      <c r="B123" s="26"/>
      <c r="C123" s="28"/>
      <c r="D123" s="24"/>
      <c r="E123" s="24"/>
      <c r="F123" s="30" t="str">
        <f aca="false">IF(D123="","",D123-N(E123))</f>
        <v/>
      </c>
      <c r="G123" s="21"/>
      <c r="H123" s="22"/>
    </row>
    <row r="124" customFormat="false" ht="15" hidden="false" customHeight="false" outlineLevel="0" collapsed="false">
      <c r="A124" s="22"/>
      <c r="B124" s="26"/>
      <c r="C124" s="28"/>
      <c r="D124" s="24"/>
      <c r="E124" s="24"/>
      <c r="F124" s="30" t="str">
        <f aca="false">IF(D124="","",D124-N(E124))</f>
        <v/>
      </c>
      <c r="G124" s="21"/>
      <c r="H124" s="22"/>
    </row>
    <row r="125" customFormat="false" ht="15" hidden="false" customHeight="false" outlineLevel="0" collapsed="false">
      <c r="A125" s="22"/>
      <c r="B125" s="26"/>
      <c r="C125" s="28"/>
      <c r="D125" s="24"/>
      <c r="E125" s="24"/>
      <c r="F125" s="30" t="str">
        <f aca="false">IF(D125="","",D125-N(E125))</f>
        <v/>
      </c>
      <c r="G125" s="21"/>
      <c r="H125" s="22"/>
    </row>
    <row r="126" customFormat="false" ht="15" hidden="false" customHeight="false" outlineLevel="0" collapsed="false">
      <c r="A126" s="22"/>
      <c r="B126" s="26"/>
      <c r="C126" s="28"/>
      <c r="D126" s="24"/>
      <c r="E126" s="24"/>
      <c r="F126" s="30" t="str">
        <f aca="false">IF(D126="","",D126-N(E126))</f>
        <v/>
      </c>
      <c r="G126" s="21"/>
      <c r="H126" s="22"/>
    </row>
    <row r="127" customFormat="false" ht="15" hidden="false" customHeight="false" outlineLevel="0" collapsed="false">
      <c r="A127" s="22"/>
      <c r="B127" s="26"/>
      <c r="C127" s="28"/>
      <c r="D127" s="24"/>
      <c r="E127" s="24"/>
      <c r="F127" s="30" t="str">
        <f aca="false">IF(D127="","",D127-N(E127))</f>
        <v/>
      </c>
      <c r="G127" s="21"/>
      <c r="H127" s="22"/>
    </row>
    <row r="128" customFormat="false" ht="15" hidden="false" customHeight="false" outlineLevel="0" collapsed="false">
      <c r="A128" s="22"/>
      <c r="B128" s="26"/>
      <c r="C128" s="28"/>
      <c r="D128" s="24"/>
      <c r="E128" s="24"/>
      <c r="F128" s="30" t="str">
        <f aca="false">IF(D128="","",D128-N(E128))</f>
        <v/>
      </c>
      <c r="G128" s="21"/>
      <c r="H128" s="22"/>
    </row>
    <row r="129" customFormat="false" ht="15" hidden="false" customHeight="false" outlineLevel="0" collapsed="false">
      <c r="A129" s="22"/>
      <c r="B129" s="26"/>
      <c r="C129" s="28"/>
      <c r="D129" s="24"/>
      <c r="E129" s="24"/>
      <c r="F129" s="30" t="str">
        <f aca="false">IF(D129="","",D129-N(E129))</f>
        <v/>
      </c>
      <c r="G129" s="21"/>
      <c r="H129" s="22"/>
    </row>
    <row r="130" customFormat="false" ht="15" hidden="false" customHeight="false" outlineLevel="0" collapsed="false">
      <c r="A130" s="22"/>
      <c r="B130" s="26"/>
      <c r="C130" s="28"/>
      <c r="D130" s="24"/>
      <c r="E130" s="24"/>
      <c r="F130" s="30" t="str">
        <f aca="false">IF(D130="","",D130-N(E130))</f>
        <v/>
      </c>
      <c r="G130" s="21"/>
      <c r="H130" s="22"/>
    </row>
    <row r="131" customFormat="false" ht="15" hidden="false" customHeight="false" outlineLevel="0" collapsed="false">
      <c r="A131" s="22"/>
      <c r="B131" s="26"/>
      <c r="C131" s="28"/>
      <c r="D131" s="24"/>
      <c r="E131" s="24"/>
      <c r="F131" s="30" t="str">
        <f aca="false">IF(D131="","",D131-N(E131))</f>
        <v/>
      </c>
      <c r="G131" s="21"/>
      <c r="H131" s="22"/>
    </row>
    <row r="132" customFormat="false" ht="15" hidden="false" customHeight="false" outlineLevel="0" collapsed="false">
      <c r="A132" s="22"/>
      <c r="B132" s="26"/>
      <c r="C132" s="28"/>
      <c r="D132" s="24"/>
      <c r="E132" s="24"/>
      <c r="F132" s="30" t="str">
        <f aca="false">IF(D132="","",D132-N(E132))</f>
        <v/>
      </c>
      <c r="G132" s="21"/>
      <c r="H132" s="22"/>
    </row>
    <row r="133" customFormat="false" ht="15" hidden="false" customHeight="false" outlineLevel="0" collapsed="false">
      <c r="A133" s="22"/>
      <c r="B133" s="26"/>
      <c r="C133" s="28"/>
      <c r="D133" s="24"/>
      <c r="E133" s="24"/>
      <c r="F133" s="30" t="str">
        <f aca="false">IF(D133="","",D133-N(E133))</f>
        <v/>
      </c>
      <c r="G133" s="21"/>
      <c r="H133" s="22"/>
    </row>
    <row r="134" customFormat="false" ht="15" hidden="false" customHeight="false" outlineLevel="0" collapsed="false">
      <c r="A134" s="22"/>
      <c r="B134" s="26"/>
      <c r="C134" s="28"/>
      <c r="D134" s="24"/>
      <c r="E134" s="24"/>
      <c r="F134" s="30" t="str">
        <f aca="false">IF(D134="","",D134-N(E134))</f>
        <v/>
      </c>
      <c r="G134" s="21"/>
      <c r="H134" s="22"/>
    </row>
    <row r="135" customFormat="false" ht="15" hidden="false" customHeight="false" outlineLevel="0" collapsed="false">
      <c r="A135" s="22"/>
      <c r="B135" s="26"/>
      <c r="C135" s="28"/>
      <c r="D135" s="24"/>
      <c r="E135" s="24"/>
      <c r="F135" s="30" t="str">
        <f aca="false">IF(D135="","",D135-N(E135))</f>
        <v/>
      </c>
      <c r="G135" s="21"/>
      <c r="H135" s="22"/>
    </row>
    <row r="136" customFormat="false" ht="15" hidden="false" customHeight="false" outlineLevel="0" collapsed="false">
      <c r="A136" s="22"/>
      <c r="B136" s="26"/>
      <c r="C136" s="28"/>
      <c r="D136" s="24"/>
      <c r="E136" s="24"/>
      <c r="F136" s="30" t="str">
        <f aca="false">IF(D136="","",D136-N(E136))</f>
        <v/>
      </c>
      <c r="G136" s="21"/>
      <c r="H136" s="22"/>
    </row>
    <row r="137" customFormat="false" ht="15" hidden="false" customHeight="false" outlineLevel="0" collapsed="false">
      <c r="A137" s="22"/>
      <c r="B137" s="26"/>
      <c r="C137" s="28"/>
      <c r="D137" s="24"/>
      <c r="E137" s="24"/>
      <c r="F137" s="30" t="str">
        <f aca="false">IF(D137="","",D137-N(E137))</f>
        <v/>
      </c>
      <c r="G137" s="21"/>
      <c r="H137" s="22"/>
    </row>
    <row r="138" customFormat="false" ht="15" hidden="false" customHeight="false" outlineLevel="0" collapsed="false">
      <c r="A138" s="22"/>
      <c r="B138" s="26"/>
      <c r="C138" s="28"/>
      <c r="D138" s="24"/>
      <c r="E138" s="24"/>
      <c r="F138" s="30" t="str">
        <f aca="false">IF(D138="","",D138-N(E138))</f>
        <v/>
      </c>
      <c r="G138" s="21"/>
      <c r="H138" s="22"/>
    </row>
    <row r="139" customFormat="false" ht="15" hidden="false" customHeight="false" outlineLevel="0" collapsed="false">
      <c r="A139" s="22"/>
      <c r="B139" s="26"/>
      <c r="C139" s="28"/>
      <c r="D139" s="24"/>
      <c r="E139" s="24"/>
      <c r="F139" s="30" t="str">
        <f aca="false">IF(D139="","",D139-N(E139))</f>
        <v/>
      </c>
      <c r="G139" s="21"/>
      <c r="H139" s="22"/>
    </row>
    <row r="140" customFormat="false" ht="15" hidden="false" customHeight="false" outlineLevel="0" collapsed="false">
      <c r="A140" s="22"/>
      <c r="B140" s="26"/>
      <c r="C140" s="28"/>
      <c r="D140" s="24"/>
      <c r="E140" s="24"/>
      <c r="F140" s="30" t="str">
        <f aca="false">IF(D140="","",D140-N(E140))</f>
        <v/>
      </c>
      <c r="G140" s="21"/>
      <c r="H140" s="22"/>
    </row>
    <row r="141" customFormat="false" ht="15" hidden="false" customHeight="false" outlineLevel="0" collapsed="false">
      <c r="A141" s="22"/>
      <c r="B141" s="26"/>
      <c r="C141" s="28"/>
      <c r="D141" s="24"/>
      <c r="E141" s="24"/>
      <c r="F141" s="30" t="str">
        <f aca="false">IF(D141="","",D141-N(E141))</f>
        <v/>
      </c>
      <c r="G141" s="21"/>
      <c r="H141" s="22"/>
    </row>
    <row r="142" customFormat="false" ht="15" hidden="false" customHeight="false" outlineLevel="0" collapsed="false">
      <c r="A142" s="22"/>
      <c r="B142" s="26"/>
      <c r="C142" s="28"/>
      <c r="D142" s="24"/>
      <c r="E142" s="24"/>
      <c r="F142" s="30" t="str">
        <f aca="false">IF(D142="","",D142-N(E142))</f>
        <v/>
      </c>
      <c r="G142" s="21"/>
      <c r="H142" s="22"/>
    </row>
    <row r="143" customFormat="false" ht="15" hidden="false" customHeight="false" outlineLevel="0" collapsed="false">
      <c r="A143" s="22"/>
      <c r="B143" s="26"/>
      <c r="C143" s="28"/>
      <c r="D143" s="24"/>
      <c r="E143" s="24"/>
      <c r="F143" s="30" t="str">
        <f aca="false">IF(D143="","",D143-N(E143))</f>
        <v/>
      </c>
      <c r="G143" s="21"/>
      <c r="H143" s="22"/>
    </row>
    <row r="144" customFormat="false" ht="15" hidden="false" customHeight="false" outlineLevel="0" collapsed="false">
      <c r="A144" s="22"/>
      <c r="B144" s="26"/>
      <c r="C144" s="28"/>
      <c r="D144" s="24"/>
      <c r="E144" s="24"/>
      <c r="F144" s="30" t="str">
        <f aca="false">IF(D144="","",D144-N(E144))</f>
        <v/>
      </c>
      <c r="G144" s="21"/>
      <c r="H144" s="22"/>
    </row>
    <row r="145" customFormat="false" ht="15" hidden="false" customHeight="false" outlineLevel="0" collapsed="false">
      <c r="A145" s="22"/>
      <c r="B145" s="26"/>
      <c r="C145" s="28"/>
      <c r="D145" s="24"/>
      <c r="E145" s="24"/>
      <c r="F145" s="30" t="str">
        <f aca="false">IF(D145="","",D145-N(E145))</f>
        <v/>
      </c>
      <c r="G145" s="21"/>
      <c r="H145" s="22"/>
    </row>
    <row r="146" customFormat="false" ht="15" hidden="false" customHeight="false" outlineLevel="0" collapsed="false">
      <c r="A146" s="22"/>
      <c r="B146" s="26"/>
      <c r="C146" s="28"/>
      <c r="D146" s="24"/>
      <c r="E146" s="24"/>
      <c r="F146" s="30" t="str">
        <f aca="false">IF(D146="","",D146-N(E146))</f>
        <v/>
      </c>
      <c r="G146" s="21"/>
      <c r="H146" s="22"/>
    </row>
    <row r="147" customFormat="false" ht="15" hidden="false" customHeight="false" outlineLevel="0" collapsed="false">
      <c r="A147" s="22"/>
      <c r="B147" s="26"/>
      <c r="C147" s="28"/>
      <c r="D147" s="24"/>
      <c r="E147" s="24"/>
      <c r="F147" s="30" t="str">
        <f aca="false">IF(D147="","",D147-N(E147))</f>
        <v/>
      </c>
      <c r="G147" s="21"/>
      <c r="H147" s="22"/>
    </row>
    <row r="148" customFormat="false" ht="15" hidden="false" customHeight="false" outlineLevel="0" collapsed="false">
      <c r="A148" s="22"/>
      <c r="B148" s="26"/>
      <c r="C148" s="28"/>
      <c r="D148" s="24"/>
      <c r="E148" s="24"/>
      <c r="F148" s="30" t="str">
        <f aca="false">IF(D148="","",D148-N(E148))</f>
        <v/>
      </c>
      <c r="G148" s="21"/>
      <c r="H148" s="22"/>
    </row>
    <row r="149" customFormat="false" ht="15" hidden="false" customHeight="false" outlineLevel="0" collapsed="false">
      <c r="A149" s="22"/>
      <c r="B149" s="26"/>
      <c r="C149" s="28"/>
      <c r="D149" s="24"/>
      <c r="E149" s="24"/>
      <c r="F149" s="30" t="str">
        <f aca="false">IF(D149="","",D149-N(E149))</f>
        <v/>
      </c>
      <c r="G149" s="21"/>
      <c r="H149" s="22"/>
    </row>
    <row r="150" customFormat="false" ht="15" hidden="false" customHeight="false" outlineLevel="0" collapsed="false">
      <c r="A150" s="22"/>
      <c r="B150" s="26"/>
      <c r="C150" s="28"/>
      <c r="D150" s="24"/>
      <c r="E150" s="24"/>
      <c r="F150" s="30" t="str">
        <f aca="false">IF(D150="","",D150-N(E150))</f>
        <v/>
      </c>
      <c r="G150" s="21"/>
      <c r="H150" s="22"/>
    </row>
    <row r="151" customFormat="false" ht="15" hidden="false" customHeight="false" outlineLevel="0" collapsed="false">
      <c r="A151" s="22"/>
      <c r="B151" s="26"/>
      <c r="C151" s="28"/>
      <c r="D151" s="24"/>
      <c r="E151" s="24"/>
      <c r="F151" s="30" t="str">
        <f aca="false">IF(D151="","",D151-N(E151))</f>
        <v/>
      </c>
      <c r="G151" s="21"/>
      <c r="H151" s="22"/>
    </row>
    <row r="152" customFormat="false" ht="15" hidden="false" customHeight="false" outlineLevel="0" collapsed="false">
      <c r="A152" s="22"/>
      <c r="B152" s="26"/>
      <c r="C152" s="28"/>
      <c r="D152" s="24"/>
      <c r="E152" s="24"/>
      <c r="F152" s="30" t="str">
        <f aca="false">IF(D152="","",D152-N(E152))</f>
        <v/>
      </c>
      <c r="G152" s="21"/>
      <c r="H152" s="22"/>
    </row>
    <row r="153" customFormat="false" ht="15" hidden="false" customHeight="false" outlineLevel="0" collapsed="false">
      <c r="A153" s="22"/>
      <c r="B153" s="26"/>
      <c r="C153" s="28"/>
      <c r="D153" s="24"/>
      <c r="E153" s="24"/>
      <c r="F153" s="30" t="str">
        <f aca="false">IF(D153="","",D153-N(E153))</f>
        <v/>
      </c>
      <c r="G153" s="21"/>
      <c r="H153" s="22"/>
    </row>
    <row r="154" customFormat="false" ht="15" hidden="false" customHeight="false" outlineLevel="0" collapsed="false">
      <c r="A154" s="22"/>
      <c r="B154" s="26"/>
      <c r="C154" s="28"/>
      <c r="D154" s="24"/>
      <c r="E154" s="24"/>
      <c r="F154" s="30" t="str">
        <f aca="false">IF(D154="","",D154-N(E154))</f>
        <v/>
      </c>
      <c r="G154" s="21"/>
      <c r="H154" s="22"/>
    </row>
    <row r="155" customFormat="false" ht="15" hidden="false" customHeight="false" outlineLevel="0" collapsed="false">
      <c r="A155" s="22"/>
      <c r="B155" s="26"/>
      <c r="C155" s="28"/>
      <c r="D155" s="24"/>
      <c r="E155" s="24"/>
      <c r="F155" s="30" t="str">
        <f aca="false">IF(D155="","",D155-N(E155))</f>
        <v/>
      </c>
      <c r="G155" s="21"/>
      <c r="H155" s="22"/>
    </row>
    <row r="156" customFormat="false" ht="15" hidden="false" customHeight="false" outlineLevel="0" collapsed="false">
      <c r="A156" s="22"/>
      <c r="B156" s="26"/>
      <c r="C156" s="28"/>
      <c r="D156" s="24"/>
      <c r="E156" s="24"/>
      <c r="F156" s="30" t="str">
        <f aca="false">IF(D156="","",D156-N(E156))</f>
        <v/>
      </c>
      <c r="G156" s="21"/>
      <c r="H156" s="22"/>
    </row>
    <row r="157" customFormat="false" ht="15" hidden="false" customHeight="false" outlineLevel="0" collapsed="false">
      <c r="A157" s="22"/>
      <c r="B157" s="26"/>
      <c r="C157" s="28"/>
      <c r="D157" s="24"/>
      <c r="E157" s="24"/>
      <c r="F157" s="30" t="str">
        <f aca="false">IF(D157="","",D157-N(E157))</f>
        <v/>
      </c>
      <c r="G157" s="21"/>
      <c r="H157" s="22"/>
    </row>
    <row r="158" customFormat="false" ht="15" hidden="false" customHeight="false" outlineLevel="0" collapsed="false">
      <c r="A158" s="22"/>
      <c r="B158" s="26"/>
      <c r="C158" s="28"/>
      <c r="D158" s="24"/>
      <c r="E158" s="24"/>
      <c r="F158" s="30" t="str">
        <f aca="false">IF(D158="","",D158-N(E158))</f>
        <v/>
      </c>
      <c r="G158" s="21"/>
      <c r="H158" s="22"/>
    </row>
    <row r="159" customFormat="false" ht="15" hidden="false" customHeight="false" outlineLevel="0" collapsed="false">
      <c r="A159" s="22"/>
      <c r="B159" s="26"/>
      <c r="C159" s="28"/>
      <c r="D159" s="24"/>
      <c r="E159" s="24"/>
      <c r="F159" s="30" t="str">
        <f aca="false">IF(D159="","",D159-N(E159))</f>
        <v/>
      </c>
      <c r="G159" s="21"/>
      <c r="H159" s="22"/>
    </row>
    <row r="160" customFormat="false" ht="15" hidden="false" customHeight="false" outlineLevel="0" collapsed="false">
      <c r="A160" s="22"/>
      <c r="B160" s="26"/>
      <c r="C160" s="28"/>
      <c r="D160" s="24"/>
      <c r="E160" s="24"/>
      <c r="F160" s="30" t="str">
        <f aca="false">IF(D160="","",D160-N(E160))</f>
        <v/>
      </c>
      <c r="G160" s="21"/>
      <c r="H160" s="22"/>
    </row>
    <row r="161" customFormat="false" ht="15" hidden="false" customHeight="false" outlineLevel="0" collapsed="false">
      <c r="A161" s="22"/>
      <c r="B161" s="26"/>
      <c r="C161" s="28"/>
      <c r="D161" s="24"/>
      <c r="E161" s="24"/>
      <c r="F161" s="30" t="str">
        <f aca="false">IF(D161="","",D161-N(E161))</f>
        <v/>
      </c>
      <c r="G161" s="21"/>
      <c r="H161" s="22"/>
    </row>
    <row r="162" customFormat="false" ht="15" hidden="false" customHeight="false" outlineLevel="0" collapsed="false">
      <c r="A162" s="22"/>
      <c r="B162" s="26"/>
      <c r="C162" s="28"/>
      <c r="D162" s="24"/>
      <c r="E162" s="24"/>
      <c r="F162" s="30" t="str">
        <f aca="false">IF(D162="","",D162-N(E162))</f>
        <v/>
      </c>
      <c r="G162" s="21"/>
      <c r="H162" s="22"/>
    </row>
    <row r="163" customFormat="false" ht="15" hidden="false" customHeight="false" outlineLevel="0" collapsed="false">
      <c r="A163" s="22"/>
      <c r="B163" s="26"/>
      <c r="C163" s="28"/>
      <c r="D163" s="24"/>
      <c r="E163" s="24"/>
      <c r="F163" s="30" t="str">
        <f aca="false">IF(D163="","",D163-N(E163))</f>
        <v/>
      </c>
      <c r="G163" s="21"/>
      <c r="H163" s="22"/>
    </row>
    <row r="164" customFormat="false" ht="15" hidden="false" customHeight="false" outlineLevel="0" collapsed="false">
      <c r="A164" s="22"/>
      <c r="B164" s="26"/>
      <c r="C164" s="28"/>
      <c r="D164" s="24"/>
      <c r="E164" s="24"/>
      <c r="F164" s="30" t="str">
        <f aca="false">IF(D164="","",D164-N(E164))</f>
        <v/>
      </c>
      <c r="G164" s="21"/>
      <c r="H164" s="22"/>
    </row>
    <row r="165" customFormat="false" ht="15" hidden="false" customHeight="false" outlineLevel="0" collapsed="false">
      <c r="A165" s="22"/>
      <c r="B165" s="26"/>
      <c r="C165" s="28"/>
      <c r="D165" s="24"/>
      <c r="E165" s="24"/>
      <c r="F165" s="30" t="str">
        <f aca="false">IF(D165="","",D165-N(E165))</f>
        <v/>
      </c>
      <c r="G165" s="21"/>
      <c r="H165" s="22"/>
    </row>
    <row r="166" customFormat="false" ht="15" hidden="false" customHeight="false" outlineLevel="0" collapsed="false">
      <c r="A166" s="22"/>
      <c r="B166" s="26"/>
      <c r="C166" s="28"/>
      <c r="D166" s="24"/>
      <c r="E166" s="24"/>
      <c r="F166" s="30" t="str">
        <f aca="false">IF(D166="","",D166-N(E166))</f>
        <v/>
      </c>
      <c r="G166" s="21"/>
      <c r="H166" s="22"/>
    </row>
    <row r="167" customFormat="false" ht="15" hidden="false" customHeight="false" outlineLevel="0" collapsed="false">
      <c r="A167" s="22"/>
      <c r="B167" s="26"/>
      <c r="C167" s="28"/>
      <c r="D167" s="24"/>
      <c r="E167" s="24"/>
      <c r="F167" s="30" t="str">
        <f aca="false">IF(D167="","",D167-N(E167))</f>
        <v/>
      </c>
      <c r="G167" s="21"/>
      <c r="H167" s="22"/>
    </row>
    <row r="168" customFormat="false" ht="15" hidden="false" customHeight="false" outlineLevel="0" collapsed="false">
      <c r="A168" s="22"/>
      <c r="B168" s="26"/>
      <c r="C168" s="28"/>
      <c r="D168" s="24"/>
      <c r="E168" s="24"/>
      <c r="F168" s="30" t="str">
        <f aca="false">IF(D168="","",D168-N(E168))</f>
        <v/>
      </c>
      <c r="G168" s="21"/>
      <c r="H168" s="22"/>
    </row>
    <row r="169" customFormat="false" ht="15" hidden="false" customHeight="false" outlineLevel="0" collapsed="false">
      <c r="A169" s="22"/>
      <c r="B169" s="26"/>
      <c r="C169" s="28"/>
      <c r="D169" s="24"/>
      <c r="E169" s="24"/>
      <c r="F169" s="30" t="str">
        <f aca="false">IF(D169="","",D169-N(E169))</f>
        <v/>
      </c>
      <c r="G169" s="21"/>
      <c r="H169" s="22"/>
    </row>
    <row r="170" customFormat="false" ht="15" hidden="false" customHeight="false" outlineLevel="0" collapsed="false">
      <c r="A170" s="22"/>
      <c r="B170" s="26"/>
      <c r="C170" s="28"/>
      <c r="D170" s="24"/>
      <c r="E170" s="24"/>
      <c r="F170" s="30" t="str">
        <f aca="false">IF(D170="","",D170-N(E170))</f>
        <v/>
      </c>
      <c r="G170" s="21"/>
      <c r="H170" s="22"/>
    </row>
    <row r="171" customFormat="false" ht="15" hidden="false" customHeight="false" outlineLevel="0" collapsed="false">
      <c r="A171" s="22"/>
      <c r="B171" s="26"/>
      <c r="C171" s="28"/>
      <c r="D171" s="24"/>
      <c r="E171" s="24"/>
      <c r="F171" s="30" t="str">
        <f aca="false">IF(D171="","",D171-N(E171))</f>
        <v/>
      </c>
      <c r="G171" s="21"/>
      <c r="H171" s="22"/>
    </row>
    <row r="172" customFormat="false" ht="15" hidden="false" customHeight="false" outlineLevel="0" collapsed="false">
      <c r="A172" s="22"/>
      <c r="B172" s="26"/>
      <c r="C172" s="28"/>
      <c r="D172" s="24"/>
      <c r="E172" s="24"/>
      <c r="F172" s="30" t="str">
        <f aca="false">IF(D172="","",D172-N(E172))</f>
        <v/>
      </c>
      <c r="G172" s="21"/>
      <c r="H172" s="22"/>
    </row>
    <row r="173" customFormat="false" ht="15" hidden="false" customHeight="false" outlineLevel="0" collapsed="false">
      <c r="A173" s="22"/>
      <c r="B173" s="26"/>
      <c r="C173" s="28"/>
      <c r="D173" s="24"/>
      <c r="E173" s="24"/>
      <c r="F173" s="30" t="str">
        <f aca="false">IF(D173="","",D173-N(E173))</f>
        <v/>
      </c>
      <c r="G173" s="21"/>
      <c r="H173" s="22"/>
    </row>
    <row r="174" customFormat="false" ht="15" hidden="false" customHeight="false" outlineLevel="0" collapsed="false">
      <c r="A174" s="22"/>
      <c r="B174" s="26"/>
      <c r="C174" s="28"/>
      <c r="D174" s="24"/>
      <c r="E174" s="24"/>
      <c r="F174" s="30" t="str">
        <f aca="false">IF(D174="","",D174-N(E174))</f>
        <v/>
      </c>
      <c r="G174" s="21"/>
      <c r="H174" s="22"/>
    </row>
    <row r="175" customFormat="false" ht="15" hidden="false" customHeight="false" outlineLevel="0" collapsed="false">
      <c r="A175" s="22"/>
      <c r="B175" s="26"/>
      <c r="C175" s="28"/>
      <c r="D175" s="24"/>
      <c r="E175" s="24"/>
      <c r="F175" s="30" t="str">
        <f aca="false">IF(D175="","",D175-N(E175))</f>
        <v/>
      </c>
      <c r="G175" s="21"/>
      <c r="H175" s="22"/>
    </row>
    <row r="176" customFormat="false" ht="15" hidden="false" customHeight="false" outlineLevel="0" collapsed="false">
      <c r="A176" s="22"/>
      <c r="B176" s="26"/>
      <c r="C176" s="28"/>
      <c r="D176" s="24"/>
      <c r="E176" s="24"/>
      <c r="F176" s="30" t="str">
        <f aca="false">IF(D176="","",D176-N(E176))</f>
        <v/>
      </c>
      <c r="G176" s="21"/>
      <c r="H176" s="22"/>
    </row>
    <row r="177" customFormat="false" ht="15" hidden="false" customHeight="false" outlineLevel="0" collapsed="false">
      <c r="A177" s="22"/>
      <c r="B177" s="26"/>
      <c r="C177" s="28"/>
      <c r="D177" s="24"/>
      <c r="E177" s="24"/>
      <c r="F177" s="30" t="str">
        <f aca="false">IF(D177="","",D177-N(E177))</f>
        <v/>
      </c>
      <c r="G177" s="21"/>
      <c r="H177" s="22"/>
    </row>
    <row r="178" customFormat="false" ht="15" hidden="false" customHeight="false" outlineLevel="0" collapsed="false">
      <c r="A178" s="22"/>
      <c r="B178" s="26"/>
      <c r="C178" s="28"/>
      <c r="D178" s="24"/>
      <c r="E178" s="24"/>
      <c r="F178" s="30" t="str">
        <f aca="false">IF(D178="","",D178-N(E178))</f>
        <v/>
      </c>
      <c r="G178" s="21"/>
      <c r="H178" s="22"/>
    </row>
    <row r="179" customFormat="false" ht="15" hidden="false" customHeight="false" outlineLevel="0" collapsed="false">
      <c r="A179" s="22"/>
      <c r="B179" s="26"/>
      <c r="C179" s="28"/>
      <c r="D179" s="24"/>
      <c r="E179" s="24"/>
      <c r="F179" s="30" t="str">
        <f aca="false">IF(D179="","",D179-N(E179))</f>
        <v/>
      </c>
      <c r="G179" s="21"/>
      <c r="H179" s="22"/>
    </row>
    <row r="180" customFormat="false" ht="15" hidden="false" customHeight="false" outlineLevel="0" collapsed="false">
      <c r="A180" s="22"/>
      <c r="B180" s="26"/>
      <c r="C180" s="28"/>
      <c r="D180" s="24"/>
      <c r="E180" s="24"/>
      <c r="F180" s="30" t="str">
        <f aca="false">IF(D180="","",D180-N(E180))</f>
        <v/>
      </c>
      <c r="G180" s="21"/>
      <c r="H180" s="22"/>
    </row>
    <row r="181" customFormat="false" ht="15" hidden="false" customHeight="false" outlineLevel="0" collapsed="false">
      <c r="A181" s="22"/>
      <c r="B181" s="26"/>
      <c r="C181" s="28"/>
      <c r="D181" s="24"/>
      <c r="E181" s="24"/>
      <c r="F181" s="30" t="str">
        <f aca="false">IF(D181="","",D181-N(E181))</f>
        <v/>
      </c>
      <c r="G181" s="21"/>
      <c r="H181" s="22"/>
    </row>
    <row r="182" customFormat="false" ht="15" hidden="false" customHeight="false" outlineLevel="0" collapsed="false">
      <c r="A182" s="22"/>
      <c r="B182" s="26"/>
      <c r="C182" s="28"/>
      <c r="D182" s="24"/>
      <c r="E182" s="24"/>
      <c r="F182" s="30" t="str">
        <f aca="false">IF(D182="","",D182-N(E182))</f>
        <v/>
      </c>
      <c r="G182" s="21"/>
      <c r="H182" s="22"/>
    </row>
    <row r="183" customFormat="false" ht="15" hidden="false" customHeight="false" outlineLevel="0" collapsed="false">
      <c r="A183" s="22"/>
      <c r="B183" s="26"/>
      <c r="C183" s="28"/>
      <c r="D183" s="24"/>
      <c r="E183" s="24"/>
      <c r="F183" s="30" t="str">
        <f aca="false">IF(D183="","",D183-N(E183))</f>
        <v/>
      </c>
      <c r="G183" s="21"/>
      <c r="H183" s="22"/>
    </row>
    <row r="184" customFormat="false" ht="15" hidden="false" customHeight="false" outlineLevel="0" collapsed="false">
      <c r="A184" s="22"/>
      <c r="B184" s="26"/>
      <c r="C184" s="28"/>
      <c r="D184" s="24"/>
      <c r="E184" s="24"/>
      <c r="F184" s="30" t="str">
        <f aca="false">IF(D184="","",D184-N(E184))</f>
        <v/>
      </c>
      <c r="G184" s="21"/>
      <c r="H184" s="22"/>
    </row>
    <row r="185" customFormat="false" ht="15" hidden="false" customHeight="false" outlineLevel="0" collapsed="false">
      <c r="A185" s="22"/>
      <c r="B185" s="26"/>
      <c r="C185" s="28"/>
      <c r="D185" s="24"/>
      <c r="E185" s="24"/>
      <c r="F185" s="30" t="str">
        <f aca="false">IF(D185="","",D185-N(E185))</f>
        <v/>
      </c>
      <c r="G185" s="21"/>
      <c r="H185" s="22"/>
    </row>
    <row r="186" customFormat="false" ht="15" hidden="false" customHeight="false" outlineLevel="0" collapsed="false">
      <c r="A186" s="22"/>
      <c r="B186" s="26"/>
      <c r="C186" s="28"/>
      <c r="D186" s="24"/>
      <c r="E186" s="24"/>
      <c r="F186" s="30" t="str">
        <f aca="false">IF(D186="","",D186-N(E186))</f>
        <v/>
      </c>
      <c r="G186" s="21"/>
      <c r="H186" s="22"/>
    </row>
    <row r="187" customFormat="false" ht="15" hidden="false" customHeight="false" outlineLevel="0" collapsed="false">
      <c r="A187" s="22"/>
      <c r="B187" s="26"/>
      <c r="C187" s="28"/>
      <c r="D187" s="24"/>
      <c r="E187" s="24"/>
      <c r="F187" s="30" t="str">
        <f aca="false">IF(D187="","",D187-N(E187))</f>
        <v/>
      </c>
      <c r="G187" s="21"/>
      <c r="H187" s="22"/>
    </row>
    <row r="188" customFormat="false" ht="15" hidden="false" customHeight="false" outlineLevel="0" collapsed="false">
      <c r="A188" s="22"/>
      <c r="B188" s="26"/>
      <c r="C188" s="28"/>
      <c r="D188" s="24"/>
      <c r="E188" s="24"/>
      <c r="F188" s="30" t="str">
        <f aca="false">IF(D188="","",D188-N(E188))</f>
        <v/>
      </c>
      <c r="G188" s="21"/>
      <c r="H188" s="22"/>
    </row>
    <row r="189" customFormat="false" ht="15" hidden="false" customHeight="false" outlineLevel="0" collapsed="false">
      <c r="A189" s="22"/>
      <c r="B189" s="26"/>
      <c r="C189" s="28"/>
      <c r="D189" s="24"/>
      <c r="E189" s="24"/>
      <c r="F189" s="30" t="str">
        <f aca="false">IF(D189="","",D189-N(E189))</f>
        <v/>
      </c>
      <c r="G189" s="21"/>
      <c r="H189" s="22"/>
    </row>
    <row r="190" customFormat="false" ht="15" hidden="false" customHeight="false" outlineLevel="0" collapsed="false">
      <c r="A190" s="22"/>
      <c r="B190" s="26"/>
      <c r="C190" s="28"/>
      <c r="D190" s="24"/>
      <c r="E190" s="24"/>
      <c r="F190" s="30" t="str">
        <f aca="false">IF(D190="","",D190-N(E190))</f>
        <v/>
      </c>
      <c r="G190" s="21"/>
      <c r="H190" s="22"/>
    </row>
    <row r="191" customFormat="false" ht="15" hidden="false" customHeight="false" outlineLevel="0" collapsed="false">
      <c r="A191" s="22"/>
      <c r="B191" s="26"/>
      <c r="C191" s="28"/>
      <c r="D191" s="24"/>
      <c r="E191" s="24"/>
      <c r="F191" s="30" t="str">
        <f aca="false">IF(D191="","",D191-N(E191))</f>
        <v/>
      </c>
      <c r="G191" s="21"/>
      <c r="H191" s="22"/>
    </row>
    <row r="192" customFormat="false" ht="15" hidden="false" customHeight="false" outlineLevel="0" collapsed="false">
      <c r="A192" s="22"/>
      <c r="B192" s="26"/>
      <c r="C192" s="28"/>
      <c r="D192" s="24"/>
      <c r="E192" s="24"/>
      <c r="F192" s="30" t="str">
        <f aca="false">IF(D192="","",D192-N(E192))</f>
        <v/>
      </c>
      <c r="G192" s="21"/>
      <c r="H192" s="22"/>
    </row>
    <row r="193" customFormat="false" ht="15" hidden="false" customHeight="false" outlineLevel="0" collapsed="false">
      <c r="A193" s="22"/>
      <c r="B193" s="26"/>
      <c r="C193" s="28"/>
      <c r="D193" s="24"/>
      <c r="E193" s="24"/>
      <c r="F193" s="30" t="str">
        <f aca="false">IF(D193="","",D193-N(E193))</f>
        <v/>
      </c>
      <c r="G193" s="21"/>
      <c r="H193" s="22"/>
    </row>
    <row r="194" customFormat="false" ht="15" hidden="false" customHeight="false" outlineLevel="0" collapsed="false">
      <c r="A194" s="22"/>
      <c r="B194" s="26"/>
      <c r="C194" s="28"/>
      <c r="D194" s="24"/>
      <c r="E194" s="24"/>
      <c r="F194" s="30" t="str">
        <f aca="false">IF(D194="","",D194-N(E194))</f>
        <v/>
      </c>
      <c r="G194" s="21"/>
      <c r="H194" s="22"/>
    </row>
    <row r="195" customFormat="false" ht="15" hidden="false" customHeight="false" outlineLevel="0" collapsed="false">
      <c r="A195" s="22"/>
      <c r="B195" s="26"/>
      <c r="C195" s="28"/>
      <c r="D195" s="24"/>
      <c r="E195" s="24"/>
      <c r="F195" s="30" t="str">
        <f aca="false">IF(D195="","",D195-N(E195))</f>
        <v/>
      </c>
      <c r="G195" s="21"/>
      <c r="H195" s="22"/>
    </row>
    <row r="196" customFormat="false" ht="15" hidden="false" customHeight="false" outlineLevel="0" collapsed="false">
      <c r="A196" s="22"/>
      <c r="B196" s="26"/>
      <c r="C196" s="28"/>
      <c r="D196" s="24"/>
      <c r="E196" s="24"/>
      <c r="F196" s="30" t="str">
        <f aca="false">IF(D196="","",D196-N(E196))</f>
        <v/>
      </c>
      <c r="G196" s="21"/>
      <c r="H196" s="22"/>
    </row>
    <row r="197" customFormat="false" ht="15" hidden="false" customHeight="false" outlineLevel="0" collapsed="false">
      <c r="A197" s="22"/>
      <c r="B197" s="26"/>
      <c r="C197" s="28"/>
      <c r="D197" s="24"/>
      <c r="E197" s="24"/>
      <c r="F197" s="30" t="str">
        <f aca="false">IF(D197="","",D197-N(E197))</f>
        <v/>
      </c>
      <c r="G197" s="21"/>
      <c r="H197" s="22"/>
    </row>
    <row r="198" customFormat="false" ht="15" hidden="false" customHeight="false" outlineLevel="0" collapsed="false">
      <c r="A198" s="22"/>
      <c r="B198" s="26"/>
      <c r="C198" s="28"/>
      <c r="D198" s="24"/>
      <c r="E198" s="24"/>
      <c r="F198" s="30" t="str">
        <f aca="false">IF(D198="","",D198-N(E198))</f>
        <v/>
      </c>
      <c r="G198" s="21"/>
      <c r="H198" s="22"/>
    </row>
    <row r="199" customFormat="false" ht="15" hidden="false" customHeight="false" outlineLevel="0" collapsed="false">
      <c r="A199" s="22"/>
      <c r="B199" s="26"/>
      <c r="C199" s="28"/>
      <c r="D199" s="24"/>
      <c r="E199" s="24"/>
      <c r="F199" s="30" t="str">
        <f aca="false">IF(D199="","",D199-N(E199))</f>
        <v/>
      </c>
      <c r="G199" s="21"/>
      <c r="H199" s="22"/>
    </row>
    <row r="200" customFormat="false" ht="15" hidden="false" customHeight="false" outlineLevel="0" collapsed="false">
      <c r="A200" s="22"/>
      <c r="B200" s="26"/>
      <c r="C200" s="28"/>
      <c r="D200" s="24"/>
      <c r="E200" s="24"/>
      <c r="F200" s="30" t="str">
        <f aca="false">IF(D200="","",D200-N(E200))</f>
        <v/>
      </c>
      <c r="G200" s="21"/>
      <c r="H200" s="22"/>
    </row>
    <row r="201" customFormat="false" ht="15" hidden="false" customHeight="false" outlineLevel="0" collapsed="false">
      <c r="A201" s="22"/>
      <c r="B201" s="26"/>
      <c r="C201" s="28"/>
      <c r="D201" s="24"/>
      <c r="E201" s="24"/>
      <c r="F201" s="30" t="str">
        <f aca="false">IF(D201="","",D201-N(E201))</f>
        <v/>
      </c>
      <c r="G201" s="21"/>
      <c r="H201" s="22"/>
    </row>
    <row r="202" customFormat="false" ht="15" hidden="false" customHeight="false" outlineLevel="0" collapsed="false">
      <c r="A202" s="22"/>
      <c r="B202" s="26"/>
      <c r="C202" s="28"/>
      <c r="D202" s="24"/>
      <c r="E202" s="24"/>
      <c r="F202" s="30" t="str">
        <f aca="false">IF(D202="","",D202-N(E202))</f>
        <v/>
      </c>
      <c r="G202" s="21"/>
      <c r="H202" s="22"/>
    </row>
    <row r="203" customFormat="false" ht="15" hidden="false" customHeight="false" outlineLevel="0" collapsed="false">
      <c r="A203" s="22"/>
      <c r="B203" s="26"/>
      <c r="C203" s="28"/>
      <c r="D203" s="24"/>
      <c r="E203" s="24"/>
      <c r="F203" s="30" t="str">
        <f aca="false">IF(D203="","",D203-N(E203))</f>
        <v/>
      </c>
      <c r="G203" s="21"/>
      <c r="H203" s="22"/>
    </row>
    <row r="204" customFormat="false" ht="15" hidden="false" customHeight="false" outlineLevel="0" collapsed="false">
      <c r="A204" s="22"/>
      <c r="B204" s="26"/>
      <c r="C204" s="28"/>
      <c r="D204" s="24"/>
      <c r="E204" s="24"/>
      <c r="F204" s="30" t="str">
        <f aca="false">IF(D204="","",D204-N(E204))</f>
        <v/>
      </c>
      <c r="G204" s="21"/>
      <c r="H204" s="22"/>
    </row>
    <row r="205" customFormat="false" ht="15" hidden="false" customHeight="false" outlineLevel="0" collapsed="false">
      <c r="A205" s="22"/>
      <c r="B205" s="26"/>
      <c r="C205" s="28"/>
      <c r="D205" s="24"/>
      <c r="E205" s="24"/>
      <c r="F205" s="30" t="str">
        <f aca="false">IF(D205="","",D205-N(E205))</f>
        <v/>
      </c>
      <c r="G205" s="21"/>
      <c r="H205" s="22"/>
    </row>
    <row r="206" customFormat="false" ht="15" hidden="false" customHeight="false" outlineLevel="0" collapsed="false">
      <c r="A206" s="22"/>
      <c r="B206" s="26"/>
      <c r="C206" s="28"/>
      <c r="D206" s="24"/>
      <c r="E206" s="24"/>
      <c r="F206" s="30" t="str">
        <f aca="false">IF(D206="","",D206-N(E206))</f>
        <v/>
      </c>
      <c r="G206" s="21"/>
      <c r="H206" s="22"/>
    </row>
    <row r="207" customFormat="false" ht="15" hidden="false" customHeight="false" outlineLevel="0" collapsed="false">
      <c r="A207" s="22"/>
      <c r="B207" s="26"/>
      <c r="C207" s="28"/>
      <c r="D207" s="24"/>
      <c r="E207" s="24"/>
      <c r="F207" s="30" t="str">
        <f aca="false">IF(D207="","",D207-N(E207))</f>
        <v/>
      </c>
      <c r="G207" s="21"/>
      <c r="H207" s="22"/>
    </row>
    <row r="208" customFormat="false" ht="15" hidden="false" customHeight="false" outlineLevel="0" collapsed="false">
      <c r="A208" s="22"/>
      <c r="B208" s="26"/>
      <c r="C208" s="28"/>
      <c r="D208" s="24"/>
      <c r="E208" s="24"/>
      <c r="F208" s="30" t="str">
        <f aca="false">IF(D208="","",D208-N(E208))</f>
        <v/>
      </c>
      <c r="G208" s="21"/>
      <c r="H208" s="22"/>
    </row>
    <row r="209" customFormat="false" ht="15" hidden="false" customHeight="false" outlineLevel="0" collapsed="false">
      <c r="A209" s="22"/>
      <c r="B209" s="26"/>
      <c r="C209" s="28"/>
      <c r="D209" s="24"/>
      <c r="E209" s="24"/>
      <c r="F209" s="30" t="str">
        <f aca="false">IF(D209="","",D209-N(E209))</f>
        <v/>
      </c>
      <c r="G209" s="21"/>
      <c r="H209" s="22"/>
    </row>
    <row r="210" customFormat="false" ht="15" hidden="false" customHeight="false" outlineLevel="0" collapsed="false">
      <c r="A210" s="22"/>
      <c r="B210" s="26"/>
      <c r="C210" s="28"/>
      <c r="D210" s="24"/>
      <c r="E210" s="24"/>
      <c r="F210" s="30" t="str">
        <f aca="false">IF(D210="","",D210-N(E210))</f>
        <v/>
      </c>
      <c r="G210" s="21"/>
      <c r="H210" s="22"/>
    </row>
    <row r="211" customFormat="false" ht="15" hidden="false" customHeight="false" outlineLevel="0" collapsed="false">
      <c r="A211" s="22"/>
      <c r="B211" s="26"/>
      <c r="C211" s="28"/>
      <c r="D211" s="24"/>
      <c r="E211" s="24"/>
      <c r="F211" s="30" t="str">
        <f aca="false">IF(D211="","",D211-N(E211))</f>
        <v/>
      </c>
      <c r="G211" s="21"/>
      <c r="H211" s="22"/>
    </row>
    <row r="212" customFormat="false" ht="15" hidden="false" customHeight="false" outlineLevel="0" collapsed="false">
      <c r="A212" s="22"/>
      <c r="B212" s="26"/>
      <c r="C212" s="28"/>
      <c r="D212" s="24"/>
      <c r="E212" s="24"/>
      <c r="F212" s="30" t="str">
        <f aca="false">IF(D212="","",D212-N(E212))</f>
        <v/>
      </c>
      <c r="G212" s="21"/>
      <c r="H212" s="22"/>
    </row>
    <row r="213" customFormat="false" ht="15" hidden="false" customHeight="false" outlineLevel="0" collapsed="false">
      <c r="A213" s="22"/>
      <c r="B213" s="26"/>
      <c r="C213" s="28"/>
      <c r="D213" s="24"/>
      <c r="E213" s="24"/>
      <c r="F213" s="30" t="str">
        <f aca="false">IF(D213="","",D213-N(E213))</f>
        <v/>
      </c>
      <c r="G213" s="21"/>
      <c r="H213" s="22"/>
    </row>
    <row r="214" customFormat="false" ht="15" hidden="false" customHeight="false" outlineLevel="0" collapsed="false">
      <c r="A214" s="22"/>
      <c r="B214" s="26"/>
      <c r="C214" s="28"/>
      <c r="D214" s="24"/>
      <c r="E214" s="24"/>
      <c r="F214" s="30" t="str">
        <f aca="false">IF(D214="","",D214-N(E214))</f>
        <v/>
      </c>
      <c r="G214" s="21"/>
      <c r="H214" s="22"/>
    </row>
    <row r="215" customFormat="false" ht="15" hidden="false" customHeight="false" outlineLevel="0" collapsed="false">
      <c r="A215" s="22"/>
      <c r="B215" s="26"/>
      <c r="C215" s="28"/>
      <c r="D215" s="24"/>
      <c r="E215" s="24"/>
      <c r="F215" s="30" t="str">
        <f aca="false">IF(D215="","",D215-N(E215))</f>
        <v/>
      </c>
      <c r="G215" s="21"/>
      <c r="H215" s="22"/>
    </row>
    <row r="216" customFormat="false" ht="15" hidden="false" customHeight="false" outlineLevel="0" collapsed="false">
      <c r="A216" s="22"/>
      <c r="B216" s="26"/>
      <c r="C216" s="28"/>
      <c r="D216" s="24"/>
      <c r="E216" s="24"/>
      <c r="F216" s="30" t="str">
        <f aca="false">IF(D216="","",D216-N(E216))</f>
        <v/>
      </c>
      <c r="G216" s="21"/>
      <c r="H216" s="22"/>
    </row>
    <row r="217" customFormat="false" ht="15" hidden="false" customHeight="false" outlineLevel="0" collapsed="false">
      <c r="A217" s="22"/>
      <c r="B217" s="26"/>
      <c r="C217" s="28"/>
      <c r="D217" s="24"/>
      <c r="E217" s="24"/>
      <c r="F217" s="30" t="str">
        <f aca="false">IF(D217="","",D217-N(E217))</f>
        <v/>
      </c>
      <c r="G217" s="21"/>
      <c r="H217" s="22"/>
    </row>
    <row r="218" customFormat="false" ht="15" hidden="false" customHeight="false" outlineLevel="0" collapsed="false">
      <c r="A218" s="22"/>
      <c r="B218" s="26"/>
      <c r="C218" s="28"/>
      <c r="D218" s="24"/>
      <c r="E218" s="24"/>
      <c r="F218" s="30" t="str">
        <f aca="false">IF(D218="","",D218-N(E218))</f>
        <v/>
      </c>
      <c r="G218" s="21"/>
      <c r="H218" s="22"/>
    </row>
    <row r="219" customFormat="false" ht="15" hidden="false" customHeight="false" outlineLevel="0" collapsed="false">
      <c r="A219" s="22"/>
      <c r="B219" s="26"/>
      <c r="C219" s="28"/>
      <c r="D219" s="24"/>
      <c r="E219" s="24"/>
      <c r="F219" s="30" t="str">
        <f aca="false">IF(D219="","",D219-N(E219))</f>
        <v/>
      </c>
      <c r="G219" s="21"/>
      <c r="H219" s="22"/>
    </row>
    <row r="220" customFormat="false" ht="15" hidden="false" customHeight="false" outlineLevel="0" collapsed="false">
      <c r="A220" s="22"/>
      <c r="B220" s="26"/>
      <c r="C220" s="28"/>
      <c r="D220" s="24"/>
      <c r="E220" s="24"/>
      <c r="F220" s="30" t="str">
        <f aca="false">IF(D220="","",D220-N(E220))</f>
        <v/>
      </c>
      <c r="G220" s="21"/>
      <c r="H220" s="22"/>
    </row>
    <row r="221" customFormat="false" ht="15" hidden="false" customHeight="false" outlineLevel="0" collapsed="false">
      <c r="A221" s="22"/>
      <c r="B221" s="26"/>
      <c r="C221" s="28"/>
      <c r="D221" s="24"/>
      <c r="E221" s="24"/>
      <c r="F221" s="30" t="str">
        <f aca="false">IF(D221="","",D221-N(E221))</f>
        <v/>
      </c>
      <c r="G221" s="21"/>
      <c r="H221" s="22"/>
    </row>
    <row r="222" customFormat="false" ht="15" hidden="false" customHeight="false" outlineLevel="0" collapsed="false">
      <c r="A222" s="22"/>
      <c r="B222" s="26"/>
      <c r="C222" s="28"/>
      <c r="D222" s="24"/>
      <c r="E222" s="24"/>
      <c r="F222" s="30" t="str">
        <f aca="false">IF(D222="","",D222-N(E222))</f>
        <v/>
      </c>
      <c r="G222" s="21"/>
      <c r="H222" s="22"/>
    </row>
    <row r="223" customFormat="false" ht="15" hidden="false" customHeight="false" outlineLevel="0" collapsed="false">
      <c r="A223" s="22"/>
      <c r="B223" s="26"/>
      <c r="C223" s="28"/>
      <c r="D223" s="24"/>
      <c r="E223" s="24"/>
      <c r="F223" s="30" t="str">
        <f aca="false">IF(D223="","",D223-N(E223))</f>
        <v/>
      </c>
      <c r="G223" s="21"/>
      <c r="H223" s="22"/>
    </row>
    <row r="224" customFormat="false" ht="15" hidden="false" customHeight="false" outlineLevel="0" collapsed="false">
      <c r="A224" s="22"/>
      <c r="B224" s="26"/>
      <c r="C224" s="28"/>
      <c r="D224" s="24"/>
      <c r="E224" s="24"/>
      <c r="F224" s="30" t="str">
        <f aca="false">IF(D224="","",D224-N(E224))</f>
        <v/>
      </c>
      <c r="G224" s="21"/>
      <c r="H224" s="22"/>
    </row>
    <row r="225" customFormat="false" ht="15" hidden="false" customHeight="false" outlineLevel="0" collapsed="false">
      <c r="A225" s="22"/>
      <c r="B225" s="26"/>
      <c r="C225" s="28"/>
      <c r="D225" s="24"/>
      <c r="E225" s="24"/>
      <c r="F225" s="30" t="str">
        <f aca="false">IF(D225="","",D225-N(E225))</f>
        <v/>
      </c>
      <c r="G225" s="21"/>
      <c r="H225" s="22"/>
    </row>
    <row r="226" customFormat="false" ht="15" hidden="false" customHeight="false" outlineLevel="0" collapsed="false">
      <c r="A226" s="22"/>
      <c r="B226" s="26"/>
      <c r="C226" s="28"/>
      <c r="D226" s="24"/>
      <c r="E226" s="24"/>
      <c r="F226" s="30" t="str">
        <f aca="false">IF(D226="","",D226-N(E226))</f>
        <v/>
      </c>
      <c r="G226" s="21"/>
      <c r="H226" s="22"/>
    </row>
    <row r="227" customFormat="false" ht="15" hidden="false" customHeight="false" outlineLevel="0" collapsed="false">
      <c r="A227" s="22"/>
      <c r="B227" s="26"/>
      <c r="C227" s="28"/>
      <c r="D227" s="24"/>
      <c r="E227" s="24"/>
      <c r="F227" s="30" t="str">
        <f aca="false">IF(D227="","",D227-N(E227))</f>
        <v/>
      </c>
      <c r="G227" s="21"/>
      <c r="H227" s="22"/>
    </row>
    <row r="228" customFormat="false" ht="15" hidden="false" customHeight="false" outlineLevel="0" collapsed="false">
      <c r="A228" s="22"/>
      <c r="B228" s="26"/>
      <c r="C228" s="28"/>
      <c r="D228" s="24"/>
      <c r="E228" s="24"/>
      <c r="F228" s="30" t="str">
        <f aca="false">IF(D228="","",D228-N(E228))</f>
        <v/>
      </c>
      <c r="G228" s="21"/>
      <c r="H228" s="22"/>
    </row>
    <row r="229" customFormat="false" ht="15" hidden="false" customHeight="false" outlineLevel="0" collapsed="false">
      <c r="A229" s="22"/>
      <c r="B229" s="26"/>
      <c r="C229" s="28"/>
      <c r="D229" s="24"/>
      <c r="E229" s="24"/>
      <c r="F229" s="30" t="str">
        <f aca="false">IF(D229="","",D229-N(E229))</f>
        <v/>
      </c>
      <c r="G229" s="21"/>
      <c r="H229" s="22"/>
    </row>
    <row r="230" customFormat="false" ht="15" hidden="false" customHeight="false" outlineLevel="0" collapsed="false">
      <c r="A230" s="22"/>
      <c r="B230" s="26"/>
      <c r="C230" s="28"/>
      <c r="D230" s="24"/>
      <c r="E230" s="24"/>
      <c r="F230" s="30" t="str">
        <f aca="false">IF(D230="","",D230-N(E230))</f>
        <v/>
      </c>
      <c r="G230" s="21"/>
      <c r="H230" s="22"/>
    </row>
    <row r="231" customFormat="false" ht="15" hidden="false" customHeight="false" outlineLevel="0" collapsed="false">
      <c r="A231" s="22"/>
      <c r="B231" s="26"/>
      <c r="C231" s="28"/>
      <c r="D231" s="24"/>
      <c r="E231" s="24"/>
      <c r="F231" s="30" t="str">
        <f aca="false">IF(D231="","",D231-N(E231))</f>
        <v/>
      </c>
      <c r="G231" s="21"/>
      <c r="H231" s="22"/>
    </row>
    <row r="232" customFormat="false" ht="15" hidden="false" customHeight="false" outlineLevel="0" collapsed="false">
      <c r="A232" s="22"/>
      <c r="B232" s="26"/>
      <c r="C232" s="28"/>
      <c r="D232" s="24"/>
      <c r="E232" s="24"/>
      <c r="F232" s="30" t="str">
        <f aca="false">IF(D232="","",D232-N(E232))</f>
        <v/>
      </c>
      <c r="G232" s="21"/>
      <c r="H232" s="22"/>
    </row>
    <row r="233" customFormat="false" ht="15" hidden="false" customHeight="false" outlineLevel="0" collapsed="false">
      <c r="A233" s="22"/>
      <c r="B233" s="26"/>
      <c r="C233" s="28"/>
      <c r="D233" s="24"/>
      <c r="E233" s="24"/>
      <c r="F233" s="30" t="str">
        <f aca="false">IF(D233="","",D233-N(E233))</f>
        <v/>
      </c>
      <c r="G233" s="21"/>
      <c r="H233" s="22"/>
    </row>
    <row r="234" customFormat="false" ht="15" hidden="false" customHeight="false" outlineLevel="0" collapsed="false">
      <c r="A234" s="22"/>
      <c r="B234" s="26"/>
      <c r="C234" s="28"/>
      <c r="D234" s="24"/>
      <c r="E234" s="24"/>
      <c r="F234" s="30" t="str">
        <f aca="false">IF(D234="","",D234-N(E234))</f>
        <v/>
      </c>
      <c r="G234" s="21"/>
      <c r="H234" s="22"/>
    </row>
    <row r="235" customFormat="false" ht="15" hidden="false" customHeight="false" outlineLevel="0" collapsed="false">
      <c r="A235" s="22"/>
      <c r="B235" s="26"/>
      <c r="C235" s="28"/>
      <c r="D235" s="24"/>
      <c r="E235" s="24"/>
      <c r="F235" s="30" t="str">
        <f aca="false">IF(D235="","",D235-N(E235))</f>
        <v/>
      </c>
      <c r="G235" s="21"/>
      <c r="H235" s="22"/>
    </row>
    <row r="236" customFormat="false" ht="15" hidden="false" customHeight="false" outlineLevel="0" collapsed="false">
      <c r="A236" s="22"/>
      <c r="B236" s="26"/>
      <c r="C236" s="28"/>
      <c r="D236" s="24"/>
      <c r="E236" s="24"/>
      <c r="F236" s="30" t="str">
        <f aca="false">IF(D236="","",D236-N(E236))</f>
        <v/>
      </c>
      <c r="G236" s="21"/>
      <c r="H236" s="22"/>
    </row>
    <row r="237" customFormat="false" ht="15" hidden="false" customHeight="false" outlineLevel="0" collapsed="false">
      <c r="A237" s="22"/>
      <c r="B237" s="26"/>
      <c r="C237" s="28"/>
      <c r="D237" s="24"/>
      <c r="E237" s="24"/>
      <c r="F237" s="30" t="str">
        <f aca="false">IF(D237="","",D237-N(E237))</f>
        <v/>
      </c>
      <c r="G237" s="21"/>
      <c r="H237" s="22"/>
    </row>
    <row r="238" customFormat="false" ht="15" hidden="false" customHeight="false" outlineLevel="0" collapsed="false">
      <c r="A238" s="22"/>
      <c r="B238" s="26"/>
      <c r="C238" s="28"/>
      <c r="D238" s="24"/>
      <c r="E238" s="24"/>
      <c r="F238" s="30" t="str">
        <f aca="false">IF(D238="","",D238-N(E238))</f>
        <v/>
      </c>
      <c r="G238" s="21"/>
      <c r="H238" s="22"/>
    </row>
    <row r="239" customFormat="false" ht="15" hidden="false" customHeight="false" outlineLevel="0" collapsed="false">
      <c r="A239" s="22"/>
      <c r="B239" s="26"/>
      <c r="C239" s="28"/>
      <c r="D239" s="24"/>
      <c r="E239" s="24"/>
      <c r="F239" s="30" t="str">
        <f aca="false">IF(D239="","",D239-N(E239))</f>
        <v/>
      </c>
      <c r="G239" s="21"/>
      <c r="H239" s="22"/>
    </row>
    <row r="240" customFormat="false" ht="15" hidden="false" customHeight="false" outlineLevel="0" collapsed="false">
      <c r="A240" s="22"/>
      <c r="B240" s="26"/>
      <c r="C240" s="28"/>
      <c r="D240" s="24"/>
      <c r="E240" s="24"/>
      <c r="F240" s="30" t="str">
        <f aca="false">IF(D240="","",D240-N(E240))</f>
        <v/>
      </c>
      <c r="G240" s="21"/>
      <c r="H240" s="22"/>
    </row>
    <row r="241" customFormat="false" ht="15" hidden="false" customHeight="false" outlineLevel="0" collapsed="false">
      <c r="A241" s="22"/>
      <c r="B241" s="26"/>
      <c r="C241" s="28"/>
      <c r="D241" s="24"/>
      <c r="E241" s="24"/>
      <c r="F241" s="30" t="str">
        <f aca="false">IF(D241="","",D241-N(E241))</f>
        <v/>
      </c>
      <c r="G241" s="21"/>
      <c r="H241" s="22"/>
    </row>
    <row r="242" customFormat="false" ht="15" hidden="false" customHeight="false" outlineLevel="0" collapsed="false">
      <c r="A242" s="22"/>
      <c r="B242" s="26"/>
      <c r="C242" s="28"/>
      <c r="D242" s="24"/>
      <c r="E242" s="24"/>
      <c r="F242" s="30" t="str">
        <f aca="false">IF(D242="","",D242-N(E242))</f>
        <v/>
      </c>
      <c r="G242" s="21"/>
      <c r="H242" s="22"/>
    </row>
    <row r="243" customFormat="false" ht="15" hidden="false" customHeight="false" outlineLevel="0" collapsed="false">
      <c r="A243" s="22"/>
      <c r="B243" s="26"/>
      <c r="C243" s="28"/>
      <c r="D243" s="24"/>
      <c r="E243" s="24"/>
      <c r="F243" s="30" t="str">
        <f aca="false">IF(D243="","",D243-N(E243))</f>
        <v/>
      </c>
      <c r="G243" s="21"/>
      <c r="H243" s="22"/>
    </row>
    <row r="244" customFormat="false" ht="15" hidden="false" customHeight="false" outlineLevel="0" collapsed="false">
      <c r="A244" s="22"/>
      <c r="B244" s="26"/>
      <c r="C244" s="28"/>
      <c r="D244" s="24"/>
      <c r="E244" s="24"/>
      <c r="F244" s="30" t="str">
        <f aca="false">IF(D244="","",D244-N(E244))</f>
        <v/>
      </c>
      <c r="G244" s="21"/>
      <c r="H244" s="22"/>
    </row>
    <row r="245" customFormat="false" ht="15" hidden="false" customHeight="false" outlineLevel="0" collapsed="false">
      <c r="A245" s="22"/>
      <c r="B245" s="26"/>
      <c r="C245" s="28"/>
      <c r="D245" s="24"/>
      <c r="E245" s="24"/>
      <c r="F245" s="30" t="str">
        <f aca="false">IF(D245="","",D245-N(E245))</f>
        <v/>
      </c>
      <c r="G245" s="21"/>
      <c r="H245" s="22"/>
    </row>
    <row r="246" customFormat="false" ht="15" hidden="false" customHeight="false" outlineLevel="0" collapsed="false">
      <c r="A246" s="22"/>
      <c r="B246" s="26"/>
      <c r="C246" s="28"/>
      <c r="D246" s="24"/>
      <c r="E246" s="24"/>
      <c r="F246" s="30" t="str">
        <f aca="false">IF(D246="","",D246-N(E246))</f>
        <v/>
      </c>
      <c r="G246" s="21"/>
      <c r="H246" s="22"/>
    </row>
    <row r="247" customFormat="false" ht="15" hidden="false" customHeight="false" outlineLevel="0" collapsed="false">
      <c r="A247" s="22"/>
      <c r="B247" s="26"/>
      <c r="C247" s="28"/>
      <c r="D247" s="24"/>
      <c r="E247" s="24"/>
      <c r="F247" s="30" t="str">
        <f aca="false">IF(D247="","",D247-N(E247))</f>
        <v/>
      </c>
      <c r="G247" s="21"/>
      <c r="H247" s="22"/>
    </row>
    <row r="248" customFormat="false" ht="15" hidden="false" customHeight="false" outlineLevel="0" collapsed="false">
      <c r="A248" s="22"/>
      <c r="B248" s="26"/>
      <c r="C248" s="28"/>
      <c r="D248" s="24"/>
      <c r="E248" s="24"/>
      <c r="F248" s="30" t="str">
        <f aca="false">IF(D248="","",D248-N(E248))</f>
        <v/>
      </c>
      <c r="G248" s="21"/>
      <c r="H248" s="22"/>
    </row>
    <row r="249" customFormat="false" ht="15" hidden="false" customHeight="false" outlineLevel="0" collapsed="false">
      <c r="A249" s="22"/>
      <c r="B249" s="26"/>
      <c r="C249" s="28"/>
      <c r="D249" s="24"/>
      <c r="E249" s="24"/>
      <c r="F249" s="30" t="str">
        <f aca="false">IF(D249="","",D249-N(E249))</f>
        <v/>
      </c>
      <c r="G249" s="21"/>
      <c r="H249" s="22"/>
    </row>
    <row r="250" customFormat="false" ht="15" hidden="false" customHeight="false" outlineLevel="0" collapsed="false">
      <c r="A250" s="22"/>
      <c r="B250" s="26"/>
      <c r="C250" s="28"/>
      <c r="D250" s="24"/>
      <c r="E250" s="24"/>
      <c r="F250" s="30" t="str">
        <f aca="false">IF(D250="","",D250-N(E250))</f>
        <v/>
      </c>
      <c r="G250" s="21"/>
      <c r="H250" s="22"/>
    </row>
    <row r="251" customFormat="false" ht="15" hidden="false" customHeight="false" outlineLevel="0" collapsed="false">
      <c r="A251" s="22"/>
      <c r="B251" s="26"/>
      <c r="C251" s="28"/>
      <c r="D251" s="24"/>
      <c r="E251" s="24"/>
      <c r="F251" s="30" t="str">
        <f aca="false">IF(D251="","",D251-N(E251))</f>
        <v/>
      </c>
      <c r="G251" s="21"/>
      <c r="H251" s="22"/>
    </row>
    <row r="252" customFormat="false" ht="15" hidden="false" customHeight="false" outlineLevel="0" collapsed="false">
      <c r="A252" s="22"/>
      <c r="B252" s="26"/>
      <c r="C252" s="28"/>
      <c r="D252" s="24"/>
      <c r="E252" s="24"/>
      <c r="F252" s="30" t="str">
        <f aca="false">IF(D252="","",D252-N(E252))</f>
        <v/>
      </c>
      <c r="G252" s="21"/>
      <c r="H252" s="22"/>
    </row>
    <row r="253" customFormat="false" ht="15" hidden="false" customHeight="false" outlineLevel="0" collapsed="false">
      <c r="A253" s="22"/>
      <c r="B253" s="26"/>
      <c r="C253" s="28"/>
      <c r="D253" s="24"/>
      <c r="E253" s="24"/>
      <c r="F253" s="30" t="str">
        <f aca="false">IF(D253="","",D253-N(E253))</f>
        <v/>
      </c>
      <c r="G253" s="21"/>
      <c r="H253" s="22"/>
    </row>
    <row r="254" customFormat="false" ht="15" hidden="false" customHeight="false" outlineLevel="0" collapsed="false">
      <c r="A254" s="22"/>
      <c r="B254" s="26"/>
      <c r="C254" s="28"/>
      <c r="D254" s="24"/>
      <c r="E254" s="24"/>
      <c r="F254" s="30" t="str">
        <f aca="false">IF(D254="","",D254-N(E254))</f>
        <v/>
      </c>
      <c r="G254" s="21"/>
      <c r="H254" s="22"/>
    </row>
    <row r="255" customFormat="false" ht="15" hidden="false" customHeight="false" outlineLevel="0" collapsed="false">
      <c r="A255" s="22"/>
      <c r="B255" s="26"/>
      <c r="C255" s="28"/>
      <c r="D255" s="24"/>
      <c r="E255" s="24"/>
      <c r="F255" s="30" t="str">
        <f aca="false">IF(D255="","",D255-N(E255))</f>
        <v/>
      </c>
      <c r="G255" s="21"/>
      <c r="H255" s="22"/>
    </row>
    <row r="256" customFormat="false" ht="15" hidden="false" customHeight="false" outlineLevel="0" collapsed="false">
      <c r="A256" s="22"/>
      <c r="B256" s="26"/>
      <c r="C256" s="28"/>
      <c r="D256" s="24"/>
      <c r="E256" s="24"/>
      <c r="F256" s="30" t="str">
        <f aca="false">IF(D256="","",D256-N(E256))</f>
        <v/>
      </c>
      <c r="G256" s="21"/>
      <c r="H256" s="22"/>
    </row>
    <row r="257" customFormat="false" ht="15" hidden="false" customHeight="false" outlineLevel="0" collapsed="false">
      <c r="A257" s="22"/>
      <c r="B257" s="26"/>
      <c r="C257" s="28"/>
      <c r="D257" s="24"/>
      <c r="E257" s="24"/>
      <c r="F257" s="30" t="str">
        <f aca="false">IF(D257="","",D257-N(E257))</f>
        <v/>
      </c>
      <c r="G257" s="21"/>
      <c r="H257" s="22"/>
    </row>
    <row r="258" customFormat="false" ht="15" hidden="false" customHeight="false" outlineLevel="0" collapsed="false">
      <c r="A258" s="22"/>
      <c r="B258" s="26"/>
      <c r="C258" s="28"/>
      <c r="D258" s="24"/>
      <c r="E258" s="24"/>
      <c r="F258" s="30" t="str">
        <f aca="false">IF(D258="","",D258-N(E258))</f>
        <v/>
      </c>
      <c r="G258" s="21"/>
      <c r="H258" s="22"/>
    </row>
    <row r="259" customFormat="false" ht="15" hidden="false" customHeight="false" outlineLevel="0" collapsed="false">
      <c r="A259" s="22"/>
      <c r="B259" s="26"/>
      <c r="C259" s="28"/>
      <c r="D259" s="24"/>
      <c r="E259" s="24"/>
      <c r="F259" s="30" t="str">
        <f aca="false">IF(D259="","",D259-N(E259))</f>
        <v/>
      </c>
      <c r="G259" s="21"/>
      <c r="H259" s="22"/>
    </row>
    <row r="260" customFormat="false" ht="15" hidden="false" customHeight="false" outlineLevel="0" collapsed="false">
      <c r="A260" s="22"/>
      <c r="B260" s="26"/>
      <c r="C260" s="28"/>
      <c r="D260" s="24"/>
      <c r="E260" s="24"/>
      <c r="F260" s="30" t="str">
        <f aca="false">IF(D260="","",D260-N(E260))</f>
        <v/>
      </c>
      <c r="G260" s="21"/>
      <c r="H260" s="22"/>
    </row>
    <row r="261" customFormat="false" ht="15" hidden="false" customHeight="false" outlineLevel="0" collapsed="false">
      <c r="A261" s="22"/>
      <c r="B261" s="26"/>
      <c r="C261" s="28"/>
      <c r="D261" s="24"/>
      <c r="E261" s="24"/>
      <c r="F261" s="30" t="str">
        <f aca="false">IF(D261="","",D261-N(E261))</f>
        <v/>
      </c>
      <c r="G261" s="21"/>
      <c r="H261" s="22"/>
    </row>
    <row r="262" customFormat="false" ht="15" hidden="false" customHeight="false" outlineLevel="0" collapsed="false">
      <c r="A262" s="22"/>
      <c r="B262" s="26"/>
      <c r="C262" s="28"/>
      <c r="D262" s="24"/>
      <c r="E262" s="24"/>
      <c r="F262" s="30" t="str">
        <f aca="false">IF(D262="","",D262-N(E262))</f>
        <v/>
      </c>
      <c r="G262" s="21"/>
      <c r="H262" s="22"/>
    </row>
    <row r="263" customFormat="false" ht="15" hidden="false" customHeight="false" outlineLevel="0" collapsed="false">
      <c r="A263" s="22"/>
      <c r="B263" s="26"/>
      <c r="C263" s="28"/>
      <c r="D263" s="24"/>
      <c r="E263" s="24"/>
      <c r="F263" s="30" t="str">
        <f aca="false">IF(D263="","",D263-N(E263))</f>
        <v/>
      </c>
      <c r="G263" s="21"/>
      <c r="H263" s="22"/>
    </row>
    <row r="264" customFormat="false" ht="15" hidden="false" customHeight="false" outlineLevel="0" collapsed="false">
      <c r="A264" s="22"/>
      <c r="B264" s="26"/>
      <c r="C264" s="28"/>
      <c r="D264" s="24"/>
      <c r="E264" s="24"/>
      <c r="F264" s="30" t="str">
        <f aca="false">IF(D264="","",D264-N(E264))</f>
        <v/>
      </c>
      <c r="G264" s="21"/>
      <c r="H264" s="22"/>
    </row>
    <row r="265" customFormat="false" ht="15" hidden="false" customHeight="false" outlineLevel="0" collapsed="false">
      <c r="A265" s="22"/>
      <c r="B265" s="26"/>
      <c r="C265" s="28"/>
      <c r="D265" s="24"/>
      <c r="E265" s="24"/>
      <c r="F265" s="30" t="str">
        <f aca="false">IF(D265="","",D265-N(E265))</f>
        <v/>
      </c>
      <c r="G265" s="21"/>
      <c r="H265" s="22"/>
    </row>
    <row r="266" customFormat="false" ht="15" hidden="false" customHeight="false" outlineLevel="0" collapsed="false">
      <c r="A266" s="22"/>
      <c r="B266" s="26"/>
      <c r="C266" s="28"/>
      <c r="D266" s="24"/>
      <c r="E266" s="24"/>
      <c r="F266" s="30" t="str">
        <f aca="false">IF(D266="","",D266-N(E266))</f>
        <v/>
      </c>
      <c r="G266" s="21"/>
      <c r="H266" s="22"/>
    </row>
    <row r="267" customFormat="false" ht="15" hidden="false" customHeight="false" outlineLevel="0" collapsed="false">
      <c r="A267" s="22"/>
      <c r="B267" s="26"/>
      <c r="C267" s="28"/>
      <c r="D267" s="24"/>
      <c r="E267" s="24"/>
      <c r="F267" s="30" t="str">
        <f aca="false">IF(D267="","",D267-N(E267))</f>
        <v/>
      </c>
      <c r="G267" s="21"/>
      <c r="H267" s="22"/>
    </row>
    <row r="268" customFormat="false" ht="15" hidden="false" customHeight="false" outlineLevel="0" collapsed="false">
      <c r="A268" s="22"/>
      <c r="B268" s="26"/>
      <c r="C268" s="28"/>
      <c r="D268" s="24"/>
      <c r="E268" s="24"/>
      <c r="F268" s="30" t="str">
        <f aca="false">IF(D268="","",D268-N(E268))</f>
        <v/>
      </c>
      <c r="G268" s="21"/>
      <c r="H268" s="22"/>
    </row>
    <row r="269" customFormat="false" ht="15" hidden="false" customHeight="false" outlineLevel="0" collapsed="false">
      <c r="A269" s="22"/>
      <c r="B269" s="26"/>
      <c r="C269" s="28"/>
      <c r="D269" s="24"/>
      <c r="E269" s="24"/>
      <c r="F269" s="30" t="str">
        <f aca="false">IF(D269="","",D269-N(E269))</f>
        <v/>
      </c>
      <c r="G269" s="21"/>
      <c r="H269" s="22"/>
    </row>
    <row r="270" customFormat="false" ht="15" hidden="false" customHeight="false" outlineLevel="0" collapsed="false">
      <c r="A270" s="22"/>
      <c r="B270" s="26"/>
      <c r="C270" s="28"/>
      <c r="D270" s="24"/>
      <c r="E270" s="24"/>
      <c r="F270" s="30" t="str">
        <f aca="false">IF(D270="","",D270-N(E270))</f>
        <v/>
      </c>
      <c r="G270" s="21"/>
      <c r="H270" s="22"/>
    </row>
    <row r="271" customFormat="false" ht="15" hidden="false" customHeight="false" outlineLevel="0" collapsed="false">
      <c r="A271" s="22"/>
      <c r="B271" s="26"/>
      <c r="C271" s="28"/>
      <c r="D271" s="24"/>
      <c r="E271" s="24"/>
      <c r="F271" s="30" t="str">
        <f aca="false">IF(D271="","",D271-N(E271))</f>
        <v/>
      </c>
      <c r="G271" s="21"/>
      <c r="H271" s="22"/>
    </row>
    <row r="272" customFormat="false" ht="15" hidden="false" customHeight="false" outlineLevel="0" collapsed="false">
      <c r="A272" s="22"/>
      <c r="B272" s="26"/>
      <c r="C272" s="28"/>
      <c r="D272" s="24"/>
      <c r="E272" s="24"/>
      <c r="F272" s="30" t="str">
        <f aca="false">IF(D272="","",D272-N(E272))</f>
        <v/>
      </c>
      <c r="G272" s="21"/>
      <c r="H272" s="22"/>
    </row>
    <row r="273" customFormat="false" ht="15" hidden="false" customHeight="false" outlineLevel="0" collapsed="false">
      <c r="A273" s="22"/>
      <c r="B273" s="26"/>
      <c r="C273" s="28"/>
      <c r="D273" s="24"/>
      <c r="E273" s="24"/>
      <c r="F273" s="30" t="str">
        <f aca="false">IF(D273="","",D273-N(E273))</f>
        <v/>
      </c>
      <c r="G273" s="21"/>
      <c r="H273" s="22"/>
    </row>
    <row r="274" customFormat="false" ht="15" hidden="false" customHeight="false" outlineLevel="0" collapsed="false">
      <c r="A274" s="22"/>
      <c r="B274" s="26"/>
      <c r="C274" s="28"/>
      <c r="D274" s="24"/>
      <c r="E274" s="24"/>
      <c r="F274" s="30" t="str">
        <f aca="false">IF(D274="","",D274-N(E274))</f>
        <v/>
      </c>
      <c r="G274" s="21"/>
      <c r="H274" s="22"/>
    </row>
    <row r="275" customFormat="false" ht="15" hidden="false" customHeight="false" outlineLevel="0" collapsed="false">
      <c r="A275" s="22"/>
      <c r="B275" s="26"/>
      <c r="C275" s="28"/>
      <c r="D275" s="24"/>
      <c r="E275" s="24"/>
      <c r="F275" s="30" t="str">
        <f aca="false">IF(D275="","",D275-N(E275))</f>
        <v/>
      </c>
      <c r="G275" s="21"/>
      <c r="H275" s="22"/>
    </row>
    <row r="276" customFormat="false" ht="15" hidden="false" customHeight="false" outlineLevel="0" collapsed="false">
      <c r="A276" s="22"/>
      <c r="B276" s="26"/>
      <c r="C276" s="28"/>
      <c r="D276" s="24"/>
      <c r="E276" s="24"/>
      <c r="F276" s="30" t="str">
        <f aca="false">IF(D276="","",D276-N(E276))</f>
        <v/>
      </c>
      <c r="G276" s="21"/>
      <c r="H276" s="22"/>
    </row>
    <row r="277" customFormat="false" ht="15" hidden="false" customHeight="false" outlineLevel="0" collapsed="false">
      <c r="A277" s="22"/>
      <c r="B277" s="26"/>
      <c r="C277" s="28"/>
      <c r="D277" s="24"/>
      <c r="E277" s="24"/>
      <c r="F277" s="30" t="str">
        <f aca="false">IF(D277="","",D277-N(E277))</f>
        <v/>
      </c>
      <c r="G277" s="21"/>
      <c r="H277" s="22"/>
    </row>
    <row r="278" customFormat="false" ht="15" hidden="false" customHeight="false" outlineLevel="0" collapsed="false">
      <c r="A278" s="22"/>
      <c r="B278" s="26"/>
      <c r="C278" s="28"/>
      <c r="D278" s="24"/>
      <c r="E278" s="24"/>
      <c r="F278" s="30" t="str">
        <f aca="false">IF(D278="","",D278-N(E278))</f>
        <v/>
      </c>
      <c r="G278" s="21"/>
      <c r="H278" s="22"/>
    </row>
    <row r="279" customFormat="false" ht="15" hidden="false" customHeight="false" outlineLevel="0" collapsed="false">
      <c r="A279" s="22"/>
      <c r="B279" s="26"/>
      <c r="C279" s="28"/>
      <c r="D279" s="24"/>
      <c r="E279" s="24"/>
      <c r="F279" s="30" t="str">
        <f aca="false">IF(D279="","",D279-N(E279))</f>
        <v/>
      </c>
      <c r="G279" s="21"/>
      <c r="H279" s="22"/>
    </row>
    <row r="280" customFormat="false" ht="15" hidden="false" customHeight="false" outlineLevel="0" collapsed="false">
      <c r="A280" s="22"/>
      <c r="B280" s="26"/>
      <c r="C280" s="28"/>
      <c r="D280" s="24"/>
      <c r="E280" s="24"/>
      <c r="F280" s="30" t="str">
        <f aca="false">IF(D280="","",D280-N(E280))</f>
        <v/>
      </c>
      <c r="G280" s="21"/>
      <c r="H280" s="22"/>
    </row>
    <row r="281" customFormat="false" ht="15" hidden="false" customHeight="false" outlineLevel="0" collapsed="false">
      <c r="A281" s="22"/>
      <c r="B281" s="26"/>
      <c r="C281" s="28"/>
      <c r="D281" s="24"/>
      <c r="E281" s="24"/>
      <c r="F281" s="30" t="str">
        <f aca="false">IF(D281="","",D281-N(E281))</f>
        <v/>
      </c>
      <c r="G281" s="21"/>
      <c r="H281" s="22"/>
    </row>
    <row r="282" customFormat="false" ht="15" hidden="false" customHeight="false" outlineLevel="0" collapsed="false">
      <c r="A282" s="22"/>
      <c r="B282" s="26"/>
      <c r="C282" s="28"/>
      <c r="D282" s="24"/>
      <c r="E282" s="24"/>
      <c r="F282" s="30" t="str">
        <f aca="false">IF(D282="","",D282-N(E282))</f>
        <v/>
      </c>
      <c r="G282" s="21"/>
      <c r="H282" s="22"/>
    </row>
    <row r="283" customFormat="false" ht="15" hidden="false" customHeight="false" outlineLevel="0" collapsed="false">
      <c r="A283" s="22"/>
      <c r="B283" s="26"/>
      <c r="C283" s="28"/>
      <c r="D283" s="24"/>
      <c r="E283" s="24"/>
      <c r="F283" s="30" t="str">
        <f aca="false">IF(D283="","",D283-N(E283))</f>
        <v/>
      </c>
      <c r="G283" s="21"/>
      <c r="H283" s="22"/>
    </row>
    <row r="284" customFormat="false" ht="15" hidden="false" customHeight="false" outlineLevel="0" collapsed="false">
      <c r="A284" s="22"/>
      <c r="B284" s="26"/>
      <c r="C284" s="28"/>
      <c r="D284" s="24"/>
      <c r="E284" s="24"/>
      <c r="F284" s="30" t="str">
        <f aca="false">IF(D284="","",D284-N(E284))</f>
        <v/>
      </c>
      <c r="G284" s="21"/>
      <c r="H284" s="22"/>
    </row>
    <row r="285" customFormat="false" ht="15" hidden="false" customHeight="false" outlineLevel="0" collapsed="false">
      <c r="A285" s="22"/>
      <c r="B285" s="26"/>
      <c r="C285" s="28"/>
      <c r="D285" s="24"/>
      <c r="E285" s="24"/>
      <c r="F285" s="30" t="str">
        <f aca="false">IF(D285="","",D285-N(E285))</f>
        <v/>
      </c>
      <c r="G285" s="21"/>
      <c r="H285" s="22"/>
    </row>
    <row r="286" customFormat="false" ht="15" hidden="false" customHeight="false" outlineLevel="0" collapsed="false">
      <c r="A286" s="22"/>
      <c r="B286" s="26"/>
      <c r="C286" s="28"/>
      <c r="D286" s="24"/>
      <c r="E286" s="24"/>
      <c r="F286" s="30" t="str">
        <f aca="false">IF(D286="","",D286-N(E286))</f>
        <v/>
      </c>
      <c r="G286" s="21"/>
      <c r="H286" s="22"/>
    </row>
    <row r="287" customFormat="false" ht="15" hidden="false" customHeight="false" outlineLevel="0" collapsed="false">
      <c r="A287" s="22"/>
      <c r="B287" s="26"/>
      <c r="C287" s="28"/>
      <c r="D287" s="24"/>
      <c r="E287" s="24"/>
      <c r="F287" s="30" t="str">
        <f aca="false">IF(D287="","",D287-N(E287))</f>
        <v/>
      </c>
      <c r="G287" s="21"/>
      <c r="H287" s="22"/>
    </row>
    <row r="288" customFormat="false" ht="15" hidden="false" customHeight="false" outlineLevel="0" collapsed="false">
      <c r="A288" s="22"/>
      <c r="B288" s="26"/>
      <c r="C288" s="28"/>
      <c r="D288" s="24"/>
      <c r="E288" s="24"/>
      <c r="F288" s="30" t="str">
        <f aca="false">IF(D288="","",D288-N(E288))</f>
        <v/>
      </c>
      <c r="G288" s="21"/>
      <c r="H288" s="22"/>
    </row>
    <row r="289" customFormat="false" ht="15" hidden="false" customHeight="false" outlineLevel="0" collapsed="false">
      <c r="A289" s="22"/>
      <c r="B289" s="26"/>
      <c r="C289" s="28"/>
      <c r="D289" s="24"/>
      <c r="E289" s="24"/>
      <c r="F289" s="30" t="str">
        <f aca="false">IF(D289="","",D289-N(E289))</f>
        <v/>
      </c>
      <c r="G289" s="21"/>
      <c r="H289" s="22"/>
    </row>
    <row r="290" customFormat="false" ht="15" hidden="false" customHeight="false" outlineLevel="0" collapsed="false">
      <c r="A290" s="22"/>
      <c r="B290" s="26"/>
      <c r="C290" s="28"/>
      <c r="D290" s="24"/>
      <c r="E290" s="24"/>
      <c r="F290" s="30" t="str">
        <f aca="false">IF(D290="","",D290-N(E290))</f>
        <v/>
      </c>
      <c r="G290" s="21"/>
      <c r="H290" s="22"/>
    </row>
    <row r="291" customFormat="false" ht="15" hidden="false" customHeight="false" outlineLevel="0" collapsed="false">
      <c r="A291" s="22"/>
      <c r="B291" s="26"/>
      <c r="C291" s="28"/>
      <c r="D291" s="24"/>
      <c r="E291" s="24"/>
      <c r="F291" s="30" t="str">
        <f aca="false">IF(D291="","",D291-N(E291))</f>
        <v/>
      </c>
      <c r="G291" s="21"/>
      <c r="H291" s="22"/>
    </row>
    <row r="292" customFormat="false" ht="15" hidden="false" customHeight="false" outlineLevel="0" collapsed="false">
      <c r="A292" s="22"/>
      <c r="B292" s="26"/>
      <c r="C292" s="28"/>
      <c r="D292" s="24"/>
      <c r="E292" s="24"/>
      <c r="F292" s="30" t="str">
        <f aca="false">IF(D292="","",D292-N(E292))</f>
        <v/>
      </c>
      <c r="G292" s="21"/>
      <c r="H292" s="22"/>
    </row>
    <row r="293" customFormat="false" ht="15" hidden="false" customHeight="false" outlineLevel="0" collapsed="false">
      <c r="A293" s="22"/>
      <c r="B293" s="26"/>
      <c r="C293" s="28"/>
      <c r="D293" s="24"/>
      <c r="E293" s="24"/>
      <c r="F293" s="30" t="str">
        <f aca="false">IF(D293="","",D293-N(E293))</f>
        <v/>
      </c>
      <c r="G293" s="21"/>
      <c r="H293" s="22"/>
    </row>
    <row r="294" customFormat="false" ht="15" hidden="false" customHeight="false" outlineLevel="0" collapsed="false">
      <c r="A294" s="22"/>
      <c r="B294" s="26"/>
      <c r="C294" s="28"/>
      <c r="D294" s="24"/>
      <c r="E294" s="24"/>
      <c r="F294" s="30" t="str">
        <f aca="false">IF(D294="","",D294-N(E294))</f>
        <v/>
      </c>
      <c r="G294" s="21"/>
      <c r="H294" s="22"/>
    </row>
    <row r="295" customFormat="false" ht="15" hidden="false" customHeight="false" outlineLevel="0" collapsed="false">
      <c r="A295" s="22"/>
      <c r="B295" s="26"/>
      <c r="C295" s="28"/>
      <c r="D295" s="24"/>
      <c r="E295" s="24"/>
      <c r="F295" s="30" t="str">
        <f aca="false">IF(D295="","",D295-N(E295))</f>
        <v/>
      </c>
      <c r="G295" s="21"/>
      <c r="H295" s="22"/>
    </row>
    <row r="296" customFormat="false" ht="15" hidden="false" customHeight="false" outlineLevel="0" collapsed="false">
      <c r="A296" s="22"/>
      <c r="B296" s="26"/>
      <c r="C296" s="28"/>
      <c r="D296" s="24"/>
      <c r="E296" s="24"/>
      <c r="F296" s="30" t="str">
        <f aca="false">IF(D296="","",D296-N(E296))</f>
        <v/>
      </c>
      <c r="G296" s="21"/>
      <c r="H296" s="22"/>
    </row>
    <row r="297" customFormat="false" ht="15" hidden="false" customHeight="false" outlineLevel="0" collapsed="false">
      <c r="A297" s="22"/>
      <c r="B297" s="26"/>
      <c r="C297" s="28"/>
      <c r="D297" s="24"/>
      <c r="E297" s="24"/>
      <c r="F297" s="30" t="str">
        <f aca="false">IF(D297="","",D297-N(E297))</f>
        <v/>
      </c>
      <c r="G297" s="21"/>
      <c r="H297" s="22"/>
    </row>
    <row r="298" customFormat="false" ht="15" hidden="false" customHeight="false" outlineLevel="0" collapsed="false">
      <c r="A298" s="22"/>
      <c r="B298" s="26"/>
      <c r="C298" s="28"/>
      <c r="D298" s="24"/>
      <c r="E298" s="24"/>
      <c r="F298" s="30" t="str">
        <f aca="false">IF(D298="","",D298-N(E298))</f>
        <v/>
      </c>
      <c r="G298" s="21"/>
      <c r="H298" s="22"/>
    </row>
    <row r="299" customFormat="false" ht="15" hidden="false" customHeight="false" outlineLevel="0" collapsed="false">
      <c r="A299" s="22"/>
      <c r="B299" s="26"/>
      <c r="C299" s="28"/>
      <c r="D299" s="24"/>
      <c r="E299" s="24"/>
      <c r="F299" s="30" t="str">
        <f aca="false">IF(D299="","",D299-N(E299))</f>
        <v/>
      </c>
      <c r="G299" s="21"/>
      <c r="H299" s="22"/>
    </row>
    <row r="300" customFormat="false" ht="15" hidden="false" customHeight="false" outlineLevel="0" collapsed="false">
      <c r="A300" s="22"/>
      <c r="B300" s="26"/>
      <c r="C300" s="28"/>
      <c r="D300" s="24"/>
      <c r="E300" s="24"/>
      <c r="F300" s="30" t="str">
        <f aca="false">IF(D300="","",D300-N(E300))</f>
        <v/>
      </c>
      <c r="G300" s="21"/>
      <c r="H300" s="22"/>
    </row>
  </sheetData>
  <dataValidations count="1">
    <dataValidation allowBlank="true" error="Pilih dari daftar." errorStyle="stop" errorTitle="Nilai tidak valid" operator="between" showDropDown="false" showErrorMessage="true" showInputMessage="false" sqref="G2:G300" type="list">
      <formula1>Neraca!$A$2:$A$151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E7A60"/>
    <pageSetUpPr fitToPage="false"/>
  </sheetPr>
  <dimension ref="B2:I17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12"/>
    <col collapsed="false" customWidth="true" hidden="false" outlineLevel="0" max="3" min="3" style="0" width="32"/>
    <col collapsed="false" customWidth="true" hidden="false" outlineLevel="0" max="8" min="4" style="0" width="18"/>
    <col collapsed="false" customWidth="true" hidden="false" outlineLevel="0" max="9" min="9" style="0" width="16"/>
  </cols>
  <sheetData>
    <row r="2" customFormat="false" ht="17.35" hidden="false" customHeight="false" outlineLevel="0" collapsed="false">
      <c r="B2" s="14" t="s">
        <v>255</v>
      </c>
    </row>
    <row r="3" customFormat="false" ht="15" hidden="false" customHeight="false" outlineLevel="0" collapsed="false">
      <c r="B3" s="2" t="s">
        <v>256</v>
      </c>
    </row>
    <row r="5" customFormat="false" ht="15" hidden="false" customHeight="false" outlineLevel="0" collapsed="false">
      <c r="C5" s="15" t="s">
        <v>257</v>
      </c>
      <c r="D5" s="15" t="s">
        <v>258</v>
      </c>
      <c r="E5" s="15" t="s">
        <v>259</v>
      </c>
      <c r="F5" s="15" t="s">
        <v>260</v>
      </c>
    </row>
    <row r="6" customFormat="false" ht="15" hidden="false" customHeight="false" outlineLevel="0" collapsed="false">
      <c r="C6" s="6" t="s">
        <v>261</v>
      </c>
      <c r="D6" s="31" t="n">
        <f aca="false">COUNTA(Anggota!$A$2:$A$2001)</f>
        <v>0</v>
      </c>
      <c r="E6" s="32" t="str">
        <f aca="false">"-"</f>
        <v>-</v>
      </c>
      <c r="F6" s="2" t="s">
        <v>262</v>
      </c>
    </row>
    <row r="7" customFormat="false" ht="15" hidden="false" customHeight="false" outlineLevel="0" collapsed="false">
      <c r="C7" s="6" t="s">
        <v>263</v>
      </c>
      <c r="D7" s="31" t="n">
        <f aca="false">COUNTIF(Anggota!$O$2:$O$2001,"GANDA")</f>
        <v>0</v>
      </c>
      <c r="E7" s="32" t="str">
        <f aca="false">IF(D7=0,"OK","PERBAIKI")</f>
        <v>OK</v>
      </c>
      <c r="F7" s="2" t="s">
        <v>264</v>
      </c>
    </row>
    <row r="8" customFormat="false" ht="15" hidden="false" customHeight="false" outlineLevel="0" collapsed="false">
      <c r="C8" s="6" t="s">
        <v>265</v>
      </c>
      <c r="D8" s="31" t="n">
        <f aca="false">COUNTIF(Anggota!$P$2:$P$2001,"KOSONG")</f>
        <v>0</v>
      </c>
      <c r="E8" s="32" t="str">
        <f aca="false">"-"</f>
        <v>-</v>
      </c>
      <c r="F8" s="2" t="s">
        <v>266</v>
      </c>
    </row>
    <row r="9" customFormat="false" ht="15" hidden="false" customHeight="false" outlineLevel="0" collapsed="false">
      <c r="C9" s="6" t="s">
        <v>267</v>
      </c>
      <c r="D9" s="31" t="n">
        <f aca="false">COUNTIF(Anggota!$P$2:$P$2001,"TIDAK VALID")</f>
        <v>0</v>
      </c>
      <c r="E9" s="32" t="str">
        <f aca="false">IF(D9=0,"OK","PERBAIKI")</f>
        <v>OK</v>
      </c>
      <c r="F9" s="2" t="s">
        <v>268</v>
      </c>
    </row>
    <row r="10" customFormat="false" ht="15" hidden="false" customHeight="false" outlineLevel="0" collapsed="false">
      <c r="C10" s="6" t="s">
        <v>269</v>
      </c>
      <c r="D10" s="31" t="n">
        <f aca="false">COUNTIF(Simpanan!$G$2:$G$2001,"TIDAK ADA")</f>
        <v>0</v>
      </c>
      <c r="E10" s="32" t="str">
        <f aca="false">IF(D10=0,"OK","PERBAIKI")</f>
        <v>OK</v>
      </c>
      <c r="F10" s="2" t="s">
        <v>264</v>
      </c>
    </row>
    <row r="11" customFormat="false" ht="15" hidden="false" customHeight="false" outlineLevel="0" collapsed="false">
      <c r="C11" s="6" t="s">
        <v>270</v>
      </c>
      <c r="D11" s="31" t="n">
        <f aca="false">COUNTIF(Simpanan!$F$2:$F$2001,"PRODUK?")</f>
        <v>0</v>
      </c>
      <c r="E11" s="32" t="str">
        <f aca="false">IF(D11=0,"OK","PERBAIKI")</f>
        <v>OK</v>
      </c>
      <c r="F11" s="2" t="s">
        <v>264</v>
      </c>
    </row>
    <row r="12" customFormat="false" ht="15" hidden="false" customHeight="false" outlineLevel="0" collapsed="false">
      <c r="C12" s="6" t="s">
        <v>271</v>
      </c>
      <c r="D12" s="31" t="n">
        <f aca="false">COUNTIF(Simpanan!$D$2:$D$2001,"&lt;0")</f>
        <v>0</v>
      </c>
      <c r="E12" s="32" t="str">
        <f aca="false">IF(D12=0,"OK","PERBAIKI")</f>
        <v>OK</v>
      </c>
      <c r="F12" s="2" t="s">
        <v>264</v>
      </c>
    </row>
    <row r="13" customFormat="false" ht="15" hidden="false" customHeight="false" outlineLevel="0" collapsed="false">
      <c r="C13" s="6" t="s">
        <v>272</v>
      </c>
      <c r="D13" s="31" t="n">
        <f aca="false">COUNTIF(Pembiayaan!$R$2:$R$2001,"TIDAK ADA")</f>
        <v>0</v>
      </c>
      <c r="E13" s="32" t="str">
        <f aca="false">IF(D13=0,"OK","PERBAIKI")</f>
        <v>OK</v>
      </c>
      <c r="F13" s="2" t="s">
        <v>264</v>
      </c>
    </row>
    <row r="14" customFormat="false" ht="15" hidden="false" customHeight="false" outlineLevel="0" collapsed="false">
      <c r="C14" s="6" t="s">
        <v>273</v>
      </c>
      <c r="D14" s="31" t="n">
        <f aca="false">COUNTIF(Pembiayaan!$Q$2:$Q$2001,"PRODUK?")</f>
        <v>0</v>
      </c>
      <c r="E14" s="32" t="str">
        <f aca="false">IF(D14=0,"OK","PERBAIKI")</f>
        <v>OK</v>
      </c>
      <c r="F14" s="2" t="s">
        <v>264</v>
      </c>
    </row>
    <row r="15" customFormat="false" ht="15" hidden="false" customHeight="false" outlineLevel="0" collapsed="false">
      <c r="C15" s="6" t="s">
        <v>274</v>
      </c>
      <c r="D15" s="31" t="n">
        <f aca="false">COUNTIF(Pembiayaan!$S$2:$S$2001,"SELISIH")</f>
        <v>0</v>
      </c>
      <c r="E15" s="32" t="str">
        <f aca="false">"-"</f>
        <v>-</v>
      </c>
      <c r="F15" s="2" t="s">
        <v>275</v>
      </c>
    </row>
    <row r="16" customFormat="false" ht="15" hidden="false" customHeight="false" outlineLevel="0" collapsed="false">
      <c r="C16" s="6" t="s">
        <v>276</v>
      </c>
      <c r="D16" s="33" t="n">
        <f aca="false">SUMIFS(Neraca!$G$2:$G$151,Neraca!$D$2:$D$151,"DEBIT")</f>
        <v>0</v>
      </c>
      <c r="E16" s="32" t="str">
        <f aca="false">"-"</f>
        <v>-</v>
      </c>
      <c r="F16" s="2" t="s">
        <v>262</v>
      </c>
    </row>
    <row r="17" customFormat="false" ht="15" hidden="false" customHeight="false" outlineLevel="0" collapsed="false">
      <c r="C17" s="6" t="s">
        <v>277</v>
      </c>
      <c r="D17" s="33" t="n">
        <f aca="false">SUMIFS(Neraca!$G$2:$G$151,Neraca!$D$2:$D$151,"KREDIT")</f>
        <v>0</v>
      </c>
      <c r="E17" s="32" t="str">
        <f aca="false">"-"</f>
        <v>-</v>
      </c>
      <c r="F17" s="2" t="s">
        <v>262</v>
      </c>
    </row>
    <row r="18" customFormat="false" ht="15" hidden="false" customHeight="false" outlineLevel="0" collapsed="false">
      <c r="C18" s="6" t="s">
        <v>278</v>
      </c>
      <c r="D18" s="33" t="n">
        <f aca="false">D16-D17</f>
        <v>0</v>
      </c>
      <c r="E18" s="32" t="str">
        <f aca="false">IF(ABS(D18)&lt;=Info_Koperasi!$C$10,"OK","PERBAIKI")</f>
        <v>OK</v>
      </c>
      <c r="F18" s="2" t="s">
        <v>279</v>
      </c>
    </row>
    <row r="19" customFormat="false" ht="15" hidden="false" customHeight="false" outlineLevel="0" collapsed="false">
      <c r="C19" s="6" t="s">
        <v>280</v>
      </c>
      <c r="D19" s="31" t="n">
        <f aca="false">COUNTIF($I$26:$I$175,"SELISIH")</f>
        <v>0</v>
      </c>
      <c r="E19" s="32" t="str">
        <f aca="false">IF(D19=0,"OK","PERBAIKI")</f>
        <v>OK</v>
      </c>
      <c r="F19" s="2" t="s">
        <v>264</v>
      </c>
    </row>
    <row r="20" customFormat="false" ht="15" hidden="false" customHeight="false" outlineLevel="0" collapsed="false">
      <c r="C20" s="6" t="s">
        <v>281</v>
      </c>
      <c r="D20" s="31" t="n">
        <f aca="false">COUNTA(Neraca!$A$2:$A$151)</f>
        <v>0</v>
      </c>
      <c r="E20" s="32" t="str">
        <f aca="false">IF(D20&gt;0,"OK","PERBAIKI")</f>
        <v>PERBAIKI</v>
      </c>
      <c r="F20" s="2" t="s">
        <v>282</v>
      </c>
    </row>
    <row r="21" customFormat="false" ht="15" hidden="false" customHeight="false" outlineLevel="0" collapsed="false">
      <c r="C21" s="6" t="s">
        <v>283</v>
      </c>
      <c r="D21" s="31" t="n">
        <f aca="false">IF(Info_Koperasi!$C$8="",0,1)</f>
        <v>0</v>
      </c>
      <c r="E21" s="32" t="str">
        <f aca="false">IF(D21&gt;0,"OK","PERBAIKI")</f>
        <v>PERBAIKI</v>
      </c>
      <c r="F21" s="2" t="s">
        <v>284</v>
      </c>
    </row>
    <row r="22" customFormat="false" ht="15" hidden="false" customHeight="false" outlineLevel="0" collapsed="false">
      <c r="C22" s="6" t="s">
        <v>285</v>
      </c>
      <c r="D22" s="31" t="n">
        <f aca="false">SUMPRODUCT((Penyesuaian!$A$2:$A$151&lt;&gt;"")*(Penyesuaian!$E$2:$E$151=""))</f>
        <v>0</v>
      </c>
      <c r="E22" s="32" t="str">
        <f aca="false">IF(D22=0,"OK","PERBAIKI")</f>
        <v>OK</v>
      </c>
      <c r="F22" s="2" t="s">
        <v>286</v>
      </c>
    </row>
    <row r="24" customFormat="false" ht="15" hidden="false" customHeight="false" outlineLevel="0" collapsed="false">
      <c r="B24" s="3" t="s">
        <v>287</v>
      </c>
      <c r="C24" s="34" t="s">
        <v>288</v>
      </c>
      <c r="D24" s="35" t="str">
        <f aca="false">IF(COUNTIF(E6:E22,"PERBAIKI")=0,"SIAP DISETUJUI KLIEN","BELUM SIAP")</f>
        <v>BELUM SIAP</v>
      </c>
      <c r="E24" s="35"/>
      <c r="F24" s="35"/>
    </row>
    <row r="25" customFormat="false" ht="15" hidden="false" customHeight="false" outlineLevel="0" collapsed="false">
      <c r="B25" s="36" t="s">
        <v>44</v>
      </c>
      <c r="C25" s="36" t="s">
        <v>47</v>
      </c>
      <c r="D25" s="36" t="s">
        <v>289</v>
      </c>
      <c r="E25" s="36" t="s">
        <v>290</v>
      </c>
      <c r="F25" s="36" t="s">
        <v>291</v>
      </c>
      <c r="G25" s="36" t="s">
        <v>192</v>
      </c>
      <c r="H25" s="36" t="s">
        <v>292</v>
      </c>
      <c r="I25" s="36" t="s">
        <v>259</v>
      </c>
    </row>
    <row r="26" customFormat="false" ht="15" hidden="false" customHeight="false" outlineLevel="0" collapsed="false">
      <c r="B26" s="6" t="str">
        <f aca="false">IF(Neraca!A2="","",Neraca!A2)</f>
        <v/>
      </c>
      <c r="C26" s="6" t="str">
        <f aca="false">IF(B26="","",Neraca!B2)</f>
        <v/>
      </c>
      <c r="D26" s="33" t="str">
        <f aca="false">IF(B26="","",N(Neraca!G2))</f>
        <v/>
      </c>
      <c r="E26" s="33" t="str">
        <f aca="false">IF(B26="","",SUMIFS(Simpanan!$D$2:$D$2001,Simpanan!$F$2:$F$2001,B26))</f>
        <v/>
      </c>
      <c r="F26" s="33" t="str">
        <f aca="false">IF(B26="","",SUMIFS(Pembiayaan!$H$2:$H$2001,Pembiayaan!$Q$2:$Q$2001,B26))</f>
        <v/>
      </c>
      <c r="G26" s="33" t="str">
        <f aca="false">IF(B26="","",SUMIFS(Penyesuaian!$B$2:$B$151,Penyesuaian!$A$2:$A$151,B26))</f>
        <v/>
      </c>
      <c r="H26" s="33" t="str">
        <f aca="false">IF(B26="","",IF(COUNTIF(Produk!$J$2:$J$100,B26)+COUNTIF(Pembiayaan!$O$2:$O$2001,B26)+COUNTIF(Penyesuaian!$A$2:$A$151,B26)=0,"",D26-E26-F26-G26))</f>
        <v/>
      </c>
      <c r="I26" s="6" t="str">
        <f aca="false">IF(B26="","",IF(COUNTIF(Produk!$J$2:$J$100,B26)+COUNTIF(Pembiayaan!$O$2:$O$2001,B26)+COUNTIF(Penyesuaian!$A$2:$A$151,B26)=0,"tanpa rincian",IF(ABS(H26)&lt;=Info_Koperasi!$C$10,"COCOK","SELISIH")))</f>
        <v/>
      </c>
    </row>
    <row r="27" customFormat="false" ht="15" hidden="false" customHeight="false" outlineLevel="0" collapsed="false">
      <c r="B27" s="6" t="str">
        <f aca="false">IF(Neraca!A3="","",Neraca!A3)</f>
        <v/>
      </c>
      <c r="C27" s="6" t="str">
        <f aca="false">IF(B27="","",Neraca!B3)</f>
        <v/>
      </c>
      <c r="D27" s="33" t="str">
        <f aca="false">IF(B27="","",N(Neraca!G3))</f>
        <v/>
      </c>
      <c r="E27" s="33" t="str">
        <f aca="false">IF(B27="","",SUMIFS(Simpanan!$D$2:$D$2001,Simpanan!$F$2:$F$2001,B27))</f>
        <v/>
      </c>
      <c r="F27" s="33" t="str">
        <f aca="false">IF(B27="","",SUMIFS(Pembiayaan!$H$2:$H$2001,Pembiayaan!$Q$2:$Q$2001,B27))</f>
        <v/>
      </c>
      <c r="G27" s="33" t="str">
        <f aca="false">IF(B27="","",SUMIFS(Penyesuaian!$B$2:$B$151,Penyesuaian!$A$2:$A$151,B27))</f>
        <v/>
      </c>
      <c r="H27" s="33" t="str">
        <f aca="false">IF(B27="","",IF(COUNTIF(Produk!$J$2:$J$100,B27)+COUNTIF(Pembiayaan!$O$2:$O$2001,B27)+COUNTIF(Penyesuaian!$A$2:$A$151,B27)=0,"",D27-E27-F27-G27))</f>
        <v/>
      </c>
      <c r="I27" s="6" t="str">
        <f aca="false">IF(B27="","",IF(COUNTIF(Produk!$J$2:$J$100,B27)+COUNTIF(Pembiayaan!$O$2:$O$2001,B27)+COUNTIF(Penyesuaian!$A$2:$A$151,B27)=0,"tanpa rincian",IF(ABS(H27)&lt;=Info_Koperasi!$C$10,"COCOK","SELISIH")))</f>
        <v/>
      </c>
    </row>
    <row r="28" customFormat="false" ht="15" hidden="false" customHeight="false" outlineLevel="0" collapsed="false">
      <c r="B28" s="6" t="str">
        <f aca="false">IF(Neraca!A4="","",Neraca!A4)</f>
        <v/>
      </c>
      <c r="C28" s="6" t="str">
        <f aca="false">IF(B28="","",Neraca!B4)</f>
        <v/>
      </c>
      <c r="D28" s="33" t="str">
        <f aca="false">IF(B28="","",N(Neraca!G4))</f>
        <v/>
      </c>
      <c r="E28" s="33" t="str">
        <f aca="false">IF(B28="","",SUMIFS(Simpanan!$D$2:$D$2001,Simpanan!$F$2:$F$2001,B28))</f>
        <v/>
      </c>
      <c r="F28" s="33" t="str">
        <f aca="false">IF(B28="","",SUMIFS(Pembiayaan!$H$2:$H$2001,Pembiayaan!$Q$2:$Q$2001,B28))</f>
        <v/>
      </c>
      <c r="G28" s="33" t="str">
        <f aca="false">IF(B28="","",SUMIFS(Penyesuaian!$B$2:$B$151,Penyesuaian!$A$2:$A$151,B28))</f>
        <v/>
      </c>
      <c r="H28" s="33" t="str">
        <f aca="false">IF(B28="","",IF(COUNTIF(Produk!$J$2:$J$100,B28)+COUNTIF(Pembiayaan!$O$2:$O$2001,B28)+COUNTIF(Penyesuaian!$A$2:$A$151,B28)=0,"",D28-E28-F28-G28))</f>
        <v/>
      </c>
      <c r="I28" s="6" t="str">
        <f aca="false">IF(B28="","",IF(COUNTIF(Produk!$J$2:$J$100,B28)+COUNTIF(Pembiayaan!$O$2:$O$2001,B28)+COUNTIF(Penyesuaian!$A$2:$A$151,B28)=0,"tanpa rincian",IF(ABS(H28)&lt;=Info_Koperasi!$C$10,"COCOK","SELISIH")))</f>
        <v/>
      </c>
    </row>
    <row r="29" customFormat="false" ht="15" hidden="false" customHeight="false" outlineLevel="0" collapsed="false">
      <c r="B29" s="6" t="str">
        <f aca="false">IF(Neraca!A5="","",Neraca!A5)</f>
        <v/>
      </c>
      <c r="C29" s="6" t="str">
        <f aca="false">IF(B29="","",Neraca!B5)</f>
        <v/>
      </c>
      <c r="D29" s="33" t="str">
        <f aca="false">IF(B29="","",N(Neraca!G5))</f>
        <v/>
      </c>
      <c r="E29" s="33" t="str">
        <f aca="false">IF(B29="","",SUMIFS(Simpanan!$D$2:$D$2001,Simpanan!$F$2:$F$2001,B29))</f>
        <v/>
      </c>
      <c r="F29" s="33" t="str">
        <f aca="false">IF(B29="","",SUMIFS(Pembiayaan!$H$2:$H$2001,Pembiayaan!$Q$2:$Q$2001,B29))</f>
        <v/>
      </c>
      <c r="G29" s="33" t="str">
        <f aca="false">IF(B29="","",SUMIFS(Penyesuaian!$B$2:$B$151,Penyesuaian!$A$2:$A$151,B29))</f>
        <v/>
      </c>
      <c r="H29" s="33" t="str">
        <f aca="false">IF(B29="","",IF(COUNTIF(Produk!$J$2:$J$100,B29)+COUNTIF(Pembiayaan!$O$2:$O$2001,B29)+COUNTIF(Penyesuaian!$A$2:$A$151,B29)=0,"",D29-E29-F29-G29))</f>
        <v/>
      </c>
      <c r="I29" s="6" t="str">
        <f aca="false">IF(B29="","",IF(COUNTIF(Produk!$J$2:$J$100,B29)+COUNTIF(Pembiayaan!$O$2:$O$2001,B29)+COUNTIF(Penyesuaian!$A$2:$A$151,B29)=0,"tanpa rincian",IF(ABS(H29)&lt;=Info_Koperasi!$C$10,"COCOK","SELISIH")))</f>
        <v/>
      </c>
    </row>
    <row r="30" customFormat="false" ht="15" hidden="false" customHeight="false" outlineLevel="0" collapsed="false">
      <c r="B30" s="6" t="str">
        <f aca="false">IF(Neraca!A6="","",Neraca!A6)</f>
        <v/>
      </c>
      <c r="C30" s="6" t="str">
        <f aca="false">IF(B30="","",Neraca!B6)</f>
        <v/>
      </c>
      <c r="D30" s="33" t="str">
        <f aca="false">IF(B30="","",N(Neraca!G6))</f>
        <v/>
      </c>
      <c r="E30" s="33" t="str">
        <f aca="false">IF(B30="","",SUMIFS(Simpanan!$D$2:$D$2001,Simpanan!$F$2:$F$2001,B30))</f>
        <v/>
      </c>
      <c r="F30" s="33" t="str">
        <f aca="false">IF(B30="","",SUMIFS(Pembiayaan!$H$2:$H$2001,Pembiayaan!$Q$2:$Q$2001,B30))</f>
        <v/>
      </c>
      <c r="G30" s="33" t="str">
        <f aca="false">IF(B30="","",SUMIFS(Penyesuaian!$B$2:$B$151,Penyesuaian!$A$2:$A$151,B30))</f>
        <v/>
      </c>
      <c r="H30" s="33" t="str">
        <f aca="false">IF(B30="","",IF(COUNTIF(Produk!$J$2:$J$100,B30)+COUNTIF(Pembiayaan!$O$2:$O$2001,B30)+COUNTIF(Penyesuaian!$A$2:$A$151,B30)=0,"",D30-E30-F30-G30))</f>
        <v/>
      </c>
      <c r="I30" s="6" t="str">
        <f aca="false">IF(B30="","",IF(COUNTIF(Produk!$J$2:$J$100,B30)+COUNTIF(Pembiayaan!$O$2:$O$2001,B30)+COUNTIF(Penyesuaian!$A$2:$A$151,B30)=0,"tanpa rincian",IF(ABS(H30)&lt;=Info_Koperasi!$C$10,"COCOK","SELISIH")))</f>
        <v/>
      </c>
    </row>
    <row r="31" customFormat="false" ht="15" hidden="false" customHeight="false" outlineLevel="0" collapsed="false">
      <c r="B31" s="6" t="str">
        <f aca="false">IF(Neraca!A7="","",Neraca!A7)</f>
        <v/>
      </c>
      <c r="C31" s="6" t="str">
        <f aca="false">IF(B31="","",Neraca!B7)</f>
        <v/>
      </c>
      <c r="D31" s="33" t="str">
        <f aca="false">IF(B31="","",N(Neraca!G7))</f>
        <v/>
      </c>
      <c r="E31" s="33" t="str">
        <f aca="false">IF(B31="","",SUMIFS(Simpanan!$D$2:$D$2001,Simpanan!$F$2:$F$2001,B31))</f>
        <v/>
      </c>
      <c r="F31" s="33" t="str">
        <f aca="false">IF(B31="","",SUMIFS(Pembiayaan!$H$2:$H$2001,Pembiayaan!$Q$2:$Q$2001,B31))</f>
        <v/>
      </c>
      <c r="G31" s="33" t="str">
        <f aca="false">IF(B31="","",SUMIFS(Penyesuaian!$B$2:$B$151,Penyesuaian!$A$2:$A$151,B31))</f>
        <v/>
      </c>
      <c r="H31" s="33" t="str">
        <f aca="false">IF(B31="","",IF(COUNTIF(Produk!$J$2:$J$100,B31)+COUNTIF(Pembiayaan!$O$2:$O$2001,B31)+COUNTIF(Penyesuaian!$A$2:$A$151,B31)=0,"",D31-E31-F31-G31))</f>
        <v/>
      </c>
      <c r="I31" s="6" t="str">
        <f aca="false">IF(B31="","",IF(COUNTIF(Produk!$J$2:$J$100,B31)+COUNTIF(Pembiayaan!$O$2:$O$2001,B31)+COUNTIF(Penyesuaian!$A$2:$A$151,B31)=0,"tanpa rincian",IF(ABS(H31)&lt;=Info_Koperasi!$C$10,"COCOK","SELISIH")))</f>
        <v/>
      </c>
    </row>
    <row r="32" customFormat="false" ht="15" hidden="false" customHeight="false" outlineLevel="0" collapsed="false">
      <c r="B32" s="6" t="str">
        <f aca="false">IF(Neraca!A8="","",Neraca!A8)</f>
        <v/>
      </c>
      <c r="C32" s="6" t="str">
        <f aca="false">IF(B32="","",Neraca!B8)</f>
        <v/>
      </c>
      <c r="D32" s="33" t="str">
        <f aca="false">IF(B32="","",N(Neraca!G8))</f>
        <v/>
      </c>
      <c r="E32" s="33" t="str">
        <f aca="false">IF(B32="","",SUMIFS(Simpanan!$D$2:$D$2001,Simpanan!$F$2:$F$2001,B32))</f>
        <v/>
      </c>
      <c r="F32" s="33" t="str">
        <f aca="false">IF(B32="","",SUMIFS(Pembiayaan!$H$2:$H$2001,Pembiayaan!$Q$2:$Q$2001,B32))</f>
        <v/>
      </c>
      <c r="G32" s="33" t="str">
        <f aca="false">IF(B32="","",SUMIFS(Penyesuaian!$B$2:$B$151,Penyesuaian!$A$2:$A$151,B32))</f>
        <v/>
      </c>
      <c r="H32" s="33" t="str">
        <f aca="false">IF(B32="","",IF(COUNTIF(Produk!$J$2:$J$100,B32)+COUNTIF(Pembiayaan!$O$2:$O$2001,B32)+COUNTIF(Penyesuaian!$A$2:$A$151,B32)=0,"",D32-E32-F32-G32))</f>
        <v/>
      </c>
      <c r="I32" s="6" t="str">
        <f aca="false">IF(B32="","",IF(COUNTIF(Produk!$J$2:$J$100,B32)+COUNTIF(Pembiayaan!$O$2:$O$2001,B32)+COUNTIF(Penyesuaian!$A$2:$A$151,B32)=0,"tanpa rincian",IF(ABS(H32)&lt;=Info_Koperasi!$C$10,"COCOK","SELISIH")))</f>
        <v/>
      </c>
    </row>
    <row r="33" customFormat="false" ht="15" hidden="false" customHeight="false" outlineLevel="0" collapsed="false">
      <c r="B33" s="6" t="str">
        <f aca="false">IF(Neraca!A9="","",Neraca!A9)</f>
        <v/>
      </c>
      <c r="C33" s="6" t="str">
        <f aca="false">IF(B33="","",Neraca!B9)</f>
        <v/>
      </c>
      <c r="D33" s="33" t="str">
        <f aca="false">IF(B33="","",N(Neraca!G9))</f>
        <v/>
      </c>
      <c r="E33" s="33" t="str">
        <f aca="false">IF(B33="","",SUMIFS(Simpanan!$D$2:$D$2001,Simpanan!$F$2:$F$2001,B33))</f>
        <v/>
      </c>
      <c r="F33" s="33" t="str">
        <f aca="false">IF(B33="","",SUMIFS(Pembiayaan!$H$2:$H$2001,Pembiayaan!$Q$2:$Q$2001,B33))</f>
        <v/>
      </c>
      <c r="G33" s="33" t="str">
        <f aca="false">IF(B33="","",SUMIFS(Penyesuaian!$B$2:$B$151,Penyesuaian!$A$2:$A$151,B33))</f>
        <v/>
      </c>
      <c r="H33" s="33" t="str">
        <f aca="false">IF(B33="","",IF(COUNTIF(Produk!$J$2:$J$100,B33)+COUNTIF(Pembiayaan!$O$2:$O$2001,B33)+COUNTIF(Penyesuaian!$A$2:$A$151,B33)=0,"",D33-E33-F33-G33))</f>
        <v/>
      </c>
      <c r="I33" s="6" t="str">
        <f aca="false">IF(B33="","",IF(COUNTIF(Produk!$J$2:$J$100,B33)+COUNTIF(Pembiayaan!$O$2:$O$2001,B33)+COUNTIF(Penyesuaian!$A$2:$A$151,B33)=0,"tanpa rincian",IF(ABS(H33)&lt;=Info_Koperasi!$C$10,"COCOK","SELISIH")))</f>
        <v/>
      </c>
    </row>
    <row r="34" customFormat="false" ht="15" hidden="false" customHeight="false" outlineLevel="0" collapsed="false">
      <c r="B34" s="6" t="str">
        <f aca="false">IF(Neraca!A10="","",Neraca!A10)</f>
        <v/>
      </c>
      <c r="C34" s="6" t="str">
        <f aca="false">IF(B34="","",Neraca!B10)</f>
        <v/>
      </c>
      <c r="D34" s="33" t="str">
        <f aca="false">IF(B34="","",N(Neraca!G10))</f>
        <v/>
      </c>
      <c r="E34" s="33" t="str">
        <f aca="false">IF(B34="","",SUMIFS(Simpanan!$D$2:$D$2001,Simpanan!$F$2:$F$2001,B34))</f>
        <v/>
      </c>
      <c r="F34" s="33" t="str">
        <f aca="false">IF(B34="","",SUMIFS(Pembiayaan!$H$2:$H$2001,Pembiayaan!$Q$2:$Q$2001,B34))</f>
        <v/>
      </c>
      <c r="G34" s="33" t="str">
        <f aca="false">IF(B34="","",SUMIFS(Penyesuaian!$B$2:$B$151,Penyesuaian!$A$2:$A$151,B34))</f>
        <v/>
      </c>
      <c r="H34" s="33" t="str">
        <f aca="false">IF(B34="","",IF(COUNTIF(Produk!$J$2:$J$100,B34)+COUNTIF(Pembiayaan!$O$2:$O$2001,B34)+COUNTIF(Penyesuaian!$A$2:$A$151,B34)=0,"",D34-E34-F34-G34))</f>
        <v/>
      </c>
      <c r="I34" s="6" t="str">
        <f aca="false">IF(B34="","",IF(COUNTIF(Produk!$J$2:$J$100,B34)+COUNTIF(Pembiayaan!$O$2:$O$2001,B34)+COUNTIF(Penyesuaian!$A$2:$A$151,B34)=0,"tanpa rincian",IF(ABS(H34)&lt;=Info_Koperasi!$C$10,"COCOK","SELISIH")))</f>
        <v/>
      </c>
    </row>
    <row r="35" customFormat="false" ht="15" hidden="false" customHeight="false" outlineLevel="0" collapsed="false">
      <c r="B35" s="6" t="str">
        <f aca="false">IF(Neraca!A11="","",Neraca!A11)</f>
        <v/>
      </c>
      <c r="C35" s="6" t="str">
        <f aca="false">IF(B35="","",Neraca!B11)</f>
        <v/>
      </c>
      <c r="D35" s="33" t="str">
        <f aca="false">IF(B35="","",N(Neraca!G11))</f>
        <v/>
      </c>
      <c r="E35" s="33" t="str">
        <f aca="false">IF(B35="","",SUMIFS(Simpanan!$D$2:$D$2001,Simpanan!$F$2:$F$2001,B35))</f>
        <v/>
      </c>
      <c r="F35" s="33" t="str">
        <f aca="false">IF(B35="","",SUMIFS(Pembiayaan!$H$2:$H$2001,Pembiayaan!$Q$2:$Q$2001,B35))</f>
        <v/>
      </c>
      <c r="G35" s="33" t="str">
        <f aca="false">IF(B35="","",SUMIFS(Penyesuaian!$B$2:$B$151,Penyesuaian!$A$2:$A$151,B35))</f>
        <v/>
      </c>
      <c r="H35" s="33" t="str">
        <f aca="false">IF(B35="","",IF(COUNTIF(Produk!$J$2:$J$100,B35)+COUNTIF(Pembiayaan!$O$2:$O$2001,B35)+COUNTIF(Penyesuaian!$A$2:$A$151,B35)=0,"",D35-E35-F35-G35))</f>
        <v/>
      </c>
      <c r="I35" s="6" t="str">
        <f aca="false">IF(B35="","",IF(COUNTIF(Produk!$J$2:$J$100,B35)+COUNTIF(Pembiayaan!$O$2:$O$2001,B35)+COUNTIF(Penyesuaian!$A$2:$A$151,B35)=0,"tanpa rincian",IF(ABS(H35)&lt;=Info_Koperasi!$C$10,"COCOK","SELISIH")))</f>
        <v/>
      </c>
    </row>
    <row r="36" customFormat="false" ht="15" hidden="false" customHeight="false" outlineLevel="0" collapsed="false">
      <c r="B36" s="6" t="str">
        <f aca="false">IF(Neraca!A12="","",Neraca!A12)</f>
        <v/>
      </c>
      <c r="C36" s="6" t="str">
        <f aca="false">IF(B36="","",Neraca!B12)</f>
        <v/>
      </c>
      <c r="D36" s="33" t="str">
        <f aca="false">IF(B36="","",N(Neraca!G12))</f>
        <v/>
      </c>
      <c r="E36" s="33" t="str">
        <f aca="false">IF(B36="","",SUMIFS(Simpanan!$D$2:$D$2001,Simpanan!$F$2:$F$2001,B36))</f>
        <v/>
      </c>
      <c r="F36" s="33" t="str">
        <f aca="false">IF(B36="","",SUMIFS(Pembiayaan!$H$2:$H$2001,Pembiayaan!$Q$2:$Q$2001,B36))</f>
        <v/>
      </c>
      <c r="G36" s="33" t="str">
        <f aca="false">IF(B36="","",SUMIFS(Penyesuaian!$B$2:$B$151,Penyesuaian!$A$2:$A$151,B36))</f>
        <v/>
      </c>
      <c r="H36" s="33" t="str">
        <f aca="false">IF(B36="","",IF(COUNTIF(Produk!$J$2:$J$100,B36)+COUNTIF(Pembiayaan!$O$2:$O$2001,B36)+COUNTIF(Penyesuaian!$A$2:$A$151,B36)=0,"",D36-E36-F36-G36))</f>
        <v/>
      </c>
      <c r="I36" s="6" t="str">
        <f aca="false">IF(B36="","",IF(COUNTIF(Produk!$J$2:$J$100,B36)+COUNTIF(Pembiayaan!$O$2:$O$2001,B36)+COUNTIF(Penyesuaian!$A$2:$A$151,B36)=0,"tanpa rincian",IF(ABS(H36)&lt;=Info_Koperasi!$C$10,"COCOK","SELISIH")))</f>
        <v/>
      </c>
    </row>
    <row r="37" customFormat="false" ht="15" hidden="false" customHeight="false" outlineLevel="0" collapsed="false">
      <c r="B37" s="6" t="str">
        <f aca="false">IF(Neraca!A13="","",Neraca!A13)</f>
        <v/>
      </c>
      <c r="C37" s="6" t="str">
        <f aca="false">IF(B37="","",Neraca!B13)</f>
        <v/>
      </c>
      <c r="D37" s="33" t="str">
        <f aca="false">IF(B37="","",N(Neraca!G13))</f>
        <v/>
      </c>
      <c r="E37" s="33" t="str">
        <f aca="false">IF(B37="","",SUMIFS(Simpanan!$D$2:$D$2001,Simpanan!$F$2:$F$2001,B37))</f>
        <v/>
      </c>
      <c r="F37" s="33" t="str">
        <f aca="false">IF(B37="","",SUMIFS(Pembiayaan!$H$2:$H$2001,Pembiayaan!$Q$2:$Q$2001,B37))</f>
        <v/>
      </c>
      <c r="G37" s="33" t="str">
        <f aca="false">IF(B37="","",SUMIFS(Penyesuaian!$B$2:$B$151,Penyesuaian!$A$2:$A$151,B37))</f>
        <v/>
      </c>
      <c r="H37" s="33" t="str">
        <f aca="false">IF(B37="","",IF(COUNTIF(Produk!$J$2:$J$100,B37)+COUNTIF(Pembiayaan!$O$2:$O$2001,B37)+COUNTIF(Penyesuaian!$A$2:$A$151,B37)=0,"",D37-E37-F37-G37))</f>
        <v/>
      </c>
      <c r="I37" s="6" t="str">
        <f aca="false">IF(B37="","",IF(COUNTIF(Produk!$J$2:$J$100,B37)+COUNTIF(Pembiayaan!$O$2:$O$2001,B37)+COUNTIF(Penyesuaian!$A$2:$A$151,B37)=0,"tanpa rincian",IF(ABS(H37)&lt;=Info_Koperasi!$C$10,"COCOK","SELISIH")))</f>
        <v/>
      </c>
    </row>
    <row r="38" customFormat="false" ht="15" hidden="false" customHeight="false" outlineLevel="0" collapsed="false">
      <c r="B38" s="6" t="str">
        <f aca="false">IF(Neraca!A14="","",Neraca!A14)</f>
        <v/>
      </c>
      <c r="C38" s="6" t="str">
        <f aca="false">IF(B38="","",Neraca!B14)</f>
        <v/>
      </c>
      <c r="D38" s="33" t="str">
        <f aca="false">IF(B38="","",N(Neraca!G14))</f>
        <v/>
      </c>
      <c r="E38" s="33" t="str">
        <f aca="false">IF(B38="","",SUMIFS(Simpanan!$D$2:$D$2001,Simpanan!$F$2:$F$2001,B38))</f>
        <v/>
      </c>
      <c r="F38" s="33" t="str">
        <f aca="false">IF(B38="","",SUMIFS(Pembiayaan!$H$2:$H$2001,Pembiayaan!$Q$2:$Q$2001,B38))</f>
        <v/>
      </c>
      <c r="G38" s="33" t="str">
        <f aca="false">IF(B38="","",SUMIFS(Penyesuaian!$B$2:$B$151,Penyesuaian!$A$2:$A$151,B38))</f>
        <v/>
      </c>
      <c r="H38" s="33" t="str">
        <f aca="false">IF(B38="","",IF(COUNTIF(Produk!$J$2:$J$100,B38)+COUNTIF(Pembiayaan!$O$2:$O$2001,B38)+COUNTIF(Penyesuaian!$A$2:$A$151,B38)=0,"",D38-E38-F38-G38))</f>
        <v/>
      </c>
      <c r="I38" s="6" t="str">
        <f aca="false">IF(B38="","",IF(COUNTIF(Produk!$J$2:$J$100,B38)+COUNTIF(Pembiayaan!$O$2:$O$2001,B38)+COUNTIF(Penyesuaian!$A$2:$A$151,B38)=0,"tanpa rincian",IF(ABS(H38)&lt;=Info_Koperasi!$C$10,"COCOK","SELISIH")))</f>
        <v/>
      </c>
    </row>
    <row r="39" customFormat="false" ht="15" hidden="false" customHeight="false" outlineLevel="0" collapsed="false">
      <c r="B39" s="6" t="str">
        <f aca="false">IF(Neraca!A15="","",Neraca!A15)</f>
        <v/>
      </c>
      <c r="C39" s="6" t="str">
        <f aca="false">IF(B39="","",Neraca!B15)</f>
        <v/>
      </c>
      <c r="D39" s="33" t="str">
        <f aca="false">IF(B39="","",N(Neraca!G15))</f>
        <v/>
      </c>
      <c r="E39" s="33" t="str">
        <f aca="false">IF(B39="","",SUMIFS(Simpanan!$D$2:$D$2001,Simpanan!$F$2:$F$2001,B39))</f>
        <v/>
      </c>
      <c r="F39" s="33" t="str">
        <f aca="false">IF(B39="","",SUMIFS(Pembiayaan!$H$2:$H$2001,Pembiayaan!$Q$2:$Q$2001,B39))</f>
        <v/>
      </c>
      <c r="G39" s="33" t="str">
        <f aca="false">IF(B39="","",SUMIFS(Penyesuaian!$B$2:$B$151,Penyesuaian!$A$2:$A$151,B39))</f>
        <v/>
      </c>
      <c r="H39" s="33" t="str">
        <f aca="false">IF(B39="","",IF(COUNTIF(Produk!$J$2:$J$100,B39)+COUNTIF(Pembiayaan!$O$2:$O$2001,B39)+COUNTIF(Penyesuaian!$A$2:$A$151,B39)=0,"",D39-E39-F39-G39))</f>
        <v/>
      </c>
      <c r="I39" s="6" t="str">
        <f aca="false">IF(B39="","",IF(COUNTIF(Produk!$J$2:$J$100,B39)+COUNTIF(Pembiayaan!$O$2:$O$2001,B39)+COUNTIF(Penyesuaian!$A$2:$A$151,B39)=0,"tanpa rincian",IF(ABS(H39)&lt;=Info_Koperasi!$C$10,"COCOK","SELISIH")))</f>
        <v/>
      </c>
    </row>
    <row r="40" customFormat="false" ht="15" hidden="false" customHeight="false" outlineLevel="0" collapsed="false">
      <c r="B40" s="6" t="str">
        <f aca="false">IF(Neraca!A16="","",Neraca!A16)</f>
        <v/>
      </c>
      <c r="C40" s="6" t="str">
        <f aca="false">IF(B40="","",Neraca!B16)</f>
        <v/>
      </c>
      <c r="D40" s="33" t="str">
        <f aca="false">IF(B40="","",N(Neraca!G16))</f>
        <v/>
      </c>
      <c r="E40" s="33" t="str">
        <f aca="false">IF(B40="","",SUMIFS(Simpanan!$D$2:$D$2001,Simpanan!$F$2:$F$2001,B40))</f>
        <v/>
      </c>
      <c r="F40" s="33" t="str">
        <f aca="false">IF(B40="","",SUMIFS(Pembiayaan!$H$2:$H$2001,Pembiayaan!$Q$2:$Q$2001,B40))</f>
        <v/>
      </c>
      <c r="G40" s="33" t="str">
        <f aca="false">IF(B40="","",SUMIFS(Penyesuaian!$B$2:$B$151,Penyesuaian!$A$2:$A$151,B40))</f>
        <v/>
      </c>
      <c r="H40" s="33" t="str">
        <f aca="false">IF(B40="","",IF(COUNTIF(Produk!$J$2:$J$100,B40)+COUNTIF(Pembiayaan!$O$2:$O$2001,B40)+COUNTIF(Penyesuaian!$A$2:$A$151,B40)=0,"",D40-E40-F40-G40))</f>
        <v/>
      </c>
      <c r="I40" s="6" t="str">
        <f aca="false">IF(B40="","",IF(COUNTIF(Produk!$J$2:$J$100,B40)+COUNTIF(Pembiayaan!$O$2:$O$2001,B40)+COUNTIF(Penyesuaian!$A$2:$A$151,B40)=0,"tanpa rincian",IF(ABS(H40)&lt;=Info_Koperasi!$C$10,"COCOK","SELISIH")))</f>
        <v/>
      </c>
    </row>
    <row r="41" customFormat="false" ht="15" hidden="false" customHeight="false" outlineLevel="0" collapsed="false">
      <c r="B41" s="6" t="str">
        <f aca="false">IF(Neraca!A17="","",Neraca!A17)</f>
        <v/>
      </c>
      <c r="C41" s="6" t="str">
        <f aca="false">IF(B41="","",Neraca!B17)</f>
        <v/>
      </c>
      <c r="D41" s="33" t="str">
        <f aca="false">IF(B41="","",N(Neraca!G17))</f>
        <v/>
      </c>
      <c r="E41" s="33" t="str">
        <f aca="false">IF(B41="","",SUMIFS(Simpanan!$D$2:$D$2001,Simpanan!$F$2:$F$2001,B41))</f>
        <v/>
      </c>
      <c r="F41" s="33" t="str">
        <f aca="false">IF(B41="","",SUMIFS(Pembiayaan!$H$2:$H$2001,Pembiayaan!$Q$2:$Q$2001,B41))</f>
        <v/>
      </c>
      <c r="G41" s="33" t="str">
        <f aca="false">IF(B41="","",SUMIFS(Penyesuaian!$B$2:$B$151,Penyesuaian!$A$2:$A$151,B41))</f>
        <v/>
      </c>
      <c r="H41" s="33" t="str">
        <f aca="false">IF(B41="","",IF(COUNTIF(Produk!$J$2:$J$100,B41)+COUNTIF(Pembiayaan!$O$2:$O$2001,B41)+COUNTIF(Penyesuaian!$A$2:$A$151,B41)=0,"",D41-E41-F41-G41))</f>
        <v/>
      </c>
      <c r="I41" s="6" t="str">
        <f aca="false">IF(B41="","",IF(COUNTIF(Produk!$J$2:$J$100,B41)+COUNTIF(Pembiayaan!$O$2:$O$2001,B41)+COUNTIF(Penyesuaian!$A$2:$A$151,B41)=0,"tanpa rincian",IF(ABS(H41)&lt;=Info_Koperasi!$C$10,"COCOK","SELISIH")))</f>
        <v/>
      </c>
    </row>
    <row r="42" customFormat="false" ht="15" hidden="false" customHeight="false" outlineLevel="0" collapsed="false">
      <c r="B42" s="6" t="str">
        <f aca="false">IF(Neraca!A18="","",Neraca!A18)</f>
        <v/>
      </c>
      <c r="C42" s="6" t="str">
        <f aca="false">IF(B42="","",Neraca!B18)</f>
        <v/>
      </c>
      <c r="D42" s="33" t="str">
        <f aca="false">IF(B42="","",N(Neraca!G18))</f>
        <v/>
      </c>
      <c r="E42" s="33" t="str">
        <f aca="false">IF(B42="","",SUMIFS(Simpanan!$D$2:$D$2001,Simpanan!$F$2:$F$2001,B42))</f>
        <v/>
      </c>
      <c r="F42" s="33" t="str">
        <f aca="false">IF(B42="","",SUMIFS(Pembiayaan!$H$2:$H$2001,Pembiayaan!$Q$2:$Q$2001,B42))</f>
        <v/>
      </c>
      <c r="G42" s="33" t="str">
        <f aca="false">IF(B42="","",SUMIFS(Penyesuaian!$B$2:$B$151,Penyesuaian!$A$2:$A$151,B42))</f>
        <v/>
      </c>
      <c r="H42" s="33" t="str">
        <f aca="false">IF(B42="","",IF(COUNTIF(Produk!$J$2:$J$100,B42)+COUNTIF(Pembiayaan!$O$2:$O$2001,B42)+COUNTIF(Penyesuaian!$A$2:$A$151,B42)=0,"",D42-E42-F42-G42))</f>
        <v/>
      </c>
      <c r="I42" s="6" t="str">
        <f aca="false">IF(B42="","",IF(COUNTIF(Produk!$J$2:$J$100,B42)+COUNTIF(Pembiayaan!$O$2:$O$2001,B42)+COUNTIF(Penyesuaian!$A$2:$A$151,B42)=0,"tanpa rincian",IF(ABS(H42)&lt;=Info_Koperasi!$C$10,"COCOK","SELISIH")))</f>
        <v/>
      </c>
    </row>
    <row r="43" customFormat="false" ht="15" hidden="false" customHeight="false" outlineLevel="0" collapsed="false">
      <c r="B43" s="6" t="str">
        <f aca="false">IF(Neraca!A19="","",Neraca!A19)</f>
        <v/>
      </c>
      <c r="C43" s="6" t="str">
        <f aca="false">IF(B43="","",Neraca!B19)</f>
        <v/>
      </c>
      <c r="D43" s="33" t="str">
        <f aca="false">IF(B43="","",N(Neraca!G19))</f>
        <v/>
      </c>
      <c r="E43" s="33" t="str">
        <f aca="false">IF(B43="","",SUMIFS(Simpanan!$D$2:$D$2001,Simpanan!$F$2:$F$2001,B43))</f>
        <v/>
      </c>
      <c r="F43" s="33" t="str">
        <f aca="false">IF(B43="","",SUMIFS(Pembiayaan!$H$2:$H$2001,Pembiayaan!$Q$2:$Q$2001,B43))</f>
        <v/>
      </c>
      <c r="G43" s="33" t="str">
        <f aca="false">IF(B43="","",SUMIFS(Penyesuaian!$B$2:$B$151,Penyesuaian!$A$2:$A$151,B43))</f>
        <v/>
      </c>
      <c r="H43" s="33" t="str">
        <f aca="false">IF(B43="","",IF(COUNTIF(Produk!$J$2:$J$100,B43)+COUNTIF(Pembiayaan!$O$2:$O$2001,B43)+COUNTIF(Penyesuaian!$A$2:$A$151,B43)=0,"",D43-E43-F43-G43))</f>
        <v/>
      </c>
      <c r="I43" s="6" t="str">
        <f aca="false">IF(B43="","",IF(COUNTIF(Produk!$J$2:$J$100,B43)+COUNTIF(Pembiayaan!$O$2:$O$2001,B43)+COUNTIF(Penyesuaian!$A$2:$A$151,B43)=0,"tanpa rincian",IF(ABS(H43)&lt;=Info_Koperasi!$C$10,"COCOK","SELISIH")))</f>
        <v/>
      </c>
    </row>
    <row r="44" customFormat="false" ht="15" hidden="false" customHeight="false" outlineLevel="0" collapsed="false">
      <c r="B44" s="6" t="str">
        <f aca="false">IF(Neraca!A20="","",Neraca!A20)</f>
        <v/>
      </c>
      <c r="C44" s="6" t="str">
        <f aca="false">IF(B44="","",Neraca!B20)</f>
        <v/>
      </c>
      <c r="D44" s="33" t="str">
        <f aca="false">IF(B44="","",N(Neraca!G20))</f>
        <v/>
      </c>
      <c r="E44" s="33" t="str">
        <f aca="false">IF(B44="","",SUMIFS(Simpanan!$D$2:$D$2001,Simpanan!$F$2:$F$2001,B44))</f>
        <v/>
      </c>
      <c r="F44" s="33" t="str">
        <f aca="false">IF(B44="","",SUMIFS(Pembiayaan!$H$2:$H$2001,Pembiayaan!$Q$2:$Q$2001,B44))</f>
        <v/>
      </c>
      <c r="G44" s="33" t="str">
        <f aca="false">IF(B44="","",SUMIFS(Penyesuaian!$B$2:$B$151,Penyesuaian!$A$2:$A$151,B44))</f>
        <v/>
      </c>
      <c r="H44" s="33" t="str">
        <f aca="false">IF(B44="","",IF(COUNTIF(Produk!$J$2:$J$100,B44)+COUNTIF(Pembiayaan!$O$2:$O$2001,B44)+COUNTIF(Penyesuaian!$A$2:$A$151,B44)=0,"",D44-E44-F44-G44))</f>
        <v/>
      </c>
      <c r="I44" s="6" t="str">
        <f aca="false">IF(B44="","",IF(COUNTIF(Produk!$J$2:$J$100,B44)+COUNTIF(Pembiayaan!$O$2:$O$2001,B44)+COUNTIF(Penyesuaian!$A$2:$A$151,B44)=0,"tanpa rincian",IF(ABS(H44)&lt;=Info_Koperasi!$C$10,"COCOK","SELISIH")))</f>
        <v/>
      </c>
    </row>
    <row r="45" customFormat="false" ht="15" hidden="false" customHeight="false" outlineLevel="0" collapsed="false">
      <c r="B45" s="6" t="str">
        <f aca="false">IF(Neraca!A21="","",Neraca!A21)</f>
        <v/>
      </c>
      <c r="C45" s="6" t="str">
        <f aca="false">IF(B45="","",Neraca!B21)</f>
        <v/>
      </c>
      <c r="D45" s="33" t="str">
        <f aca="false">IF(B45="","",N(Neraca!G21))</f>
        <v/>
      </c>
      <c r="E45" s="33" t="str">
        <f aca="false">IF(B45="","",SUMIFS(Simpanan!$D$2:$D$2001,Simpanan!$F$2:$F$2001,B45))</f>
        <v/>
      </c>
      <c r="F45" s="33" t="str">
        <f aca="false">IF(B45="","",SUMIFS(Pembiayaan!$H$2:$H$2001,Pembiayaan!$Q$2:$Q$2001,B45))</f>
        <v/>
      </c>
      <c r="G45" s="33" t="str">
        <f aca="false">IF(B45="","",SUMIFS(Penyesuaian!$B$2:$B$151,Penyesuaian!$A$2:$A$151,B45))</f>
        <v/>
      </c>
      <c r="H45" s="33" t="str">
        <f aca="false">IF(B45="","",IF(COUNTIF(Produk!$J$2:$J$100,B45)+COUNTIF(Pembiayaan!$O$2:$O$2001,B45)+COUNTIF(Penyesuaian!$A$2:$A$151,B45)=0,"",D45-E45-F45-G45))</f>
        <v/>
      </c>
      <c r="I45" s="6" t="str">
        <f aca="false">IF(B45="","",IF(COUNTIF(Produk!$J$2:$J$100,B45)+COUNTIF(Pembiayaan!$O$2:$O$2001,B45)+COUNTIF(Penyesuaian!$A$2:$A$151,B45)=0,"tanpa rincian",IF(ABS(H45)&lt;=Info_Koperasi!$C$10,"COCOK","SELISIH")))</f>
        <v/>
      </c>
    </row>
    <row r="46" customFormat="false" ht="15" hidden="false" customHeight="false" outlineLevel="0" collapsed="false">
      <c r="B46" s="6" t="str">
        <f aca="false">IF(Neraca!A22="","",Neraca!A22)</f>
        <v/>
      </c>
      <c r="C46" s="6" t="str">
        <f aca="false">IF(B46="","",Neraca!B22)</f>
        <v/>
      </c>
      <c r="D46" s="33" t="str">
        <f aca="false">IF(B46="","",N(Neraca!G22))</f>
        <v/>
      </c>
      <c r="E46" s="33" t="str">
        <f aca="false">IF(B46="","",SUMIFS(Simpanan!$D$2:$D$2001,Simpanan!$F$2:$F$2001,B46))</f>
        <v/>
      </c>
      <c r="F46" s="33" t="str">
        <f aca="false">IF(B46="","",SUMIFS(Pembiayaan!$H$2:$H$2001,Pembiayaan!$Q$2:$Q$2001,B46))</f>
        <v/>
      </c>
      <c r="G46" s="33" t="str">
        <f aca="false">IF(B46="","",SUMIFS(Penyesuaian!$B$2:$B$151,Penyesuaian!$A$2:$A$151,B46))</f>
        <v/>
      </c>
      <c r="H46" s="33" t="str">
        <f aca="false">IF(B46="","",IF(COUNTIF(Produk!$J$2:$J$100,B46)+COUNTIF(Pembiayaan!$O$2:$O$2001,B46)+COUNTIF(Penyesuaian!$A$2:$A$151,B46)=0,"",D46-E46-F46-G46))</f>
        <v/>
      </c>
      <c r="I46" s="6" t="str">
        <f aca="false">IF(B46="","",IF(COUNTIF(Produk!$J$2:$J$100,B46)+COUNTIF(Pembiayaan!$O$2:$O$2001,B46)+COUNTIF(Penyesuaian!$A$2:$A$151,B46)=0,"tanpa rincian",IF(ABS(H46)&lt;=Info_Koperasi!$C$10,"COCOK","SELISIH")))</f>
        <v/>
      </c>
    </row>
    <row r="47" customFormat="false" ht="15" hidden="false" customHeight="false" outlineLevel="0" collapsed="false">
      <c r="B47" s="6" t="str">
        <f aca="false">IF(Neraca!A23="","",Neraca!A23)</f>
        <v/>
      </c>
      <c r="C47" s="6" t="str">
        <f aca="false">IF(B47="","",Neraca!B23)</f>
        <v/>
      </c>
      <c r="D47" s="33" t="str">
        <f aca="false">IF(B47="","",N(Neraca!G23))</f>
        <v/>
      </c>
      <c r="E47" s="33" t="str">
        <f aca="false">IF(B47="","",SUMIFS(Simpanan!$D$2:$D$2001,Simpanan!$F$2:$F$2001,B47))</f>
        <v/>
      </c>
      <c r="F47" s="33" t="str">
        <f aca="false">IF(B47="","",SUMIFS(Pembiayaan!$H$2:$H$2001,Pembiayaan!$Q$2:$Q$2001,B47))</f>
        <v/>
      </c>
      <c r="G47" s="33" t="str">
        <f aca="false">IF(B47="","",SUMIFS(Penyesuaian!$B$2:$B$151,Penyesuaian!$A$2:$A$151,B47))</f>
        <v/>
      </c>
      <c r="H47" s="33" t="str">
        <f aca="false">IF(B47="","",IF(COUNTIF(Produk!$J$2:$J$100,B47)+COUNTIF(Pembiayaan!$O$2:$O$2001,B47)+COUNTIF(Penyesuaian!$A$2:$A$151,B47)=0,"",D47-E47-F47-G47))</f>
        <v/>
      </c>
      <c r="I47" s="6" t="str">
        <f aca="false">IF(B47="","",IF(COUNTIF(Produk!$J$2:$J$100,B47)+COUNTIF(Pembiayaan!$O$2:$O$2001,B47)+COUNTIF(Penyesuaian!$A$2:$A$151,B47)=0,"tanpa rincian",IF(ABS(H47)&lt;=Info_Koperasi!$C$10,"COCOK","SELISIH")))</f>
        <v/>
      </c>
    </row>
    <row r="48" customFormat="false" ht="15" hidden="false" customHeight="false" outlineLevel="0" collapsed="false">
      <c r="B48" s="6" t="str">
        <f aca="false">IF(Neraca!A24="","",Neraca!A24)</f>
        <v/>
      </c>
      <c r="C48" s="6" t="str">
        <f aca="false">IF(B48="","",Neraca!B24)</f>
        <v/>
      </c>
      <c r="D48" s="33" t="str">
        <f aca="false">IF(B48="","",N(Neraca!G24))</f>
        <v/>
      </c>
      <c r="E48" s="33" t="str">
        <f aca="false">IF(B48="","",SUMIFS(Simpanan!$D$2:$D$2001,Simpanan!$F$2:$F$2001,B48))</f>
        <v/>
      </c>
      <c r="F48" s="33" t="str">
        <f aca="false">IF(B48="","",SUMIFS(Pembiayaan!$H$2:$H$2001,Pembiayaan!$Q$2:$Q$2001,B48))</f>
        <v/>
      </c>
      <c r="G48" s="33" t="str">
        <f aca="false">IF(B48="","",SUMIFS(Penyesuaian!$B$2:$B$151,Penyesuaian!$A$2:$A$151,B48))</f>
        <v/>
      </c>
      <c r="H48" s="33" t="str">
        <f aca="false">IF(B48="","",IF(COUNTIF(Produk!$J$2:$J$100,B48)+COUNTIF(Pembiayaan!$O$2:$O$2001,B48)+COUNTIF(Penyesuaian!$A$2:$A$151,B48)=0,"",D48-E48-F48-G48))</f>
        <v/>
      </c>
      <c r="I48" s="6" t="str">
        <f aca="false">IF(B48="","",IF(COUNTIF(Produk!$J$2:$J$100,B48)+COUNTIF(Pembiayaan!$O$2:$O$2001,B48)+COUNTIF(Penyesuaian!$A$2:$A$151,B48)=0,"tanpa rincian",IF(ABS(H48)&lt;=Info_Koperasi!$C$10,"COCOK","SELISIH")))</f>
        <v/>
      </c>
    </row>
    <row r="49" customFormat="false" ht="15" hidden="false" customHeight="false" outlineLevel="0" collapsed="false">
      <c r="B49" s="6" t="str">
        <f aca="false">IF(Neraca!A25="","",Neraca!A25)</f>
        <v/>
      </c>
      <c r="C49" s="6" t="str">
        <f aca="false">IF(B49="","",Neraca!B25)</f>
        <v/>
      </c>
      <c r="D49" s="33" t="str">
        <f aca="false">IF(B49="","",N(Neraca!G25))</f>
        <v/>
      </c>
      <c r="E49" s="33" t="str">
        <f aca="false">IF(B49="","",SUMIFS(Simpanan!$D$2:$D$2001,Simpanan!$F$2:$F$2001,B49))</f>
        <v/>
      </c>
      <c r="F49" s="33" t="str">
        <f aca="false">IF(B49="","",SUMIFS(Pembiayaan!$H$2:$H$2001,Pembiayaan!$Q$2:$Q$2001,B49))</f>
        <v/>
      </c>
      <c r="G49" s="33" t="str">
        <f aca="false">IF(B49="","",SUMIFS(Penyesuaian!$B$2:$B$151,Penyesuaian!$A$2:$A$151,B49))</f>
        <v/>
      </c>
      <c r="H49" s="33" t="str">
        <f aca="false">IF(B49="","",IF(COUNTIF(Produk!$J$2:$J$100,B49)+COUNTIF(Pembiayaan!$O$2:$O$2001,B49)+COUNTIF(Penyesuaian!$A$2:$A$151,B49)=0,"",D49-E49-F49-G49))</f>
        <v/>
      </c>
      <c r="I49" s="6" t="str">
        <f aca="false">IF(B49="","",IF(COUNTIF(Produk!$J$2:$J$100,B49)+COUNTIF(Pembiayaan!$O$2:$O$2001,B49)+COUNTIF(Penyesuaian!$A$2:$A$151,B49)=0,"tanpa rincian",IF(ABS(H49)&lt;=Info_Koperasi!$C$10,"COCOK","SELISIH")))</f>
        <v/>
      </c>
    </row>
    <row r="50" customFormat="false" ht="15" hidden="false" customHeight="false" outlineLevel="0" collapsed="false">
      <c r="B50" s="6" t="str">
        <f aca="false">IF(Neraca!A26="","",Neraca!A26)</f>
        <v/>
      </c>
      <c r="C50" s="6" t="str">
        <f aca="false">IF(B50="","",Neraca!B26)</f>
        <v/>
      </c>
      <c r="D50" s="33" t="str">
        <f aca="false">IF(B50="","",N(Neraca!G26))</f>
        <v/>
      </c>
      <c r="E50" s="33" t="str">
        <f aca="false">IF(B50="","",SUMIFS(Simpanan!$D$2:$D$2001,Simpanan!$F$2:$F$2001,B50))</f>
        <v/>
      </c>
      <c r="F50" s="33" t="str">
        <f aca="false">IF(B50="","",SUMIFS(Pembiayaan!$H$2:$H$2001,Pembiayaan!$Q$2:$Q$2001,B50))</f>
        <v/>
      </c>
      <c r="G50" s="33" t="str">
        <f aca="false">IF(B50="","",SUMIFS(Penyesuaian!$B$2:$B$151,Penyesuaian!$A$2:$A$151,B50))</f>
        <v/>
      </c>
      <c r="H50" s="33" t="str">
        <f aca="false">IF(B50="","",IF(COUNTIF(Produk!$J$2:$J$100,B50)+COUNTIF(Pembiayaan!$O$2:$O$2001,B50)+COUNTIF(Penyesuaian!$A$2:$A$151,B50)=0,"",D50-E50-F50-G50))</f>
        <v/>
      </c>
      <c r="I50" s="6" t="str">
        <f aca="false">IF(B50="","",IF(COUNTIF(Produk!$J$2:$J$100,B50)+COUNTIF(Pembiayaan!$O$2:$O$2001,B50)+COUNTIF(Penyesuaian!$A$2:$A$151,B50)=0,"tanpa rincian",IF(ABS(H50)&lt;=Info_Koperasi!$C$10,"COCOK","SELISIH")))</f>
        <v/>
      </c>
    </row>
    <row r="51" customFormat="false" ht="15" hidden="false" customHeight="false" outlineLevel="0" collapsed="false">
      <c r="B51" s="6" t="str">
        <f aca="false">IF(Neraca!A27="","",Neraca!A27)</f>
        <v/>
      </c>
      <c r="C51" s="6" t="str">
        <f aca="false">IF(B51="","",Neraca!B27)</f>
        <v/>
      </c>
      <c r="D51" s="33" t="str">
        <f aca="false">IF(B51="","",N(Neraca!G27))</f>
        <v/>
      </c>
      <c r="E51" s="33" t="str">
        <f aca="false">IF(B51="","",SUMIFS(Simpanan!$D$2:$D$2001,Simpanan!$F$2:$F$2001,B51))</f>
        <v/>
      </c>
      <c r="F51" s="33" t="str">
        <f aca="false">IF(B51="","",SUMIFS(Pembiayaan!$H$2:$H$2001,Pembiayaan!$Q$2:$Q$2001,B51))</f>
        <v/>
      </c>
      <c r="G51" s="33" t="str">
        <f aca="false">IF(B51="","",SUMIFS(Penyesuaian!$B$2:$B$151,Penyesuaian!$A$2:$A$151,B51))</f>
        <v/>
      </c>
      <c r="H51" s="33" t="str">
        <f aca="false">IF(B51="","",IF(COUNTIF(Produk!$J$2:$J$100,B51)+COUNTIF(Pembiayaan!$O$2:$O$2001,B51)+COUNTIF(Penyesuaian!$A$2:$A$151,B51)=0,"",D51-E51-F51-G51))</f>
        <v/>
      </c>
      <c r="I51" s="6" t="str">
        <f aca="false">IF(B51="","",IF(COUNTIF(Produk!$J$2:$J$100,B51)+COUNTIF(Pembiayaan!$O$2:$O$2001,B51)+COUNTIF(Penyesuaian!$A$2:$A$151,B51)=0,"tanpa rincian",IF(ABS(H51)&lt;=Info_Koperasi!$C$10,"COCOK","SELISIH")))</f>
        <v/>
      </c>
    </row>
    <row r="52" customFormat="false" ht="15" hidden="false" customHeight="false" outlineLevel="0" collapsed="false">
      <c r="B52" s="6" t="str">
        <f aca="false">IF(Neraca!A28="","",Neraca!A28)</f>
        <v/>
      </c>
      <c r="C52" s="6" t="str">
        <f aca="false">IF(B52="","",Neraca!B28)</f>
        <v/>
      </c>
      <c r="D52" s="33" t="str">
        <f aca="false">IF(B52="","",N(Neraca!G28))</f>
        <v/>
      </c>
      <c r="E52" s="33" t="str">
        <f aca="false">IF(B52="","",SUMIFS(Simpanan!$D$2:$D$2001,Simpanan!$F$2:$F$2001,B52))</f>
        <v/>
      </c>
      <c r="F52" s="33" t="str">
        <f aca="false">IF(B52="","",SUMIFS(Pembiayaan!$H$2:$H$2001,Pembiayaan!$Q$2:$Q$2001,B52))</f>
        <v/>
      </c>
      <c r="G52" s="33" t="str">
        <f aca="false">IF(B52="","",SUMIFS(Penyesuaian!$B$2:$B$151,Penyesuaian!$A$2:$A$151,B52))</f>
        <v/>
      </c>
      <c r="H52" s="33" t="str">
        <f aca="false">IF(B52="","",IF(COUNTIF(Produk!$J$2:$J$100,B52)+COUNTIF(Pembiayaan!$O$2:$O$2001,B52)+COUNTIF(Penyesuaian!$A$2:$A$151,B52)=0,"",D52-E52-F52-G52))</f>
        <v/>
      </c>
      <c r="I52" s="6" t="str">
        <f aca="false">IF(B52="","",IF(COUNTIF(Produk!$J$2:$J$100,B52)+COUNTIF(Pembiayaan!$O$2:$O$2001,B52)+COUNTIF(Penyesuaian!$A$2:$A$151,B52)=0,"tanpa rincian",IF(ABS(H52)&lt;=Info_Koperasi!$C$10,"COCOK","SELISIH")))</f>
        <v/>
      </c>
    </row>
    <row r="53" customFormat="false" ht="15" hidden="false" customHeight="false" outlineLevel="0" collapsed="false">
      <c r="B53" s="6" t="str">
        <f aca="false">IF(Neraca!A29="","",Neraca!A29)</f>
        <v/>
      </c>
      <c r="C53" s="6" t="str">
        <f aca="false">IF(B53="","",Neraca!B29)</f>
        <v/>
      </c>
      <c r="D53" s="33" t="str">
        <f aca="false">IF(B53="","",N(Neraca!G29))</f>
        <v/>
      </c>
      <c r="E53" s="33" t="str">
        <f aca="false">IF(B53="","",SUMIFS(Simpanan!$D$2:$D$2001,Simpanan!$F$2:$F$2001,B53))</f>
        <v/>
      </c>
      <c r="F53" s="33" t="str">
        <f aca="false">IF(B53="","",SUMIFS(Pembiayaan!$H$2:$H$2001,Pembiayaan!$Q$2:$Q$2001,B53))</f>
        <v/>
      </c>
      <c r="G53" s="33" t="str">
        <f aca="false">IF(B53="","",SUMIFS(Penyesuaian!$B$2:$B$151,Penyesuaian!$A$2:$A$151,B53))</f>
        <v/>
      </c>
      <c r="H53" s="33" t="str">
        <f aca="false">IF(B53="","",IF(COUNTIF(Produk!$J$2:$J$100,B53)+COUNTIF(Pembiayaan!$O$2:$O$2001,B53)+COUNTIF(Penyesuaian!$A$2:$A$151,B53)=0,"",D53-E53-F53-G53))</f>
        <v/>
      </c>
      <c r="I53" s="6" t="str">
        <f aca="false">IF(B53="","",IF(COUNTIF(Produk!$J$2:$J$100,B53)+COUNTIF(Pembiayaan!$O$2:$O$2001,B53)+COUNTIF(Penyesuaian!$A$2:$A$151,B53)=0,"tanpa rincian",IF(ABS(H53)&lt;=Info_Koperasi!$C$10,"COCOK","SELISIH")))</f>
        <v/>
      </c>
    </row>
    <row r="54" customFormat="false" ht="15" hidden="false" customHeight="false" outlineLevel="0" collapsed="false">
      <c r="B54" s="6" t="str">
        <f aca="false">IF(Neraca!A30="","",Neraca!A30)</f>
        <v/>
      </c>
      <c r="C54" s="6" t="str">
        <f aca="false">IF(B54="","",Neraca!B30)</f>
        <v/>
      </c>
      <c r="D54" s="33" t="str">
        <f aca="false">IF(B54="","",N(Neraca!G30))</f>
        <v/>
      </c>
      <c r="E54" s="33" t="str">
        <f aca="false">IF(B54="","",SUMIFS(Simpanan!$D$2:$D$2001,Simpanan!$F$2:$F$2001,B54))</f>
        <v/>
      </c>
      <c r="F54" s="33" t="str">
        <f aca="false">IF(B54="","",SUMIFS(Pembiayaan!$H$2:$H$2001,Pembiayaan!$Q$2:$Q$2001,B54))</f>
        <v/>
      </c>
      <c r="G54" s="33" t="str">
        <f aca="false">IF(B54="","",SUMIFS(Penyesuaian!$B$2:$B$151,Penyesuaian!$A$2:$A$151,B54))</f>
        <v/>
      </c>
      <c r="H54" s="33" t="str">
        <f aca="false">IF(B54="","",IF(COUNTIF(Produk!$J$2:$J$100,B54)+COUNTIF(Pembiayaan!$O$2:$O$2001,B54)+COUNTIF(Penyesuaian!$A$2:$A$151,B54)=0,"",D54-E54-F54-G54))</f>
        <v/>
      </c>
      <c r="I54" s="6" t="str">
        <f aca="false">IF(B54="","",IF(COUNTIF(Produk!$J$2:$J$100,B54)+COUNTIF(Pembiayaan!$O$2:$O$2001,B54)+COUNTIF(Penyesuaian!$A$2:$A$151,B54)=0,"tanpa rincian",IF(ABS(H54)&lt;=Info_Koperasi!$C$10,"COCOK","SELISIH")))</f>
        <v/>
      </c>
    </row>
    <row r="55" customFormat="false" ht="15" hidden="false" customHeight="false" outlineLevel="0" collapsed="false">
      <c r="B55" s="6" t="str">
        <f aca="false">IF(Neraca!A31="","",Neraca!A31)</f>
        <v/>
      </c>
      <c r="C55" s="6" t="str">
        <f aca="false">IF(B55="","",Neraca!B31)</f>
        <v/>
      </c>
      <c r="D55" s="33" t="str">
        <f aca="false">IF(B55="","",N(Neraca!G31))</f>
        <v/>
      </c>
      <c r="E55" s="33" t="str">
        <f aca="false">IF(B55="","",SUMIFS(Simpanan!$D$2:$D$2001,Simpanan!$F$2:$F$2001,B55))</f>
        <v/>
      </c>
      <c r="F55" s="33" t="str">
        <f aca="false">IF(B55="","",SUMIFS(Pembiayaan!$H$2:$H$2001,Pembiayaan!$Q$2:$Q$2001,B55))</f>
        <v/>
      </c>
      <c r="G55" s="33" t="str">
        <f aca="false">IF(B55="","",SUMIFS(Penyesuaian!$B$2:$B$151,Penyesuaian!$A$2:$A$151,B55))</f>
        <v/>
      </c>
      <c r="H55" s="33" t="str">
        <f aca="false">IF(B55="","",IF(COUNTIF(Produk!$J$2:$J$100,B55)+COUNTIF(Pembiayaan!$O$2:$O$2001,B55)+COUNTIF(Penyesuaian!$A$2:$A$151,B55)=0,"",D55-E55-F55-G55))</f>
        <v/>
      </c>
      <c r="I55" s="6" t="str">
        <f aca="false">IF(B55="","",IF(COUNTIF(Produk!$J$2:$J$100,B55)+COUNTIF(Pembiayaan!$O$2:$O$2001,B55)+COUNTIF(Penyesuaian!$A$2:$A$151,B55)=0,"tanpa rincian",IF(ABS(H55)&lt;=Info_Koperasi!$C$10,"COCOK","SELISIH")))</f>
        <v/>
      </c>
    </row>
    <row r="56" customFormat="false" ht="15" hidden="false" customHeight="false" outlineLevel="0" collapsed="false">
      <c r="B56" s="6" t="str">
        <f aca="false">IF(Neraca!A32="","",Neraca!A32)</f>
        <v/>
      </c>
      <c r="C56" s="6" t="str">
        <f aca="false">IF(B56="","",Neraca!B32)</f>
        <v/>
      </c>
      <c r="D56" s="33" t="str">
        <f aca="false">IF(B56="","",N(Neraca!G32))</f>
        <v/>
      </c>
      <c r="E56" s="33" t="str">
        <f aca="false">IF(B56="","",SUMIFS(Simpanan!$D$2:$D$2001,Simpanan!$F$2:$F$2001,B56))</f>
        <v/>
      </c>
      <c r="F56" s="33" t="str">
        <f aca="false">IF(B56="","",SUMIFS(Pembiayaan!$H$2:$H$2001,Pembiayaan!$Q$2:$Q$2001,B56))</f>
        <v/>
      </c>
      <c r="G56" s="33" t="str">
        <f aca="false">IF(B56="","",SUMIFS(Penyesuaian!$B$2:$B$151,Penyesuaian!$A$2:$A$151,B56))</f>
        <v/>
      </c>
      <c r="H56" s="33" t="str">
        <f aca="false">IF(B56="","",IF(COUNTIF(Produk!$J$2:$J$100,B56)+COUNTIF(Pembiayaan!$O$2:$O$2001,B56)+COUNTIF(Penyesuaian!$A$2:$A$151,B56)=0,"",D56-E56-F56-G56))</f>
        <v/>
      </c>
      <c r="I56" s="6" t="str">
        <f aca="false">IF(B56="","",IF(COUNTIF(Produk!$J$2:$J$100,B56)+COUNTIF(Pembiayaan!$O$2:$O$2001,B56)+COUNTIF(Penyesuaian!$A$2:$A$151,B56)=0,"tanpa rincian",IF(ABS(H56)&lt;=Info_Koperasi!$C$10,"COCOK","SELISIH")))</f>
        <v/>
      </c>
    </row>
    <row r="57" customFormat="false" ht="15" hidden="false" customHeight="false" outlineLevel="0" collapsed="false">
      <c r="B57" s="6" t="str">
        <f aca="false">IF(Neraca!A33="","",Neraca!A33)</f>
        <v/>
      </c>
      <c r="C57" s="6" t="str">
        <f aca="false">IF(B57="","",Neraca!B33)</f>
        <v/>
      </c>
      <c r="D57" s="33" t="str">
        <f aca="false">IF(B57="","",N(Neraca!G33))</f>
        <v/>
      </c>
      <c r="E57" s="33" t="str">
        <f aca="false">IF(B57="","",SUMIFS(Simpanan!$D$2:$D$2001,Simpanan!$F$2:$F$2001,B57))</f>
        <v/>
      </c>
      <c r="F57" s="33" t="str">
        <f aca="false">IF(B57="","",SUMIFS(Pembiayaan!$H$2:$H$2001,Pembiayaan!$Q$2:$Q$2001,B57))</f>
        <v/>
      </c>
      <c r="G57" s="33" t="str">
        <f aca="false">IF(B57="","",SUMIFS(Penyesuaian!$B$2:$B$151,Penyesuaian!$A$2:$A$151,B57))</f>
        <v/>
      </c>
      <c r="H57" s="33" t="str">
        <f aca="false">IF(B57="","",IF(COUNTIF(Produk!$J$2:$J$100,B57)+COUNTIF(Pembiayaan!$O$2:$O$2001,B57)+COUNTIF(Penyesuaian!$A$2:$A$151,B57)=0,"",D57-E57-F57-G57))</f>
        <v/>
      </c>
      <c r="I57" s="6" t="str">
        <f aca="false">IF(B57="","",IF(COUNTIF(Produk!$J$2:$J$100,B57)+COUNTIF(Pembiayaan!$O$2:$O$2001,B57)+COUNTIF(Penyesuaian!$A$2:$A$151,B57)=0,"tanpa rincian",IF(ABS(H57)&lt;=Info_Koperasi!$C$10,"COCOK","SELISIH")))</f>
        <v/>
      </c>
    </row>
    <row r="58" customFormat="false" ht="15" hidden="false" customHeight="false" outlineLevel="0" collapsed="false">
      <c r="B58" s="6" t="str">
        <f aca="false">IF(Neraca!A34="","",Neraca!A34)</f>
        <v/>
      </c>
      <c r="C58" s="6" t="str">
        <f aca="false">IF(B58="","",Neraca!B34)</f>
        <v/>
      </c>
      <c r="D58" s="33" t="str">
        <f aca="false">IF(B58="","",N(Neraca!G34))</f>
        <v/>
      </c>
      <c r="E58" s="33" t="str">
        <f aca="false">IF(B58="","",SUMIFS(Simpanan!$D$2:$D$2001,Simpanan!$F$2:$F$2001,B58))</f>
        <v/>
      </c>
      <c r="F58" s="33" t="str">
        <f aca="false">IF(B58="","",SUMIFS(Pembiayaan!$H$2:$H$2001,Pembiayaan!$Q$2:$Q$2001,B58))</f>
        <v/>
      </c>
      <c r="G58" s="33" t="str">
        <f aca="false">IF(B58="","",SUMIFS(Penyesuaian!$B$2:$B$151,Penyesuaian!$A$2:$A$151,B58))</f>
        <v/>
      </c>
      <c r="H58" s="33" t="str">
        <f aca="false">IF(B58="","",IF(COUNTIF(Produk!$J$2:$J$100,B58)+COUNTIF(Pembiayaan!$O$2:$O$2001,B58)+COUNTIF(Penyesuaian!$A$2:$A$151,B58)=0,"",D58-E58-F58-G58))</f>
        <v/>
      </c>
      <c r="I58" s="6" t="str">
        <f aca="false">IF(B58="","",IF(COUNTIF(Produk!$J$2:$J$100,B58)+COUNTIF(Pembiayaan!$O$2:$O$2001,B58)+COUNTIF(Penyesuaian!$A$2:$A$151,B58)=0,"tanpa rincian",IF(ABS(H58)&lt;=Info_Koperasi!$C$10,"COCOK","SELISIH")))</f>
        <v/>
      </c>
    </row>
    <row r="59" customFormat="false" ht="15" hidden="false" customHeight="false" outlineLevel="0" collapsed="false">
      <c r="B59" s="6" t="str">
        <f aca="false">IF(Neraca!A35="","",Neraca!A35)</f>
        <v/>
      </c>
      <c r="C59" s="6" t="str">
        <f aca="false">IF(B59="","",Neraca!B35)</f>
        <v/>
      </c>
      <c r="D59" s="33" t="str">
        <f aca="false">IF(B59="","",N(Neraca!G35))</f>
        <v/>
      </c>
      <c r="E59" s="33" t="str">
        <f aca="false">IF(B59="","",SUMIFS(Simpanan!$D$2:$D$2001,Simpanan!$F$2:$F$2001,B59))</f>
        <v/>
      </c>
      <c r="F59" s="33" t="str">
        <f aca="false">IF(B59="","",SUMIFS(Pembiayaan!$H$2:$H$2001,Pembiayaan!$Q$2:$Q$2001,B59))</f>
        <v/>
      </c>
      <c r="G59" s="33" t="str">
        <f aca="false">IF(B59="","",SUMIFS(Penyesuaian!$B$2:$B$151,Penyesuaian!$A$2:$A$151,B59))</f>
        <v/>
      </c>
      <c r="H59" s="33" t="str">
        <f aca="false">IF(B59="","",IF(COUNTIF(Produk!$J$2:$J$100,B59)+COUNTIF(Pembiayaan!$O$2:$O$2001,B59)+COUNTIF(Penyesuaian!$A$2:$A$151,B59)=0,"",D59-E59-F59-G59))</f>
        <v/>
      </c>
      <c r="I59" s="6" t="str">
        <f aca="false">IF(B59="","",IF(COUNTIF(Produk!$J$2:$J$100,B59)+COUNTIF(Pembiayaan!$O$2:$O$2001,B59)+COUNTIF(Penyesuaian!$A$2:$A$151,B59)=0,"tanpa rincian",IF(ABS(H59)&lt;=Info_Koperasi!$C$10,"COCOK","SELISIH")))</f>
        <v/>
      </c>
    </row>
    <row r="60" customFormat="false" ht="15" hidden="false" customHeight="false" outlineLevel="0" collapsed="false">
      <c r="B60" s="6" t="str">
        <f aca="false">IF(Neraca!A36="","",Neraca!A36)</f>
        <v/>
      </c>
      <c r="C60" s="6" t="str">
        <f aca="false">IF(B60="","",Neraca!B36)</f>
        <v/>
      </c>
      <c r="D60" s="33" t="str">
        <f aca="false">IF(B60="","",N(Neraca!G36))</f>
        <v/>
      </c>
      <c r="E60" s="33" t="str">
        <f aca="false">IF(B60="","",SUMIFS(Simpanan!$D$2:$D$2001,Simpanan!$F$2:$F$2001,B60))</f>
        <v/>
      </c>
      <c r="F60" s="33" t="str">
        <f aca="false">IF(B60="","",SUMIFS(Pembiayaan!$H$2:$H$2001,Pembiayaan!$Q$2:$Q$2001,B60))</f>
        <v/>
      </c>
      <c r="G60" s="33" t="str">
        <f aca="false">IF(B60="","",SUMIFS(Penyesuaian!$B$2:$B$151,Penyesuaian!$A$2:$A$151,B60))</f>
        <v/>
      </c>
      <c r="H60" s="33" t="str">
        <f aca="false">IF(B60="","",IF(COUNTIF(Produk!$J$2:$J$100,B60)+COUNTIF(Pembiayaan!$O$2:$O$2001,B60)+COUNTIF(Penyesuaian!$A$2:$A$151,B60)=0,"",D60-E60-F60-G60))</f>
        <v/>
      </c>
      <c r="I60" s="6" t="str">
        <f aca="false">IF(B60="","",IF(COUNTIF(Produk!$J$2:$J$100,B60)+COUNTIF(Pembiayaan!$O$2:$O$2001,B60)+COUNTIF(Penyesuaian!$A$2:$A$151,B60)=0,"tanpa rincian",IF(ABS(H60)&lt;=Info_Koperasi!$C$10,"COCOK","SELISIH")))</f>
        <v/>
      </c>
    </row>
    <row r="61" customFormat="false" ht="15" hidden="false" customHeight="false" outlineLevel="0" collapsed="false">
      <c r="B61" s="6" t="str">
        <f aca="false">IF(Neraca!A37="","",Neraca!A37)</f>
        <v/>
      </c>
      <c r="C61" s="6" t="str">
        <f aca="false">IF(B61="","",Neraca!B37)</f>
        <v/>
      </c>
      <c r="D61" s="33" t="str">
        <f aca="false">IF(B61="","",N(Neraca!G37))</f>
        <v/>
      </c>
      <c r="E61" s="33" t="str">
        <f aca="false">IF(B61="","",SUMIFS(Simpanan!$D$2:$D$2001,Simpanan!$F$2:$F$2001,B61))</f>
        <v/>
      </c>
      <c r="F61" s="33" t="str">
        <f aca="false">IF(B61="","",SUMIFS(Pembiayaan!$H$2:$H$2001,Pembiayaan!$Q$2:$Q$2001,B61))</f>
        <v/>
      </c>
      <c r="G61" s="33" t="str">
        <f aca="false">IF(B61="","",SUMIFS(Penyesuaian!$B$2:$B$151,Penyesuaian!$A$2:$A$151,B61))</f>
        <v/>
      </c>
      <c r="H61" s="33" t="str">
        <f aca="false">IF(B61="","",IF(COUNTIF(Produk!$J$2:$J$100,B61)+COUNTIF(Pembiayaan!$O$2:$O$2001,B61)+COUNTIF(Penyesuaian!$A$2:$A$151,B61)=0,"",D61-E61-F61-G61))</f>
        <v/>
      </c>
      <c r="I61" s="6" t="str">
        <f aca="false">IF(B61="","",IF(COUNTIF(Produk!$J$2:$J$100,B61)+COUNTIF(Pembiayaan!$O$2:$O$2001,B61)+COUNTIF(Penyesuaian!$A$2:$A$151,B61)=0,"tanpa rincian",IF(ABS(H61)&lt;=Info_Koperasi!$C$10,"COCOK","SELISIH")))</f>
        <v/>
      </c>
    </row>
    <row r="62" customFormat="false" ht="15" hidden="false" customHeight="false" outlineLevel="0" collapsed="false">
      <c r="B62" s="6" t="str">
        <f aca="false">IF(Neraca!A38="","",Neraca!A38)</f>
        <v/>
      </c>
      <c r="C62" s="6" t="str">
        <f aca="false">IF(B62="","",Neraca!B38)</f>
        <v/>
      </c>
      <c r="D62" s="33" t="str">
        <f aca="false">IF(B62="","",N(Neraca!G38))</f>
        <v/>
      </c>
      <c r="E62" s="33" t="str">
        <f aca="false">IF(B62="","",SUMIFS(Simpanan!$D$2:$D$2001,Simpanan!$F$2:$F$2001,B62))</f>
        <v/>
      </c>
      <c r="F62" s="33" t="str">
        <f aca="false">IF(B62="","",SUMIFS(Pembiayaan!$H$2:$H$2001,Pembiayaan!$Q$2:$Q$2001,B62))</f>
        <v/>
      </c>
      <c r="G62" s="33" t="str">
        <f aca="false">IF(B62="","",SUMIFS(Penyesuaian!$B$2:$B$151,Penyesuaian!$A$2:$A$151,B62))</f>
        <v/>
      </c>
      <c r="H62" s="33" t="str">
        <f aca="false">IF(B62="","",IF(COUNTIF(Produk!$J$2:$J$100,B62)+COUNTIF(Pembiayaan!$O$2:$O$2001,B62)+COUNTIF(Penyesuaian!$A$2:$A$151,B62)=0,"",D62-E62-F62-G62))</f>
        <v/>
      </c>
      <c r="I62" s="6" t="str">
        <f aca="false">IF(B62="","",IF(COUNTIF(Produk!$J$2:$J$100,B62)+COUNTIF(Pembiayaan!$O$2:$O$2001,B62)+COUNTIF(Penyesuaian!$A$2:$A$151,B62)=0,"tanpa rincian",IF(ABS(H62)&lt;=Info_Koperasi!$C$10,"COCOK","SELISIH")))</f>
        <v/>
      </c>
    </row>
    <row r="63" customFormat="false" ht="15" hidden="false" customHeight="false" outlineLevel="0" collapsed="false">
      <c r="B63" s="6" t="str">
        <f aca="false">IF(Neraca!A39="","",Neraca!A39)</f>
        <v/>
      </c>
      <c r="C63" s="6" t="str">
        <f aca="false">IF(B63="","",Neraca!B39)</f>
        <v/>
      </c>
      <c r="D63" s="33" t="str">
        <f aca="false">IF(B63="","",N(Neraca!G39))</f>
        <v/>
      </c>
      <c r="E63" s="33" t="str">
        <f aca="false">IF(B63="","",SUMIFS(Simpanan!$D$2:$D$2001,Simpanan!$F$2:$F$2001,B63))</f>
        <v/>
      </c>
      <c r="F63" s="33" t="str">
        <f aca="false">IF(B63="","",SUMIFS(Pembiayaan!$H$2:$H$2001,Pembiayaan!$Q$2:$Q$2001,B63))</f>
        <v/>
      </c>
      <c r="G63" s="33" t="str">
        <f aca="false">IF(B63="","",SUMIFS(Penyesuaian!$B$2:$B$151,Penyesuaian!$A$2:$A$151,B63))</f>
        <v/>
      </c>
      <c r="H63" s="33" t="str">
        <f aca="false">IF(B63="","",IF(COUNTIF(Produk!$J$2:$J$100,B63)+COUNTIF(Pembiayaan!$O$2:$O$2001,B63)+COUNTIF(Penyesuaian!$A$2:$A$151,B63)=0,"",D63-E63-F63-G63))</f>
        <v/>
      </c>
      <c r="I63" s="6" t="str">
        <f aca="false">IF(B63="","",IF(COUNTIF(Produk!$J$2:$J$100,B63)+COUNTIF(Pembiayaan!$O$2:$O$2001,B63)+COUNTIF(Penyesuaian!$A$2:$A$151,B63)=0,"tanpa rincian",IF(ABS(H63)&lt;=Info_Koperasi!$C$10,"COCOK","SELISIH")))</f>
        <v/>
      </c>
    </row>
    <row r="64" customFormat="false" ht="15" hidden="false" customHeight="false" outlineLevel="0" collapsed="false">
      <c r="B64" s="6" t="str">
        <f aca="false">IF(Neraca!A40="","",Neraca!A40)</f>
        <v/>
      </c>
      <c r="C64" s="6" t="str">
        <f aca="false">IF(B64="","",Neraca!B40)</f>
        <v/>
      </c>
      <c r="D64" s="33" t="str">
        <f aca="false">IF(B64="","",N(Neraca!G40))</f>
        <v/>
      </c>
      <c r="E64" s="33" t="str">
        <f aca="false">IF(B64="","",SUMIFS(Simpanan!$D$2:$D$2001,Simpanan!$F$2:$F$2001,B64))</f>
        <v/>
      </c>
      <c r="F64" s="33" t="str">
        <f aca="false">IF(B64="","",SUMIFS(Pembiayaan!$H$2:$H$2001,Pembiayaan!$Q$2:$Q$2001,B64))</f>
        <v/>
      </c>
      <c r="G64" s="33" t="str">
        <f aca="false">IF(B64="","",SUMIFS(Penyesuaian!$B$2:$B$151,Penyesuaian!$A$2:$A$151,B64))</f>
        <v/>
      </c>
      <c r="H64" s="33" t="str">
        <f aca="false">IF(B64="","",IF(COUNTIF(Produk!$J$2:$J$100,B64)+COUNTIF(Pembiayaan!$O$2:$O$2001,B64)+COUNTIF(Penyesuaian!$A$2:$A$151,B64)=0,"",D64-E64-F64-G64))</f>
        <v/>
      </c>
      <c r="I64" s="6" t="str">
        <f aca="false">IF(B64="","",IF(COUNTIF(Produk!$J$2:$J$100,B64)+COUNTIF(Pembiayaan!$O$2:$O$2001,B64)+COUNTIF(Penyesuaian!$A$2:$A$151,B64)=0,"tanpa rincian",IF(ABS(H64)&lt;=Info_Koperasi!$C$10,"COCOK","SELISIH")))</f>
        <v/>
      </c>
    </row>
    <row r="65" customFormat="false" ht="15" hidden="false" customHeight="false" outlineLevel="0" collapsed="false">
      <c r="B65" s="6" t="str">
        <f aca="false">IF(Neraca!A41="","",Neraca!A41)</f>
        <v/>
      </c>
      <c r="C65" s="6" t="str">
        <f aca="false">IF(B65="","",Neraca!B41)</f>
        <v/>
      </c>
      <c r="D65" s="33" t="str">
        <f aca="false">IF(B65="","",N(Neraca!G41))</f>
        <v/>
      </c>
      <c r="E65" s="33" t="str">
        <f aca="false">IF(B65="","",SUMIFS(Simpanan!$D$2:$D$2001,Simpanan!$F$2:$F$2001,B65))</f>
        <v/>
      </c>
      <c r="F65" s="33" t="str">
        <f aca="false">IF(B65="","",SUMIFS(Pembiayaan!$H$2:$H$2001,Pembiayaan!$Q$2:$Q$2001,B65))</f>
        <v/>
      </c>
      <c r="G65" s="33" t="str">
        <f aca="false">IF(B65="","",SUMIFS(Penyesuaian!$B$2:$B$151,Penyesuaian!$A$2:$A$151,B65))</f>
        <v/>
      </c>
      <c r="H65" s="33" t="str">
        <f aca="false">IF(B65="","",IF(COUNTIF(Produk!$J$2:$J$100,B65)+COUNTIF(Pembiayaan!$O$2:$O$2001,B65)+COUNTIF(Penyesuaian!$A$2:$A$151,B65)=0,"",D65-E65-F65-G65))</f>
        <v/>
      </c>
      <c r="I65" s="6" t="str">
        <f aca="false">IF(B65="","",IF(COUNTIF(Produk!$J$2:$J$100,B65)+COUNTIF(Pembiayaan!$O$2:$O$2001,B65)+COUNTIF(Penyesuaian!$A$2:$A$151,B65)=0,"tanpa rincian",IF(ABS(H65)&lt;=Info_Koperasi!$C$10,"COCOK","SELISIH")))</f>
        <v/>
      </c>
    </row>
    <row r="66" customFormat="false" ht="15" hidden="false" customHeight="false" outlineLevel="0" collapsed="false">
      <c r="B66" s="6" t="str">
        <f aca="false">IF(Neraca!A42="","",Neraca!A42)</f>
        <v/>
      </c>
      <c r="C66" s="6" t="str">
        <f aca="false">IF(B66="","",Neraca!B42)</f>
        <v/>
      </c>
      <c r="D66" s="33" t="str">
        <f aca="false">IF(B66="","",N(Neraca!G42))</f>
        <v/>
      </c>
      <c r="E66" s="33" t="str">
        <f aca="false">IF(B66="","",SUMIFS(Simpanan!$D$2:$D$2001,Simpanan!$F$2:$F$2001,B66))</f>
        <v/>
      </c>
      <c r="F66" s="33" t="str">
        <f aca="false">IF(B66="","",SUMIFS(Pembiayaan!$H$2:$H$2001,Pembiayaan!$Q$2:$Q$2001,B66))</f>
        <v/>
      </c>
      <c r="G66" s="33" t="str">
        <f aca="false">IF(B66="","",SUMIFS(Penyesuaian!$B$2:$B$151,Penyesuaian!$A$2:$A$151,B66))</f>
        <v/>
      </c>
      <c r="H66" s="33" t="str">
        <f aca="false">IF(B66="","",IF(COUNTIF(Produk!$J$2:$J$100,B66)+COUNTIF(Pembiayaan!$O$2:$O$2001,B66)+COUNTIF(Penyesuaian!$A$2:$A$151,B66)=0,"",D66-E66-F66-G66))</f>
        <v/>
      </c>
      <c r="I66" s="6" t="str">
        <f aca="false">IF(B66="","",IF(COUNTIF(Produk!$J$2:$J$100,B66)+COUNTIF(Pembiayaan!$O$2:$O$2001,B66)+COUNTIF(Penyesuaian!$A$2:$A$151,B66)=0,"tanpa rincian",IF(ABS(H66)&lt;=Info_Koperasi!$C$10,"COCOK","SELISIH")))</f>
        <v/>
      </c>
    </row>
    <row r="67" customFormat="false" ht="15" hidden="false" customHeight="false" outlineLevel="0" collapsed="false">
      <c r="B67" s="6" t="str">
        <f aca="false">IF(Neraca!A43="","",Neraca!A43)</f>
        <v/>
      </c>
      <c r="C67" s="6" t="str">
        <f aca="false">IF(B67="","",Neraca!B43)</f>
        <v/>
      </c>
      <c r="D67" s="33" t="str">
        <f aca="false">IF(B67="","",N(Neraca!G43))</f>
        <v/>
      </c>
      <c r="E67" s="33" t="str">
        <f aca="false">IF(B67="","",SUMIFS(Simpanan!$D$2:$D$2001,Simpanan!$F$2:$F$2001,B67))</f>
        <v/>
      </c>
      <c r="F67" s="33" t="str">
        <f aca="false">IF(B67="","",SUMIFS(Pembiayaan!$H$2:$H$2001,Pembiayaan!$Q$2:$Q$2001,B67))</f>
        <v/>
      </c>
      <c r="G67" s="33" t="str">
        <f aca="false">IF(B67="","",SUMIFS(Penyesuaian!$B$2:$B$151,Penyesuaian!$A$2:$A$151,B67))</f>
        <v/>
      </c>
      <c r="H67" s="33" t="str">
        <f aca="false">IF(B67="","",IF(COUNTIF(Produk!$J$2:$J$100,B67)+COUNTIF(Pembiayaan!$O$2:$O$2001,B67)+COUNTIF(Penyesuaian!$A$2:$A$151,B67)=0,"",D67-E67-F67-G67))</f>
        <v/>
      </c>
      <c r="I67" s="6" t="str">
        <f aca="false">IF(B67="","",IF(COUNTIF(Produk!$J$2:$J$100,B67)+COUNTIF(Pembiayaan!$O$2:$O$2001,B67)+COUNTIF(Penyesuaian!$A$2:$A$151,B67)=0,"tanpa rincian",IF(ABS(H67)&lt;=Info_Koperasi!$C$10,"COCOK","SELISIH")))</f>
        <v/>
      </c>
    </row>
    <row r="68" customFormat="false" ht="15" hidden="false" customHeight="false" outlineLevel="0" collapsed="false">
      <c r="B68" s="6" t="str">
        <f aca="false">IF(Neraca!A44="","",Neraca!A44)</f>
        <v/>
      </c>
      <c r="C68" s="6" t="str">
        <f aca="false">IF(B68="","",Neraca!B44)</f>
        <v/>
      </c>
      <c r="D68" s="33" t="str">
        <f aca="false">IF(B68="","",N(Neraca!G44))</f>
        <v/>
      </c>
      <c r="E68" s="33" t="str">
        <f aca="false">IF(B68="","",SUMIFS(Simpanan!$D$2:$D$2001,Simpanan!$F$2:$F$2001,B68))</f>
        <v/>
      </c>
      <c r="F68" s="33" t="str">
        <f aca="false">IF(B68="","",SUMIFS(Pembiayaan!$H$2:$H$2001,Pembiayaan!$Q$2:$Q$2001,B68))</f>
        <v/>
      </c>
      <c r="G68" s="33" t="str">
        <f aca="false">IF(B68="","",SUMIFS(Penyesuaian!$B$2:$B$151,Penyesuaian!$A$2:$A$151,B68))</f>
        <v/>
      </c>
      <c r="H68" s="33" t="str">
        <f aca="false">IF(B68="","",IF(COUNTIF(Produk!$J$2:$J$100,B68)+COUNTIF(Pembiayaan!$O$2:$O$2001,B68)+COUNTIF(Penyesuaian!$A$2:$A$151,B68)=0,"",D68-E68-F68-G68))</f>
        <v/>
      </c>
      <c r="I68" s="6" t="str">
        <f aca="false">IF(B68="","",IF(COUNTIF(Produk!$J$2:$J$100,B68)+COUNTIF(Pembiayaan!$O$2:$O$2001,B68)+COUNTIF(Penyesuaian!$A$2:$A$151,B68)=0,"tanpa rincian",IF(ABS(H68)&lt;=Info_Koperasi!$C$10,"COCOK","SELISIH")))</f>
        <v/>
      </c>
    </row>
    <row r="69" customFormat="false" ht="15" hidden="false" customHeight="false" outlineLevel="0" collapsed="false">
      <c r="B69" s="6" t="str">
        <f aca="false">IF(Neraca!A45="","",Neraca!A45)</f>
        <v/>
      </c>
      <c r="C69" s="6" t="str">
        <f aca="false">IF(B69="","",Neraca!B45)</f>
        <v/>
      </c>
      <c r="D69" s="33" t="str">
        <f aca="false">IF(B69="","",N(Neraca!G45))</f>
        <v/>
      </c>
      <c r="E69" s="33" t="str">
        <f aca="false">IF(B69="","",SUMIFS(Simpanan!$D$2:$D$2001,Simpanan!$F$2:$F$2001,B69))</f>
        <v/>
      </c>
      <c r="F69" s="33" t="str">
        <f aca="false">IF(B69="","",SUMIFS(Pembiayaan!$H$2:$H$2001,Pembiayaan!$Q$2:$Q$2001,B69))</f>
        <v/>
      </c>
      <c r="G69" s="33" t="str">
        <f aca="false">IF(B69="","",SUMIFS(Penyesuaian!$B$2:$B$151,Penyesuaian!$A$2:$A$151,B69))</f>
        <v/>
      </c>
      <c r="H69" s="33" t="str">
        <f aca="false">IF(B69="","",IF(COUNTIF(Produk!$J$2:$J$100,B69)+COUNTIF(Pembiayaan!$O$2:$O$2001,B69)+COUNTIF(Penyesuaian!$A$2:$A$151,B69)=0,"",D69-E69-F69-G69))</f>
        <v/>
      </c>
      <c r="I69" s="6" t="str">
        <f aca="false">IF(B69="","",IF(COUNTIF(Produk!$J$2:$J$100,B69)+COUNTIF(Pembiayaan!$O$2:$O$2001,B69)+COUNTIF(Penyesuaian!$A$2:$A$151,B69)=0,"tanpa rincian",IF(ABS(H69)&lt;=Info_Koperasi!$C$10,"COCOK","SELISIH")))</f>
        <v/>
      </c>
    </row>
    <row r="70" customFormat="false" ht="15" hidden="false" customHeight="false" outlineLevel="0" collapsed="false">
      <c r="B70" s="6" t="str">
        <f aca="false">IF(Neraca!A46="","",Neraca!A46)</f>
        <v/>
      </c>
      <c r="C70" s="6" t="str">
        <f aca="false">IF(B70="","",Neraca!B46)</f>
        <v/>
      </c>
      <c r="D70" s="33" t="str">
        <f aca="false">IF(B70="","",N(Neraca!G46))</f>
        <v/>
      </c>
      <c r="E70" s="33" t="str">
        <f aca="false">IF(B70="","",SUMIFS(Simpanan!$D$2:$D$2001,Simpanan!$F$2:$F$2001,B70))</f>
        <v/>
      </c>
      <c r="F70" s="33" t="str">
        <f aca="false">IF(B70="","",SUMIFS(Pembiayaan!$H$2:$H$2001,Pembiayaan!$Q$2:$Q$2001,B70))</f>
        <v/>
      </c>
      <c r="G70" s="33" t="str">
        <f aca="false">IF(B70="","",SUMIFS(Penyesuaian!$B$2:$B$151,Penyesuaian!$A$2:$A$151,B70))</f>
        <v/>
      </c>
      <c r="H70" s="33" t="str">
        <f aca="false">IF(B70="","",IF(COUNTIF(Produk!$J$2:$J$100,B70)+COUNTIF(Pembiayaan!$O$2:$O$2001,B70)+COUNTIF(Penyesuaian!$A$2:$A$151,B70)=0,"",D70-E70-F70-G70))</f>
        <v/>
      </c>
      <c r="I70" s="6" t="str">
        <f aca="false">IF(B70="","",IF(COUNTIF(Produk!$J$2:$J$100,B70)+COUNTIF(Pembiayaan!$O$2:$O$2001,B70)+COUNTIF(Penyesuaian!$A$2:$A$151,B70)=0,"tanpa rincian",IF(ABS(H70)&lt;=Info_Koperasi!$C$10,"COCOK","SELISIH")))</f>
        <v/>
      </c>
    </row>
    <row r="71" customFormat="false" ht="15" hidden="false" customHeight="false" outlineLevel="0" collapsed="false">
      <c r="B71" s="6" t="str">
        <f aca="false">IF(Neraca!A47="","",Neraca!A47)</f>
        <v/>
      </c>
      <c r="C71" s="6" t="str">
        <f aca="false">IF(B71="","",Neraca!B47)</f>
        <v/>
      </c>
      <c r="D71" s="33" t="str">
        <f aca="false">IF(B71="","",N(Neraca!G47))</f>
        <v/>
      </c>
      <c r="E71" s="33" t="str">
        <f aca="false">IF(B71="","",SUMIFS(Simpanan!$D$2:$D$2001,Simpanan!$F$2:$F$2001,B71))</f>
        <v/>
      </c>
      <c r="F71" s="33" t="str">
        <f aca="false">IF(B71="","",SUMIFS(Pembiayaan!$H$2:$H$2001,Pembiayaan!$Q$2:$Q$2001,B71))</f>
        <v/>
      </c>
      <c r="G71" s="33" t="str">
        <f aca="false">IF(B71="","",SUMIFS(Penyesuaian!$B$2:$B$151,Penyesuaian!$A$2:$A$151,B71))</f>
        <v/>
      </c>
      <c r="H71" s="33" t="str">
        <f aca="false">IF(B71="","",IF(COUNTIF(Produk!$J$2:$J$100,B71)+COUNTIF(Pembiayaan!$O$2:$O$2001,B71)+COUNTIF(Penyesuaian!$A$2:$A$151,B71)=0,"",D71-E71-F71-G71))</f>
        <v/>
      </c>
      <c r="I71" s="6" t="str">
        <f aca="false">IF(B71="","",IF(COUNTIF(Produk!$J$2:$J$100,B71)+COUNTIF(Pembiayaan!$O$2:$O$2001,B71)+COUNTIF(Penyesuaian!$A$2:$A$151,B71)=0,"tanpa rincian",IF(ABS(H71)&lt;=Info_Koperasi!$C$10,"COCOK","SELISIH")))</f>
        <v/>
      </c>
    </row>
    <row r="72" customFormat="false" ht="15" hidden="false" customHeight="false" outlineLevel="0" collapsed="false">
      <c r="B72" s="6" t="str">
        <f aca="false">IF(Neraca!A48="","",Neraca!A48)</f>
        <v/>
      </c>
      <c r="C72" s="6" t="str">
        <f aca="false">IF(B72="","",Neraca!B48)</f>
        <v/>
      </c>
      <c r="D72" s="33" t="str">
        <f aca="false">IF(B72="","",N(Neraca!G48))</f>
        <v/>
      </c>
      <c r="E72" s="33" t="str">
        <f aca="false">IF(B72="","",SUMIFS(Simpanan!$D$2:$D$2001,Simpanan!$F$2:$F$2001,B72))</f>
        <v/>
      </c>
      <c r="F72" s="33" t="str">
        <f aca="false">IF(B72="","",SUMIFS(Pembiayaan!$H$2:$H$2001,Pembiayaan!$Q$2:$Q$2001,B72))</f>
        <v/>
      </c>
      <c r="G72" s="33" t="str">
        <f aca="false">IF(B72="","",SUMIFS(Penyesuaian!$B$2:$B$151,Penyesuaian!$A$2:$A$151,B72))</f>
        <v/>
      </c>
      <c r="H72" s="33" t="str">
        <f aca="false">IF(B72="","",IF(COUNTIF(Produk!$J$2:$J$100,B72)+COUNTIF(Pembiayaan!$O$2:$O$2001,B72)+COUNTIF(Penyesuaian!$A$2:$A$151,B72)=0,"",D72-E72-F72-G72))</f>
        <v/>
      </c>
      <c r="I72" s="6" t="str">
        <f aca="false">IF(B72="","",IF(COUNTIF(Produk!$J$2:$J$100,B72)+COUNTIF(Pembiayaan!$O$2:$O$2001,B72)+COUNTIF(Penyesuaian!$A$2:$A$151,B72)=0,"tanpa rincian",IF(ABS(H72)&lt;=Info_Koperasi!$C$10,"COCOK","SELISIH")))</f>
        <v/>
      </c>
    </row>
    <row r="73" customFormat="false" ht="15" hidden="false" customHeight="false" outlineLevel="0" collapsed="false">
      <c r="B73" s="6" t="str">
        <f aca="false">IF(Neraca!A49="","",Neraca!A49)</f>
        <v/>
      </c>
      <c r="C73" s="6" t="str">
        <f aca="false">IF(B73="","",Neraca!B49)</f>
        <v/>
      </c>
      <c r="D73" s="33" t="str">
        <f aca="false">IF(B73="","",N(Neraca!G49))</f>
        <v/>
      </c>
      <c r="E73" s="33" t="str">
        <f aca="false">IF(B73="","",SUMIFS(Simpanan!$D$2:$D$2001,Simpanan!$F$2:$F$2001,B73))</f>
        <v/>
      </c>
      <c r="F73" s="33" t="str">
        <f aca="false">IF(B73="","",SUMIFS(Pembiayaan!$H$2:$H$2001,Pembiayaan!$Q$2:$Q$2001,B73))</f>
        <v/>
      </c>
      <c r="G73" s="33" t="str">
        <f aca="false">IF(B73="","",SUMIFS(Penyesuaian!$B$2:$B$151,Penyesuaian!$A$2:$A$151,B73))</f>
        <v/>
      </c>
      <c r="H73" s="33" t="str">
        <f aca="false">IF(B73="","",IF(COUNTIF(Produk!$J$2:$J$100,B73)+COUNTIF(Pembiayaan!$O$2:$O$2001,B73)+COUNTIF(Penyesuaian!$A$2:$A$151,B73)=0,"",D73-E73-F73-G73))</f>
        <v/>
      </c>
      <c r="I73" s="6" t="str">
        <f aca="false">IF(B73="","",IF(COUNTIF(Produk!$J$2:$J$100,B73)+COUNTIF(Pembiayaan!$O$2:$O$2001,B73)+COUNTIF(Penyesuaian!$A$2:$A$151,B73)=0,"tanpa rincian",IF(ABS(H73)&lt;=Info_Koperasi!$C$10,"COCOK","SELISIH")))</f>
        <v/>
      </c>
    </row>
    <row r="74" customFormat="false" ht="15" hidden="false" customHeight="false" outlineLevel="0" collapsed="false">
      <c r="B74" s="6" t="str">
        <f aca="false">IF(Neraca!A50="","",Neraca!A50)</f>
        <v/>
      </c>
      <c r="C74" s="6" t="str">
        <f aca="false">IF(B74="","",Neraca!B50)</f>
        <v/>
      </c>
      <c r="D74" s="33" t="str">
        <f aca="false">IF(B74="","",N(Neraca!G50))</f>
        <v/>
      </c>
      <c r="E74" s="33" t="str">
        <f aca="false">IF(B74="","",SUMIFS(Simpanan!$D$2:$D$2001,Simpanan!$F$2:$F$2001,B74))</f>
        <v/>
      </c>
      <c r="F74" s="33" t="str">
        <f aca="false">IF(B74="","",SUMIFS(Pembiayaan!$H$2:$H$2001,Pembiayaan!$Q$2:$Q$2001,B74))</f>
        <v/>
      </c>
      <c r="G74" s="33" t="str">
        <f aca="false">IF(B74="","",SUMIFS(Penyesuaian!$B$2:$B$151,Penyesuaian!$A$2:$A$151,B74))</f>
        <v/>
      </c>
      <c r="H74" s="33" t="str">
        <f aca="false">IF(B74="","",IF(COUNTIF(Produk!$J$2:$J$100,B74)+COUNTIF(Pembiayaan!$O$2:$O$2001,B74)+COUNTIF(Penyesuaian!$A$2:$A$151,B74)=0,"",D74-E74-F74-G74))</f>
        <v/>
      </c>
      <c r="I74" s="6" t="str">
        <f aca="false">IF(B74="","",IF(COUNTIF(Produk!$J$2:$J$100,B74)+COUNTIF(Pembiayaan!$O$2:$O$2001,B74)+COUNTIF(Penyesuaian!$A$2:$A$151,B74)=0,"tanpa rincian",IF(ABS(H74)&lt;=Info_Koperasi!$C$10,"COCOK","SELISIH")))</f>
        <v/>
      </c>
    </row>
    <row r="75" customFormat="false" ht="15" hidden="false" customHeight="false" outlineLevel="0" collapsed="false">
      <c r="B75" s="6" t="str">
        <f aca="false">IF(Neraca!A51="","",Neraca!A51)</f>
        <v/>
      </c>
      <c r="C75" s="6" t="str">
        <f aca="false">IF(B75="","",Neraca!B51)</f>
        <v/>
      </c>
      <c r="D75" s="33" t="str">
        <f aca="false">IF(B75="","",N(Neraca!G51))</f>
        <v/>
      </c>
      <c r="E75" s="33" t="str">
        <f aca="false">IF(B75="","",SUMIFS(Simpanan!$D$2:$D$2001,Simpanan!$F$2:$F$2001,B75))</f>
        <v/>
      </c>
      <c r="F75" s="33" t="str">
        <f aca="false">IF(B75="","",SUMIFS(Pembiayaan!$H$2:$H$2001,Pembiayaan!$Q$2:$Q$2001,B75))</f>
        <v/>
      </c>
      <c r="G75" s="33" t="str">
        <f aca="false">IF(B75="","",SUMIFS(Penyesuaian!$B$2:$B$151,Penyesuaian!$A$2:$A$151,B75))</f>
        <v/>
      </c>
      <c r="H75" s="33" t="str">
        <f aca="false">IF(B75="","",IF(COUNTIF(Produk!$J$2:$J$100,B75)+COUNTIF(Pembiayaan!$O$2:$O$2001,B75)+COUNTIF(Penyesuaian!$A$2:$A$151,B75)=0,"",D75-E75-F75-G75))</f>
        <v/>
      </c>
      <c r="I75" s="6" t="str">
        <f aca="false">IF(B75="","",IF(COUNTIF(Produk!$J$2:$J$100,B75)+COUNTIF(Pembiayaan!$O$2:$O$2001,B75)+COUNTIF(Penyesuaian!$A$2:$A$151,B75)=0,"tanpa rincian",IF(ABS(H75)&lt;=Info_Koperasi!$C$10,"COCOK","SELISIH")))</f>
        <v/>
      </c>
    </row>
    <row r="76" customFormat="false" ht="15" hidden="false" customHeight="false" outlineLevel="0" collapsed="false">
      <c r="B76" s="6" t="str">
        <f aca="false">IF(Neraca!A52="","",Neraca!A52)</f>
        <v/>
      </c>
      <c r="C76" s="6" t="str">
        <f aca="false">IF(B76="","",Neraca!B52)</f>
        <v/>
      </c>
      <c r="D76" s="33" t="str">
        <f aca="false">IF(B76="","",N(Neraca!G52))</f>
        <v/>
      </c>
      <c r="E76" s="33" t="str">
        <f aca="false">IF(B76="","",SUMIFS(Simpanan!$D$2:$D$2001,Simpanan!$F$2:$F$2001,B76))</f>
        <v/>
      </c>
      <c r="F76" s="33" t="str">
        <f aca="false">IF(B76="","",SUMIFS(Pembiayaan!$H$2:$H$2001,Pembiayaan!$Q$2:$Q$2001,B76))</f>
        <v/>
      </c>
      <c r="G76" s="33" t="str">
        <f aca="false">IF(B76="","",SUMIFS(Penyesuaian!$B$2:$B$151,Penyesuaian!$A$2:$A$151,B76))</f>
        <v/>
      </c>
      <c r="H76" s="33" t="str">
        <f aca="false">IF(B76="","",IF(COUNTIF(Produk!$J$2:$J$100,B76)+COUNTIF(Pembiayaan!$O$2:$O$2001,B76)+COUNTIF(Penyesuaian!$A$2:$A$151,B76)=0,"",D76-E76-F76-G76))</f>
        <v/>
      </c>
      <c r="I76" s="6" t="str">
        <f aca="false">IF(B76="","",IF(COUNTIF(Produk!$J$2:$J$100,B76)+COUNTIF(Pembiayaan!$O$2:$O$2001,B76)+COUNTIF(Penyesuaian!$A$2:$A$151,B76)=0,"tanpa rincian",IF(ABS(H76)&lt;=Info_Koperasi!$C$10,"COCOK","SELISIH")))</f>
        <v/>
      </c>
    </row>
    <row r="77" customFormat="false" ht="15" hidden="false" customHeight="false" outlineLevel="0" collapsed="false">
      <c r="B77" s="6" t="str">
        <f aca="false">IF(Neraca!A53="","",Neraca!A53)</f>
        <v/>
      </c>
      <c r="C77" s="6" t="str">
        <f aca="false">IF(B77="","",Neraca!B53)</f>
        <v/>
      </c>
      <c r="D77" s="33" t="str">
        <f aca="false">IF(B77="","",N(Neraca!G53))</f>
        <v/>
      </c>
      <c r="E77" s="33" t="str">
        <f aca="false">IF(B77="","",SUMIFS(Simpanan!$D$2:$D$2001,Simpanan!$F$2:$F$2001,B77))</f>
        <v/>
      </c>
      <c r="F77" s="33" t="str">
        <f aca="false">IF(B77="","",SUMIFS(Pembiayaan!$H$2:$H$2001,Pembiayaan!$Q$2:$Q$2001,B77))</f>
        <v/>
      </c>
      <c r="G77" s="33" t="str">
        <f aca="false">IF(B77="","",SUMIFS(Penyesuaian!$B$2:$B$151,Penyesuaian!$A$2:$A$151,B77))</f>
        <v/>
      </c>
      <c r="H77" s="33" t="str">
        <f aca="false">IF(B77="","",IF(COUNTIF(Produk!$J$2:$J$100,B77)+COUNTIF(Pembiayaan!$O$2:$O$2001,B77)+COUNTIF(Penyesuaian!$A$2:$A$151,B77)=0,"",D77-E77-F77-G77))</f>
        <v/>
      </c>
      <c r="I77" s="6" t="str">
        <f aca="false">IF(B77="","",IF(COUNTIF(Produk!$J$2:$J$100,B77)+COUNTIF(Pembiayaan!$O$2:$O$2001,B77)+COUNTIF(Penyesuaian!$A$2:$A$151,B77)=0,"tanpa rincian",IF(ABS(H77)&lt;=Info_Koperasi!$C$10,"COCOK","SELISIH")))</f>
        <v/>
      </c>
    </row>
    <row r="78" customFormat="false" ht="15" hidden="false" customHeight="false" outlineLevel="0" collapsed="false">
      <c r="B78" s="6" t="str">
        <f aca="false">IF(Neraca!A54="","",Neraca!A54)</f>
        <v/>
      </c>
      <c r="C78" s="6" t="str">
        <f aca="false">IF(B78="","",Neraca!B54)</f>
        <v/>
      </c>
      <c r="D78" s="33" t="str">
        <f aca="false">IF(B78="","",N(Neraca!G54))</f>
        <v/>
      </c>
      <c r="E78" s="33" t="str">
        <f aca="false">IF(B78="","",SUMIFS(Simpanan!$D$2:$D$2001,Simpanan!$F$2:$F$2001,B78))</f>
        <v/>
      </c>
      <c r="F78" s="33" t="str">
        <f aca="false">IF(B78="","",SUMIFS(Pembiayaan!$H$2:$H$2001,Pembiayaan!$Q$2:$Q$2001,B78))</f>
        <v/>
      </c>
      <c r="G78" s="33" t="str">
        <f aca="false">IF(B78="","",SUMIFS(Penyesuaian!$B$2:$B$151,Penyesuaian!$A$2:$A$151,B78))</f>
        <v/>
      </c>
      <c r="H78" s="33" t="str">
        <f aca="false">IF(B78="","",IF(COUNTIF(Produk!$J$2:$J$100,B78)+COUNTIF(Pembiayaan!$O$2:$O$2001,B78)+COUNTIF(Penyesuaian!$A$2:$A$151,B78)=0,"",D78-E78-F78-G78))</f>
        <v/>
      </c>
      <c r="I78" s="6" t="str">
        <f aca="false">IF(B78="","",IF(COUNTIF(Produk!$J$2:$J$100,B78)+COUNTIF(Pembiayaan!$O$2:$O$2001,B78)+COUNTIF(Penyesuaian!$A$2:$A$151,B78)=0,"tanpa rincian",IF(ABS(H78)&lt;=Info_Koperasi!$C$10,"COCOK","SELISIH")))</f>
        <v/>
      </c>
    </row>
    <row r="79" customFormat="false" ht="15" hidden="false" customHeight="false" outlineLevel="0" collapsed="false">
      <c r="B79" s="6" t="str">
        <f aca="false">IF(Neraca!A55="","",Neraca!A55)</f>
        <v/>
      </c>
      <c r="C79" s="6" t="str">
        <f aca="false">IF(B79="","",Neraca!B55)</f>
        <v/>
      </c>
      <c r="D79" s="33" t="str">
        <f aca="false">IF(B79="","",N(Neraca!G55))</f>
        <v/>
      </c>
      <c r="E79" s="33" t="str">
        <f aca="false">IF(B79="","",SUMIFS(Simpanan!$D$2:$D$2001,Simpanan!$F$2:$F$2001,B79))</f>
        <v/>
      </c>
      <c r="F79" s="33" t="str">
        <f aca="false">IF(B79="","",SUMIFS(Pembiayaan!$H$2:$H$2001,Pembiayaan!$Q$2:$Q$2001,B79))</f>
        <v/>
      </c>
      <c r="G79" s="33" t="str">
        <f aca="false">IF(B79="","",SUMIFS(Penyesuaian!$B$2:$B$151,Penyesuaian!$A$2:$A$151,B79))</f>
        <v/>
      </c>
      <c r="H79" s="33" t="str">
        <f aca="false">IF(B79="","",IF(COUNTIF(Produk!$J$2:$J$100,B79)+COUNTIF(Pembiayaan!$O$2:$O$2001,B79)+COUNTIF(Penyesuaian!$A$2:$A$151,B79)=0,"",D79-E79-F79-G79))</f>
        <v/>
      </c>
      <c r="I79" s="6" t="str">
        <f aca="false">IF(B79="","",IF(COUNTIF(Produk!$J$2:$J$100,B79)+COUNTIF(Pembiayaan!$O$2:$O$2001,B79)+COUNTIF(Penyesuaian!$A$2:$A$151,B79)=0,"tanpa rincian",IF(ABS(H79)&lt;=Info_Koperasi!$C$10,"COCOK","SELISIH")))</f>
        <v/>
      </c>
    </row>
    <row r="80" customFormat="false" ht="15" hidden="false" customHeight="false" outlineLevel="0" collapsed="false">
      <c r="B80" s="6" t="str">
        <f aca="false">IF(Neraca!A56="","",Neraca!A56)</f>
        <v/>
      </c>
      <c r="C80" s="6" t="str">
        <f aca="false">IF(B80="","",Neraca!B56)</f>
        <v/>
      </c>
      <c r="D80" s="33" t="str">
        <f aca="false">IF(B80="","",N(Neraca!G56))</f>
        <v/>
      </c>
      <c r="E80" s="33" t="str">
        <f aca="false">IF(B80="","",SUMIFS(Simpanan!$D$2:$D$2001,Simpanan!$F$2:$F$2001,B80))</f>
        <v/>
      </c>
      <c r="F80" s="33" t="str">
        <f aca="false">IF(B80="","",SUMIFS(Pembiayaan!$H$2:$H$2001,Pembiayaan!$Q$2:$Q$2001,B80))</f>
        <v/>
      </c>
      <c r="G80" s="33" t="str">
        <f aca="false">IF(B80="","",SUMIFS(Penyesuaian!$B$2:$B$151,Penyesuaian!$A$2:$A$151,B80))</f>
        <v/>
      </c>
      <c r="H80" s="33" t="str">
        <f aca="false">IF(B80="","",IF(COUNTIF(Produk!$J$2:$J$100,B80)+COUNTIF(Pembiayaan!$O$2:$O$2001,B80)+COUNTIF(Penyesuaian!$A$2:$A$151,B80)=0,"",D80-E80-F80-G80))</f>
        <v/>
      </c>
      <c r="I80" s="6" t="str">
        <f aca="false">IF(B80="","",IF(COUNTIF(Produk!$J$2:$J$100,B80)+COUNTIF(Pembiayaan!$O$2:$O$2001,B80)+COUNTIF(Penyesuaian!$A$2:$A$151,B80)=0,"tanpa rincian",IF(ABS(H80)&lt;=Info_Koperasi!$C$10,"COCOK","SELISIH")))</f>
        <v/>
      </c>
    </row>
    <row r="81" customFormat="false" ht="15" hidden="false" customHeight="false" outlineLevel="0" collapsed="false">
      <c r="B81" s="6" t="str">
        <f aca="false">IF(Neraca!A57="","",Neraca!A57)</f>
        <v/>
      </c>
      <c r="C81" s="6" t="str">
        <f aca="false">IF(B81="","",Neraca!B57)</f>
        <v/>
      </c>
      <c r="D81" s="33" t="str">
        <f aca="false">IF(B81="","",N(Neraca!G57))</f>
        <v/>
      </c>
      <c r="E81" s="33" t="str">
        <f aca="false">IF(B81="","",SUMIFS(Simpanan!$D$2:$D$2001,Simpanan!$F$2:$F$2001,B81))</f>
        <v/>
      </c>
      <c r="F81" s="33" t="str">
        <f aca="false">IF(B81="","",SUMIFS(Pembiayaan!$H$2:$H$2001,Pembiayaan!$Q$2:$Q$2001,B81))</f>
        <v/>
      </c>
      <c r="G81" s="33" t="str">
        <f aca="false">IF(B81="","",SUMIFS(Penyesuaian!$B$2:$B$151,Penyesuaian!$A$2:$A$151,B81))</f>
        <v/>
      </c>
      <c r="H81" s="33" t="str">
        <f aca="false">IF(B81="","",IF(COUNTIF(Produk!$J$2:$J$100,B81)+COUNTIF(Pembiayaan!$O$2:$O$2001,B81)+COUNTIF(Penyesuaian!$A$2:$A$151,B81)=0,"",D81-E81-F81-G81))</f>
        <v/>
      </c>
      <c r="I81" s="6" t="str">
        <f aca="false">IF(B81="","",IF(COUNTIF(Produk!$J$2:$J$100,B81)+COUNTIF(Pembiayaan!$O$2:$O$2001,B81)+COUNTIF(Penyesuaian!$A$2:$A$151,B81)=0,"tanpa rincian",IF(ABS(H81)&lt;=Info_Koperasi!$C$10,"COCOK","SELISIH")))</f>
        <v/>
      </c>
    </row>
    <row r="82" customFormat="false" ht="15" hidden="false" customHeight="false" outlineLevel="0" collapsed="false">
      <c r="B82" s="6" t="str">
        <f aca="false">IF(Neraca!A58="","",Neraca!A58)</f>
        <v/>
      </c>
      <c r="C82" s="6" t="str">
        <f aca="false">IF(B82="","",Neraca!B58)</f>
        <v/>
      </c>
      <c r="D82" s="33" t="str">
        <f aca="false">IF(B82="","",N(Neraca!G58))</f>
        <v/>
      </c>
      <c r="E82" s="33" t="str">
        <f aca="false">IF(B82="","",SUMIFS(Simpanan!$D$2:$D$2001,Simpanan!$F$2:$F$2001,B82))</f>
        <v/>
      </c>
      <c r="F82" s="33" t="str">
        <f aca="false">IF(B82="","",SUMIFS(Pembiayaan!$H$2:$H$2001,Pembiayaan!$Q$2:$Q$2001,B82))</f>
        <v/>
      </c>
      <c r="G82" s="33" t="str">
        <f aca="false">IF(B82="","",SUMIFS(Penyesuaian!$B$2:$B$151,Penyesuaian!$A$2:$A$151,B82))</f>
        <v/>
      </c>
      <c r="H82" s="33" t="str">
        <f aca="false">IF(B82="","",IF(COUNTIF(Produk!$J$2:$J$100,B82)+COUNTIF(Pembiayaan!$O$2:$O$2001,B82)+COUNTIF(Penyesuaian!$A$2:$A$151,B82)=0,"",D82-E82-F82-G82))</f>
        <v/>
      </c>
      <c r="I82" s="6" t="str">
        <f aca="false">IF(B82="","",IF(COUNTIF(Produk!$J$2:$J$100,B82)+COUNTIF(Pembiayaan!$O$2:$O$2001,B82)+COUNTIF(Penyesuaian!$A$2:$A$151,B82)=0,"tanpa rincian",IF(ABS(H82)&lt;=Info_Koperasi!$C$10,"COCOK","SELISIH")))</f>
        <v/>
      </c>
    </row>
    <row r="83" customFormat="false" ht="15" hidden="false" customHeight="false" outlineLevel="0" collapsed="false">
      <c r="B83" s="6" t="str">
        <f aca="false">IF(Neraca!A59="","",Neraca!A59)</f>
        <v/>
      </c>
      <c r="C83" s="6" t="str">
        <f aca="false">IF(B83="","",Neraca!B59)</f>
        <v/>
      </c>
      <c r="D83" s="33" t="str">
        <f aca="false">IF(B83="","",N(Neraca!G59))</f>
        <v/>
      </c>
      <c r="E83" s="33" t="str">
        <f aca="false">IF(B83="","",SUMIFS(Simpanan!$D$2:$D$2001,Simpanan!$F$2:$F$2001,B83))</f>
        <v/>
      </c>
      <c r="F83" s="33" t="str">
        <f aca="false">IF(B83="","",SUMIFS(Pembiayaan!$H$2:$H$2001,Pembiayaan!$Q$2:$Q$2001,B83))</f>
        <v/>
      </c>
      <c r="G83" s="33" t="str">
        <f aca="false">IF(B83="","",SUMIFS(Penyesuaian!$B$2:$B$151,Penyesuaian!$A$2:$A$151,B83))</f>
        <v/>
      </c>
      <c r="H83" s="33" t="str">
        <f aca="false">IF(B83="","",IF(COUNTIF(Produk!$J$2:$J$100,B83)+COUNTIF(Pembiayaan!$O$2:$O$2001,B83)+COUNTIF(Penyesuaian!$A$2:$A$151,B83)=0,"",D83-E83-F83-G83))</f>
        <v/>
      </c>
      <c r="I83" s="6" t="str">
        <f aca="false">IF(B83="","",IF(COUNTIF(Produk!$J$2:$J$100,B83)+COUNTIF(Pembiayaan!$O$2:$O$2001,B83)+COUNTIF(Penyesuaian!$A$2:$A$151,B83)=0,"tanpa rincian",IF(ABS(H83)&lt;=Info_Koperasi!$C$10,"COCOK","SELISIH")))</f>
        <v/>
      </c>
    </row>
    <row r="84" customFormat="false" ht="15" hidden="false" customHeight="false" outlineLevel="0" collapsed="false">
      <c r="B84" s="6" t="str">
        <f aca="false">IF(Neraca!A60="","",Neraca!A60)</f>
        <v/>
      </c>
      <c r="C84" s="6" t="str">
        <f aca="false">IF(B84="","",Neraca!B60)</f>
        <v/>
      </c>
      <c r="D84" s="33" t="str">
        <f aca="false">IF(B84="","",N(Neraca!G60))</f>
        <v/>
      </c>
      <c r="E84" s="33" t="str">
        <f aca="false">IF(B84="","",SUMIFS(Simpanan!$D$2:$D$2001,Simpanan!$F$2:$F$2001,B84))</f>
        <v/>
      </c>
      <c r="F84" s="33" t="str">
        <f aca="false">IF(B84="","",SUMIFS(Pembiayaan!$H$2:$H$2001,Pembiayaan!$Q$2:$Q$2001,B84))</f>
        <v/>
      </c>
      <c r="G84" s="33" t="str">
        <f aca="false">IF(B84="","",SUMIFS(Penyesuaian!$B$2:$B$151,Penyesuaian!$A$2:$A$151,B84))</f>
        <v/>
      </c>
      <c r="H84" s="33" t="str">
        <f aca="false">IF(B84="","",IF(COUNTIF(Produk!$J$2:$J$100,B84)+COUNTIF(Pembiayaan!$O$2:$O$2001,B84)+COUNTIF(Penyesuaian!$A$2:$A$151,B84)=0,"",D84-E84-F84-G84))</f>
        <v/>
      </c>
      <c r="I84" s="6" t="str">
        <f aca="false">IF(B84="","",IF(COUNTIF(Produk!$J$2:$J$100,B84)+COUNTIF(Pembiayaan!$O$2:$O$2001,B84)+COUNTIF(Penyesuaian!$A$2:$A$151,B84)=0,"tanpa rincian",IF(ABS(H84)&lt;=Info_Koperasi!$C$10,"COCOK","SELISIH")))</f>
        <v/>
      </c>
    </row>
    <row r="85" customFormat="false" ht="15" hidden="false" customHeight="false" outlineLevel="0" collapsed="false">
      <c r="B85" s="6" t="str">
        <f aca="false">IF(Neraca!A61="","",Neraca!A61)</f>
        <v/>
      </c>
      <c r="C85" s="6" t="str">
        <f aca="false">IF(B85="","",Neraca!B61)</f>
        <v/>
      </c>
      <c r="D85" s="33" t="str">
        <f aca="false">IF(B85="","",N(Neraca!G61))</f>
        <v/>
      </c>
      <c r="E85" s="33" t="str">
        <f aca="false">IF(B85="","",SUMIFS(Simpanan!$D$2:$D$2001,Simpanan!$F$2:$F$2001,B85))</f>
        <v/>
      </c>
      <c r="F85" s="33" t="str">
        <f aca="false">IF(B85="","",SUMIFS(Pembiayaan!$H$2:$H$2001,Pembiayaan!$Q$2:$Q$2001,B85))</f>
        <v/>
      </c>
      <c r="G85" s="33" t="str">
        <f aca="false">IF(B85="","",SUMIFS(Penyesuaian!$B$2:$B$151,Penyesuaian!$A$2:$A$151,B85))</f>
        <v/>
      </c>
      <c r="H85" s="33" t="str">
        <f aca="false">IF(B85="","",IF(COUNTIF(Produk!$J$2:$J$100,B85)+COUNTIF(Pembiayaan!$O$2:$O$2001,B85)+COUNTIF(Penyesuaian!$A$2:$A$151,B85)=0,"",D85-E85-F85-G85))</f>
        <v/>
      </c>
      <c r="I85" s="6" t="str">
        <f aca="false">IF(B85="","",IF(COUNTIF(Produk!$J$2:$J$100,B85)+COUNTIF(Pembiayaan!$O$2:$O$2001,B85)+COUNTIF(Penyesuaian!$A$2:$A$151,B85)=0,"tanpa rincian",IF(ABS(H85)&lt;=Info_Koperasi!$C$10,"COCOK","SELISIH")))</f>
        <v/>
      </c>
    </row>
    <row r="86" customFormat="false" ht="15" hidden="false" customHeight="false" outlineLevel="0" collapsed="false">
      <c r="B86" s="6" t="str">
        <f aca="false">IF(Neraca!A62="","",Neraca!A62)</f>
        <v/>
      </c>
      <c r="C86" s="6" t="str">
        <f aca="false">IF(B86="","",Neraca!B62)</f>
        <v/>
      </c>
      <c r="D86" s="33" t="str">
        <f aca="false">IF(B86="","",N(Neraca!G62))</f>
        <v/>
      </c>
      <c r="E86" s="33" t="str">
        <f aca="false">IF(B86="","",SUMIFS(Simpanan!$D$2:$D$2001,Simpanan!$F$2:$F$2001,B86))</f>
        <v/>
      </c>
      <c r="F86" s="33" t="str">
        <f aca="false">IF(B86="","",SUMIFS(Pembiayaan!$H$2:$H$2001,Pembiayaan!$Q$2:$Q$2001,B86))</f>
        <v/>
      </c>
      <c r="G86" s="33" t="str">
        <f aca="false">IF(B86="","",SUMIFS(Penyesuaian!$B$2:$B$151,Penyesuaian!$A$2:$A$151,B86))</f>
        <v/>
      </c>
      <c r="H86" s="33" t="str">
        <f aca="false">IF(B86="","",IF(COUNTIF(Produk!$J$2:$J$100,B86)+COUNTIF(Pembiayaan!$O$2:$O$2001,B86)+COUNTIF(Penyesuaian!$A$2:$A$151,B86)=0,"",D86-E86-F86-G86))</f>
        <v/>
      </c>
      <c r="I86" s="6" t="str">
        <f aca="false">IF(B86="","",IF(COUNTIF(Produk!$J$2:$J$100,B86)+COUNTIF(Pembiayaan!$O$2:$O$2001,B86)+COUNTIF(Penyesuaian!$A$2:$A$151,B86)=0,"tanpa rincian",IF(ABS(H86)&lt;=Info_Koperasi!$C$10,"COCOK","SELISIH")))</f>
        <v/>
      </c>
    </row>
    <row r="87" customFormat="false" ht="15" hidden="false" customHeight="false" outlineLevel="0" collapsed="false">
      <c r="B87" s="6" t="str">
        <f aca="false">IF(Neraca!A63="","",Neraca!A63)</f>
        <v/>
      </c>
      <c r="C87" s="6" t="str">
        <f aca="false">IF(B87="","",Neraca!B63)</f>
        <v/>
      </c>
      <c r="D87" s="33" t="str">
        <f aca="false">IF(B87="","",N(Neraca!G63))</f>
        <v/>
      </c>
      <c r="E87" s="33" t="str">
        <f aca="false">IF(B87="","",SUMIFS(Simpanan!$D$2:$D$2001,Simpanan!$F$2:$F$2001,B87))</f>
        <v/>
      </c>
      <c r="F87" s="33" t="str">
        <f aca="false">IF(B87="","",SUMIFS(Pembiayaan!$H$2:$H$2001,Pembiayaan!$Q$2:$Q$2001,B87))</f>
        <v/>
      </c>
      <c r="G87" s="33" t="str">
        <f aca="false">IF(B87="","",SUMIFS(Penyesuaian!$B$2:$B$151,Penyesuaian!$A$2:$A$151,B87))</f>
        <v/>
      </c>
      <c r="H87" s="33" t="str">
        <f aca="false">IF(B87="","",IF(COUNTIF(Produk!$J$2:$J$100,B87)+COUNTIF(Pembiayaan!$O$2:$O$2001,B87)+COUNTIF(Penyesuaian!$A$2:$A$151,B87)=0,"",D87-E87-F87-G87))</f>
        <v/>
      </c>
      <c r="I87" s="6" t="str">
        <f aca="false">IF(B87="","",IF(COUNTIF(Produk!$J$2:$J$100,B87)+COUNTIF(Pembiayaan!$O$2:$O$2001,B87)+COUNTIF(Penyesuaian!$A$2:$A$151,B87)=0,"tanpa rincian",IF(ABS(H87)&lt;=Info_Koperasi!$C$10,"COCOK","SELISIH")))</f>
        <v/>
      </c>
    </row>
    <row r="88" customFormat="false" ht="15" hidden="false" customHeight="false" outlineLevel="0" collapsed="false">
      <c r="B88" s="6" t="str">
        <f aca="false">IF(Neraca!A64="","",Neraca!A64)</f>
        <v/>
      </c>
      <c r="C88" s="6" t="str">
        <f aca="false">IF(B88="","",Neraca!B64)</f>
        <v/>
      </c>
      <c r="D88" s="33" t="str">
        <f aca="false">IF(B88="","",N(Neraca!G64))</f>
        <v/>
      </c>
      <c r="E88" s="33" t="str">
        <f aca="false">IF(B88="","",SUMIFS(Simpanan!$D$2:$D$2001,Simpanan!$F$2:$F$2001,B88))</f>
        <v/>
      </c>
      <c r="F88" s="33" t="str">
        <f aca="false">IF(B88="","",SUMIFS(Pembiayaan!$H$2:$H$2001,Pembiayaan!$Q$2:$Q$2001,B88))</f>
        <v/>
      </c>
      <c r="G88" s="33" t="str">
        <f aca="false">IF(B88="","",SUMIFS(Penyesuaian!$B$2:$B$151,Penyesuaian!$A$2:$A$151,B88))</f>
        <v/>
      </c>
      <c r="H88" s="33" t="str">
        <f aca="false">IF(B88="","",IF(COUNTIF(Produk!$J$2:$J$100,B88)+COUNTIF(Pembiayaan!$O$2:$O$2001,B88)+COUNTIF(Penyesuaian!$A$2:$A$151,B88)=0,"",D88-E88-F88-G88))</f>
        <v/>
      </c>
      <c r="I88" s="6" t="str">
        <f aca="false">IF(B88="","",IF(COUNTIF(Produk!$J$2:$J$100,B88)+COUNTIF(Pembiayaan!$O$2:$O$2001,B88)+COUNTIF(Penyesuaian!$A$2:$A$151,B88)=0,"tanpa rincian",IF(ABS(H88)&lt;=Info_Koperasi!$C$10,"COCOK","SELISIH")))</f>
        <v/>
      </c>
    </row>
    <row r="89" customFormat="false" ht="15" hidden="false" customHeight="false" outlineLevel="0" collapsed="false">
      <c r="B89" s="6" t="str">
        <f aca="false">IF(Neraca!A65="","",Neraca!A65)</f>
        <v/>
      </c>
      <c r="C89" s="6" t="str">
        <f aca="false">IF(B89="","",Neraca!B65)</f>
        <v/>
      </c>
      <c r="D89" s="33" t="str">
        <f aca="false">IF(B89="","",N(Neraca!G65))</f>
        <v/>
      </c>
      <c r="E89" s="33" t="str">
        <f aca="false">IF(B89="","",SUMIFS(Simpanan!$D$2:$D$2001,Simpanan!$F$2:$F$2001,B89))</f>
        <v/>
      </c>
      <c r="F89" s="33" t="str">
        <f aca="false">IF(B89="","",SUMIFS(Pembiayaan!$H$2:$H$2001,Pembiayaan!$Q$2:$Q$2001,B89))</f>
        <v/>
      </c>
      <c r="G89" s="33" t="str">
        <f aca="false">IF(B89="","",SUMIFS(Penyesuaian!$B$2:$B$151,Penyesuaian!$A$2:$A$151,B89))</f>
        <v/>
      </c>
      <c r="H89" s="33" t="str">
        <f aca="false">IF(B89="","",IF(COUNTIF(Produk!$J$2:$J$100,B89)+COUNTIF(Pembiayaan!$O$2:$O$2001,B89)+COUNTIF(Penyesuaian!$A$2:$A$151,B89)=0,"",D89-E89-F89-G89))</f>
        <v/>
      </c>
      <c r="I89" s="6" t="str">
        <f aca="false">IF(B89="","",IF(COUNTIF(Produk!$J$2:$J$100,B89)+COUNTIF(Pembiayaan!$O$2:$O$2001,B89)+COUNTIF(Penyesuaian!$A$2:$A$151,B89)=0,"tanpa rincian",IF(ABS(H89)&lt;=Info_Koperasi!$C$10,"COCOK","SELISIH")))</f>
        <v/>
      </c>
    </row>
    <row r="90" customFormat="false" ht="15" hidden="false" customHeight="false" outlineLevel="0" collapsed="false">
      <c r="B90" s="6" t="str">
        <f aca="false">IF(Neraca!A66="","",Neraca!A66)</f>
        <v/>
      </c>
      <c r="C90" s="6" t="str">
        <f aca="false">IF(B90="","",Neraca!B66)</f>
        <v/>
      </c>
      <c r="D90" s="33" t="str">
        <f aca="false">IF(B90="","",N(Neraca!G66))</f>
        <v/>
      </c>
      <c r="E90" s="33" t="str">
        <f aca="false">IF(B90="","",SUMIFS(Simpanan!$D$2:$D$2001,Simpanan!$F$2:$F$2001,B90))</f>
        <v/>
      </c>
      <c r="F90" s="33" t="str">
        <f aca="false">IF(B90="","",SUMIFS(Pembiayaan!$H$2:$H$2001,Pembiayaan!$Q$2:$Q$2001,B90))</f>
        <v/>
      </c>
      <c r="G90" s="33" t="str">
        <f aca="false">IF(B90="","",SUMIFS(Penyesuaian!$B$2:$B$151,Penyesuaian!$A$2:$A$151,B90))</f>
        <v/>
      </c>
      <c r="H90" s="33" t="str">
        <f aca="false">IF(B90="","",IF(COUNTIF(Produk!$J$2:$J$100,B90)+COUNTIF(Pembiayaan!$O$2:$O$2001,B90)+COUNTIF(Penyesuaian!$A$2:$A$151,B90)=0,"",D90-E90-F90-G90))</f>
        <v/>
      </c>
      <c r="I90" s="6" t="str">
        <f aca="false">IF(B90="","",IF(COUNTIF(Produk!$J$2:$J$100,B90)+COUNTIF(Pembiayaan!$O$2:$O$2001,B90)+COUNTIF(Penyesuaian!$A$2:$A$151,B90)=0,"tanpa rincian",IF(ABS(H90)&lt;=Info_Koperasi!$C$10,"COCOK","SELISIH")))</f>
        <v/>
      </c>
    </row>
    <row r="91" customFormat="false" ht="15" hidden="false" customHeight="false" outlineLevel="0" collapsed="false">
      <c r="B91" s="6" t="str">
        <f aca="false">IF(Neraca!A67="","",Neraca!A67)</f>
        <v/>
      </c>
      <c r="C91" s="6" t="str">
        <f aca="false">IF(B91="","",Neraca!B67)</f>
        <v/>
      </c>
      <c r="D91" s="33" t="str">
        <f aca="false">IF(B91="","",N(Neraca!G67))</f>
        <v/>
      </c>
      <c r="E91" s="33" t="str">
        <f aca="false">IF(B91="","",SUMIFS(Simpanan!$D$2:$D$2001,Simpanan!$F$2:$F$2001,B91))</f>
        <v/>
      </c>
      <c r="F91" s="33" t="str">
        <f aca="false">IF(B91="","",SUMIFS(Pembiayaan!$H$2:$H$2001,Pembiayaan!$Q$2:$Q$2001,B91))</f>
        <v/>
      </c>
      <c r="G91" s="33" t="str">
        <f aca="false">IF(B91="","",SUMIFS(Penyesuaian!$B$2:$B$151,Penyesuaian!$A$2:$A$151,B91))</f>
        <v/>
      </c>
      <c r="H91" s="33" t="str">
        <f aca="false">IF(B91="","",IF(COUNTIF(Produk!$J$2:$J$100,B91)+COUNTIF(Pembiayaan!$O$2:$O$2001,B91)+COUNTIF(Penyesuaian!$A$2:$A$151,B91)=0,"",D91-E91-F91-G91))</f>
        <v/>
      </c>
      <c r="I91" s="6" t="str">
        <f aca="false">IF(B91="","",IF(COUNTIF(Produk!$J$2:$J$100,B91)+COUNTIF(Pembiayaan!$O$2:$O$2001,B91)+COUNTIF(Penyesuaian!$A$2:$A$151,B91)=0,"tanpa rincian",IF(ABS(H91)&lt;=Info_Koperasi!$C$10,"COCOK","SELISIH")))</f>
        <v/>
      </c>
    </row>
    <row r="92" customFormat="false" ht="15" hidden="false" customHeight="false" outlineLevel="0" collapsed="false">
      <c r="B92" s="6" t="str">
        <f aca="false">IF(Neraca!A68="","",Neraca!A68)</f>
        <v/>
      </c>
      <c r="C92" s="6" t="str">
        <f aca="false">IF(B92="","",Neraca!B68)</f>
        <v/>
      </c>
      <c r="D92" s="33" t="str">
        <f aca="false">IF(B92="","",N(Neraca!G68))</f>
        <v/>
      </c>
      <c r="E92" s="33" t="str">
        <f aca="false">IF(B92="","",SUMIFS(Simpanan!$D$2:$D$2001,Simpanan!$F$2:$F$2001,B92))</f>
        <v/>
      </c>
      <c r="F92" s="33" t="str">
        <f aca="false">IF(B92="","",SUMIFS(Pembiayaan!$H$2:$H$2001,Pembiayaan!$Q$2:$Q$2001,B92))</f>
        <v/>
      </c>
      <c r="G92" s="33" t="str">
        <f aca="false">IF(B92="","",SUMIFS(Penyesuaian!$B$2:$B$151,Penyesuaian!$A$2:$A$151,B92))</f>
        <v/>
      </c>
      <c r="H92" s="33" t="str">
        <f aca="false">IF(B92="","",IF(COUNTIF(Produk!$J$2:$J$100,B92)+COUNTIF(Pembiayaan!$O$2:$O$2001,B92)+COUNTIF(Penyesuaian!$A$2:$A$151,B92)=0,"",D92-E92-F92-G92))</f>
        <v/>
      </c>
      <c r="I92" s="6" t="str">
        <f aca="false">IF(B92="","",IF(COUNTIF(Produk!$J$2:$J$100,B92)+COUNTIF(Pembiayaan!$O$2:$O$2001,B92)+COUNTIF(Penyesuaian!$A$2:$A$151,B92)=0,"tanpa rincian",IF(ABS(H92)&lt;=Info_Koperasi!$C$10,"COCOK","SELISIH")))</f>
        <v/>
      </c>
    </row>
    <row r="93" customFormat="false" ht="15" hidden="false" customHeight="false" outlineLevel="0" collapsed="false">
      <c r="B93" s="6" t="str">
        <f aca="false">IF(Neraca!A69="","",Neraca!A69)</f>
        <v/>
      </c>
      <c r="C93" s="6" t="str">
        <f aca="false">IF(B93="","",Neraca!B69)</f>
        <v/>
      </c>
      <c r="D93" s="33" t="str">
        <f aca="false">IF(B93="","",N(Neraca!G69))</f>
        <v/>
      </c>
      <c r="E93" s="33" t="str">
        <f aca="false">IF(B93="","",SUMIFS(Simpanan!$D$2:$D$2001,Simpanan!$F$2:$F$2001,B93))</f>
        <v/>
      </c>
      <c r="F93" s="33" t="str">
        <f aca="false">IF(B93="","",SUMIFS(Pembiayaan!$H$2:$H$2001,Pembiayaan!$Q$2:$Q$2001,B93))</f>
        <v/>
      </c>
      <c r="G93" s="33" t="str">
        <f aca="false">IF(B93="","",SUMIFS(Penyesuaian!$B$2:$B$151,Penyesuaian!$A$2:$A$151,B93))</f>
        <v/>
      </c>
      <c r="H93" s="33" t="str">
        <f aca="false">IF(B93="","",IF(COUNTIF(Produk!$J$2:$J$100,B93)+COUNTIF(Pembiayaan!$O$2:$O$2001,B93)+COUNTIF(Penyesuaian!$A$2:$A$151,B93)=0,"",D93-E93-F93-G93))</f>
        <v/>
      </c>
      <c r="I93" s="6" t="str">
        <f aca="false">IF(B93="","",IF(COUNTIF(Produk!$J$2:$J$100,B93)+COUNTIF(Pembiayaan!$O$2:$O$2001,B93)+COUNTIF(Penyesuaian!$A$2:$A$151,B93)=0,"tanpa rincian",IF(ABS(H93)&lt;=Info_Koperasi!$C$10,"COCOK","SELISIH")))</f>
        <v/>
      </c>
    </row>
    <row r="94" customFormat="false" ht="15" hidden="false" customHeight="false" outlineLevel="0" collapsed="false">
      <c r="B94" s="6" t="str">
        <f aca="false">IF(Neraca!A70="","",Neraca!A70)</f>
        <v/>
      </c>
      <c r="C94" s="6" t="str">
        <f aca="false">IF(B94="","",Neraca!B70)</f>
        <v/>
      </c>
      <c r="D94" s="33" t="str">
        <f aca="false">IF(B94="","",N(Neraca!G70))</f>
        <v/>
      </c>
      <c r="E94" s="33" t="str">
        <f aca="false">IF(B94="","",SUMIFS(Simpanan!$D$2:$D$2001,Simpanan!$F$2:$F$2001,B94))</f>
        <v/>
      </c>
      <c r="F94" s="33" t="str">
        <f aca="false">IF(B94="","",SUMIFS(Pembiayaan!$H$2:$H$2001,Pembiayaan!$Q$2:$Q$2001,B94))</f>
        <v/>
      </c>
      <c r="G94" s="33" t="str">
        <f aca="false">IF(B94="","",SUMIFS(Penyesuaian!$B$2:$B$151,Penyesuaian!$A$2:$A$151,B94))</f>
        <v/>
      </c>
      <c r="H94" s="33" t="str">
        <f aca="false">IF(B94="","",IF(COUNTIF(Produk!$J$2:$J$100,B94)+COUNTIF(Pembiayaan!$O$2:$O$2001,B94)+COUNTIF(Penyesuaian!$A$2:$A$151,B94)=0,"",D94-E94-F94-G94))</f>
        <v/>
      </c>
      <c r="I94" s="6" t="str">
        <f aca="false">IF(B94="","",IF(COUNTIF(Produk!$J$2:$J$100,B94)+COUNTIF(Pembiayaan!$O$2:$O$2001,B94)+COUNTIF(Penyesuaian!$A$2:$A$151,B94)=0,"tanpa rincian",IF(ABS(H94)&lt;=Info_Koperasi!$C$10,"COCOK","SELISIH")))</f>
        <v/>
      </c>
    </row>
    <row r="95" customFormat="false" ht="15" hidden="false" customHeight="false" outlineLevel="0" collapsed="false">
      <c r="B95" s="6" t="str">
        <f aca="false">IF(Neraca!A71="","",Neraca!A71)</f>
        <v/>
      </c>
      <c r="C95" s="6" t="str">
        <f aca="false">IF(B95="","",Neraca!B71)</f>
        <v/>
      </c>
      <c r="D95" s="33" t="str">
        <f aca="false">IF(B95="","",N(Neraca!G71))</f>
        <v/>
      </c>
      <c r="E95" s="33" t="str">
        <f aca="false">IF(B95="","",SUMIFS(Simpanan!$D$2:$D$2001,Simpanan!$F$2:$F$2001,B95))</f>
        <v/>
      </c>
      <c r="F95" s="33" t="str">
        <f aca="false">IF(B95="","",SUMIFS(Pembiayaan!$H$2:$H$2001,Pembiayaan!$Q$2:$Q$2001,B95))</f>
        <v/>
      </c>
      <c r="G95" s="33" t="str">
        <f aca="false">IF(B95="","",SUMIFS(Penyesuaian!$B$2:$B$151,Penyesuaian!$A$2:$A$151,B95))</f>
        <v/>
      </c>
      <c r="H95" s="33" t="str">
        <f aca="false">IF(B95="","",IF(COUNTIF(Produk!$J$2:$J$100,B95)+COUNTIF(Pembiayaan!$O$2:$O$2001,B95)+COUNTIF(Penyesuaian!$A$2:$A$151,B95)=0,"",D95-E95-F95-G95))</f>
        <v/>
      </c>
      <c r="I95" s="6" t="str">
        <f aca="false">IF(B95="","",IF(COUNTIF(Produk!$J$2:$J$100,B95)+COUNTIF(Pembiayaan!$O$2:$O$2001,B95)+COUNTIF(Penyesuaian!$A$2:$A$151,B95)=0,"tanpa rincian",IF(ABS(H95)&lt;=Info_Koperasi!$C$10,"COCOK","SELISIH")))</f>
        <v/>
      </c>
    </row>
    <row r="96" customFormat="false" ht="15" hidden="false" customHeight="false" outlineLevel="0" collapsed="false">
      <c r="B96" s="6" t="str">
        <f aca="false">IF(Neraca!A72="","",Neraca!A72)</f>
        <v/>
      </c>
      <c r="C96" s="6" t="str">
        <f aca="false">IF(B96="","",Neraca!B72)</f>
        <v/>
      </c>
      <c r="D96" s="33" t="str">
        <f aca="false">IF(B96="","",N(Neraca!G72))</f>
        <v/>
      </c>
      <c r="E96" s="33" t="str">
        <f aca="false">IF(B96="","",SUMIFS(Simpanan!$D$2:$D$2001,Simpanan!$F$2:$F$2001,B96))</f>
        <v/>
      </c>
      <c r="F96" s="33" t="str">
        <f aca="false">IF(B96="","",SUMIFS(Pembiayaan!$H$2:$H$2001,Pembiayaan!$Q$2:$Q$2001,B96))</f>
        <v/>
      </c>
      <c r="G96" s="33" t="str">
        <f aca="false">IF(B96="","",SUMIFS(Penyesuaian!$B$2:$B$151,Penyesuaian!$A$2:$A$151,B96))</f>
        <v/>
      </c>
      <c r="H96" s="33" t="str">
        <f aca="false">IF(B96="","",IF(COUNTIF(Produk!$J$2:$J$100,B96)+COUNTIF(Pembiayaan!$O$2:$O$2001,B96)+COUNTIF(Penyesuaian!$A$2:$A$151,B96)=0,"",D96-E96-F96-G96))</f>
        <v/>
      </c>
      <c r="I96" s="6" t="str">
        <f aca="false">IF(B96="","",IF(COUNTIF(Produk!$J$2:$J$100,B96)+COUNTIF(Pembiayaan!$O$2:$O$2001,B96)+COUNTIF(Penyesuaian!$A$2:$A$151,B96)=0,"tanpa rincian",IF(ABS(H96)&lt;=Info_Koperasi!$C$10,"COCOK","SELISIH")))</f>
        <v/>
      </c>
    </row>
    <row r="97" customFormat="false" ht="15" hidden="false" customHeight="false" outlineLevel="0" collapsed="false">
      <c r="B97" s="6" t="str">
        <f aca="false">IF(Neraca!A73="","",Neraca!A73)</f>
        <v/>
      </c>
      <c r="C97" s="6" t="str">
        <f aca="false">IF(B97="","",Neraca!B73)</f>
        <v/>
      </c>
      <c r="D97" s="33" t="str">
        <f aca="false">IF(B97="","",N(Neraca!G73))</f>
        <v/>
      </c>
      <c r="E97" s="33" t="str">
        <f aca="false">IF(B97="","",SUMIFS(Simpanan!$D$2:$D$2001,Simpanan!$F$2:$F$2001,B97))</f>
        <v/>
      </c>
      <c r="F97" s="33" t="str">
        <f aca="false">IF(B97="","",SUMIFS(Pembiayaan!$H$2:$H$2001,Pembiayaan!$Q$2:$Q$2001,B97))</f>
        <v/>
      </c>
      <c r="G97" s="33" t="str">
        <f aca="false">IF(B97="","",SUMIFS(Penyesuaian!$B$2:$B$151,Penyesuaian!$A$2:$A$151,B97))</f>
        <v/>
      </c>
      <c r="H97" s="33" t="str">
        <f aca="false">IF(B97="","",IF(COUNTIF(Produk!$J$2:$J$100,B97)+COUNTIF(Pembiayaan!$O$2:$O$2001,B97)+COUNTIF(Penyesuaian!$A$2:$A$151,B97)=0,"",D97-E97-F97-G97))</f>
        <v/>
      </c>
      <c r="I97" s="6" t="str">
        <f aca="false">IF(B97="","",IF(COUNTIF(Produk!$J$2:$J$100,B97)+COUNTIF(Pembiayaan!$O$2:$O$2001,B97)+COUNTIF(Penyesuaian!$A$2:$A$151,B97)=0,"tanpa rincian",IF(ABS(H97)&lt;=Info_Koperasi!$C$10,"COCOK","SELISIH")))</f>
        <v/>
      </c>
    </row>
    <row r="98" customFormat="false" ht="15" hidden="false" customHeight="false" outlineLevel="0" collapsed="false">
      <c r="B98" s="6" t="str">
        <f aca="false">IF(Neraca!A74="","",Neraca!A74)</f>
        <v/>
      </c>
      <c r="C98" s="6" t="str">
        <f aca="false">IF(B98="","",Neraca!B74)</f>
        <v/>
      </c>
      <c r="D98" s="33" t="str">
        <f aca="false">IF(B98="","",N(Neraca!G74))</f>
        <v/>
      </c>
      <c r="E98" s="33" t="str">
        <f aca="false">IF(B98="","",SUMIFS(Simpanan!$D$2:$D$2001,Simpanan!$F$2:$F$2001,B98))</f>
        <v/>
      </c>
      <c r="F98" s="33" t="str">
        <f aca="false">IF(B98="","",SUMIFS(Pembiayaan!$H$2:$H$2001,Pembiayaan!$Q$2:$Q$2001,B98))</f>
        <v/>
      </c>
      <c r="G98" s="33" t="str">
        <f aca="false">IF(B98="","",SUMIFS(Penyesuaian!$B$2:$B$151,Penyesuaian!$A$2:$A$151,B98))</f>
        <v/>
      </c>
      <c r="H98" s="33" t="str">
        <f aca="false">IF(B98="","",IF(COUNTIF(Produk!$J$2:$J$100,B98)+COUNTIF(Pembiayaan!$O$2:$O$2001,B98)+COUNTIF(Penyesuaian!$A$2:$A$151,B98)=0,"",D98-E98-F98-G98))</f>
        <v/>
      </c>
      <c r="I98" s="6" t="str">
        <f aca="false">IF(B98="","",IF(COUNTIF(Produk!$J$2:$J$100,B98)+COUNTIF(Pembiayaan!$O$2:$O$2001,B98)+COUNTIF(Penyesuaian!$A$2:$A$151,B98)=0,"tanpa rincian",IF(ABS(H98)&lt;=Info_Koperasi!$C$10,"COCOK","SELISIH")))</f>
        <v/>
      </c>
    </row>
    <row r="99" customFormat="false" ht="15" hidden="false" customHeight="false" outlineLevel="0" collapsed="false">
      <c r="B99" s="6" t="str">
        <f aca="false">IF(Neraca!A75="","",Neraca!A75)</f>
        <v/>
      </c>
      <c r="C99" s="6" t="str">
        <f aca="false">IF(B99="","",Neraca!B75)</f>
        <v/>
      </c>
      <c r="D99" s="33" t="str">
        <f aca="false">IF(B99="","",N(Neraca!G75))</f>
        <v/>
      </c>
      <c r="E99" s="33" t="str">
        <f aca="false">IF(B99="","",SUMIFS(Simpanan!$D$2:$D$2001,Simpanan!$F$2:$F$2001,B99))</f>
        <v/>
      </c>
      <c r="F99" s="33" t="str">
        <f aca="false">IF(B99="","",SUMIFS(Pembiayaan!$H$2:$H$2001,Pembiayaan!$Q$2:$Q$2001,B99))</f>
        <v/>
      </c>
      <c r="G99" s="33" t="str">
        <f aca="false">IF(B99="","",SUMIFS(Penyesuaian!$B$2:$B$151,Penyesuaian!$A$2:$A$151,B99))</f>
        <v/>
      </c>
      <c r="H99" s="33" t="str">
        <f aca="false">IF(B99="","",IF(COUNTIF(Produk!$J$2:$J$100,B99)+COUNTIF(Pembiayaan!$O$2:$O$2001,B99)+COUNTIF(Penyesuaian!$A$2:$A$151,B99)=0,"",D99-E99-F99-G99))</f>
        <v/>
      </c>
      <c r="I99" s="6" t="str">
        <f aca="false">IF(B99="","",IF(COUNTIF(Produk!$J$2:$J$100,B99)+COUNTIF(Pembiayaan!$O$2:$O$2001,B99)+COUNTIF(Penyesuaian!$A$2:$A$151,B99)=0,"tanpa rincian",IF(ABS(H99)&lt;=Info_Koperasi!$C$10,"COCOK","SELISIH")))</f>
        <v/>
      </c>
    </row>
    <row r="100" customFormat="false" ht="15" hidden="false" customHeight="false" outlineLevel="0" collapsed="false">
      <c r="B100" s="6" t="str">
        <f aca="false">IF(Neraca!A76="","",Neraca!A76)</f>
        <v/>
      </c>
      <c r="C100" s="6" t="str">
        <f aca="false">IF(B100="","",Neraca!B76)</f>
        <v/>
      </c>
      <c r="D100" s="33" t="str">
        <f aca="false">IF(B100="","",N(Neraca!G76))</f>
        <v/>
      </c>
      <c r="E100" s="33" t="str">
        <f aca="false">IF(B100="","",SUMIFS(Simpanan!$D$2:$D$2001,Simpanan!$F$2:$F$2001,B100))</f>
        <v/>
      </c>
      <c r="F100" s="33" t="str">
        <f aca="false">IF(B100="","",SUMIFS(Pembiayaan!$H$2:$H$2001,Pembiayaan!$Q$2:$Q$2001,B100))</f>
        <v/>
      </c>
      <c r="G100" s="33" t="str">
        <f aca="false">IF(B100="","",SUMIFS(Penyesuaian!$B$2:$B$151,Penyesuaian!$A$2:$A$151,B100))</f>
        <v/>
      </c>
      <c r="H100" s="33" t="str">
        <f aca="false">IF(B100="","",IF(COUNTIF(Produk!$J$2:$J$100,B100)+COUNTIF(Pembiayaan!$O$2:$O$2001,B100)+COUNTIF(Penyesuaian!$A$2:$A$151,B100)=0,"",D100-E100-F100-G100))</f>
        <v/>
      </c>
      <c r="I100" s="6" t="str">
        <f aca="false">IF(B100="","",IF(COUNTIF(Produk!$J$2:$J$100,B100)+COUNTIF(Pembiayaan!$O$2:$O$2001,B100)+COUNTIF(Penyesuaian!$A$2:$A$151,B100)=0,"tanpa rincian",IF(ABS(H100)&lt;=Info_Koperasi!$C$10,"COCOK","SELISIH")))</f>
        <v/>
      </c>
    </row>
    <row r="101" customFormat="false" ht="15" hidden="false" customHeight="false" outlineLevel="0" collapsed="false">
      <c r="B101" s="6" t="str">
        <f aca="false">IF(Neraca!A77="","",Neraca!A77)</f>
        <v/>
      </c>
      <c r="C101" s="6" t="str">
        <f aca="false">IF(B101="","",Neraca!B77)</f>
        <v/>
      </c>
      <c r="D101" s="33" t="str">
        <f aca="false">IF(B101="","",N(Neraca!G77))</f>
        <v/>
      </c>
      <c r="E101" s="33" t="str">
        <f aca="false">IF(B101="","",SUMIFS(Simpanan!$D$2:$D$2001,Simpanan!$F$2:$F$2001,B101))</f>
        <v/>
      </c>
      <c r="F101" s="33" t="str">
        <f aca="false">IF(B101="","",SUMIFS(Pembiayaan!$H$2:$H$2001,Pembiayaan!$Q$2:$Q$2001,B101))</f>
        <v/>
      </c>
      <c r="G101" s="33" t="str">
        <f aca="false">IF(B101="","",SUMIFS(Penyesuaian!$B$2:$B$151,Penyesuaian!$A$2:$A$151,B101))</f>
        <v/>
      </c>
      <c r="H101" s="33" t="str">
        <f aca="false">IF(B101="","",IF(COUNTIF(Produk!$J$2:$J$100,B101)+COUNTIF(Pembiayaan!$O$2:$O$2001,B101)+COUNTIF(Penyesuaian!$A$2:$A$151,B101)=0,"",D101-E101-F101-G101))</f>
        <v/>
      </c>
      <c r="I101" s="6" t="str">
        <f aca="false">IF(B101="","",IF(COUNTIF(Produk!$J$2:$J$100,B101)+COUNTIF(Pembiayaan!$O$2:$O$2001,B101)+COUNTIF(Penyesuaian!$A$2:$A$151,B101)=0,"tanpa rincian",IF(ABS(H101)&lt;=Info_Koperasi!$C$10,"COCOK","SELISIH")))</f>
        <v/>
      </c>
    </row>
    <row r="102" customFormat="false" ht="15" hidden="false" customHeight="false" outlineLevel="0" collapsed="false">
      <c r="B102" s="6" t="str">
        <f aca="false">IF(Neraca!A78="","",Neraca!A78)</f>
        <v/>
      </c>
      <c r="C102" s="6" t="str">
        <f aca="false">IF(B102="","",Neraca!B78)</f>
        <v/>
      </c>
      <c r="D102" s="33" t="str">
        <f aca="false">IF(B102="","",N(Neraca!G78))</f>
        <v/>
      </c>
      <c r="E102" s="33" t="str">
        <f aca="false">IF(B102="","",SUMIFS(Simpanan!$D$2:$D$2001,Simpanan!$F$2:$F$2001,B102))</f>
        <v/>
      </c>
      <c r="F102" s="33" t="str">
        <f aca="false">IF(B102="","",SUMIFS(Pembiayaan!$H$2:$H$2001,Pembiayaan!$Q$2:$Q$2001,B102))</f>
        <v/>
      </c>
      <c r="G102" s="33" t="str">
        <f aca="false">IF(B102="","",SUMIFS(Penyesuaian!$B$2:$B$151,Penyesuaian!$A$2:$A$151,B102))</f>
        <v/>
      </c>
      <c r="H102" s="33" t="str">
        <f aca="false">IF(B102="","",IF(COUNTIF(Produk!$J$2:$J$100,B102)+COUNTIF(Pembiayaan!$O$2:$O$2001,B102)+COUNTIF(Penyesuaian!$A$2:$A$151,B102)=0,"",D102-E102-F102-G102))</f>
        <v/>
      </c>
      <c r="I102" s="6" t="str">
        <f aca="false">IF(B102="","",IF(COUNTIF(Produk!$J$2:$J$100,B102)+COUNTIF(Pembiayaan!$O$2:$O$2001,B102)+COUNTIF(Penyesuaian!$A$2:$A$151,B102)=0,"tanpa rincian",IF(ABS(H102)&lt;=Info_Koperasi!$C$10,"COCOK","SELISIH")))</f>
        <v/>
      </c>
    </row>
    <row r="103" customFormat="false" ht="15" hidden="false" customHeight="false" outlineLevel="0" collapsed="false">
      <c r="B103" s="6" t="str">
        <f aca="false">IF(Neraca!A79="","",Neraca!A79)</f>
        <v/>
      </c>
      <c r="C103" s="6" t="str">
        <f aca="false">IF(B103="","",Neraca!B79)</f>
        <v/>
      </c>
      <c r="D103" s="33" t="str">
        <f aca="false">IF(B103="","",N(Neraca!G79))</f>
        <v/>
      </c>
      <c r="E103" s="33" t="str">
        <f aca="false">IF(B103="","",SUMIFS(Simpanan!$D$2:$D$2001,Simpanan!$F$2:$F$2001,B103))</f>
        <v/>
      </c>
      <c r="F103" s="33" t="str">
        <f aca="false">IF(B103="","",SUMIFS(Pembiayaan!$H$2:$H$2001,Pembiayaan!$Q$2:$Q$2001,B103))</f>
        <v/>
      </c>
      <c r="G103" s="33" t="str">
        <f aca="false">IF(B103="","",SUMIFS(Penyesuaian!$B$2:$B$151,Penyesuaian!$A$2:$A$151,B103))</f>
        <v/>
      </c>
      <c r="H103" s="33" t="str">
        <f aca="false">IF(B103="","",IF(COUNTIF(Produk!$J$2:$J$100,B103)+COUNTIF(Pembiayaan!$O$2:$O$2001,B103)+COUNTIF(Penyesuaian!$A$2:$A$151,B103)=0,"",D103-E103-F103-G103))</f>
        <v/>
      </c>
      <c r="I103" s="6" t="str">
        <f aca="false">IF(B103="","",IF(COUNTIF(Produk!$J$2:$J$100,B103)+COUNTIF(Pembiayaan!$O$2:$O$2001,B103)+COUNTIF(Penyesuaian!$A$2:$A$151,B103)=0,"tanpa rincian",IF(ABS(H103)&lt;=Info_Koperasi!$C$10,"COCOK","SELISIH")))</f>
        <v/>
      </c>
    </row>
    <row r="104" customFormat="false" ht="15" hidden="false" customHeight="false" outlineLevel="0" collapsed="false">
      <c r="B104" s="6" t="str">
        <f aca="false">IF(Neraca!A80="","",Neraca!A80)</f>
        <v/>
      </c>
      <c r="C104" s="6" t="str">
        <f aca="false">IF(B104="","",Neraca!B80)</f>
        <v/>
      </c>
      <c r="D104" s="33" t="str">
        <f aca="false">IF(B104="","",N(Neraca!G80))</f>
        <v/>
      </c>
      <c r="E104" s="33" t="str">
        <f aca="false">IF(B104="","",SUMIFS(Simpanan!$D$2:$D$2001,Simpanan!$F$2:$F$2001,B104))</f>
        <v/>
      </c>
      <c r="F104" s="33" t="str">
        <f aca="false">IF(B104="","",SUMIFS(Pembiayaan!$H$2:$H$2001,Pembiayaan!$Q$2:$Q$2001,B104))</f>
        <v/>
      </c>
      <c r="G104" s="33" t="str">
        <f aca="false">IF(B104="","",SUMIFS(Penyesuaian!$B$2:$B$151,Penyesuaian!$A$2:$A$151,B104))</f>
        <v/>
      </c>
      <c r="H104" s="33" t="str">
        <f aca="false">IF(B104="","",IF(COUNTIF(Produk!$J$2:$J$100,B104)+COUNTIF(Pembiayaan!$O$2:$O$2001,B104)+COUNTIF(Penyesuaian!$A$2:$A$151,B104)=0,"",D104-E104-F104-G104))</f>
        <v/>
      </c>
      <c r="I104" s="6" t="str">
        <f aca="false">IF(B104="","",IF(COUNTIF(Produk!$J$2:$J$100,B104)+COUNTIF(Pembiayaan!$O$2:$O$2001,B104)+COUNTIF(Penyesuaian!$A$2:$A$151,B104)=0,"tanpa rincian",IF(ABS(H104)&lt;=Info_Koperasi!$C$10,"COCOK","SELISIH")))</f>
        <v/>
      </c>
    </row>
    <row r="105" customFormat="false" ht="15" hidden="false" customHeight="false" outlineLevel="0" collapsed="false">
      <c r="B105" s="6" t="str">
        <f aca="false">IF(Neraca!A81="","",Neraca!A81)</f>
        <v/>
      </c>
      <c r="C105" s="6" t="str">
        <f aca="false">IF(B105="","",Neraca!B81)</f>
        <v/>
      </c>
      <c r="D105" s="33" t="str">
        <f aca="false">IF(B105="","",N(Neraca!G81))</f>
        <v/>
      </c>
      <c r="E105" s="33" t="str">
        <f aca="false">IF(B105="","",SUMIFS(Simpanan!$D$2:$D$2001,Simpanan!$F$2:$F$2001,B105))</f>
        <v/>
      </c>
      <c r="F105" s="33" t="str">
        <f aca="false">IF(B105="","",SUMIFS(Pembiayaan!$H$2:$H$2001,Pembiayaan!$Q$2:$Q$2001,B105))</f>
        <v/>
      </c>
      <c r="G105" s="33" t="str">
        <f aca="false">IF(B105="","",SUMIFS(Penyesuaian!$B$2:$B$151,Penyesuaian!$A$2:$A$151,B105))</f>
        <v/>
      </c>
      <c r="H105" s="33" t="str">
        <f aca="false">IF(B105="","",IF(COUNTIF(Produk!$J$2:$J$100,B105)+COUNTIF(Pembiayaan!$O$2:$O$2001,B105)+COUNTIF(Penyesuaian!$A$2:$A$151,B105)=0,"",D105-E105-F105-G105))</f>
        <v/>
      </c>
      <c r="I105" s="6" t="str">
        <f aca="false">IF(B105="","",IF(COUNTIF(Produk!$J$2:$J$100,B105)+COUNTIF(Pembiayaan!$O$2:$O$2001,B105)+COUNTIF(Penyesuaian!$A$2:$A$151,B105)=0,"tanpa rincian",IF(ABS(H105)&lt;=Info_Koperasi!$C$10,"COCOK","SELISIH")))</f>
        <v/>
      </c>
    </row>
    <row r="106" customFormat="false" ht="15" hidden="false" customHeight="false" outlineLevel="0" collapsed="false">
      <c r="B106" s="6" t="str">
        <f aca="false">IF(Neraca!A82="","",Neraca!A82)</f>
        <v/>
      </c>
      <c r="C106" s="6" t="str">
        <f aca="false">IF(B106="","",Neraca!B82)</f>
        <v/>
      </c>
      <c r="D106" s="33" t="str">
        <f aca="false">IF(B106="","",N(Neraca!G82))</f>
        <v/>
      </c>
      <c r="E106" s="33" t="str">
        <f aca="false">IF(B106="","",SUMIFS(Simpanan!$D$2:$D$2001,Simpanan!$F$2:$F$2001,B106))</f>
        <v/>
      </c>
      <c r="F106" s="33" t="str">
        <f aca="false">IF(B106="","",SUMIFS(Pembiayaan!$H$2:$H$2001,Pembiayaan!$Q$2:$Q$2001,B106))</f>
        <v/>
      </c>
      <c r="G106" s="33" t="str">
        <f aca="false">IF(B106="","",SUMIFS(Penyesuaian!$B$2:$B$151,Penyesuaian!$A$2:$A$151,B106))</f>
        <v/>
      </c>
      <c r="H106" s="33" t="str">
        <f aca="false">IF(B106="","",IF(COUNTIF(Produk!$J$2:$J$100,B106)+COUNTIF(Pembiayaan!$O$2:$O$2001,B106)+COUNTIF(Penyesuaian!$A$2:$A$151,B106)=0,"",D106-E106-F106-G106))</f>
        <v/>
      </c>
      <c r="I106" s="6" t="str">
        <f aca="false">IF(B106="","",IF(COUNTIF(Produk!$J$2:$J$100,B106)+COUNTIF(Pembiayaan!$O$2:$O$2001,B106)+COUNTIF(Penyesuaian!$A$2:$A$151,B106)=0,"tanpa rincian",IF(ABS(H106)&lt;=Info_Koperasi!$C$10,"COCOK","SELISIH")))</f>
        <v/>
      </c>
    </row>
    <row r="107" customFormat="false" ht="15" hidden="false" customHeight="false" outlineLevel="0" collapsed="false">
      <c r="B107" s="6" t="str">
        <f aca="false">IF(Neraca!A83="","",Neraca!A83)</f>
        <v/>
      </c>
      <c r="C107" s="6" t="str">
        <f aca="false">IF(B107="","",Neraca!B83)</f>
        <v/>
      </c>
      <c r="D107" s="33" t="str">
        <f aca="false">IF(B107="","",N(Neraca!G83))</f>
        <v/>
      </c>
      <c r="E107" s="33" t="str">
        <f aca="false">IF(B107="","",SUMIFS(Simpanan!$D$2:$D$2001,Simpanan!$F$2:$F$2001,B107))</f>
        <v/>
      </c>
      <c r="F107" s="33" t="str">
        <f aca="false">IF(B107="","",SUMIFS(Pembiayaan!$H$2:$H$2001,Pembiayaan!$Q$2:$Q$2001,B107))</f>
        <v/>
      </c>
      <c r="G107" s="33" t="str">
        <f aca="false">IF(B107="","",SUMIFS(Penyesuaian!$B$2:$B$151,Penyesuaian!$A$2:$A$151,B107))</f>
        <v/>
      </c>
      <c r="H107" s="33" t="str">
        <f aca="false">IF(B107="","",IF(COUNTIF(Produk!$J$2:$J$100,B107)+COUNTIF(Pembiayaan!$O$2:$O$2001,B107)+COUNTIF(Penyesuaian!$A$2:$A$151,B107)=0,"",D107-E107-F107-G107))</f>
        <v/>
      </c>
      <c r="I107" s="6" t="str">
        <f aca="false">IF(B107="","",IF(COUNTIF(Produk!$J$2:$J$100,B107)+COUNTIF(Pembiayaan!$O$2:$O$2001,B107)+COUNTIF(Penyesuaian!$A$2:$A$151,B107)=0,"tanpa rincian",IF(ABS(H107)&lt;=Info_Koperasi!$C$10,"COCOK","SELISIH")))</f>
        <v/>
      </c>
    </row>
    <row r="108" customFormat="false" ht="15" hidden="false" customHeight="false" outlineLevel="0" collapsed="false">
      <c r="B108" s="6" t="str">
        <f aca="false">IF(Neraca!A84="","",Neraca!A84)</f>
        <v/>
      </c>
      <c r="C108" s="6" t="str">
        <f aca="false">IF(B108="","",Neraca!B84)</f>
        <v/>
      </c>
      <c r="D108" s="33" t="str">
        <f aca="false">IF(B108="","",N(Neraca!G84))</f>
        <v/>
      </c>
      <c r="E108" s="33" t="str">
        <f aca="false">IF(B108="","",SUMIFS(Simpanan!$D$2:$D$2001,Simpanan!$F$2:$F$2001,B108))</f>
        <v/>
      </c>
      <c r="F108" s="33" t="str">
        <f aca="false">IF(B108="","",SUMIFS(Pembiayaan!$H$2:$H$2001,Pembiayaan!$Q$2:$Q$2001,B108))</f>
        <v/>
      </c>
      <c r="G108" s="33" t="str">
        <f aca="false">IF(B108="","",SUMIFS(Penyesuaian!$B$2:$B$151,Penyesuaian!$A$2:$A$151,B108))</f>
        <v/>
      </c>
      <c r="H108" s="33" t="str">
        <f aca="false">IF(B108="","",IF(COUNTIF(Produk!$J$2:$J$100,B108)+COUNTIF(Pembiayaan!$O$2:$O$2001,B108)+COUNTIF(Penyesuaian!$A$2:$A$151,B108)=0,"",D108-E108-F108-G108))</f>
        <v/>
      </c>
      <c r="I108" s="6" t="str">
        <f aca="false">IF(B108="","",IF(COUNTIF(Produk!$J$2:$J$100,B108)+COUNTIF(Pembiayaan!$O$2:$O$2001,B108)+COUNTIF(Penyesuaian!$A$2:$A$151,B108)=0,"tanpa rincian",IF(ABS(H108)&lt;=Info_Koperasi!$C$10,"COCOK","SELISIH")))</f>
        <v/>
      </c>
    </row>
    <row r="109" customFormat="false" ht="15" hidden="false" customHeight="false" outlineLevel="0" collapsed="false">
      <c r="B109" s="6" t="str">
        <f aca="false">IF(Neraca!A85="","",Neraca!A85)</f>
        <v/>
      </c>
      <c r="C109" s="6" t="str">
        <f aca="false">IF(B109="","",Neraca!B85)</f>
        <v/>
      </c>
      <c r="D109" s="33" t="str">
        <f aca="false">IF(B109="","",N(Neraca!G85))</f>
        <v/>
      </c>
      <c r="E109" s="33" t="str">
        <f aca="false">IF(B109="","",SUMIFS(Simpanan!$D$2:$D$2001,Simpanan!$F$2:$F$2001,B109))</f>
        <v/>
      </c>
      <c r="F109" s="33" t="str">
        <f aca="false">IF(B109="","",SUMIFS(Pembiayaan!$H$2:$H$2001,Pembiayaan!$Q$2:$Q$2001,B109))</f>
        <v/>
      </c>
      <c r="G109" s="33" t="str">
        <f aca="false">IF(B109="","",SUMIFS(Penyesuaian!$B$2:$B$151,Penyesuaian!$A$2:$A$151,B109))</f>
        <v/>
      </c>
      <c r="H109" s="33" t="str">
        <f aca="false">IF(B109="","",IF(COUNTIF(Produk!$J$2:$J$100,B109)+COUNTIF(Pembiayaan!$O$2:$O$2001,B109)+COUNTIF(Penyesuaian!$A$2:$A$151,B109)=0,"",D109-E109-F109-G109))</f>
        <v/>
      </c>
      <c r="I109" s="6" t="str">
        <f aca="false">IF(B109="","",IF(COUNTIF(Produk!$J$2:$J$100,B109)+COUNTIF(Pembiayaan!$O$2:$O$2001,B109)+COUNTIF(Penyesuaian!$A$2:$A$151,B109)=0,"tanpa rincian",IF(ABS(H109)&lt;=Info_Koperasi!$C$10,"COCOK","SELISIH")))</f>
        <v/>
      </c>
    </row>
    <row r="110" customFormat="false" ht="15" hidden="false" customHeight="false" outlineLevel="0" collapsed="false">
      <c r="B110" s="6" t="str">
        <f aca="false">IF(Neraca!A86="","",Neraca!A86)</f>
        <v/>
      </c>
      <c r="C110" s="6" t="str">
        <f aca="false">IF(B110="","",Neraca!B86)</f>
        <v/>
      </c>
      <c r="D110" s="33" t="str">
        <f aca="false">IF(B110="","",N(Neraca!G86))</f>
        <v/>
      </c>
      <c r="E110" s="33" t="str">
        <f aca="false">IF(B110="","",SUMIFS(Simpanan!$D$2:$D$2001,Simpanan!$F$2:$F$2001,B110))</f>
        <v/>
      </c>
      <c r="F110" s="33" t="str">
        <f aca="false">IF(B110="","",SUMIFS(Pembiayaan!$H$2:$H$2001,Pembiayaan!$Q$2:$Q$2001,B110))</f>
        <v/>
      </c>
      <c r="G110" s="33" t="str">
        <f aca="false">IF(B110="","",SUMIFS(Penyesuaian!$B$2:$B$151,Penyesuaian!$A$2:$A$151,B110))</f>
        <v/>
      </c>
      <c r="H110" s="33" t="str">
        <f aca="false">IF(B110="","",IF(COUNTIF(Produk!$J$2:$J$100,B110)+COUNTIF(Pembiayaan!$O$2:$O$2001,B110)+COUNTIF(Penyesuaian!$A$2:$A$151,B110)=0,"",D110-E110-F110-G110))</f>
        <v/>
      </c>
      <c r="I110" s="6" t="str">
        <f aca="false">IF(B110="","",IF(COUNTIF(Produk!$J$2:$J$100,B110)+COUNTIF(Pembiayaan!$O$2:$O$2001,B110)+COUNTIF(Penyesuaian!$A$2:$A$151,B110)=0,"tanpa rincian",IF(ABS(H110)&lt;=Info_Koperasi!$C$10,"COCOK","SELISIH")))</f>
        <v/>
      </c>
    </row>
    <row r="111" customFormat="false" ht="15" hidden="false" customHeight="false" outlineLevel="0" collapsed="false">
      <c r="B111" s="6" t="str">
        <f aca="false">IF(Neraca!A87="","",Neraca!A87)</f>
        <v/>
      </c>
      <c r="C111" s="6" t="str">
        <f aca="false">IF(B111="","",Neraca!B87)</f>
        <v/>
      </c>
      <c r="D111" s="33" t="str">
        <f aca="false">IF(B111="","",N(Neraca!G87))</f>
        <v/>
      </c>
      <c r="E111" s="33" t="str">
        <f aca="false">IF(B111="","",SUMIFS(Simpanan!$D$2:$D$2001,Simpanan!$F$2:$F$2001,B111))</f>
        <v/>
      </c>
      <c r="F111" s="33" t="str">
        <f aca="false">IF(B111="","",SUMIFS(Pembiayaan!$H$2:$H$2001,Pembiayaan!$Q$2:$Q$2001,B111))</f>
        <v/>
      </c>
      <c r="G111" s="33" t="str">
        <f aca="false">IF(B111="","",SUMIFS(Penyesuaian!$B$2:$B$151,Penyesuaian!$A$2:$A$151,B111))</f>
        <v/>
      </c>
      <c r="H111" s="33" t="str">
        <f aca="false">IF(B111="","",IF(COUNTIF(Produk!$J$2:$J$100,B111)+COUNTIF(Pembiayaan!$O$2:$O$2001,B111)+COUNTIF(Penyesuaian!$A$2:$A$151,B111)=0,"",D111-E111-F111-G111))</f>
        <v/>
      </c>
      <c r="I111" s="6" t="str">
        <f aca="false">IF(B111="","",IF(COUNTIF(Produk!$J$2:$J$100,B111)+COUNTIF(Pembiayaan!$O$2:$O$2001,B111)+COUNTIF(Penyesuaian!$A$2:$A$151,B111)=0,"tanpa rincian",IF(ABS(H111)&lt;=Info_Koperasi!$C$10,"COCOK","SELISIH")))</f>
        <v/>
      </c>
    </row>
    <row r="112" customFormat="false" ht="15" hidden="false" customHeight="false" outlineLevel="0" collapsed="false">
      <c r="B112" s="6" t="str">
        <f aca="false">IF(Neraca!A88="","",Neraca!A88)</f>
        <v/>
      </c>
      <c r="C112" s="6" t="str">
        <f aca="false">IF(B112="","",Neraca!B88)</f>
        <v/>
      </c>
      <c r="D112" s="33" t="str">
        <f aca="false">IF(B112="","",N(Neraca!G88))</f>
        <v/>
      </c>
      <c r="E112" s="33" t="str">
        <f aca="false">IF(B112="","",SUMIFS(Simpanan!$D$2:$D$2001,Simpanan!$F$2:$F$2001,B112))</f>
        <v/>
      </c>
      <c r="F112" s="33" t="str">
        <f aca="false">IF(B112="","",SUMIFS(Pembiayaan!$H$2:$H$2001,Pembiayaan!$Q$2:$Q$2001,B112))</f>
        <v/>
      </c>
      <c r="G112" s="33" t="str">
        <f aca="false">IF(B112="","",SUMIFS(Penyesuaian!$B$2:$B$151,Penyesuaian!$A$2:$A$151,B112))</f>
        <v/>
      </c>
      <c r="H112" s="33" t="str">
        <f aca="false">IF(B112="","",IF(COUNTIF(Produk!$J$2:$J$100,B112)+COUNTIF(Pembiayaan!$O$2:$O$2001,B112)+COUNTIF(Penyesuaian!$A$2:$A$151,B112)=0,"",D112-E112-F112-G112))</f>
        <v/>
      </c>
      <c r="I112" s="6" t="str">
        <f aca="false">IF(B112="","",IF(COUNTIF(Produk!$J$2:$J$100,B112)+COUNTIF(Pembiayaan!$O$2:$O$2001,B112)+COUNTIF(Penyesuaian!$A$2:$A$151,B112)=0,"tanpa rincian",IF(ABS(H112)&lt;=Info_Koperasi!$C$10,"COCOK","SELISIH")))</f>
        <v/>
      </c>
    </row>
    <row r="113" customFormat="false" ht="15" hidden="false" customHeight="false" outlineLevel="0" collapsed="false">
      <c r="B113" s="6" t="str">
        <f aca="false">IF(Neraca!A89="","",Neraca!A89)</f>
        <v/>
      </c>
      <c r="C113" s="6" t="str">
        <f aca="false">IF(B113="","",Neraca!B89)</f>
        <v/>
      </c>
      <c r="D113" s="33" t="str">
        <f aca="false">IF(B113="","",N(Neraca!G89))</f>
        <v/>
      </c>
      <c r="E113" s="33" t="str">
        <f aca="false">IF(B113="","",SUMIFS(Simpanan!$D$2:$D$2001,Simpanan!$F$2:$F$2001,B113))</f>
        <v/>
      </c>
      <c r="F113" s="33" t="str">
        <f aca="false">IF(B113="","",SUMIFS(Pembiayaan!$H$2:$H$2001,Pembiayaan!$Q$2:$Q$2001,B113))</f>
        <v/>
      </c>
      <c r="G113" s="33" t="str">
        <f aca="false">IF(B113="","",SUMIFS(Penyesuaian!$B$2:$B$151,Penyesuaian!$A$2:$A$151,B113))</f>
        <v/>
      </c>
      <c r="H113" s="33" t="str">
        <f aca="false">IF(B113="","",IF(COUNTIF(Produk!$J$2:$J$100,B113)+COUNTIF(Pembiayaan!$O$2:$O$2001,B113)+COUNTIF(Penyesuaian!$A$2:$A$151,B113)=0,"",D113-E113-F113-G113))</f>
        <v/>
      </c>
      <c r="I113" s="6" t="str">
        <f aca="false">IF(B113="","",IF(COUNTIF(Produk!$J$2:$J$100,B113)+COUNTIF(Pembiayaan!$O$2:$O$2001,B113)+COUNTIF(Penyesuaian!$A$2:$A$151,B113)=0,"tanpa rincian",IF(ABS(H113)&lt;=Info_Koperasi!$C$10,"COCOK","SELISIH")))</f>
        <v/>
      </c>
    </row>
    <row r="114" customFormat="false" ht="15" hidden="false" customHeight="false" outlineLevel="0" collapsed="false">
      <c r="B114" s="6" t="str">
        <f aca="false">IF(Neraca!A90="","",Neraca!A90)</f>
        <v/>
      </c>
      <c r="C114" s="6" t="str">
        <f aca="false">IF(B114="","",Neraca!B90)</f>
        <v/>
      </c>
      <c r="D114" s="33" t="str">
        <f aca="false">IF(B114="","",N(Neraca!G90))</f>
        <v/>
      </c>
      <c r="E114" s="33" t="str">
        <f aca="false">IF(B114="","",SUMIFS(Simpanan!$D$2:$D$2001,Simpanan!$F$2:$F$2001,B114))</f>
        <v/>
      </c>
      <c r="F114" s="33" t="str">
        <f aca="false">IF(B114="","",SUMIFS(Pembiayaan!$H$2:$H$2001,Pembiayaan!$Q$2:$Q$2001,B114))</f>
        <v/>
      </c>
      <c r="G114" s="33" t="str">
        <f aca="false">IF(B114="","",SUMIFS(Penyesuaian!$B$2:$B$151,Penyesuaian!$A$2:$A$151,B114))</f>
        <v/>
      </c>
      <c r="H114" s="33" t="str">
        <f aca="false">IF(B114="","",IF(COUNTIF(Produk!$J$2:$J$100,B114)+COUNTIF(Pembiayaan!$O$2:$O$2001,B114)+COUNTIF(Penyesuaian!$A$2:$A$151,B114)=0,"",D114-E114-F114-G114))</f>
        <v/>
      </c>
      <c r="I114" s="6" t="str">
        <f aca="false">IF(B114="","",IF(COUNTIF(Produk!$J$2:$J$100,B114)+COUNTIF(Pembiayaan!$O$2:$O$2001,B114)+COUNTIF(Penyesuaian!$A$2:$A$151,B114)=0,"tanpa rincian",IF(ABS(H114)&lt;=Info_Koperasi!$C$10,"COCOK","SELISIH")))</f>
        <v/>
      </c>
    </row>
    <row r="115" customFormat="false" ht="15" hidden="false" customHeight="false" outlineLevel="0" collapsed="false">
      <c r="B115" s="6" t="str">
        <f aca="false">IF(Neraca!A91="","",Neraca!A91)</f>
        <v/>
      </c>
      <c r="C115" s="6" t="str">
        <f aca="false">IF(B115="","",Neraca!B91)</f>
        <v/>
      </c>
      <c r="D115" s="33" t="str">
        <f aca="false">IF(B115="","",N(Neraca!G91))</f>
        <v/>
      </c>
      <c r="E115" s="33" t="str">
        <f aca="false">IF(B115="","",SUMIFS(Simpanan!$D$2:$D$2001,Simpanan!$F$2:$F$2001,B115))</f>
        <v/>
      </c>
      <c r="F115" s="33" t="str">
        <f aca="false">IF(B115="","",SUMIFS(Pembiayaan!$H$2:$H$2001,Pembiayaan!$Q$2:$Q$2001,B115))</f>
        <v/>
      </c>
      <c r="G115" s="33" t="str">
        <f aca="false">IF(B115="","",SUMIFS(Penyesuaian!$B$2:$B$151,Penyesuaian!$A$2:$A$151,B115))</f>
        <v/>
      </c>
      <c r="H115" s="33" t="str">
        <f aca="false">IF(B115="","",IF(COUNTIF(Produk!$J$2:$J$100,B115)+COUNTIF(Pembiayaan!$O$2:$O$2001,B115)+COUNTIF(Penyesuaian!$A$2:$A$151,B115)=0,"",D115-E115-F115-G115))</f>
        <v/>
      </c>
      <c r="I115" s="6" t="str">
        <f aca="false">IF(B115="","",IF(COUNTIF(Produk!$J$2:$J$100,B115)+COUNTIF(Pembiayaan!$O$2:$O$2001,B115)+COUNTIF(Penyesuaian!$A$2:$A$151,B115)=0,"tanpa rincian",IF(ABS(H115)&lt;=Info_Koperasi!$C$10,"COCOK","SELISIH")))</f>
        <v/>
      </c>
    </row>
    <row r="116" customFormat="false" ht="15" hidden="false" customHeight="false" outlineLevel="0" collapsed="false">
      <c r="B116" s="6" t="str">
        <f aca="false">IF(Neraca!A92="","",Neraca!A92)</f>
        <v/>
      </c>
      <c r="C116" s="6" t="str">
        <f aca="false">IF(B116="","",Neraca!B92)</f>
        <v/>
      </c>
      <c r="D116" s="33" t="str">
        <f aca="false">IF(B116="","",N(Neraca!G92))</f>
        <v/>
      </c>
      <c r="E116" s="33" t="str">
        <f aca="false">IF(B116="","",SUMIFS(Simpanan!$D$2:$D$2001,Simpanan!$F$2:$F$2001,B116))</f>
        <v/>
      </c>
      <c r="F116" s="33" t="str">
        <f aca="false">IF(B116="","",SUMIFS(Pembiayaan!$H$2:$H$2001,Pembiayaan!$Q$2:$Q$2001,B116))</f>
        <v/>
      </c>
      <c r="G116" s="33" t="str">
        <f aca="false">IF(B116="","",SUMIFS(Penyesuaian!$B$2:$B$151,Penyesuaian!$A$2:$A$151,B116))</f>
        <v/>
      </c>
      <c r="H116" s="33" t="str">
        <f aca="false">IF(B116="","",IF(COUNTIF(Produk!$J$2:$J$100,B116)+COUNTIF(Pembiayaan!$O$2:$O$2001,B116)+COUNTIF(Penyesuaian!$A$2:$A$151,B116)=0,"",D116-E116-F116-G116))</f>
        <v/>
      </c>
      <c r="I116" s="6" t="str">
        <f aca="false">IF(B116="","",IF(COUNTIF(Produk!$J$2:$J$100,B116)+COUNTIF(Pembiayaan!$O$2:$O$2001,B116)+COUNTIF(Penyesuaian!$A$2:$A$151,B116)=0,"tanpa rincian",IF(ABS(H116)&lt;=Info_Koperasi!$C$10,"COCOK","SELISIH")))</f>
        <v/>
      </c>
    </row>
    <row r="117" customFormat="false" ht="15" hidden="false" customHeight="false" outlineLevel="0" collapsed="false">
      <c r="B117" s="6" t="str">
        <f aca="false">IF(Neraca!A93="","",Neraca!A93)</f>
        <v/>
      </c>
      <c r="C117" s="6" t="str">
        <f aca="false">IF(B117="","",Neraca!B93)</f>
        <v/>
      </c>
      <c r="D117" s="33" t="str">
        <f aca="false">IF(B117="","",N(Neraca!G93))</f>
        <v/>
      </c>
      <c r="E117" s="33" t="str">
        <f aca="false">IF(B117="","",SUMIFS(Simpanan!$D$2:$D$2001,Simpanan!$F$2:$F$2001,B117))</f>
        <v/>
      </c>
      <c r="F117" s="33" t="str">
        <f aca="false">IF(B117="","",SUMIFS(Pembiayaan!$H$2:$H$2001,Pembiayaan!$Q$2:$Q$2001,B117))</f>
        <v/>
      </c>
      <c r="G117" s="33" t="str">
        <f aca="false">IF(B117="","",SUMIFS(Penyesuaian!$B$2:$B$151,Penyesuaian!$A$2:$A$151,B117))</f>
        <v/>
      </c>
      <c r="H117" s="33" t="str">
        <f aca="false">IF(B117="","",IF(COUNTIF(Produk!$J$2:$J$100,B117)+COUNTIF(Pembiayaan!$O$2:$O$2001,B117)+COUNTIF(Penyesuaian!$A$2:$A$151,B117)=0,"",D117-E117-F117-G117))</f>
        <v/>
      </c>
      <c r="I117" s="6" t="str">
        <f aca="false">IF(B117="","",IF(COUNTIF(Produk!$J$2:$J$100,B117)+COUNTIF(Pembiayaan!$O$2:$O$2001,B117)+COUNTIF(Penyesuaian!$A$2:$A$151,B117)=0,"tanpa rincian",IF(ABS(H117)&lt;=Info_Koperasi!$C$10,"COCOK","SELISIH")))</f>
        <v/>
      </c>
    </row>
    <row r="118" customFormat="false" ht="15" hidden="false" customHeight="false" outlineLevel="0" collapsed="false">
      <c r="B118" s="6" t="str">
        <f aca="false">IF(Neraca!A94="","",Neraca!A94)</f>
        <v/>
      </c>
      <c r="C118" s="6" t="str">
        <f aca="false">IF(B118="","",Neraca!B94)</f>
        <v/>
      </c>
      <c r="D118" s="33" t="str">
        <f aca="false">IF(B118="","",N(Neraca!G94))</f>
        <v/>
      </c>
      <c r="E118" s="33" t="str">
        <f aca="false">IF(B118="","",SUMIFS(Simpanan!$D$2:$D$2001,Simpanan!$F$2:$F$2001,B118))</f>
        <v/>
      </c>
      <c r="F118" s="33" t="str">
        <f aca="false">IF(B118="","",SUMIFS(Pembiayaan!$H$2:$H$2001,Pembiayaan!$Q$2:$Q$2001,B118))</f>
        <v/>
      </c>
      <c r="G118" s="33" t="str">
        <f aca="false">IF(B118="","",SUMIFS(Penyesuaian!$B$2:$B$151,Penyesuaian!$A$2:$A$151,B118))</f>
        <v/>
      </c>
      <c r="H118" s="33" t="str">
        <f aca="false">IF(B118="","",IF(COUNTIF(Produk!$J$2:$J$100,B118)+COUNTIF(Pembiayaan!$O$2:$O$2001,B118)+COUNTIF(Penyesuaian!$A$2:$A$151,B118)=0,"",D118-E118-F118-G118))</f>
        <v/>
      </c>
      <c r="I118" s="6" t="str">
        <f aca="false">IF(B118="","",IF(COUNTIF(Produk!$J$2:$J$100,B118)+COUNTIF(Pembiayaan!$O$2:$O$2001,B118)+COUNTIF(Penyesuaian!$A$2:$A$151,B118)=0,"tanpa rincian",IF(ABS(H118)&lt;=Info_Koperasi!$C$10,"COCOK","SELISIH")))</f>
        <v/>
      </c>
    </row>
    <row r="119" customFormat="false" ht="15" hidden="false" customHeight="false" outlineLevel="0" collapsed="false">
      <c r="B119" s="6" t="str">
        <f aca="false">IF(Neraca!A95="","",Neraca!A95)</f>
        <v/>
      </c>
      <c r="C119" s="6" t="str">
        <f aca="false">IF(B119="","",Neraca!B95)</f>
        <v/>
      </c>
      <c r="D119" s="33" t="str">
        <f aca="false">IF(B119="","",N(Neraca!G95))</f>
        <v/>
      </c>
      <c r="E119" s="33" t="str">
        <f aca="false">IF(B119="","",SUMIFS(Simpanan!$D$2:$D$2001,Simpanan!$F$2:$F$2001,B119))</f>
        <v/>
      </c>
      <c r="F119" s="33" t="str">
        <f aca="false">IF(B119="","",SUMIFS(Pembiayaan!$H$2:$H$2001,Pembiayaan!$Q$2:$Q$2001,B119))</f>
        <v/>
      </c>
      <c r="G119" s="33" t="str">
        <f aca="false">IF(B119="","",SUMIFS(Penyesuaian!$B$2:$B$151,Penyesuaian!$A$2:$A$151,B119))</f>
        <v/>
      </c>
      <c r="H119" s="33" t="str">
        <f aca="false">IF(B119="","",IF(COUNTIF(Produk!$J$2:$J$100,B119)+COUNTIF(Pembiayaan!$O$2:$O$2001,B119)+COUNTIF(Penyesuaian!$A$2:$A$151,B119)=0,"",D119-E119-F119-G119))</f>
        <v/>
      </c>
      <c r="I119" s="6" t="str">
        <f aca="false">IF(B119="","",IF(COUNTIF(Produk!$J$2:$J$100,B119)+COUNTIF(Pembiayaan!$O$2:$O$2001,B119)+COUNTIF(Penyesuaian!$A$2:$A$151,B119)=0,"tanpa rincian",IF(ABS(H119)&lt;=Info_Koperasi!$C$10,"COCOK","SELISIH")))</f>
        <v/>
      </c>
    </row>
    <row r="120" customFormat="false" ht="15" hidden="false" customHeight="false" outlineLevel="0" collapsed="false">
      <c r="B120" s="6" t="str">
        <f aca="false">IF(Neraca!A96="","",Neraca!A96)</f>
        <v/>
      </c>
      <c r="C120" s="6" t="str">
        <f aca="false">IF(B120="","",Neraca!B96)</f>
        <v/>
      </c>
      <c r="D120" s="33" t="str">
        <f aca="false">IF(B120="","",N(Neraca!G96))</f>
        <v/>
      </c>
      <c r="E120" s="33" t="str">
        <f aca="false">IF(B120="","",SUMIFS(Simpanan!$D$2:$D$2001,Simpanan!$F$2:$F$2001,B120))</f>
        <v/>
      </c>
      <c r="F120" s="33" t="str">
        <f aca="false">IF(B120="","",SUMIFS(Pembiayaan!$H$2:$H$2001,Pembiayaan!$Q$2:$Q$2001,B120))</f>
        <v/>
      </c>
      <c r="G120" s="33" t="str">
        <f aca="false">IF(B120="","",SUMIFS(Penyesuaian!$B$2:$B$151,Penyesuaian!$A$2:$A$151,B120))</f>
        <v/>
      </c>
      <c r="H120" s="33" t="str">
        <f aca="false">IF(B120="","",IF(COUNTIF(Produk!$J$2:$J$100,B120)+COUNTIF(Pembiayaan!$O$2:$O$2001,B120)+COUNTIF(Penyesuaian!$A$2:$A$151,B120)=0,"",D120-E120-F120-G120))</f>
        <v/>
      </c>
      <c r="I120" s="6" t="str">
        <f aca="false">IF(B120="","",IF(COUNTIF(Produk!$J$2:$J$100,B120)+COUNTIF(Pembiayaan!$O$2:$O$2001,B120)+COUNTIF(Penyesuaian!$A$2:$A$151,B120)=0,"tanpa rincian",IF(ABS(H120)&lt;=Info_Koperasi!$C$10,"COCOK","SELISIH")))</f>
        <v/>
      </c>
    </row>
    <row r="121" customFormat="false" ht="15" hidden="false" customHeight="false" outlineLevel="0" collapsed="false">
      <c r="B121" s="6" t="str">
        <f aca="false">IF(Neraca!A97="","",Neraca!A97)</f>
        <v/>
      </c>
      <c r="C121" s="6" t="str">
        <f aca="false">IF(B121="","",Neraca!B97)</f>
        <v/>
      </c>
      <c r="D121" s="33" t="str">
        <f aca="false">IF(B121="","",N(Neraca!G97))</f>
        <v/>
      </c>
      <c r="E121" s="33" t="str">
        <f aca="false">IF(B121="","",SUMIFS(Simpanan!$D$2:$D$2001,Simpanan!$F$2:$F$2001,B121))</f>
        <v/>
      </c>
      <c r="F121" s="33" t="str">
        <f aca="false">IF(B121="","",SUMIFS(Pembiayaan!$H$2:$H$2001,Pembiayaan!$Q$2:$Q$2001,B121))</f>
        <v/>
      </c>
      <c r="G121" s="33" t="str">
        <f aca="false">IF(B121="","",SUMIFS(Penyesuaian!$B$2:$B$151,Penyesuaian!$A$2:$A$151,B121))</f>
        <v/>
      </c>
      <c r="H121" s="33" t="str">
        <f aca="false">IF(B121="","",IF(COUNTIF(Produk!$J$2:$J$100,B121)+COUNTIF(Pembiayaan!$O$2:$O$2001,B121)+COUNTIF(Penyesuaian!$A$2:$A$151,B121)=0,"",D121-E121-F121-G121))</f>
        <v/>
      </c>
      <c r="I121" s="6" t="str">
        <f aca="false">IF(B121="","",IF(COUNTIF(Produk!$J$2:$J$100,B121)+COUNTIF(Pembiayaan!$O$2:$O$2001,B121)+COUNTIF(Penyesuaian!$A$2:$A$151,B121)=0,"tanpa rincian",IF(ABS(H121)&lt;=Info_Koperasi!$C$10,"COCOK","SELISIH")))</f>
        <v/>
      </c>
    </row>
    <row r="122" customFormat="false" ht="15" hidden="false" customHeight="false" outlineLevel="0" collapsed="false">
      <c r="B122" s="6" t="str">
        <f aca="false">IF(Neraca!A98="","",Neraca!A98)</f>
        <v/>
      </c>
      <c r="C122" s="6" t="str">
        <f aca="false">IF(B122="","",Neraca!B98)</f>
        <v/>
      </c>
      <c r="D122" s="33" t="str">
        <f aca="false">IF(B122="","",N(Neraca!G98))</f>
        <v/>
      </c>
      <c r="E122" s="33" t="str">
        <f aca="false">IF(B122="","",SUMIFS(Simpanan!$D$2:$D$2001,Simpanan!$F$2:$F$2001,B122))</f>
        <v/>
      </c>
      <c r="F122" s="33" t="str">
        <f aca="false">IF(B122="","",SUMIFS(Pembiayaan!$H$2:$H$2001,Pembiayaan!$Q$2:$Q$2001,B122))</f>
        <v/>
      </c>
      <c r="G122" s="33" t="str">
        <f aca="false">IF(B122="","",SUMIFS(Penyesuaian!$B$2:$B$151,Penyesuaian!$A$2:$A$151,B122))</f>
        <v/>
      </c>
      <c r="H122" s="33" t="str">
        <f aca="false">IF(B122="","",IF(COUNTIF(Produk!$J$2:$J$100,B122)+COUNTIF(Pembiayaan!$O$2:$O$2001,B122)+COUNTIF(Penyesuaian!$A$2:$A$151,B122)=0,"",D122-E122-F122-G122))</f>
        <v/>
      </c>
      <c r="I122" s="6" t="str">
        <f aca="false">IF(B122="","",IF(COUNTIF(Produk!$J$2:$J$100,B122)+COUNTIF(Pembiayaan!$O$2:$O$2001,B122)+COUNTIF(Penyesuaian!$A$2:$A$151,B122)=0,"tanpa rincian",IF(ABS(H122)&lt;=Info_Koperasi!$C$10,"COCOK","SELISIH")))</f>
        <v/>
      </c>
    </row>
    <row r="123" customFormat="false" ht="15" hidden="false" customHeight="false" outlineLevel="0" collapsed="false">
      <c r="B123" s="6" t="str">
        <f aca="false">IF(Neraca!A99="","",Neraca!A99)</f>
        <v/>
      </c>
      <c r="C123" s="6" t="str">
        <f aca="false">IF(B123="","",Neraca!B99)</f>
        <v/>
      </c>
      <c r="D123" s="33" t="str">
        <f aca="false">IF(B123="","",N(Neraca!G99))</f>
        <v/>
      </c>
      <c r="E123" s="33" t="str">
        <f aca="false">IF(B123="","",SUMIFS(Simpanan!$D$2:$D$2001,Simpanan!$F$2:$F$2001,B123))</f>
        <v/>
      </c>
      <c r="F123" s="33" t="str">
        <f aca="false">IF(B123="","",SUMIFS(Pembiayaan!$H$2:$H$2001,Pembiayaan!$Q$2:$Q$2001,B123))</f>
        <v/>
      </c>
      <c r="G123" s="33" t="str">
        <f aca="false">IF(B123="","",SUMIFS(Penyesuaian!$B$2:$B$151,Penyesuaian!$A$2:$A$151,B123))</f>
        <v/>
      </c>
      <c r="H123" s="33" t="str">
        <f aca="false">IF(B123="","",IF(COUNTIF(Produk!$J$2:$J$100,B123)+COUNTIF(Pembiayaan!$O$2:$O$2001,B123)+COUNTIF(Penyesuaian!$A$2:$A$151,B123)=0,"",D123-E123-F123-G123))</f>
        <v/>
      </c>
      <c r="I123" s="6" t="str">
        <f aca="false">IF(B123="","",IF(COUNTIF(Produk!$J$2:$J$100,B123)+COUNTIF(Pembiayaan!$O$2:$O$2001,B123)+COUNTIF(Penyesuaian!$A$2:$A$151,B123)=0,"tanpa rincian",IF(ABS(H123)&lt;=Info_Koperasi!$C$10,"COCOK","SELISIH")))</f>
        <v/>
      </c>
    </row>
    <row r="124" customFormat="false" ht="15" hidden="false" customHeight="false" outlineLevel="0" collapsed="false">
      <c r="B124" s="6" t="str">
        <f aca="false">IF(Neraca!A100="","",Neraca!A100)</f>
        <v/>
      </c>
      <c r="C124" s="6" t="str">
        <f aca="false">IF(B124="","",Neraca!B100)</f>
        <v/>
      </c>
      <c r="D124" s="33" t="str">
        <f aca="false">IF(B124="","",N(Neraca!G100))</f>
        <v/>
      </c>
      <c r="E124" s="33" t="str">
        <f aca="false">IF(B124="","",SUMIFS(Simpanan!$D$2:$D$2001,Simpanan!$F$2:$F$2001,B124))</f>
        <v/>
      </c>
      <c r="F124" s="33" t="str">
        <f aca="false">IF(B124="","",SUMIFS(Pembiayaan!$H$2:$H$2001,Pembiayaan!$Q$2:$Q$2001,B124))</f>
        <v/>
      </c>
      <c r="G124" s="33" t="str">
        <f aca="false">IF(B124="","",SUMIFS(Penyesuaian!$B$2:$B$151,Penyesuaian!$A$2:$A$151,B124))</f>
        <v/>
      </c>
      <c r="H124" s="33" t="str">
        <f aca="false">IF(B124="","",IF(COUNTIF(Produk!$J$2:$J$100,B124)+COUNTIF(Pembiayaan!$O$2:$O$2001,B124)+COUNTIF(Penyesuaian!$A$2:$A$151,B124)=0,"",D124-E124-F124-G124))</f>
        <v/>
      </c>
      <c r="I124" s="6" t="str">
        <f aca="false">IF(B124="","",IF(COUNTIF(Produk!$J$2:$J$100,B124)+COUNTIF(Pembiayaan!$O$2:$O$2001,B124)+COUNTIF(Penyesuaian!$A$2:$A$151,B124)=0,"tanpa rincian",IF(ABS(H124)&lt;=Info_Koperasi!$C$10,"COCOK","SELISIH")))</f>
        <v/>
      </c>
    </row>
    <row r="125" customFormat="false" ht="15" hidden="false" customHeight="false" outlineLevel="0" collapsed="false">
      <c r="B125" s="6" t="str">
        <f aca="false">IF(Neraca!A101="","",Neraca!A101)</f>
        <v/>
      </c>
      <c r="C125" s="6" t="str">
        <f aca="false">IF(B125="","",Neraca!B101)</f>
        <v/>
      </c>
      <c r="D125" s="33" t="str">
        <f aca="false">IF(B125="","",N(Neraca!G101))</f>
        <v/>
      </c>
      <c r="E125" s="33" t="str">
        <f aca="false">IF(B125="","",SUMIFS(Simpanan!$D$2:$D$2001,Simpanan!$F$2:$F$2001,B125))</f>
        <v/>
      </c>
      <c r="F125" s="33" t="str">
        <f aca="false">IF(B125="","",SUMIFS(Pembiayaan!$H$2:$H$2001,Pembiayaan!$Q$2:$Q$2001,B125))</f>
        <v/>
      </c>
      <c r="G125" s="33" t="str">
        <f aca="false">IF(B125="","",SUMIFS(Penyesuaian!$B$2:$B$151,Penyesuaian!$A$2:$A$151,B125))</f>
        <v/>
      </c>
      <c r="H125" s="33" t="str">
        <f aca="false">IF(B125="","",IF(COUNTIF(Produk!$J$2:$J$100,B125)+COUNTIF(Pembiayaan!$O$2:$O$2001,B125)+COUNTIF(Penyesuaian!$A$2:$A$151,B125)=0,"",D125-E125-F125-G125))</f>
        <v/>
      </c>
      <c r="I125" s="6" t="str">
        <f aca="false">IF(B125="","",IF(COUNTIF(Produk!$J$2:$J$100,B125)+COUNTIF(Pembiayaan!$O$2:$O$2001,B125)+COUNTIF(Penyesuaian!$A$2:$A$151,B125)=0,"tanpa rincian",IF(ABS(H125)&lt;=Info_Koperasi!$C$10,"COCOK","SELISIH")))</f>
        <v/>
      </c>
    </row>
    <row r="126" customFormat="false" ht="15" hidden="false" customHeight="false" outlineLevel="0" collapsed="false">
      <c r="B126" s="6" t="str">
        <f aca="false">IF(Neraca!A102="","",Neraca!A102)</f>
        <v/>
      </c>
      <c r="C126" s="6" t="str">
        <f aca="false">IF(B126="","",Neraca!B102)</f>
        <v/>
      </c>
      <c r="D126" s="33" t="str">
        <f aca="false">IF(B126="","",N(Neraca!G102))</f>
        <v/>
      </c>
      <c r="E126" s="33" t="str">
        <f aca="false">IF(B126="","",SUMIFS(Simpanan!$D$2:$D$2001,Simpanan!$F$2:$F$2001,B126))</f>
        <v/>
      </c>
      <c r="F126" s="33" t="str">
        <f aca="false">IF(B126="","",SUMIFS(Pembiayaan!$H$2:$H$2001,Pembiayaan!$Q$2:$Q$2001,B126))</f>
        <v/>
      </c>
      <c r="G126" s="33" t="str">
        <f aca="false">IF(B126="","",SUMIFS(Penyesuaian!$B$2:$B$151,Penyesuaian!$A$2:$A$151,B126))</f>
        <v/>
      </c>
      <c r="H126" s="33" t="str">
        <f aca="false">IF(B126="","",IF(COUNTIF(Produk!$J$2:$J$100,B126)+COUNTIF(Pembiayaan!$O$2:$O$2001,B126)+COUNTIF(Penyesuaian!$A$2:$A$151,B126)=0,"",D126-E126-F126-G126))</f>
        <v/>
      </c>
      <c r="I126" s="6" t="str">
        <f aca="false">IF(B126="","",IF(COUNTIF(Produk!$J$2:$J$100,B126)+COUNTIF(Pembiayaan!$O$2:$O$2001,B126)+COUNTIF(Penyesuaian!$A$2:$A$151,B126)=0,"tanpa rincian",IF(ABS(H126)&lt;=Info_Koperasi!$C$10,"COCOK","SELISIH")))</f>
        <v/>
      </c>
    </row>
    <row r="127" customFormat="false" ht="15" hidden="false" customHeight="false" outlineLevel="0" collapsed="false">
      <c r="B127" s="6" t="str">
        <f aca="false">IF(Neraca!A103="","",Neraca!A103)</f>
        <v/>
      </c>
      <c r="C127" s="6" t="str">
        <f aca="false">IF(B127="","",Neraca!B103)</f>
        <v/>
      </c>
      <c r="D127" s="33" t="str">
        <f aca="false">IF(B127="","",N(Neraca!G103))</f>
        <v/>
      </c>
      <c r="E127" s="33" t="str">
        <f aca="false">IF(B127="","",SUMIFS(Simpanan!$D$2:$D$2001,Simpanan!$F$2:$F$2001,B127))</f>
        <v/>
      </c>
      <c r="F127" s="33" t="str">
        <f aca="false">IF(B127="","",SUMIFS(Pembiayaan!$H$2:$H$2001,Pembiayaan!$Q$2:$Q$2001,B127))</f>
        <v/>
      </c>
      <c r="G127" s="33" t="str">
        <f aca="false">IF(B127="","",SUMIFS(Penyesuaian!$B$2:$B$151,Penyesuaian!$A$2:$A$151,B127))</f>
        <v/>
      </c>
      <c r="H127" s="33" t="str">
        <f aca="false">IF(B127="","",IF(COUNTIF(Produk!$J$2:$J$100,B127)+COUNTIF(Pembiayaan!$O$2:$O$2001,B127)+COUNTIF(Penyesuaian!$A$2:$A$151,B127)=0,"",D127-E127-F127-G127))</f>
        <v/>
      </c>
      <c r="I127" s="6" t="str">
        <f aca="false">IF(B127="","",IF(COUNTIF(Produk!$J$2:$J$100,B127)+COUNTIF(Pembiayaan!$O$2:$O$2001,B127)+COUNTIF(Penyesuaian!$A$2:$A$151,B127)=0,"tanpa rincian",IF(ABS(H127)&lt;=Info_Koperasi!$C$10,"COCOK","SELISIH")))</f>
        <v/>
      </c>
    </row>
    <row r="128" customFormat="false" ht="15" hidden="false" customHeight="false" outlineLevel="0" collapsed="false">
      <c r="B128" s="6" t="str">
        <f aca="false">IF(Neraca!A104="","",Neraca!A104)</f>
        <v/>
      </c>
      <c r="C128" s="6" t="str">
        <f aca="false">IF(B128="","",Neraca!B104)</f>
        <v/>
      </c>
      <c r="D128" s="33" t="str">
        <f aca="false">IF(B128="","",N(Neraca!G104))</f>
        <v/>
      </c>
      <c r="E128" s="33" t="str">
        <f aca="false">IF(B128="","",SUMIFS(Simpanan!$D$2:$D$2001,Simpanan!$F$2:$F$2001,B128))</f>
        <v/>
      </c>
      <c r="F128" s="33" t="str">
        <f aca="false">IF(B128="","",SUMIFS(Pembiayaan!$H$2:$H$2001,Pembiayaan!$Q$2:$Q$2001,B128))</f>
        <v/>
      </c>
      <c r="G128" s="33" t="str">
        <f aca="false">IF(B128="","",SUMIFS(Penyesuaian!$B$2:$B$151,Penyesuaian!$A$2:$A$151,B128))</f>
        <v/>
      </c>
      <c r="H128" s="33" t="str">
        <f aca="false">IF(B128="","",IF(COUNTIF(Produk!$J$2:$J$100,B128)+COUNTIF(Pembiayaan!$O$2:$O$2001,B128)+COUNTIF(Penyesuaian!$A$2:$A$151,B128)=0,"",D128-E128-F128-G128))</f>
        <v/>
      </c>
      <c r="I128" s="6" t="str">
        <f aca="false">IF(B128="","",IF(COUNTIF(Produk!$J$2:$J$100,B128)+COUNTIF(Pembiayaan!$O$2:$O$2001,B128)+COUNTIF(Penyesuaian!$A$2:$A$151,B128)=0,"tanpa rincian",IF(ABS(H128)&lt;=Info_Koperasi!$C$10,"COCOK","SELISIH")))</f>
        <v/>
      </c>
    </row>
    <row r="129" customFormat="false" ht="15" hidden="false" customHeight="false" outlineLevel="0" collapsed="false">
      <c r="B129" s="6" t="str">
        <f aca="false">IF(Neraca!A105="","",Neraca!A105)</f>
        <v/>
      </c>
      <c r="C129" s="6" t="str">
        <f aca="false">IF(B129="","",Neraca!B105)</f>
        <v/>
      </c>
      <c r="D129" s="33" t="str">
        <f aca="false">IF(B129="","",N(Neraca!G105))</f>
        <v/>
      </c>
      <c r="E129" s="33" t="str">
        <f aca="false">IF(B129="","",SUMIFS(Simpanan!$D$2:$D$2001,Simpanan!$F$2:$F$2001,B129))</f>
        <v/>
      </c>
      <c r="F129" s="33" t="str">
        <f aca="false">IF(B129="","",SUMIFS(Pembiayaan!$H$2:$H$2001,Pembiayaan!$Q$2:$Q$2001,B129))</f>
        <v/>
      </c>
      <c r="G129" s="33" t="str">
        <f aca="false">IF(B129="","",SUMIFS(Penyesuaian!$B$2:$B$151,Penyesuaian!$A$2:$A$151,B129))</f>
        <v/>
      </c>
      <c r="H129" s="33" t="str">
        <f aca="false">IF(B129="","",IF(COUNTIF(Produk!$J$2:$J$100,B129)+COUNTIF(Pembiayaan!$O$2:$O$2001,B129)+COUNTIF(Penyesuaian!$A$2:$A$151,B129)=0,"",D129-E129-F129-G129))</f>
        <v/>
      </c>
      <c r="I129" s="6" t="str">
        <f aca="false">IF(B129="","",IF(COUNTIF(Produk!$J$2:$J$100,B129)+COUNTIF(Pembiayaan!$O$2:$O$2001,B129)+COUNTIF(Penyesuaian!$A$2:$A$151,B129)=0,"tanpa rincian",IF(ABS(H129)&lt;=Info_Koperasi!$C$10,"COCOK","SELISIH")))</f>
        <v/>
      </c>
    </row>
    <row r="130" customFormat="false" ht="15" hidden="false" customHeight="false" outlineLevel="0" collapsed="false">
      <c r="B130" s="6" t="str">
        <f aca="false">IF(Neraca!A106="","",Neraca!A106)</f>
        <v/>
      </c>
      <c r="C130" s="6" t="str">
        <f aca="false">IF(B130="","",Neraca!B106)</f>
        <v/>
      </c>
      <c r="D130" s="33" t="str">
        <f aca="false">IF(B130="","",N(Neraca!G106))</f>
        <v/>
      </c>
      <c r="E130" s="33" t="str">
        <f aca="false">IF(B130="","",SUMIFS(Simpanan!$D$2:$D$2001,Simpanan!$F$2:$F$2001,B130))</f>
        <v/>
      </c>
      <c r="F130" s="33" t="str">
        <f aca="false">IF(B130="","",SUMIFS(Pembiayaan!$H$2:$H$2001,Pembiayaan!$Q$2:$Q$2001,B130))</f>
        <v/>
      </c>
      <c r="G130" s="33" t="str">
        <f aca="false">IF(B130="","",SUMIFS(Penyesuaian!$B$2:$B$151,Penyesuaian!$A$2:$A$151,B130))</f>
        <v/>
      </c>
      <c r="H130" s="33" t="str">
        <f aca="false">IF(B130="","",IF(COUNTIF(Produk!$J$2:$J$100,B130)+COUNTIF(Pembiayaan!$O$2:$O$2001,B130)+COUNTIF(Penyesuaian!$A$2:$A$151,B130)=0,"",D130-E130-F130-G130))</f>
        <v/>
      </c>
      <c r="I130" s="6" t="str">
        <f aca="false">IF(B130="","",IF(COUNTIF(Produk!$J$2:$J$100,B130)+COUNTIF(Pembiayaan!$O$2:$O$2001,B130)+COUNTIF(Penyesuaian!$A$2:$A$151,B130)=0,"tanpa rincian",IF(ABS(H130)&lt;=Info_Koperasi!$C$10,"COCOK","SELISIH")))</f>
        <v/>
      </c>
    </row>
    <row r="131" customFormat="false" ht="15" hidden="false" customHeight="false" outlineLevel="0" collapsed="false">
      <c r="B131" s="6" t="str">
        <f aca="false">IF(Neraca!A107="","",Neraca!A107)</f>
        <v/>
      </c>
      <c r="C131" s="6" t="str">
        <f aca="false">IF(B131="","",Neraca!B107)</f>
        <v/>
      </c>
      <c r="D131" s="33" t="str">
        <f aca="false">IF(B131="","",N(Neraca!G107))</f>
        <v/>
      </c>
      <c r="E131" s="33" t="str">
        <f aca="false">IF(B131="","",SUMIFS(Simpanan!$D$2:$D$2001,Simpanan!$F$2:$F$2001,B131))</f>
        <v/>
      </c>
      <c r="F131" s="33" t="str">
        <f aca="false">IF(B131="","",SUMIFS(Pembiayaan!$H$2:$H$2001,Pembiayaan!$Q$2:$Q$2001,B131))</f>
        <v/>
      </c>
      <c r="G131" s="33" t="str">
        <f aca="false">IF(B131="","",SUMIFS(Penyesuaian!$B$2:$B$151,Penyesuaian!$A$2:$A$151,B131))</f>
        <v/>
      </c>
      <c r="H131" s="33" t="str">
        <f aca="false">IF(B131="","",IF(COUNTIF(Produk!$J$2:$J$100,B131)+COUNTIF(Pembiayaan!$O$2:$O$2001,B131)+COUNTIF(Penyesuaian!$A$2:$A$151,B131)=0,"",D131-E131-F131-G131))</f>
        <v/>
      </c>
      <c r="I131" s="6" t="str">
        <f aca="false">IF(B131="","",IF(COUNTIF(Produk!$J$2:$J$100,B131)+COUNTIF(Pembiayaan!$O$2:$O$2001,B131)+COUNTIF(Penyesuaian!$A$2:$A$151,B131)=0,"tanpa rincian",IF(ABS(H131)&lt;=Info_Koperasi!$C$10,"COCOK","SELISIH")))</f>
        <v/>
      </c>
    </row>
    <row r="132" customFormat="false" ht="15" hidden="false" customHeight="false" outlineLevel="0" collapsed="false">
      <c r="B132" s="6" t="str">
        <f aca="false">IF(Neraca!A108="","",Neraca!A108)</f>
        <v/>
      </c>
      <c r="C132" s="6" t="str">
        <f aca="false">IF(B132="","",Neraca!B108)</f>
        <v/>
      </c>
      <c r="D132" s="33" t="str">
        <f aca="false">IF(B132="","",N(Neraca!G108))</f>
        <v/>
      </c>
      <c r="E132" s="33" t="str">
        <f aca="false">IF(B132="","",SUMIFS(Simpanan!$D$2:$D$2001,Simpanan!$F$2:$F$2001,B132))</f>
        <v/>
      </c>
      <c r="F132" s="33" t="str">
        <f aca="false">IF(B132="","",SUMIFS(Pembiayaan!$H$2:$H$2001,Pembiayaan!$Q$2:$Q$2001,B132))</f>
        <v/>
      </c>
      <c r="G132" s="33" t="str">
        <f aca="false">IF(B132="","",SUMIFS(Penyesuaian!$B$2:$B$151,Penyesuaian!$A$2:$A$151,B132))</f>
        <v/>
      </c>
      <c r="H132" s="33" t="str">
        <f aca="false">IF(B132="","",IF(COUNTIF(Produk!$J$2:$J$100,B132)+COUNTIF(Pembiayaan!$O$2:$O$2001,B132)+COUNTIF(Penyesuaian!$A$2:$A$151,B132)=0,"",D132-E132-F132-G132))</f>
        <v/>
      </c>
      <c r="I132" s="6" t="str">
        <f aca="false">IF(B132="","",IF(COUNTIF(Produk!$J$2:$J$100,B132)+COUNTIF(Pembiayaan!$O$2:$O$2001,B132)+COUNTIF(Penyesuaian!$A$2:$A$151,B132)=0,"tanpa rincian",IF(ABS(H132)&lt;=Info_Koperasi!$C$10,"COCOK","SELISIH")))</f>
        <v/>
      </c>
    </row>
    <row r="133" customFormat="false" ht="15" hidden="false" customHeight="false" outlineLevel="0" collapsed="false">
      <c r="B133" s="6" t="str">
        <f aca="false">IF(Neraca!A109="","",Neraca!A109)</f>
        <v/>
      </c>
      <c r="C133" s="6" t="str">
        <f aca="false">IF(B133="","",Neraca!B109)</f>
        <v/>
      </c>
      <c r="D133" s="33" t="str">
        <f aca="false">IF(B133="","",N(Neraca!G109))</f>
        <v/>
      </c>
      <c r="E133" s="33" t="str">
        <f aca="false">IF(B133="","",SUMIFS(Simpanan!$D$2:$D$2001,Simpanan!$F$2:$F$2001,B133))</f>
        <v/>
      </c>
      <c r="F133" s="33" t="str">
        <f aca="false">IF(B133="","",SUMIFS(Pembiayaan!$H$2:$H$2001,Pembiayaan!$Q$2:$Q$2001,B133))</f>
        <v/>
      </c>
      <c r="G133" s="33" t="str">
        <f aca="false">IF(B133="","",SUMIFS(Penyesuaian!$B$2:$B$151,Penyesuaian!$A$2:$A$151,B133))</f>
        <v/>
      </c>
      <c r="H133" s="33" t="str">
        <f aca="false">IF(B133="","",IF(COUNTIF(Produk!$J$2:$J$100,B133)+COUNTIF(Pembiayaan!$O$2:$O$2001,B133)+COUNTIF(Penyesuaian!$A$2:$A$151,B133)=0,"",D133-E133-F133-G133))</f>
        <v/>
      </c>
      <c r="I133" s="6" t="str">
        <f aca="false">IF(B133="","",IF(COUNTIF(Produk!$J$2:$J$100,B133)+COUNTIF(Pembiayaan!$O$2:$O$2001,B133)+COUNTIF(Penyesuaian!$A$2:$A$151,B133)=0,"tanpa rincian",IF(ABS(H133)&lt;=Info_Koperasi!$C$10,"COCOK","SELISIH")))</f>
        <v/>
      </c>
    </row>
    <row r="134" customFormat="false" ht="15" hidden="false" customHeight="false" outlineLevel="0" collapsed="false">
      <c r="B134" s="6" t="str">
        <f aca="false">IF(Neraca!A110="","",Neraca!A110)</f>
        <v/>
      </c>
      <c r="C134" s="6" t="str">
        <f aca="false">IF(B134="","",Neraca!B110)</f>
        <v/>
      </c>
      <c r="D134" s="33" t="str">
        <f aca="false">IF(B134="","",N(Neraca!G110))</f>
        <v/>
      </c>
      <c r="E134" s="33" t="str">
        <f aca="false">IF(B134="","",SUMIFS(Simpanan!$D$2:$D$2001,Simpanan!$F$2:$F$2001,B134))</f>
        <v/>
      </c>
      <c r="F134" s="33" t="str">
        <f aca="false">IF(B134="","",SUMIFS(Pembiayaan!$H$2:$H$2001,Pembiayaan!$Q$2:$Q$2001,B134))</f>
        <v/>
      </c>
      <c r="G134" s="33" t="str">
        <f aca="false">IF(B134="","",SUMIFS(Penyesuaian!$B$2:$B$151,Penyesuaian!$A$2:$A$151,B134))</f>
        <v/>
      </c>
      <c r="H134" s="33" t="str">
        <f aca="false">IF(B134="","",IF(COUNTIF(Produk!$J$2:$J$100,B134)+COUNTIF(Pembiayaan!$O$2:$O$2001,B134)+COUNTIF(Penyesuaian!$A$2:$A$151,B134)=0,"",D134-E134-F134-G134))</f>
        <v/>
      </c>
      <c r="I134" s="6" t="str">
        <f aca="false">IF(B134="","",IF(COUNTIF(Produk!$J$2:$J$100,B134)+COUNTIF(Pembiayaan!$O$2:$O$2001,B134)+COUNTIF(Penyesuaian!$A$2:$A$151,B134)=0,"tanpa rincian",IF(ABS(H134)&lt;=Info_Koperasi!$C$10,"COCOK","SELISIH")))</f>
        <v/>
      </c>
    </row>
    <row r="135" customFormat="false" ht="15" hidden="false" customHeight="false" outlineLevel="0" collapsed="false">
      <c r="B135" s="6" t="str">
        <f aca="false">IF(Neraca!A111="","",Neraca!A111)</f>
        <v/>
      </c>
      <c r="C135" s="6" t="str">
        <f aca="false">IF(B135="","",Neraca!B111)</f>
        <v/>
      </c>
      <c r="D135" s="33" t="str">
        <f aca="false">IF(B135="","",N(Neraca!G111))</f>
        <v/>
      </c>
      <c r="E135" s="33" t="str">
        <f aca="false">IF(B135="","",SUMIFS(Simpanan!$D$2:$D$2001,Simpanan!$F$2:$F$2001,B135))</f>
        <v/>
      </c>
      <c r="F135" s="33" t="str">
        <f aca="false">IF(B135="","",SUMIFS(Pembiayaan!$H$2:$H$2001,Pembiayaan!$Q$2:$Q$2001,B135))</f>
        <v/>
      </c>
      <c r="G135" s="33" t="str">
        <f aca="false">IF(B135="","",SUMIFS(Penyesuaian!$B$2:$B$151,Penyesuaian!$A$2:$A$151,B135))</f>
        <v/>
      </c>
      <c r="H135" s="33" t="str">
        <f aca="false">IF(B135="","",IF(COUNTIF(Produk!$J$2:$J$100,B135)+COUNTIF(Pembiayaan!$O$2:$O$2001,B135)+COUNTIF(Penyesuaian!$A$2:$A$151,B135)=0,"",D135-E135-F135-G135))</f>
        <v/>
      </c>
      <c r="I135" s="6" t="str">
        <f aca="false">IF(B135="","",IF(COUNTIF(Produk!$J$2:$J$100,B135)+COUNTIF(Pembiayaan!$O$2:$O$2001,B135)+COUNTIF(Penyesuaian!$A$2:$A$151,B135)=0,"tanpa rincian",IF(ABS(H135)&lt;=Info_Koperasi!$C$10,"COCOK","SELISIH")))</f>
        <v/>
      </c>
    </row>
    <row r="136" customFormat="false" ht="15" hidden="false" customHeight="false" outlineLevel="0" collapsed="false">
      <c r="B136" s="6" t="str">
        <f aca="false">IF(Neraca!A112="","",Neraca!A112)</f>
        <v/>
      </c>
      <c r="C136" s="6" t="str">
        <f aca="false">IF(B136="","",Neraca!B112)</f>
        <v/>
      </c>
      <c r="D136" s="33" t="str">
        <f aca="false">IF(B136="","",N(Neraca!G112))</f>
        <v/>
      </c>
      <c r="E136" s="33" t="str">
        <f aca="false">IF(B136="","",SUMIFS(Simpanan!$D$2:$D$2001,Simpanan!$F$2:$F$2001,B136))</f>
        <v/>
      </c>
      <c r="F136" s="33" t="str">
        <f aca="false">IF(B136="","",SUMIFS(Pembiayaan!$H$2:$H$2001,Pembiayaan!$Q$2:$Q$2001,B136))</f>
        <v/>
      </c>
      <c r="G136" s="33" t="str">
        <f aca="false">IF(B136="","",SUMIFS(Penyesuaian!$B$2:$B$151,Penyesuaian!$A$2:$A$151,B136))</f>
        <v/>
      </c>
      <c r="H136" s="33" t="str">
        <f aca="false">IF(B136="","",IF(COUNTIF(Produk!$J$2:$J$100,B136)+COUNTIF(Pembiayaan!$O$2:$O$2001,B136)+COUNTIF(Penyesuaian!$A$2:$A$151,B136)=0,"",D136-E136-F136-G136))</f>
        <v/>
      </c>
      <c r="I136" s="6" t="str">
        <f aca="false">IF(B136="","",IF(COUNTIF(Produk!$J$2:$J$100,B136)+COUNTIF(Pembiayaan!$O$2:$O$2001,B136)+COUNTIF(Penyesuaian!$A$2:$A$151,B136)=0,"tanpa rincian",IF(ABS(H136)&lt;=Info_Koperasi!$C$10,"COCOK","SELISIH")))</f>
        <v/>
      </c>
    </row>
    <row r="137" customFormat="false" ht="15" hidden="false" customHeight="false" outlineLevel="0" collapsed="false">
      <c r="B137" s="6" t="str">
        <f aca="false">IF(Neraca!A113="","",Neraca!A113)</f>
        <v/>
      </c>
      <c r="C137" s="6" t="str">
        <f aca="false">IF(B137="","",Neraca!B113)</f>
        <v/>
      </c>
      <c r="D137" s="33" t="str">
        <f aca="false">IF(B137="","",N(Neraca!G113))</f>
        <v/>
      </c>
      <c r="E137" s="33" t="str">
        <f aca="false">IF(B137="","",SUMIFS(Simpanan!$D$2:$D$2001,Simpanan!$F$2:$F$2001,B137))</f>
        <v/>
      </c>
      <c r="F137" s="33" t="str">
        <f aca="false">IF(B137="","",SUMIFS(Pembiayaan!$H$2:$H$2001,Pembiayaan!$Q$2:$Q$2001,B137))</f>
        <v/>
      </c>
      <c r="G137" s="33" t="str">
        <f aca="false">IF(B137="","",SUMIFS(Penyesuaian!$B$2:$B$151,Penyesuaian!$A$2:$A$151,B137))</f>
        <v/>
      </c>
      <c r="H137" s="33" t="str">
        <f aca="false">IF(B137="","",IF(COUNTIF(Produk!$J$2:$J$100,B137)+COUNTIF(Pembiayaan!$O$2:$O$2001,B137)+COUNTIF(Penyesuaian!$A$2:$A$151,B137)=0,"",D137-E137-F137-G137))</f>
        <v/>
      </c>
      <c r="I137" s="6" t="str">
        <f aca="false">IF(B137="","",IF(COUNTIF(Produk!$J$2:$J$100,B137)+COUNTIF(Pembiayaan!$O$2:$O$2001,B137)+COUNTIF(Penyesuaian!$A$2:$A$151,B137)=0,"tanpa rincian",IF(ABS(H137)&lt;=Info_Koperasi!$C$10,"COCOK","SELISIH")))</f>
        <v/>
      </c>
    </row>
    <row r="138" customFormat="false" ht="15" hidden="false" customHeight="false" outlineLevel="0" collapsed="false">
      <c r="B138" s="6" t="str">
        <f aca="false">IF(Neraca!A114="","",Neraca!A114)</f>
        <v/>
      </c>
      <c r="C138" s="6" t="str">
        <f aca="false">IF(B138="","",Neraca!B114)</f>
        <v/>
      </c>
      <c r="D138" s="33" t="str">
        <f aca="false">IF(B138="","",N(Neraca!G114))</f>
        <v/>
      </c>
      <c r="E138" s="33" t="str">
        <f aca="false">IF(B138="","",SUMIFS(Simpanan!$D$2:$D$2001,Simpanan!$F$2:$F$2001,B138))</f>
        <v/>
      </c>
      <c r="F138" s="33" t="str">
        <f aca="false">IF(B138="","",SUMIFS(Pembiayaan!$H$2:$H$2001,Pembiayaan!$Q$2:$Q$2001,B138))</f>
        <v/>
      </c>
      <c r="G138" s="33" t="str">
        <f aca="false">IF(B138="","",SUMIFS(Penyesuaian!$B$2:$B$151,Penyesuaian!$A$2:$A$151,B138))</f>
        <v/>
      </c>
      <c r="H138" s="33" t="str">
        <f aca="false">IF(B138="","",IF(COUNTIF(Produk!$J$2:$J$100,B138)+COUNTIF(Pembiayaan!$O$2:$O$2001,B138)+COUNTIF(Penyesuaian!$A$2:$A$151,B138)=0,"",D138-E138-F138-G138))</f>
        <v/>
      </c>
      <c r="I138" s="6" t="str">
        <f aca="false">IF(B138="","",IF(COUNTIF(Produk!$J$2:$J$100,B138)+COUNTIF(Pembiayaan!$O$2:$O$2001,B138)+COUNTIF(Penyesuaian!$A$2:$A$151,B138)=0,"tanpa rincian",IF(ABS(H138)&lt;=Info_Koperasi!$C$10,"COCOK","SELISIH")))</f>
        <v/>
      </c>
    </row>
    <row r="139" customFormat="false" ht="15" hidden="false" customHeight="false" outlineLevel="0" collapsed="false">
      <c r="B139" s="6" t="str">
        <f aca="false">IF(Neraca!A115="","",Neraca!A115)</f>
        <v/>
      </c>
      <c r="C139" s="6" t="str">
        <f aca="false">IF(B139="","",Neraca!B115)</f>
        <v/>
      </c>
      <c r="D139" s="33" t="str">
        <f aca="false">IF(B139="","",N(Neraca!G115))</f>
        <v/>
      </c>
      <c r="E139" s="33" t="str">
        <f aca="false">IF(B139="","",SUMIFS(Simpanan!$D$2:$D$2001,Simpanan!$F$2:$F$2001,B139))</f>
        <v/>
      </c>
      <c r="F139" s="33" t="str">
        <f aca="false">IF(B139="","",SUMIFS(Pembiayaan!$H$2:$H$2001,Pembiayaan!$Q$2:$Q$2001,B139))</f>
        <v/>
      </c>
      <c r="G139" s="33" t="str">
        <f aca="false">IF(B139="","",SUMIFS(Penyesuaian!$B$2:$B$151,Penyesuaian!$A$2:$A$151,B139))</f>
        <v/>
      </c>
      <c r="H139" s="33" t="str">
        <f aca="false">IF(B139="","",IF(COUNTIF(Produk!$J$2:$J$100,B139)+COUNTIF(Pembiayaan!$O$2:$O$2001,B139)+COUNTIF(Penyesuaian!$A$2:$A$151,B139)=0,"",D139-E139-F139-G139))</f>
        <v/>
      </c>
      <c r="I139" s="6" t="str">
        <f aca="false">IF(B139="","",IF(COUNTIF(Produk!$J$2:$J$100,B139)+COUNTIF(Pembiayaan!$O$2:$O$2001,B139)+COUNTIF(Penyesuaian!$A$2:$A$151,B139)=0,"tanpa rincian",IF(ABS(H139)&lt;=Info_Koperasi!$C$10,"COCOK","SELISIH")))</f>
        <v/>
      </c>
    </row>
    <row r="140" customFormat="false" ht="15" hidden="false" customHeight="false" outlineLevel="0" collapsed="false">
      <c r="B140" s="6" t="str">
        <f aca="false">IF(Neraca!A116="","",Neraca!A116)</f>
        <v/>
      </c>
      <c r="C140" s="6" t="str">
        <f aca="false">IF(B140="","",Neraca!B116)</f>
        <v/>
      </c>
      <c r="D140" s="33" t="str">
        <f aca="false">IF(B140="","",N(Neraca!G116))</f>
        <v/>
      </c>
      <c r="E140" s="33" t="str">
        <f aca="false">IF(B140="","",SUMIFS(Simpanan!$D$2:$D$2001,Simpanan!$F$2:$F$2001,B140))</f>
        <v/>
      </c>
      <c r="F140" s="33" t="str">
        <f aca="false">IF(B140="","",SUMIFS(Pembiayaan!$H$2:$H$2001,Pembiayaan!$Q$2:$Q$2001,B140))</f>
        <v/>
      </c>
      <c r="G140" s="33" t="str">
        <f aca="false">IF(B140="","",SUMIFS(Penyesuaian!$B$2:$B$151,Penyesuaian!$A$2:$A$151,B140))</f>
        <v/>
      </c>
      <c r="H140" s="33" t="str">
        <f aca="false">IF(B140="","",IF(COUNTIF(Produk!$J$2:$J$100,B140)+COUNTIF(Pembiayaan!$O$2:$O$2001,B140)+COUNTIF(Penyesuaian!$A$2:$A$151,B140)=0,"",D140-E140-F140-G140))</f>
        <v/>
      </c>
      <c r="I140" s="6" t="str">
        <f aca="false">IF(B140="","",IF(COUNTIF(Produk!$J$2:$J$100,B140)+COUNTIF(Pembiayaan!$O$2:$O$2001,B140)+COUNTIF(Penyesuaian!$A$2:$A$151,B140)=0,"tanpa rincian",IF(ABS(H140)&lt;=Info_Koperasi!$C$10,"COCOK","SELISIH")))</f>
        <v/>
      </c>
    </row>
    <row r="141" customFormat="false" ht="15" hidden="false" customHeight="false" outlineLevel="0" collapsed="false">
      <c r="B141" s="6" t="str">
        <f aca="false">IF(Neraca!A117="","",Neraca!A117)</f>
        <v/>
      </c>
      <c r="C141" s="6" t="str">
        <f aca="false">IF(B141="","",Neraca!B117)</f>
        <v/>
      </c>
      <c r="D141" s="33" t="str">
        <f aca="false">IF(B141="","",N(Neraca!G117))</f>
        <v/>
      </c>
      <c r="E141" s="33" t="str">
        <f aca="false">IF(B141="","",SUMIFS(Simpanan!$D$2:$D$2001,Simpanan!$F$2:$F$2001,B141))</f>
        <v/>
      </c>
      <c r="F141" s="33" t="str">
        <f aca="false">IF(B141="","",SUMIFS(Pembiayaan!$H$2:$H$2001,Pembiayaan!$Q$2:$Q$2001,B141))</f>
        <v/>
      </c>
      <c r="G141" s="33" t="str">
        <f aca="false">IF(B141="","",SUMIFS(Penyesuaian!$B$2:$B$151,Penyesuaian!$A$2:$A$151,B141))</f>
        <v/>
      </c>
      <c r="H141" s="33" t="str">
        <f aca="false">IF(B141="","",IF(COUNTIF(Produk!$J$2:$J$100,B141)+COUNTIF(Pembiayaan!$O$2:$O$2001,B141)+COUNTIF(Penyesuaian!$A$2:$A$151,B141)=0,"",D141-E141-F141-G141))</f>
        <v/>
      </c>
      <c r="I141" s="6" t="str">
        <f aca="false">IF(B141="","",IF(COUNTIF(Produk!$J$2:$J$100,B141)+COUNTIF(Pembiayaan!$O$2:$O$2001,B141)+COUNTIF(Penyesuaian!$A$2:$A$151,B141)=0,"tanpa rincian",IF(ABS(H141)&lt;=Info_Koperasi!$C$10,"COCOK","SELISIH")))</f>
        <v/>
      </c>
    </row>
    <row r="142" customFormat="false" ht="15" hidden="false" customHeight="false" outlineLevel="0" collapsed="false">
      <c r="B142" s="6" t="str">
        <f aca="false">IF(Neraca!A118="","",Neraca!A118)</f>
        <v/>
      </c>
      <c r="C142" s="6" t="str">
        <f aca="false">IF(B142="","",Neraca!B118)</f>
        <v/>
      </c>
      <c r="D142" s="33" t="str">
        <f aca="false">IF(B142="","",N(Neraca!G118))</f>
        <v/>
      </c>
      <c r="E142" s="33" t="str">
        <f aca="false">IF(B142="","",SUMIFS(Simpanan!$D$2:$D$2001,Simpanan!$F$2:$F$2001,B142))</f>
        <v/>
      </c>
      <c r="F142" s="33" t="str">
        <f aca="false">IF(B142="","",SUMIFS(Pembiayaan!$H$2:$H$2001,Pembiayaan!$Q$2:$Q$2001,B142))</f>
        <v/>
      </c>
      <c r="G142" s="33" t="str">
        <f aca="false">IF(B142="","",SUMIFS(Penyesuaian!$B$2:$B$151,Penyesuaian!$A$2:$A$151,B142))</f>
        <v/>
      </c>
      <c r="H142" s="33" t="str">
        <f aca="false">IF(B142="","",IF(COUNTIF(Produk!$J$2:$J$100,B142)+COUNTIF(Pembiayaan!$O$2:$O$2001,B142)+COUNTIF(Penyesuaian!$A$2:$A$151,B142)=0,"",D142-E142-F142-G142))</f>
        <v/>
      </c>
      <c r="I142" s="6" t="str">
        <f aca="false">IF(B142="","",IF(COUNTIF(Produk!$J$2:$J$100,B142)+COUNTIF(Pembiayaan!$O$2:$O$2001,B142)+COUNTIF(Penyesuaian!$A$2:$A$151,B142)=0,"tanpa rincian",IF(ABS(H142)&lt;=Info_Koperasi!$C$10,"COCOK","SELISIH")))</f>
        <v/>
      </c>
    </row>
    <row r="143" customFormat="false" ht="15" hidden="false" customHeight="false" outlineLevel="0" collapsed="false">
      <c r="B143" s="6" t="str">
        <f aca="false">IF(Neraca!A119="","",Neraca!A119)</f>
        <v/>
      </c>
      <c r="C143" s="6" t="str">
        <f aca="false">IF(B143="","",Neraca!B119)</f>
        <v/>
      </c>
      <c r="D143" s="33" t="str">
        <f aca="false">IF(B143="","",N(Neraca!G119))</f>
        <v/>
      </c>
      <c r="E143" s="33" t="str">
        <f aca="false">IF(B143="","",SUMIFS(Simpanan!$D$2:$D$2001,Simpanan!$F$2:$F$2001,B143))</f>
        <v/>
      </c>
      <c r="F143" s="33" t="str">
        <f aca="false">IF(B143="","",SUMIFS(Pembiayaan!$H$2:$H$2001,Pembiayaan!$Q$2:$Q$2001,B143))</f>
        <v/>
      </c>
      <c r="G143" s="33" t="str">
        <f aca="false">IF(B143="","",SUMIFS(Penyesuaian!$B$2:$B$151,Penyesuaian!$A$2:$A$151,B143))</f>
        <v/>
      </c>
      <c r="H143" s="33" t="str">
        <f aca="false">IF(B143="","",IF(COUNTIF(Produk!$J$2:$J$100,B143)+COUNTIF(Pembiayaan!$O$2:$O$2001,B143)+COUNTIF(Penyesuaian!$A$2:$A$151,B143)=0,"",D143-E143-F143-G143))</f>
        <v/>
      </c>
      <c r="I143" s="6" t="str">
        <f aca="false">IF(B143="","",IF(COUNTIF(Produk!$J$2:$J$100,B143)+COUNTIF(Pembiayaan!$O$2:$O$2001,B143)+COUNTIF(Penyesuaian!$A$2:$A$151,B143)=0,"tanpa rincian",IF(ABS(H143)&lt;=Info_Koperasi!$C$10,"COCOK","SELISIH")))</f>
        <v/>
      </c>
    </row>
    <row r="144" customFormat="false" ht="15" hidden="false" customHeight="false" outlineLevel="0" collapsed="false">
      <c r="B144" s="6" t="str">
        <f aca="false">IF(Neraca!A120="","",Neraca!A120)</f>
        <v/>
      </c>
      <c r="C144" s="6" t="str">
        <f aca="false">IF(B144="","",Neraca!B120)</f>
        <v/>
      </c>
      <c r="D144" s="33" t="str">
        <f aca="false">IF(B144="","",N(Neraca!G120))</f>
        <v/>
      </c>
      <c r="E144" s="33" t="str">
        <f aca="false">IF(B144="","",SUMIFS(Simpanan!$D$2:$D$2001,Simpanan!$F$2:$F$2001,B144))</f>
        <v/>
      </c>
      <c r="F144" s="33" t="str">
        <f aca="false">IF(B144="","",SUMIFS(Pembiayaan!$H$2:$H$2001,Pembiayaan!$Q$2:$Q$2001,B144))</f>
        <v/>
      </c>
      <c r="G144" s="33" t="str">
        <f aca="false">IF(B144="","",SUMIFS(Penyesuaian!$B$2:$B$151,Penyesuaian!$A$2:$A$151,B144))</f>
        <v/>
      </c>
      <c r="H144" s="33" t="str">
        <f aca="false">IF(B144="","",IF(COUNTIF(Produk!$J$2:$J$100,B144)+COUNTIF(Pembiayaan!$O$2:$O$2001,B144)+COUNTIF(Penyesuaian!$A$2:$A$151,B144)=0,"",D144-E144-F144-G144))</f>
        <v/>
      </c>
      <c r="I144" s="6" t="str">
        <f aca="false">IF(B144="","",IF(COUNTIF(Produk!$J$2:$J$100,B144)+COUNTIF(Pembiayaan!$O$2:$O$2001,B144)+COUNTIF(Penyesuaian!$A$2:$A$151,B144)=0,"tanpa rincian",IF(ABS(H144)&lt;=Info_Koperasi!$C$10,"COCOK","SELISIH")))</f>
        <v/>
      </c>
    </row>
    <row r="145" customFormat="false" ht="15" hidden="false" customHeight="false" outlineLevel="0" collapsed="false">
      <c r="B145" s="6" t="str">
        <f aca="false">IF(Neraca!A121="","",Neraca!A121)</f>
        <v/>
      </c>
      <c r="C145" s="6" t="str">
        <f aca="false">IF(B145="","",Neraca!B121)</f>
        <v/>
      </c>
      <c r="D145" s="33" t="str">
        <f aca="false">IF(B145="","",N(Neraca!G121))</f>
        <v/>
      </c>
      <c r="E145" s="33" t="str">
        <f aca="false">IF(B145="","",SUMIFS(Simpanan!$D$2:$D$2001,Simpanan!$F$2:$F$2001,B145))</f>
        <v/>
      </c>
      <c r="F145" s="33" t="str">
        <f aca="false">IF(B145="","",SUMIFS(Pembiayaan!$H$2:$H$2001,Pembiayaan!$Q$2:$Q$2001,B145))</f>
        <v/>
      </c>
      <c r="G145" s="33" t="str">
        <f aca="false">IF(B145="","",SUMIFS(Penyesuaian!$B$2:$B$151,Penyesuaian!$A$2:$A$151,B145))</f>
        <v/>
      </c>
      <c r="H145" s="33" t="str">
        <f aca="false">IF(B145="","",IF(COUNTIF(Produk!$J$2:$J$100,B145)+COUNTIF(Pembiayaan!$O$2:$O$2001,B145)+COUNTIF(Penyesuaian!$A$2:$A$151,B145)=0,"",D145-E145-F145-G145))</f>
        <v/>
      </c>
      <c r="I145" s="6" t="str">
        <f aca="false">IF(B145="","",IF(COUNTIF(Produk!$J$2:$J$100,B145)+COUNTIF(Pembiayaan!$O$2:$O$2001,B145)+COUNTIF(Penyesuaian!$A$2:$A$151,B145)=0,"tanpa rincian",IF(ABS(H145)&lt;=Info_Koperasi!$C$10,"COCOK","SELISIH")))</f>
        <v/>
      </c>
    </row>
    <row r="146" customFormat="false" ht="15" hidden="false" customHeight="false" outlineLevel="0" collapsed="false">
      <c r="B146" s="6" t="str">
        <f aca="false">IF(Neraca!A122="","",Neraca!A122)</f>
        <v/>
      </c>
      <c r="C146" s="6" t="str">
        <f aca="false">IF(B146="","",Neraca!B122)</f>
        <v/>
      </c>
      <c r="D146" s="33" t="str">
        <f aca="false">IF(B146="","",N(Neraca!G122))</f>
        <v/>
      </c>
      <c r="E146" s="33" t="str">
        <f aca="false">IF(B146="","",SUMIFS(Simpanan!$D$2:$D$2001,Simpanan!$F$2:$F$2001,B146))</f>
        <v/>
      </c>
      <c r="F146" s="33" t="str">
        <f aca="false">IF(B146="","",SUMIFS(Pembiayaan!$H$2:$H$2001,Pembiayaan!$Q$2:$Q$2001,B146))</f>
        <v/>
      </c>
      <c r="G146" s="33" t="str">
        <f aca="false">IF(B146="","",SUMIFS(Penyesuaian!$B$2:$B$151,Penyesuaian!$A$2:$A$151,B146))</f>
        <v/>
      </c>
      <c r="H146" s="33" t="str">
        <f aca="false">IF(B146="","",IF(COUNTIF(Produk!$J$2:$J$100,B146)+COUNTIF(Pembiayaan!$O$2:$O$2001,B146)+COUNTIF(Penyesuaian!$A$2:$A$151,B146)=0,"",D146-E146-F146-G146))</f>
        <v/>
      </c>
      <c r="I146" s="6" t="str">
        <f aca="false">IF(B146="","",IF(COUNTIF(Produk!$J$2:$J$100,B146)+COUNTIF(Pembiayaan!$O$2:$O$2001,B146)+COUNTIF(Penyesuaian!$A$2:$A$151,B146)=0,"tanpa rincian",IF(ABS(H146)&lt;=Info_Koperasi!$C$10,"COCOK","SELISIH")))</f>
        <v/>
      </c>
    </row>
    <row r="147" customFormat="false" ht="15" hidden="false" customHeight="false" outlineLevel="0" collapsed="false">
      <c r="B147" s="6" t="str">
        <f aca="false">IF(Neraca!A123="","",Neraca!A123)</f>
        <v/>
      </c>
      <c r="C147" s="6" t="str">
        <f aca="false">IF(B147="","",Neraca!B123)</f>
        <v/>
      </c>
      <c r="D147" s="33" t="str">
        <f aca="false">IF(B147="","",N(Neraca!G123))</f>
        <v/>
      </c>
      <c r="E147" s="33" t="str">
        <f aca="false">IF(B147="","",SUMIFS(Simpanan!$D$2:$D$2001,Simpanan!$F$2:$F$2001,B147))</f>
        <v/>
      </c>
      <c r="F147" s="33" t="str">
        <f aca="false">IF(B147="","",SUMIFS(Pembiayaan!$H$2:$H$2001,Pembiayaan!$Q$2:$Q$2001,B147))</f>
        <v/>
      </c>
      <c r="G147" s="33" t="str">
        <f aca="false">IF(B147="","",SUMIFS(Penyesuaian!$B$2:$B$151,Penyesuaian!$A$2:$A$151,B147))</f>
        <v/>
      </c>
      <c r="H147" s="33" t="str">
        <f aca="false">IF(B147="","",IF(COUNTIF(Produk!$J$2:$J$100,B147)+COUNTIF(Pembiayaan!$O$2:$O$2001,B147)+COUNTIF(Penyesuaian!$A$2:$A$151,B147)=0,"",D147-E147-F147-G147))</f>
        <v/>
      </c>
      <c r="I147" s="6" t="str">
        <f aca="false">IF(B147="","",IF(COUNTIF(Produk!$J$2:$J$100,B147)+COUNTIF(Pembiayaan!$O$2:$O$2001,B147)+COUNTIF(Penyesuaian!$A$2:$A$151,B147)=0,"tanpa rincian",IF(ABS(H147)&lt;=Info_Koperasi!$C$10,"COCOK","SELISIH")))</f>
        <v/>
      </c>
    </row>
    <row r="148" customFormat="false" ht="15" hidden="false" customHeight="false" outlineLevel="0" collapsed="false">
      <c r="B148" s="6" t="str">
        <f aca="false">IF(Neraca!A124="","",Neraca!A124)</f>
        <v/>
      </c>
      <c r="C148" s="6" t="str">
        <f aca="false">IF(B148="","",Neraca!B124)</f>
        <v/>
      </c>
      <c r="D148" s="33" t="str">
        <f aca="false">IF(B148="","",N(Neraca!G124))</f>
        <v/>
      </c>
      <c r="E148" s="33" t="str">
        <f aca="false">IF(B148="","",SUMIFS(Simpanan!$D$2:$D$2001,Simpanan!$F$2:$F$2001,B148))</f>
        <v/>
      </c>
      <c r="F148" s="33" t="str">
        <f aca="false">IF(B148="","",SUMIFS(Pembiayaan!$H$2:$H$2001,Pembiayaan!$Q$2:$Q$2001,B148))</f>
        <v/>
      </c>
      <c r="G148" s="33" t="str">
        <f aca="false">IF(B148="","",SUMIFS(Penyesuaian!$B$2:$B$151,Penyesuaian!$A$2:$A$151,B148))</f>
        <v/>
      </c>
      <c r="H148" s="33" t="str">
        <f aca="false">IF(B148="","",IF(COUNTIF(Produk!$J$2:$J$100,B148)+COUNTIF(Pembiayaan!$O$2:$O$2001,B148)+COUNTIF(Penyesuaian!$A$2:$A$151,B148)=0,"",D148-E148-F148-G148))</f>
        <v/>
      </c>
      <c r="I148" s="6" t="str">
        <f aca="false">IF(B148="","",IF(COUNTIF(Produk!$J$2:$J$100,B148)+COUNTIF(Pembiayaan!$O$2:$O$2001,B148)+COUNTIF(Penyesuaian!$A$2:$A$151,B148)=0,"tanpa rincian",IF(ABS(H148)&lt;=Info_Koperasi!$C$10,"COCOK","SELISIH")))</f>
        <v/>
      </c>
    </row>
    <row r="149" customFormat="false" ht="15" hidden="false" customHeight="false" outlineLevel="0" collapsed="false">
      <c r="B149" s="6" t="str">
        <f aca="false">IF(Neraca!A125="","",Neraca!A125)</f>
        <v/>
      </c>
      <c r="C149" s="6" t="str">
        <f aca="false">IF(B149="","",Neraca!B125)</f>
        <v/>
      </c>
      <c r="D149" s="33" t="str">
        <f aca="false">IF(B149="","",N(Neraca!G125))</f>
        <v/>
      </c>
      <c r="E149" s="33" t="str">
        <f aca="false">IF(B149="","",SUMIFS(Simpanan!$D$2:$D$2001,Simpanan!$F$2:$F$2001,B149))</f>
        <v/>
      </c>
      <c r="F149" s="33" t="str">
        <f aca="false">IF(B149="","",SUMIFS(Pembiayaan!$H$2:$H$2001,Pembiayaan!$Q$2:$Q$2001,B149))</f>
        <v/>
      </c>
      <c r="G149" s="33" t="str">
        <f aca="false">IF(B149="","",SUMIFS(Penyesuaian!$B$2:$B$151,Penyesuaian!$A$2:$A$151,B149))</f>
        <v/>
      </c>
      <c r="H149" s="33" t="str">
        <f aca="false">IF(B149="","",IF(COUNTIF(Produk!$J$2:$J$100,B149)+COUNTIF(Pembiayaan!$O$2:$O$2001,B149)+COUNTIF(Penyesuaian!$A$2:$A$151,B149)=0,"",D149-E149-F149-G149))</f>
        <v/>
      </c>
      <c r="I149" s="6" t="str">
        <f aca="false">IF(B149="","",IF(COUNTIF(Produk!$J$2:$J$100,B149)+COUNTIF(Pembiayaan!$O$2:$O$2001,B149)+COUNTIF(Penyesuaian!$A$2:$A$151,B149)=0,"tanpa rincian",IF(ABS(H149)&lt;=Info_Koperasi!$C$10,"COCOK","SELISIH")))</f>
        <v/>
      </c>
    </row>
    <row r="150" customFormat="false" ht="15" hidden="false" customHeight="false" outlineLevel="0" collapsed="false">
      <c r="B150" s="6" t="str">
        <f aca="false">IF(Neraca!A126="","",Neraca!A126)</f>
        <v/>
      </c>
      <c r="C150" s="6" t="str">
        <f aca="false">IF(B150="","",Neraca!B126)</f>
        <v/>
      </c>
      <c r="D150" s="33" t="str">
        <f aca="false">IF(B150="","",N(Neraca!G126))</f>
        <v/>
      </c>
      <c r="E150" s="33" t="str">
        <f aca="false">IF(B150="","",SUMIFS(Simpanan!$D$2:$D$2001,Simpanan!$F$2:$F$2001,B150))</f>
        <v/>
      </c>
      <c r="F150" s="33" t="str">
        <f aca="false">IF(B150="","",SUMIFS(Pembiayaan!$H$2:$H$2001,Pembiayaan!$Q$2:$Q$2001,B150))</f>
        <v/>
      </c>
      <c r="G150" s="33" t="str">
        <f aca="false">IF(B150="","",SUMIFS(Penyesuaian!$B$2:$B$151,Penyesuaian!$A$2:$A$151,B150))</f>
        <v/>
      </c>
      <c r="H150" s="33" t="str">
        <f aca="false">IF(B150="","",IF(COUNTIF(Produk!$J$2:$J$100,B150)+COUNTIF(Pembiayaan!$O$2:$O$2001,B150)+COUNTIF(Penyesuaian!$A$2:$A$151,B150)=0,"",D150-E150-F150-G150))</f>
        <v/>
      </c>
      <c r="I150" s="6" t="str">
        <f aca="false">IF(B150="","",IF(COUNTIF(Produk!$J$2:$J$100,B150)+COUNTIF(Pembiayaan!$O$2:$O$2001,B150)+COUNTIF(Penyesuaian!$A$2:$A$151,B150)=0,"tanpa rincian",IF(ABS(H150)&lt;=Info_Koperasi!$C$10,"COCOK","SELISIH")))</f>
        <v/>
      </c>
    </row>
    <row r="151" customFormat="false" ht="15" hidden="false" customHeight="false" outlineLevel="0" collapsed="false">
      <c r="B151" s="6" t="str">
        <f aca="false">IF(Neraca!A127="","",Neraca!A127)</f>
        <v/>
      </c>
      <c r="C151" s="6" t="str">
        <f aca="false">IF(B151="","",Neraca!B127)</f>
        <v/>
      </c>
      <c r="D151" s="33" t="str">
        <f aca="false">IF(B151="","",N(Neraca!G127))</f>
        <v/>
      </c>
      <c r="E151" s="33" t="str">
        <f aca="false">IF(B151="","",SUMIFS(Simpanan!$D$2:$D$2001,Simpanan!$F$2:$F$2001,B151))</f>
        <v/>
      </c>
      <c r="F151" s="33" t="str">
        <f aca="false">IF(B151="","",SUMIFS(Pembiayaan!$H$2:$H$2001,Pembiayaan!$Q$2:$Q$2001,B151))</f>
        <v/>
      </c>
      <c r="G151" s="33" t="str">
        <f aca="false">IF(B151="","",SUMIFS(Penyesuaian!$B$2:$B$151,Penyesuaian!$A$2:$A$151,B151))</f>
        <v/>
      </c>
      <c r="H151" s="33" t="str">
        <f aca="false">IF(B151="","",IF(COUNTIF(Produk!$J$2:$J$100,B151)+COUNTIF(Pembiayaan!$O$2:$O$2001,B151)+COUNTIF(Penyesuaian!$A$2:$A$151,B151)=0,"",D151-E151-F151-G151))</f>
        <v/>
      </c>
      <c r="I151" s="6" t="str">
        <f aca="false">IF(B151="","",IF(COUNTIF(Produk!$J$2:$J$100,B151)+COUNTIF(Pembiayaan!$O$2:$O$2001,B151)+COUNTIF(Penyesuaian!$A$2:$A$151,B151)=0,"tanpa rincian",IF(ABS(H151)&lt;=Info_Koperasi!$C$10,"COCOK","SELISIH")))</f>
        <v/>
      </c>
    </row>
    <row r="152" customFormat="false" ht="15" hidden="false" customHeight="false" outlineLevel="0" collapsed="false">
      <c r="B152" s="6" t="str">
        <f aca="false">IF(Neraca!A128="","",Neraca!A128)</f>
        <v/>
      </c>
      <c r="C152" s="6" t="str">
        <f aca="false">IF(B152="","",Neraca!B128)</f>
        <v/>
      </c>
      <c r="D152" s="33" t="str">
        <f aca="false">IF(B152="","",N(Neraca!G128))</f>
        <v/>
      </c>
      <c r="E152" s="33" t="str">
        <f aca="false">IF(B152="","",SUMIFS(Simpanan!$D$2:$D$2001,Simpanan!$F$2:$F$2001,B152))</f>
        <v/>
      </c>
      <c r="F152" s="33" t="str">
        <f aca="false">IF(B152="","",SUMIFS(Pembiayaan!$H$2:$H$2001,Pembiayaan!$Q$2:$Q$2001,B152))</f>
        <v/>
      </c>
      <c r="G152" s="33" t="str">
        <f aca="false">IF(B152="","",SUMIFS(Penyesuaian!$B$2:$B$151,Penyesuaian!$A$2:$A$151,B152))</f>
        <v/>
      </c>
      <c r="H152" s="33" t="str">
        <f aca="false">IF(B152="","",IF(COUNTIF(Produk!$J$2:$J$100,B152)+COUNTIF(Pembiayaan!$O$2:$O$2001,B152)+COUNTIF(Penyesuaian!$A$2:$A$151,B152)=0,"",D152-E152-F152-G152))</f>
        <v/>
      </c>
      <c r="I152" s="6" t="str">
        <f aca="false">IF(B152="","",IF(COUNTIF(Produk!$J$2:$J$100,B152)+COUNTIF(Pembiayaan!$O$2:$O$2001,B152)+COUNTIF(Penyesuaian!$A$2:$A$151,B152)=0,"tanpa rincian",IF(ABS(H152)&lt;=Info_Koperasi!$C$10,"COCOK","SELISIH")))</f>
        <v/>
      </c>
    </row>
    <row r="153" customFormat="false" ht="15" hidden="false" customHeight="false" outlineLevel="0" collapsed="false">
      <c r="B153" s="6" t="str">
        <f aca="false">IF(Neraca!A129="","",Neraca!A129)</f>
        <v/>
      </c>
      <c r="C153" s="6" t="str">
        <f aca="false">IF(B153="","",Neraca!B129)</f>
        <v/>
      </c>
      <c r="D153" s="33" t="str">
        <f aca="false">IF(B153="","",N(Neraca!G129))</f>
        <v/>
      </c>
      <c r="E153" s="33" t="str">
        <f aca="false">IF(B153="","",SUMIFS(Simpanan!$D$2:$D$2001,Simpanan!$F$2:$F$2001,B153))</f>
        <v/>
      </c>
      <c r="F153" s="33" t="str">
        <f aca="false">IF(B153="","",SUMIFS(Pembiayaan!$H$2:$H$2001,Pembiayaan!$Q$2:$Q$2001,B153))</f>
        <v/>
      </c>
      <c r="G153" s="33" t="str">
        <f aca="false">IF(B153="","",SUMIFS(Penyesuaian!$B$2:$B$151,Penyesuaian!$A$2:$A$151,B153))</f>
        <v/>
      </c>
      <c r="H153" s="33" t="str">
        <f aca="false">IF(B153="","",IF(COUNTIF(Produk!$J$2:$J$100,B153)+COUNTIF(Pembiayaan!$O$2:$O$2001,B153)+COUNTIF(Penyesuaian!$A$2:$A$151,B153)=0,"",D153-E153-F153-G153))</f>
        <v/>
      </c>
      <c r="I153" s="6" t="str">
        <f aca="false">IF(B153="","",IF(COUNTIF(Produk!$J$2:$J$100,B153)+COUNTIF(Pembiayaan!$O$2:$O$2001,B153)+COUNTIF(Penyesuaian!$A$2:$A$151,B153)=0,"tanpa rincian",IF(ABS(H153)&lt;=Info_Koperasi!$C$10,"COCOK","SELISIH")))</f>
        <v/>
      </c>
    </row>
    <row r="154" customFormat="false" ht="15" hidden="false" customHeight="false" outlineLevel="0" collapsed="false">
      <c r="B154" s="6" t="str">
        <f aca="false">IF(Neraca!A130="","",Neraca!A130)</f>
        <v/>
      </c>
      <c r="C154" s="6" t="str">
        <f aca="false">IF(B154="","",Neraca!B130)</f>
        <v/>
      </c>
      <c r="D154" s="33" t="str">
        <f aca="false">IF(B154="","",N(Neraca!G130))</f>
        <v/>
      </c>
      <c r="E154" s="33" t="str">
        <f aca="false">IF(B154="","",SUMIFS(Simpanan!$D$2:$D$2001,Simpanan!$F$2:$F$2001,B154))</f>
        <v/>
      </c>
      <c r="F154" s="33" t="str">
        <f aca="false">IF(B154="","",SUMIFS(Pembiayaan!$H$2:$H$2001,Pembiayaan!$Q$2:$Q$2001,B154))</f>
        <v/>
      </c>
      <c r="G154" s="33" t="str">
        <f aca="false">IF(B154="","",SUMIFS(Penyesuaian!$B$2:$B$151,Penyesuaian!$A$2:$A$151,B154))</f>
        <v/>
      </c>
      <c r="H154" s="33" t="str">
        <f aca="false">IF(B154="","",IF(COUNTIF(Produk!$J$2:$J$100,B154)+COUNTIF(Pembiayaan!$O$2:$O$2001,B154)+COUNTIF(Penyesuaian!$A$2:$A$151,B154)=0,"",D154-E154-F154-G154))</f>
        <v/>
      </c>
      <c r="I154" s="6" t="str">
        <f aca="false">IF(B154="","",IF(COUNTIF(Produk!$J$2:$J$100,B154)+COUNTIF(Pembiayaan!$O$2:$O$2001,B154)+COUNTIF(Penyesuaian!$A$2:$A$151,B154)=0,"tanpa rincian",IF(ABS(H154)&lt;=Info_Koperasi!$C$10,"COCOK","SELISIH")))</f>
        <v/>
      </c>
    </row>
    <row r="155" customFormat="false" ht="15" hidden="false" customHeight="false" outlineLevel="0" collapsed="false">
      <c r="B155" s="6" t="str">
        <f aca="false">IF(Neraca!A131="","",Neraca!A131)</f>
        <v/>
      </c>
      <c r="C155" s="6" t="str">
        <f aca="false">IF(B155="","",Neraca!B131)</f>
        <v/>
      </c>
      <c r="D155" s="33" t="str">
        <f aca="false">IF(B155="","",N(Neraca!G131))</f>
        <v/>
      </c>
      <c r="E155" s="33" t="str">
        <f aca="false">IF(B155="","",SUMIFS(Simpanan!$D$2:$D$2001,Simpanan!$F$2:$F$2001,B155))</f>
        <v/>
      </c>
      <c r="F155" s="33" t="str">
        <f aca="false">IF(B155="","",SUMIFS(Pembiayaan!$H$2:$H$2001,Pembiayaan!$Q$2:$Q$2001,B155))</f>
        <v/>
      </c>
      <c r="G155" s="33" t="str">
        <f aca="false">IF(B155="","",SUMIFS(Penyesuaian!$B$2:$B$151,Penyesuaian!$A$2:$A$151,B155))</f>
        <v/>
      </c>
      <c r="H155" s="33" t="str">
        <f aca="false">IF(B155="","",IF(COUNTIF(Produk!$J$2:$J$100,B155)+COUNTIF(Pembiayaan!$O$2:$O$2001,B155)+COUNTIF(Penyesuaian!$A$2:$A$151,B155)=0,"",D155-E155-F155-G155))</f>
        <v/>
      </c>
      <c r="I155" s="6" t="str">
        <f aca="false">IF(B155="","",IF(COUNTIF(Produk!$J$2:$J$100,B155)+COUNTIF(Pembiayaan!$O$2:$O$2001,B155)+COUNTIF(Penyesuaian!$A$2:$A$151,B155)=0,"tanpa rincian",IF(ABS(H155)&lt;=Info_Koperasi!$C$10,"COCOK","SELISIH")))</f>
        <v/>
      </c>
    </row>
    <row r="156" customFormat="false" ht="15" hidden="false" customHeight="false" outlineLevel="0" collapsed="false">
      <c r="B156" s="6" t="str">
        <f aca="false">IF(Neraca!A132="","",Neraca!A132)</f>
        <v/>
      </c>
      <c r="C156" s="6" t="str">
        <f aca="false">IF(B156="","",Neraca!B132)</f>
        <v/>
      </c>
      <c r="D156" s="33" t="str">
        <f aca="false">IF(B156="","",N(Neraca!G132))</f>
        <v/>
      </c>
      <c r="E156" s="33" t="str">
        <f aca="false">IF(B156="","",SUMIFS(Simpanan!$D$2:$D$2001,Simpanan!$F$2:$F$2001,B156))</f>
        <v/>
      </c>
      <c r="F156" s="33" t="str">
        <f aca="false">IF(B156="","",SUMIFS(Pembiayaan!$H$2:$H$2001,Pembiayaan!$Q$2:$Q$2001,B156))</f>
        <v/>
      </c>
      <c r="G156" s="33" t="str">
        <f aca="false">IF(B156="","",SUMIFS(Penyesuaian!$B$2:$B$151,Penyesuaian!$A$2:$A$151,B156))</f>
        <v/>
      </c>
      <c r="H156" s="33" t="str">
        <f aca="false">IF(B156="","",IF(COUNTIF(Produk!$J$2:$J$100,B156)+COUNTIF(Pembiayaan!$O$2:$O$2001,B156)+COUNTIF(Penyesuaian!$A$2:$A$151,B156)=0,"",D156-E156-F156-G156))</f>
        <v/>
      </c>
      <c r="I156" s="6" t="str">
        <f aca="false">IF(B156="","",IF(COUNTIF(Produk!$J$2:$J$100,B156)+COUNTIF(Pembiayaan!$O$2:$O$2001,B156)+COUNTIF(Penyesuaian!$A$2:$A$151,B156)=0,"tanpa rincian",IF(ABS(H156)&lt;=Info_Koperasi!$C$10,"COCOK","SELISIH")))</f>
        <v/>
      </c>
    </row>
    <row r="157" customFormat="false" ht="15" hidden="false" customHeight="false" outlineLevel="0" collapsed="false">
      <c r="B157" s="6" t="str">
        <f aca="false">IF(Neraca!A133="","",Neraca!A133)</f>
        <v/>
      </c>
      <c r="C157" s="6" t="str">
        <f aca="false">IF(B157="","",Neraca!B133)</f>
        <v/>
      </c>
      <c r="D157" s="33" t="str">
        <f aca="false">IF(B157="","",N(Neraca!G133))</f>
        <v/>
      </c>
      <c r="E157" s="33" t="str">
        <f aca="false">IF(B157="","",SUMIFS(Simpanan!$D$2:$D$2001,Simpanan!$F$2:$F$2001,B157))</f>
        <v/>
      </c>
      <c r="F157" s="33" t="str">
        <f aca="false">IF(B157="","",SUMIFS(Pembiayaan!$H$2:$H$2001,Pembiayaan!$Q$2:$Q$2001,B157))</f>
        <v/>
      </c>
      <c r="G157" s="33" t="str">
        <f aca="false">IF(B157="","",SUMIFS(Penyesuaian!$B$2:$B$151,Penyesuaian!$A$2:$A$151,B157))</f>
        <v/>
      </c>
      <c r="H157" s="33" t="str">
        <f aca="false">IF(B157="","",IF(COUNTIF(Produk!$J$2:$J$100,B157)+COUNTIF(Pembiayaan!$O$2:$O$2001,B157)+COUNTIF(Penyesuaian!$A$2:$A$151,B157)=0,"",D157-E157-F157-G157))</f>
        <v/>
      </c>
      <c r="I157" s="6" t="str">
        <f aca="false">IF(B157="","",IF(COUNTIF(Produk!$J$2:$J$100,B157)+COUNTIF(Pembiayaan!$O$2:$O$2001,B157)+COUNTIF(Penyesuaian!$A$2:$A$151,B157)=0,"tanpa rincian",IF(ABS(H157)&lt;=Info_Koperasi!$C$10,"COCOK","SELISIH")))</f>
        <v/>
      </c>
    </row>
    <row r="158" customFormat="false" ht="15" hidden="false" customHeight="false" outlineLevel="0" collapsed="false">
      <c r="B158" s="6" t="str">
        <f aca="false">IF(Neraca!A134="","",Neraca!A134)</f>
        <v/>
      </c>
      <c r="C158" s="6" t="str">
        <f aca="false">IF(B158="","",Neraca!B134)</f>
        <v/>
      </c>
      <c r="D158" s="33" t="str">
        <f aca="false">IF(B158="","",N(Neraca!G134))</f>
        <v/>
      </c>
      <c r="E158" s="33" t="str">
        <f aca="false">IF(B158="","",SUMIFS(Simpanan!$D$2:$D$2001,Simpanan!$F$2:$F$2001,B158))</f>
        <v/>
      </c>
      <c r="F158" s="33" t="str">
        <f aca="false">IF(B158="","",SUMIFS(Pembiayaan!$H$2:$H$2001,Pembiayaan!$Q$2:$Q$2001,B158))</f>
        <v/>
      </c>
      <c r="G158" s="33" t="str">
        <f aca="false">IF(B158="","",SUMIFS(Penyesuaian!$B$2:$B$151,Penyesuaian!$A$2:$A$151,B158))</f>
        <v/>
      </c>
      <c r="H158" s="33" t="str">
        <f aca="false">IF(B158="","",IF(COUNTIF(Produk!$J$2:$J$100,B158)+COUNTIF(Pembiayaan!$O$2:$O$2001,B158)+COUNTIF(Penyesuaian!$A$2:$A$151,B158)=0,"",D158-E158-F158-G158))</f>
        <v/>
      </c>
      <c r="I158" s="6" t="str">
        <f aca="false">IF(B158="","",IF(COUNTIF(Produk!$J$2:$J$100,B158)+COUNTIF(Pembiayaan!$O$2:$O$2001,B158)+COUNTIF(Penyesuaian!$A$2:$A$151,B158)=0,"tanpa rincian",IF(ABS(H158)&lt;=Info_Koperasi!$C$10,"COCOK","SELISIH")))</f>
        <v/>
      </c>
    </row>
    <row r="159" customFormat="false" ht="15" hidden="false" customHeight="false" outlineLevel="0" collapsed="false">
      <c r="B159" s="6" t="str">
        <f aca="false">IF(Neraca!A135="","",Neraca!A135)</f>
        <v/>
      </c>
      <c r="C159" s="6" t="str">
        <f aca="false">IF(B159="","",Neraca!B135)</f>
        <v/>
      </c>
      <c r="D159" s="33" t="str">
        <f aca="false">IF(B159="","",N(Neraca!G135))</f>
        <v/>
      </c>
      <c r="E159" s="33" t="str">
        <f aca="false">IF(B159="","",SUMIFS(Simpanan!$D$2:$D$2001,Simpanan!$F$2:$F$2001,B159))</f>
        <v/>
      </c>
      <c r="F159" s="33" t="str">
        <f aca="false">IF(B159="","",SUMIFS(Pembiayaan!$H$2:$H$2001,Pembiayaan!$Q$2:$Q$2001,B159))</f>
        <v/>
      </c>
      <c r="G159" s="33" t="str">
        <f aca="false">IF(B159="","",SUMIFS(Penyesuaian!$B$2:$B$151,Penyesuaian!$A$2:$A$151,B159))</f>
        <v/>
      </c>
      <c r="H159" s="33" t="str">
        <f aca="false">IF(B159="","",IF(COUNTIF(Produk!$J$2:$J$100,B159)+COUNTIF(Pembiayaan!$O$2:$O$2001,B159)+COUNTIF(Penyesuaian!$A$2:$A$151,B159)=0,"",D159-E159-F159-G159))</f>
        <v/>
      </c>
      <c r="I159" s="6" t="str">
        <f aca="false">IF(B159="","",IF(COUNTIF(Produk!$J$2:$J$100,B159)+COUNTIF(Pembiayaan!$O$2:$O$2001,B159)+COUNTIF(Penyesuaian!$A$2:$A$151,B159)=0,"tanpa rincian",IF(ABS(H159)&lt;=Info_Koperasi!$C$10,"COCOK","SELISIH")))</f>
        <v/>
      </c>
    </row>
    <row r="160" customFormat="false" ht="15" hidden="false" customHeight="false" outlineLevel="0" collapsed="false">
      <c r="B160" s="6" t="str">
        <f aca="false">IF(Neraca!A136="","",Neraca!A136)</f>
        <v/>
      </c>
      <c r="C160" s="6" t="str">
        <f aca="false">IF(B160="","",Neraca!B136)</f>
        <v/>
      </c>
      <c r="D160" s="33" t="str">
        <f aca="false">IF(B160="","",N(Neraca!G136))</f>
        <v/>
      </c>
      <c r="E160" s="33" t="str">
        <f aca="false">IF(B160="","",SUMIFS(Simpanan!$D$2:$D$2001,Simpanan!$F$2:$F$2001,B160))</f>
        <v/>
      </c>
      <c r="F160" s="33" t="str">
        <f aca="false">IF(B160="","",SUMIFS(Pembiayaan!$H$2:$H$2001,Pembiayaan!$Q$2:$Q$2001,B160))</f>
        <v/>
      </c>
      <c r="G160" s="33" t="str">
        <f aca="false">IF(B160="","",SUMIFS(Penyesuaian!$B$2:$B$151,Penyesuaian!$A$2:$A$151,B160))</f>
        <v/>
      </c>
      <c r="H160" s="33" t="str">
        <f aca="false">IF(B160="","",IF(COUNTIF(Produk!$J$2:$J$100,B160)+COUNTIF(Pembiayaan!$O$2:$O$2001,B160)+COUNTIF(Penyesuaian!$A$2:$A$151,B160)=0,"",D160-E160-F160-G160))</f>
        <v/>
      </c>
      <c r="I160" s="6" t="str">
        <f aca="false">IF(B160="","",IF(COUNTIF(Produk!$J$2:$J$100,B160)+COUNTIF(Pembiayaan!$O$2:$O$2001,B160)+COUNTIF(Penyesuaian!$A$2:$A$151,B160)=0,"tanpa rincian",IF(ABS(H160)&lt;=Info_Koperasi!$C$10,"COCOK","SELISIH")))</f>
        <v/>
      </c>
    </row>
    <row r="161" customFormat="false" ht="15" hidden="false" customHeight="false" outlineLevel="0" collapsed="false">
      <c r="B161" s="6" t="str">
        <f aca="false">IF(Neraca!A137="","",Neraca!A137)</f>
        <v/>
      </c>
      <c r="C161" s="6" t="str">
        <f aca="false">IF(B161="","",Neraca!B137)</f>
        <v/>
      </c>
      <c r="D161" s="33" t="str">
        <f aca="false">IF(B161="","",N(Neraca!G137))</f>
        <v/>
      </c>
      <c r="E161" s="33" t="str">
        <f aca="false">IF(B161="","",SUMIFS(Simpanan!$D$2:$D$2001,Simpanan!$F$2:$F$2001,B161))</f>
        <v/>
      </c>
      <c r="F161" s="33" t="str">
        <f aca="false">IF(B161="","",SUMIFS(Pembiayaan!$H$2:$H$2001,Pembiayaan!$Q$2:$Q$2001,B161))</f>
        <v/>
      </c>
      <c r="G161" s="33" t="str">
        <f aca="false">IF(B161="","",SUMIFS(Penyesuaian!$B$2:$B$151,Penyesuaian!$A$2:$A$151,B161))</f>
        <v/>
      </c>
      <c r="H161" s="33" t="str">
        <f aca="false">IF(B161="","",IF(COUNTIF(Produk!$J$2:$J$100,B161)+COUNTIF(Pembiayaan!$O$2:$O$2001,B161)+COUNTIF(Penyesuaian!$A$2:$A$151,B161)=0,"",D161-E161-F161-G161))</f>
        <v/>
      </c>
      <c r="I161" s="6" t="str">
        <f aca="false">IF(B161="","",IF(COUNTIF(Produk!$J$2:$J$100,B161)+COUNTIF(Pembiayaan!$O$2:$O$2001,B161)+COUNTIF(Penyesuaian!$A$2:$A$151,B161)=0,"tanpa rincian",IF(ABS(H161)&lt;=Info_Koperasi!$C$10,"COCOK","SELISIH")))</f>
        <v/>
      </c>
    </row>
    <row r="162" customFormat="false" ht="15" hidden="false" customHeight="false" outlineLevel="0" collapsed="false">
      <c r="B162" s="6" t="str">
        <f aca="false">IF(Neraca!A138="","",Neraca!A138)</f>
        <v/>
      </c>
      <c r="C162" s="6" t="str">
        <f aca="false">IF(B162="","",Neraca!B138)</f>
        <v/>
      </c>
      <c r="D162" s="33" t="str">
        <f aca="false">IF(B162="","",N(Neraca!G138))</f>
        <v/>
      </c>
      <c r="E162" s="33" t="str">
        <f aca="false">IF(B162="","",SUMIFS(Simpanan!$D$2:$D$2001,Simpanan!$F$2:$F$2001,B162))</f>
        <v/>
      </c>
      <c r="F162" s="33" t="str">
        <f aca="false">IF(B162="","",SUMIFS(Pembiayaan!$H$2:$H$2001,Pembiayaan!$Q$2:$Q$2001,B162))</f>
        <v/>
      </c>
      <c r="G162" s="33" t="str">
        <f aca="false">IF(B162="","",SUMIFS(Penyesuaian!$B$2:$B$151,Penyesuaian!$A$2:$A$151,B162))</f>
        <v/>
      </c>
      <c r="H162" s="33" t="str">
        <f aca="false">IF(B162="","",IF(COUNTIF(Produk!$J$2:$J$100,B162)+COUNTIF(Pembiayaan!$O$2:$O$2001,B162)+COUNTIF(Penyesuaian!$A$2:$A$151,B162)=0,"",D162-E162-F162-G162))</f>
        <v/>
      </c>
      <c r="I162" s="6" t="str">
        <f aca="false">IF(B162="","",IF(COUNTIF(Produk!$J$2:$J$100,B162)+COUNTIF(Pembiayaan!$O$2:$O$2001,B162)+COUNTIF(Penyesuaian!$A$2:$A$151,B162)=0,"tanpa rincian",IF(ABS(H162)&lt;=Info_Koperasi!$C$10,"COCOK","SELISIH")))</f>
        <v/>
      </c>
    </row>
    <row r="163" customFormat="false" ht="15" hidden="false" customHeight="false" outlineLevel="0" collapsed="false">
      <c r="B163" s="6" t="str">
        <f aca="false">IF(Neraca!A139="","",Neraca!A139)</f>
        <v/>
      </c>
      <c r="C163" s="6" t="str">
        <f aca="false">IF(B163="","",Neraca!B139)</f>
        <v/>
      </c>
      <c r="D163" s="33" t="str">
        <f aca="false">IF(B163="","",N(Neraca!G139))</f>
        <v/>
      </c>
      <c r="E163" s="33" t="str">
        <f aca="false">IF(B163="","",SUMIFS(Simpanan!$D$2:$D$2001,Simpanan!$F$2:$F$2001,B163))</f>
        <v/>
      </c>
      <c r="F163" s="33" t="str">
        <f aca="false">IF(B163="","",SUMIFS(Pembiayaan!$H$2:$H$2001,Pembiayaan!$Q$2:$Q$2001,B163))</f>
        <v/>
      </c>
      <c r="G163" s="33" t="str">
        <f aca="false">IF(B163="","",SUMIFS(Penyesuaian!$B$2:$B$151,Penyesuaian!$A$2:$A$151,B163))</f>
        <v/>
      </c>
      <c r="H163" s="33" t="str">
        <f aca="false">IF(B163="","",IF(COUNTIF(Produk!$J$2:$J$100,B163)+COUNTIF(Pembiayaan!$O$2:$O$2001,B163)+COUNTIF(Penyesuaian!$A$2:$A$151,B163)=0,"",D163-E163-F163-G163))</f>
        <v/>
      </c>
      <c r="I163" s="6" t="str">
        <f aca="false">IF(B163="","",IF(COUNTIF(Produk!$J$2:$J$100,B163)+COUNTIF(Pembiayaan!$O$2:$O$2001,B163)+COUNTIF(Penyesuaian!$A$2:$A$151,B163)=0,"tanpa rincian",IF(ABS(H163)&lt;=Info_Koperasi!$C$10,"COCOK","SELISIH")))</f>
        <v/>
      </c>
    </row>
    <row r="164" customFormat="false" ht="15" hidden="false" customHeight="false" outlineLevel="0" collapsed="false">
      <c r="B164" s="6" t="str">
        <f aca="false">IF(Neraca!A140="","",Neraca!A140)</f>
        <v/>
      </c>
      <c r="C164" s="6" t="str">
        <f aca="false">IF(B164="","",Neraca!B140)</f>
        <v/>
      </c>
      <c r="D164" s="33" t="str">
        <f aca="false">IF(B164="","",N(Neraca!G140))</f>
        <v/>
      </c>
      <c r="E164" s="33" t="str">
        <f aca="false">IF(B164="","",SUMIFS(Simpanan!$D$2:$D$2001,Simpanan!$F$2:$F$2001,B164))</f>
        <v/>
      </c>
      <c r="F164" s="33" t="str">
        <f aca="false">IF(B164="","",SUMIFS(Pembiayaan!$H$2:$H$2001,Pembiayaan!$Q$2:$Q$2001,B164))</f>
        <v/>
      </c>
      <c r="G164" s="33" t="str">
        <f aca="false">IF(B164="","",SUMIFS(Penyesuaian!$B$2:$B$151,Penyesuaian!$A$2:$A$151,B164))</f>
        <v/>
      </c>
      <c r="H164" s="33" t="str">
        <f aca="false">IF(B164="","",IF(COUNTIF(Produk!$J$2:$J$100,B164)+COUNTIF(Pembiayaan!$O$2:$O$2001,B164)+COUNTIF(Penyesuaian!$A$2:$A$151,B164)=0,"",D164-E164-F164-G164))</f>
        <v/>
      </c>
      <c r="I164" s="6" t="str">
        <f aca="false">IF(B164="","",IF(COUNTIF(Produk!$J$2:$J$100,B164)+COUNTIF(Pembiayaan!$O$2:$O$2001,B164)+COUNTIF(Penyesuaian!$A$2:$A$151,B164)=0,"tanpa rincian",IF(ABS(H164)&lt;=Info_Koperasi!$C$10,"COCOK","SELISIH")))</f>
        <v/>
      </c>
    </row>
    <row r="165" customFormat="false" ht="15" hidden="false" customHeight="false" outlineLevel="0" collapsed="false">
      <c r="B165" s="6" t="str">
        <f aca="false">IF(Neraca!A141="","",Neraca!A141)</f>
        <v/>
      </c>
      <c r="C165" s="6" t="str">
        <f aca="false">IF(B165="","",Neraca!B141)</f>
        <v/>
      </c>
      <c r="D165" s="33" t="str">
        <f aca="false">IF(B165="","",N(Neraca!G141))</f>
        <v/>
      </c>
      <c r="E165" s="33" t="str">
        <f aca="false">IF(B165="","",SUMIFS(Simpanan!$D$2:$D$2001,Simpanan!$F$2:$F$2001,B165))</f>
        <v/>
      </c>
      <c r="F165" s="33" t="str">
        <f aca="false">IF(B165="","",SUMIFS(Pembiayaan!$H$2:$H$2001,Pembiayaan!$Q$2:$Q$2001,B165))</f>
        <v/>
      </c>
      <c r="G165" s="33" t="str">
        <f aca="false">IF(B165="","",SUMIFS(Penyesuaian!$B$2:$B$151,Penyesuaian!$A$2:$A$151,B165))</f>
        <v/>
      </c>
      <c r="H165" s="33" t="str">
        <f aca="false">IF(B165="","",IF(COUNTIF(Produk!$J$2:$J$100,B165)+COUNTIF(Pembiayaan!$O$2:$O$2001,B165)+COUNTIF(Penyesuaian!$A$2:$A$151,B165)=0,"",D165-E165-F165-G165))</f>
        <v/>
      </c>
      <c r="I165" s="6" t="str">
        <f aca="false">IF(B165="","",IF(COUNTIF(Produk!$J$2:$J$100,B165)+COUNTIF(Pembiayaan!$O$2:$O$2001,B165)+COUNTIF(Penyesuaian!$A$2:$A$151,B165)=0,"tanpa rincian",IF(ABS(H165)&lt;=Info_Koperasi!$C$10,"COCOK","SELISIH")))</f>
        <v/>
      </c>
    </row>
    <row r="166" customFormat="false" ht="15" hidden="false" customHeight="false" outlineLevel="0" collapsed="false">
      <c r="B166" s="6" t="str">
        <f aca="false">IF(Neraca!A142="","",Neraca!A142)</f>
        <v/>
      </c>
      <c r="C166" s="6" t="str">
        <f aca="false">IF(B166="","",Neraca!B142)</f>
        <v/>
      </c>
      <c r="D166" s="33" t="str">
        <f aca="false">IF(B166="","",N(Neraca!G142))</f>
        <v/>
      </c>
      <c r="E166" s="33" t="str">
        <f aca="false">IF(B166="","",SUMIFS(Simpanan!$D$2:$D$2001,Simpanan!$F$2:$F$2001,B166))</f>
        <v/>
      </c>
      <c r="F166" s="33" t="str">
        <f aca="false">IF(B166="","",SUMIFS(Pembiayaan!$H$2:$H$2001,Pembiayaan!$Q$2:$Q$2001,B166))</f>
        <v/>
      </c>
      <c r="G166" s="33" t="str">
        <f aca="false">IF(B166="","",SUMIFS(Penyesuaian!$B$2:$B$151,Penyesuaian!$A$2:$A$151,B166))</f>
        <v/>
      </c>
      <c r="H166" s="33" t="str">
        <f aca="false">IF(B166="","",IF(COUNTIF(Produk!$J$2:$J$100,B166)+COUNTIF(Pembiayaan!$O$2:$O$2001,B166)+COUNTIF(Penyesuaian!$A$2:$A$151,B166)=0,"",D166-E166-F166-G166))</f>
        <v/>
      </c>
      <c r="I166" s="6" t="str">
        <f aca="false">IF(B166="","",IF(COUNTIF(Produk!$J$2:$J$100,B166)+COUNTIF(Pembiayaan!$O$2:$O$2001,B166)+COUNTIF(Penyesuaian!$A$2:$A$151,B166)=0,"tanpa rincian",IF(ABS(H166)&lt;=Info_Koperasi!$C$10,"COCOK","SELISIH")))</f>
        <v/>
      </c>
    </row>
    <row r="167" customFormat="false" ht="15" hidden="false" customHeight="false" outlineLevel="0" collapsed="false">
      <c r="B167" s="6" t="str">
        <f aca="false">IF(Neraca!A143="","",Neraca!A143)</f>
        <v/>
      </c>
      <c r="C167" s="6" t="str">
        <f aca="false">IF(B167="","",Neraca!B143)</f>
        <v/>
      </c>
      <c r="D167" s="33" t="str">
        <f aca="false">IF(B167="","",N(Neraca!G143))</f>
        <v/>
      </c>
      <c r="E167" s="33" t="str">
        <f aca="false">IF(B167="","",SUMIFS(Simpanan!$D$2:$D$2001,Simpanan!$F$2:$F$2001,B167))</f>
        <v/>
      </c>
      <c r="F167" s="33" t="str">
        <f aca="false">IF(B167="","",SUMIFS(Pembiayaan!$H$2:$H$2001,Pembiayaan!$Q$2:$Q$2001,B167))</f>
        <v/>
      </c>
      <c r="G167" s="33" t="str">
        <f aca="false">IF(B167="","",SUMIFS(Penyesuaian!$B$2:$B$151,Penyesuaian!$A$2:$A$151,B167))</f>
        <v/>
      </c>
      <c r="H167" s="33" t="str">
        <f aca="false">IF(B167="","",IF(COUNTIF(Produk!$J$2:$J$100,B167)+COUNTIF(Pembiayaan!$O$2:$O$2001,B167)+COUNTIF(Penyesuaian!$A$2:$A$151,B167)=0,"",D167-E167-F167-G167))</f>
        <v/>
      </c>
      <c r="I167" s="6" t="str">
        <f aca="false">IF(B167="","",IF(COUNTIF(Produk!$J$2:$J$100,B167)+COUNTIF(Pembiayaan!$O$2:$O$2001,B167)+COUNTIF(Penyesuaian!$A$2:$A$151,B167)=0,"tanpa rincian",IF(ABS(H167)&lt;=Info_Koperasi!$C$10,"COCOK","SELISIH")))</f>
        <v/>
      </c>
    </row>
    <row r="168" customFormat="false" ht="15" hidden="false" customHeight="false" outlineLevel="0" collapsed="false">
      <c r="B168" s="6" t="str">
        <f aca="false">IF(Neraca!A144="","",Neraca!A144)</f>
        <v/>
      </c>
      <c r="C168" s="6" t="str">
        <f aca="false">IF(B168="","",Neraca!B144)</f>
        <v/>
      </c>
      <c r="D168" s="33" t="str">
        <f aca="false">IF(B168="","",N(Neraca!G144))</f>
        <v/>
      </c>
      <c r="E168" s="33" t="str">
        <f aca="false">IF(B168="","",SUMIFS(Simpanan!$D$2:$D$2001,Simpanan!$F$2:$F$2001,B168))</f>
        <v/>
      </c>
      <c r="F168" s="33" t="str">
        <f aca="false">IF(B168="","",SUMIFS(Pembiayaan!$H$2:$H$2001,Pembiayaan!$Q$2:$Q$2001,B168))</f>
        <v/>
      </c>
      <c r="G168" s="33" t="str">
        <f aca="false">IF(B168="","",SUMIFS(Penyesuaian!$B$2:$B$151,Penyesuaian!$A$2:$A$151,B168))</f>
        <v/>
      </c>
      <c r="H168" s="33" t="str">
        <f aca="false">IF(B168="","",IF(COUNTIF(Produk!$J$2:$J$100,B168)+COUNTIF(Pembiayaan!$O$2:$O$2001,B168)+COUNTIF(Penyesuaian!$A$2:$A$151,B168)=0,"",D168-E168-F168-G168))</f>
        <v/>
      </c>
      <c r="I168" s="6" t="str">
        <f aca="false">IF(B168="","",IF(COUNTIF(Produk!$J$2:$J$100,B168)+COUNTIF(Pembiayaan!$O$2:$O$2001,B168)+COUNTIF(Penyesuaian!$A$2:$A$151,B168)=0,"tanpa rincian",IF(ABS(H168)&lt;=Info_Koperasi!$C$10,"COCOK","SELISIH")))</f>
        <v/>
      </c>
    </row>
    <row r="169" customFormat="false" ht="15" hidden="false" customHeight="false" outlineLevel="0" collapsed="false">
      <c r="B169" s="6" t="str">
        <f aca="false">IF(Neraca!A145="","",Neraca!A145)</f>
        <v/>
      </c>
      <c r="C169" s="6" t="str">
        <f aca="false">IF(B169="","",Neraca!B145)</f>
        <v/>
      </c>
      <c r="D169" s="33" t="str">
        <f aca="false">IF(B169="","",N(Neraca!G145))</f>
        <v/>
      </c>
      <c r="E169" s="33" t="str">
        <f aca="false">IF(B169="","",SUMIFS(Simpanan!$D$2:$D$2001,Simpanan!$F$2:$F$2001,B169))</f>
        <v/>
      </c>
      <c r="F169" s="33" t="str">
        <f aca="false">IF(B169="","",SUMIFS(Pembiayaan!$H$2:$H$2001,Pembiayaan!$Q$2:$Q$2001,B169))</f>
        <v/>
      </c>
      <c r="G169" s="33" t="str">
        <f aca="false">IF(B169="","",SUMIFS(Penyesuaian!$B$2:$B$151,Penyesuaian!$A$2:$A$151,B169))</f>
        <v/>
      </c>
      <c r="H169" s="33" t="str">
        <f aca="false">IF(B169="","",IF(COUNTIF(Produk!$J$2:$J$100,B169)+COUNTIF(Pembiayaan!$O$2:$O$2001,B169)+COUNTIF(Penyesuaian!$A$2:$A$151,B169)=0,"",D169-E169-F169-G169))</f>
        <v/>
      </c>
      <c r="I169" s="6" t="str">
        <f aca="false">IF(B169="","",IF(COUNTIF(Produk!$J$2:$J$100,B169)+COUNTIF(Pembiayaan!$O$2:$O$2001,B169)+COUNTIF(Penyesuaian!$A$2:$A$151,B169)=0,"tanpa rincian",IF(ABS(H169)&lt;=Info_Koperasi!$C$10,"COCOK","SELISIH")))</f>
        <v/>
      </c>
    </row>
    <row r="170" customFormat="false" ht="15" hidden="false" customHeight="false" outlineLevel="0" collapsed="false">
      <c r="B170" s="6" t="str">
        <f aca="false">IF(Neraca!A146="","",Neraca!A146)</f>
        <v/>
      </c>
      <c r="C170" s="6" t="str">
        <f aca="false">IF(B170="","",Neraca!B146)</f>
        <v/>
      </c>
      <c r="D170" s="33" t="str">
        <f aca="false">IF(B170="","",N(Neraca!G146))</f>
        <v/>
      </c>
      <c r="E170" s="33" t="str">
        <f aca="false">IF(B170="","",SUMIFS(Simpanan!$D$2:$D$2001,Simpanan!$F$2:$F$2001,B170))</f>
        <v/>
      </c>
      <c r="F170" s="33" t="str">
        <f aca="false">IF(B170="","",SUMIFS(Pembiayaan!$H$2:$H$2001,Pembiayaan!$Q$2:$Q$2001,B170))</f>
        <v/>
      </c>
      <c r="G170" s="33" t="str">
        <f aca="false">IF(B170="","",SUMIFS(Penyesuaian!$B$2:$B$151,Penyesuaian!$A$2:$A$151,B170))</f>
        <v/>
      </c>
      <c r="H170" s="33" t="str">
        <f aca="false">IF(B170="","",IF(COUNTIF(Produk!$J$2:$J$100,B170)+COUNTIF(Pembiayaan!$O$2:$O$2001,B170)+COUNTIF(Penyesuaian!$A$2:$A$151,B170)=0,"",D170-E170-F170-G170))</f>
        <v/>
      </c>
      <c r="I170" s="6" t="str">
        <f aca="false">IF(B170="","",IF(COUNTIF(Produk!$J$2:$J$100,B170)+COUNTIF(Pembiayaan!$O$2:$O$2001,B170)+COUNTIF(Penyesuaian!$A$2:$A$151,B170)=0,"tanpa rincian",IF(ABS(H170)&lt;=Info_Koperasi!$C$10,"COCOK","SELISIH")))</f>
        <v/>
      </c>
    </row>
    <row r="171" customFormat="false" ht="15" hidden="false" customHeight="false" outlineLevel="0" collapsed="false">
      <c r="B171" s="6" t="str">
        <f aca="false">IF(Neraca!A147="","",Neraca!A147)</f>
        <v/>
      </c>
      <c r="C171" s="6" t="str">
        <f aca="false">IF(B171="","",Neraca!B147)</f>
        <v/>
      </c>
      <c r="D171" s="33" t="str">
        <f aca="false">IF(B171="","",N(Neraca!G147))</f>
        <v/>
      </c>
      <c r="E171" s="33" t="str">
        <f aca="false">IF(B171="","",SUMIFS(Simpanan!$D$2:$D$2001,Simpanan!$F$2:$F$2001,B171))</f>
        <v/>
      </c>
      <c r="F171" s="33" t="str">
        <f aca="false">IF(B171="","",SUMIFS(Pembiayaan!$H$2:$H$2001,Pembiayaan!$Q$2:$Q$2001,B171))</f>
        <v/>
      </c>
      <c r="G171" s="33" t="str">
        <f aca="false">IF(B171="","",SUMIFS(Penyesuaian!$B$2:$B$151,Penyesuaian!$A$2:$A$151,B171))</f>
        <v/>
      </c>
      <c r="H171" s="33" t="str">
        <f aca="false">IF(B171="","",IF(COUNTIF(Produk!$J$2:$J$100,B171)+COUNTIF(Pembiayaan!$O$2:$O$2001,B171)+COUNTIF(Penyesuaian!$A$2:$A$151,B171)=0,"",D171-E171-F171-G171))</f>
        <v/>
      </c>
      <c r="I171" s="6" t="str">
        <f aca="false">IF(B171="","",IF(COUNTIF(Produk!$J$2:$J$100,B171)+COUNTIF(Pembiayaan!$O$2:$O$2001,B171)+COUNTIF(Penyesuaian!$A$2:$A$151,B171)=0,"tanpa rincian",IF(ABS(H171)&lt;=Info_Koperasi!$C$10,"COCOK","SELISIH")))</f>
        <v/>
      </c>
    </row>
    <row r="172" customFormat="false" ht="15" hidden="false" customHeight="false" outlineLevel="0" collapsed="false">
      <c r="B172" s="6" t="str">
        <f aca="false">IF(Neraca!A148="","",Neraca!A148)</f>
        <v/>
      </c>
      <c r="C172" s="6" t="str">
        <f aca="false">IF(B172="","",Neraca!B148)</f>
        <v/>
      </c>
      <c r="D172" s="33" t="str">
        <f aca="false">IF(B172="","",N(Neraca!G148))</f>
        <v/>
      </c>
      <c r="E172" s="33" t="str">
        <f aca="false">IF(B172="","",SUMIFS(Simpanan!$D$2:$D$2001,Simpanan!$F$2:$F$2001,B172))</f>
        <v/>
      </c>
      <c r="F172" s="33" t="str">
        <f aca="false">IF(B172="","",SUMIFS(Pembiayaan!$H$2:$H$2001,Pembiayaan!$Q$2:$Q$2001,B172))</f>
        <v/>
      </c>
      <c r="G172" s="33" t="str">
        <f aca="false">IF(B172="","",SUMIFS(Penyesuaian!$B$2:$B$151,Penyesuaian!$A$2:$A$151,B172))</f>
        <v/>
      </c>
      <c r="H172" s="33" t="str">
        <f aca="false">IF(B172="","",IF(COUNTIF(Produk!$J$2:$J$100,B172)+COUNTIF(Pembiayaan!$O$2:$O$2001,B172)+COUNTIF(Penyesuaian!$A$2:$A$151,B172)=0,"",D172-E172-F172-G172))</f>
        <v/>
      </c>
      <c r="I172" s="6" t="str">
        <f aca="false">IF(B172="","",IF(COUNTIF(Produk!$J$2:$J$100,B172)+COUNTIF(Pembiayaan!$O$2:$O$2001,B172)+COUNTIF(Penyesuaian!$A$2:$A$151,B172)=0,"tanpa rincian",IF(ABS(H172)&lt;=Info_Koperasi!$C$10,"COCOK","SELISIH")))</f>
        <v/>
      </c>
    </row>
    <row r="173" customFormat="false" ht="15" hidden="false" customHeight="false" outlineLevel="0" collapsed="false">
      <c r="B173" s="6" t="str">
        <f aca="false">IF(Neraca!A149="","",Neraca!A149)</f>
        <v/>
      </c>
      <c r="C173" s="6" t="str">
        <f aca="false">IF(B173="","",Neraca!B149)</f>
        <v/>
      </c>
      <c r="D173" s="33" t="str">
        <f aca="false">IF(B173="","",N(Neraca!G149))</f>
        <v/>
      </c>
      <c r="E173" s="33" t="str">
        <f aca="false">IF(B173="","",SUMIFS(Simpanan!$D$2:$D$2001,Simpanan!$F$2:$F$2001,B173))</f>
        <v/>
      </c>
      <c r="F173" s="33" t="str">
        <f aca="false">IF(B173="","",SUMIFS(Pembiayaan!$H$2:$H$2001,Pembiayaan!$Q$2:$Q$2001,B173))</f>
        <v/>
      </c>
      <c r="G173" s="33" t="str">
        <f aca="false">IF(B173="","",SUMIFS(Penyesuaian!$B$2:$B$151,Penyesuaian!$A$2:$A$151,B173))</f>
        <v/>
      </c>
      <c r="H173" s="33" t="str">
        <f aca="false">IF(B173="","",IF(COUNTIF(Produk!$J$2:$J$100,B173)+COUNTIF(Pembiayaan!$O$2:$O$2001,B173)+COUNTIF(Penyesuaian!$A$2:$A$151,B173)=0,"",D173-E173-F173-G173))</f>
        <v/>
      </c>
      <c r="I173" s="6" t="str">
        <f aca="false">IF(B173="","",IF(COUNTIF(Produk!$J$2:$J$100,B173)+COUNTIF(Pembiayaan!$O$2:$O$2001,B173)+COUNTIF(Penyesuaian!$A$2:$A$151,B173)=0,"tanpa rincian",IF(ABS(H173)&lt;=Info_Koperasi!$C$10,"COCOK","SELISIH")))</f>
        <v/>
      </c>
    </row>
    <row r="174" customFormat="false" ht="15" hidden="false" customHeight="false" outlineLevel="0" collapsed="false">
      <c r="B174" s="6" t="str">
        <f aca="false">IF(Neraca!A150="","",Neraca!A150)</f>
        <v/>
      </c>
      <c r="C174" s="6" t="str">
        <f aca="false">IF(B174="","",Neraca!B150)</f>
        <v/>
      </c>
      <c r="D174" s="33" t="str">
        <f aca="false">IF(B174="","",N(Neraca!G150))</f>
        <v/>
      </c>
      <c r="E174" s="33" t="str">
        <f aca="false">IF(B174="","",SUMIFS(Simpanan!$D$2:$D$2001,Simpanan!$F$2:$F$2001,B174))</f>
        <v/>
      </c>
      <c r="F174" s="33" t="str">
        <f aca="false">IF(B174="","",SUMIFS(Pembiayaan!$H$2:$H$2001,Pembiayaan!$Q$2:$Q$2001,B174))</f>
        <v/>
      </c>
      <c r="G174" s="33" t="str">
        <f aca="false">IF(B174="","",SUMIFS(Penyesuaian!$B$2:$B$151,Penyesuaian!$A$2:$A$151,B174))</f>
        <v/>
      </c>
      <c r="H174" s="33" t="str">
        <f aca="false">IF(B174="","",IF(COUNTIF(Produk!$J$2:$J$100,B174)+COUNTIF(Pembiayaan!$O$2:$O$2001,B174)+COUNTIF(Penyesuaian!$A$2:$A$151,B174)=0,"",D174-E174-F174-G174))</f>
        <v/>
      </c>
      <c r="I174" s="6" t="str">
        <f aca="false">IF(B174="","",IF(COUNTIF(Produk!$J$2:$J$100,B174)+COUNTIF(Pembiayaan!$O$2:$O$2001,B174)+COUNTIF(Penyesuaian!$A$2:$A$151,B174)=0,"tanpa rincian",IF(ABS(H174)&lt;=Info_Koperasi!$C$10,"COCOK","SELISIH")))</f>
        <v/>
      </c>
    </row>
    <row r="175" customFormat="false" ht="15" hidden="false" customHeight="false" outlineLevel="0" collapsed="false">
      <c r="B175" s="6" t="str">
        <f aca="false">IF(Neraca!A151="","",Neraca!A151)</f>
        <v/>
      </c>
      <c r="C175" s="6" t="str">
        <f aca="false">IF(B175="","",Neraca!B151)</f>
        <v/>
      </c>
      <c r="D175" s="33" t="str">
        <f aca="false">IF(B175="","",N(Neraca!G151))</f>
        <v/>
      </c>
      <c r="E175" s="33" t="str">
        <f aca="false">IF(B175="","",SUMIFS(Simpanan!$D$2:$D$2001,Simpanan!$F$2:$F$2001,B175))</f>
        <v/>
      </c>
      <c r="F175" s="33" t="str">
        <f aca="false">IF(B175="","",SUMIFS(Pembiayaan!$H$2:$H$2001,Pembiayaan!$Q$2:$Q$2001,B175))</f>
        <v/>
      </c>
      <c r="G175" s="33" t="str">
        <f aca="false">IF(B175="","",SUMIFS(Penyesuaian!$B$2:$B$151,Penyesuaian!$A$2:$A$151,B175))</f>
        <v/>
      </c>
      <c r="H175" s="33" t="str">
        <f aca="false">IF(B175="","",IF(COUNTIF(Produk!$J$2:$J$100,B175)+COUNTIF(Pembiayaan!$O$2:$O$2001,B175)+COUNTIF(Penyesuaian!$A$2:$A$151,B175)=0,"",D175-E175-F175-G175))</f>
        <v/>
      </c>
      <c r="I175" s="6" t="str">
        <f aca="false">IF(B175="","",IF(COUNTIF(Produk!$J$2:$J$100,B175)+COUNTIF(Pembiayaan!$O$2:$O$2001,B175)+COUNTIF(Penyesuaian!$A$2:$A$151,B175)=0,"tanpa rincian",IF(ABS(H175)&lt;=Info_Koperasi!$C$10,"COCOK","SELISIH")))</f>
        <v/>
      </c>
    </row>
  </sheetData>
  <mergeCells count="1">
    <mergeCell ref="D24:F24"/>
  </mergeCells>
  <conditionalFormatting sqref="E6:E22">
    <cfRule type="cellIs" priority="2" operator="equal" aboveAverage="0" equalAverage="0" bottom="0" percent="0" rank="0" text="" dxfId="1">
      <formula>"OK"</formula>
    </cfRule>
    <cfRule type="cellIs" priority="3" operator="equal" aboveAverage="0" equalAverage="0" bottom="0" percent="0" rank="0" text="" dxfId="0">
      <formula>"PERBAIKI"</formula>
    </cfRule>
  </conditionalFormatting>
  <conditionalFormatting sqref="I26:I175">
    <cfRule type="cellIs" priority="4" operator="equal" aboveAverage="0" equalAverage="0" bottom="0" percent="0" rank="0" text="" dxfId="1">
      <formula>"COCOK"</formula>
    </cfRule>
    <cfRule type="cellIs" priority="5" operator="equal" aboveAverage="0" equalAverage="0" bottom="0" percent="0" rank="0" text="" dxfId="0">
      <formula>"SELISIH"</formula>
    </cfRule>
  </conditionalFormatting>
  <conditionalFormatting sqref="D24">
    <cfRule type="cellIs" priority="6" operator="equal" aboveAverage="0" equalAverage="0" bottom="0" percent="0" rank="0" text="" dxfId="1">
      <formula>"SIAP DISETUJUI KLIEN"</formula>
    </cfRule>
    <cfRule type="cellIs" priority="7" operator="equal" aboveAverage="0" equalAverage="0" bottom="0" percent="0" rank="0" text="" dxfId="0">
      <formula>"BELUM SIAP"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sheetData>
    <row r="1" customFormat="false" ht="15" hidden="false" customHeight="false" outlineLevel="0" collapsed="false">
      <c r="A1" s="16" t="s">
        <v>236</v>
      </c>
      <c r="B1" s="16" t="s">
        <v>241</v>
      </c>
      <c r="C1" s="16" t="s">
        <v>293</v>
      </c>
      <c r="D1" s="16" t="s">
        <v>294</v>
      </c>
      <c r="E1" s="16" t="s">
        <v>295</v>
      </c>
      <c r="F1" s="16" t="s">
        <v>76</v>
      </c>
      <c r="G1" s="16" t="s">
        <v>79</v>
      </c>
      <c r="H1" s="16" t="s">
        <v>81</v>
      </c>
      <c r="I1" s="16" t="s">
        <v>88</v>
      </c>
      <c r="J1" s="16" t="s">
        <v>184</v>
      </c>
      <c r="K1" s="16" t="s">
        <v>296</v>
      </c>
      <c r="L1" s="16" t="s">
        <v>53</v>
      </c>
      <c r="M1" s="16" t="s">
        <v>56</v>
      </c>
      <c r="N1" s="16" t="s">
        <v>40</v>
      </c>
    </row>
    <row r="2" customFormat="false" ht="15" hidden="false" customHeight="false" outlineLevel="0" collapsed="false">
      <c r="A2" s="0" t="s">
        <v>237</v>
      </c>
      <c r="B2" s="0" t="s">
        <v>297</v>
      </c>
      <c r="C2" s="0" t="s">
        <v>125</v>
      </c>
      <c r="D2" s="0" t="s">
        <v>298</v>
      </c>
      <c r="E2" s="0" t="s">
        <v>74</v>
      </c>
      <c r="F2" s="0" t="s">
        <v>299</v>
      </c>
      <c r="G2" s="0" t="s">
        <v>237</v>
      </c>
      <c r="H2" s="0" t="s">
        <v>300</v>
      </c>
      <c r="I2" s="0" t="s">
        <v>301</v>
      </c>
      <c r="J2" s="0" t="s">
        <v>185</v>
      </c>
      <c r="K2" s="0" t="s">
        <v>302</v>
      </c>
      <c r="L2" s="0" t="s">
        <v>303</v>
      </c>
      <c r="M2" s="0" t="s">
        <v>304</v>
      </c>
      <c r="N2" s="0" t="s">
        <v>41</v>
      </c>
    </row>
    <row r="3" customFormat="false" ht="15" hidden="false" customHeight="false" outlineLevel="0" collapsed="false">
      <c r="A3" s="0" t="s">
        <v>305</v>
      </c>
      <c r="B3" s="0" t="s">
        <v>242</v>
      </c>
      <c r="C3" s="0" t="s">
        <v>306</v>
      </c>
      <c r="D3" s="0" t="s">
        <v>128</v>
      </c>
      <c r="E3" s="0" t="s">
        <v>307</v>
      </c>
      <c r="F3" s="0" t="s">
        <v>308</v>
      </c>
      <c r="G3" s="0" t="s">
        <v>305</v>
      </c>
      <c r="H3" s="0" t="s">
        <v>82</v>
      </c>
      <c r="I3" s="0" t="s">
        <v>309</v>
      </c>
      <c r="J3" s="0" t="s">
        <v>310</v>
      </c>
      <c r="K3" s="0" t="s">
        <v>51</v>
      </c>
      <c r="L3" s="0" t="s">
        <v>54</v>
      </c>
      <c r="M3" s="0" t="s">
        <v>311</v>
      </c>
      <c r="N3" s="0" t="s">
        <v>312</v>
      </c>
    </row>
    <row r="4" customFormat="false" ht="15" hidden="false" customHeight="false" outlineLevel="0" collapsed="false">
      <c r="B4" s="0" t="s">
        <v>313</v>
      </c>
      <c r="F4" s="0" t="s">
        <v>77</v>
      </c>
      <c r="H4" s="0" t="s">
        <v>314</v>
      </c>
      <c r="I4" s="0" t="s">
        <v>89</v>
      </c>
      <c r="J4" s="0" t="s">
        <v>315</v>
      </c>
      <c r="K4" s="0" t="s">
        <v>316</v>
      </c>
      <c r="M4" s="0" t="s">
        <v>317</v>
      </c>
      <c r="N4" s="0" t="s">
        <v>318</v>
      </c>
    </row>
    <row r="5" customFormat="false" ht="15" hidden="false" customHeight="false" outlineLevel="0" collapsed="false">
      <c r="B5" s="0" t="s">
        <v>319</v>
      </c>
      <c r="H5" s="0" t="s">
        <v>320</v>
      </c>
      <c r="J5" s="0" t="s">
        <v>321</v>
      </c>
      <c r="M5" s="0" t="s">
        <v>322</v>
      </c>
      <c r="N5" s="0" t="s">
        <v>323</v>
      </c>
    </row>
    <row r="6" customFormat="false" ht="15" hidden="false" customHeight="false" outlineLevel="0" collapsed="false">
      <c r="J6" s="0" t="s">
        <v>324</v>
      </c>
      <c r="M6" s="0" t="s">
        <v>325</v>
      </c>
      <c r="N6" s="0" t="s">
        <v>326</v>
      </c>
    </row>
    <row r="7" customFormat="false" ht="15" hidden="false" customHeight="false" outlineLevel="0" collapsed="false">
      <c r="M7" s="0" t="s">
        <v>327</v>
      </c>
    </row>
    <row r="8" customFormat="false" ht="15" hidden="false" customHeight="false" outlineLevel="0" collapsed="false">
      <c r="M8" s="0" t="s">
        <v>328</v>
      </c>
    </row>
    <row r="9" customFormat="false" ht="15" hidden="false" customHeight="false" outlineLevel="0" collapsed="false">
      <c r="M9" s="0" t="s">
        <v>329</v>
      </c>
    </row>
    <row r="10" customFormat="false" ht="15" hidden="false" customHeight="false" outlineLevel="0" collapsed="false">
      <c r="M10" s="0" t="s">
        <v>330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2026-09-26T02:56:19Z</dcterms:created>
  <dc:creator>openpyxl</dc:creator>
  <dc:description/>
  <dc:language>en-US</dc:language>
  <cp:lastModifiedBy/>
  <dcterms:modified xsi:type="dcterms:W3CDTF">2026-09-26T02:56:22Z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