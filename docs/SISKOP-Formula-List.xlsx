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ingkasan" sheetId="1" state="visible" r:id="rId1"/>
    <sheet xmlns:r="http://schemas.openxmlformats.org/officeDocument/2006/relationships" name="Daftar Rumus" sheetId="2" state="visible" r:id="rId2"/>
    <sheet xmlns:r="http://schemas.openxmlformats.org/officeDocument/2006/relationships" name="Simulasi" sheetId="3" state="visible" r:id="rId3"/>
    <sheet xmlns:r="http://schemas.openxmlformats.org/officeDocument/2006/relationships" name="Parameter" sheetId="4" state="visible" r:id="rId4"/>
    <sheet xmlns:r="http://schemas.openxmlformats.org/officeDocument/2006/relationships" name="Jurnal Otomatis" sheetId="5" state="visible" r:id="rId5"/>
    <sheet xmlns:r="http://schemas.openxmlformats.org/officeDocument/2006/relationships" name="Temuan" sheetId="6" state="visible" r:id="rId6"/>
  </sheets>
  <definedNames>
    <definedName name="_xlnm._FilterDatabase" localSheetId="1" hidden="1">'Daftar Rumus'!$A$4:$J$71</definedName>
  </definedNames>
  <calcPr calcId="171027" fullCalcOnLoad="1"/>
</workbook>
</file>

<file path=xl/styles.xml><?xml version="1.0" encoding="utf-8"?>
<styleSheet xmlns="http://schemas.openxmlformats.org/spreadsheetml/2006/main">
  <numFmts count="5">
    <numFmt numFmtId="164" formatCode="&quot;Rp&quot;#,##0;(&quot;Rp&quot;#,##0);&quot;-&quot;"/>
    <numFmt numFmtId="165" formatCode="0.00%;(0.00%);&quot;-&quot;"/>
    <numFmt numFmtId="166" formatCode="#,##0;(#,##0);&quot;-&quot;"/>
    <numFmt numFmtId="167" formatCode="0.0000%"/>
    <numFmt numFmtId="168" formatCode="&quot;Rp&quot;#,##0.00;(&quot;Rp&quot;#,##0.00);&quot;-&quot;"/>
  </numFmts>
  <fonts count="12">
    <font>
      <name val="Calibri"/>
      <family val="2"/>
      <color theme="1"/>
      <sz val="11"/>
      <scheme val="minor"/>
    </font>
    <font>
      <name val="Arial"/>
      <b val="1"/>
      <color rgb="FF0F172A"/>
      <sz val="16"/>
    </font>
    <font>
      <name val="Arial"/>
      <i val="1"/>
      <color rgb="FF64748B"/>
      <sz val="9"/>
    </font>
    <font>
      <name val="Arial"/>
      <b val="1"/>
      <color rgb="FF0F766E"/>
      <sz val="11"/>
    </font>
    <font>
      <name val="Arial"/>
      <sz val="10"/>
    </font>
    <font>
      <name val="Arial"/>
      <b val="1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FFFFFF"/>
      <sz val="10"/>
    </font>
    <font>
      <name val="Consolas"/>
      <sz val="9"/>
    </font>
    <font>
      <name val="Arial"/>
      <b val="1"/>
      <color rgb="FF0F172A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0F172A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8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164" fontId="6" fillId="2" borderId="1" applyAlignment="1" pivotButton="0" quotePrefix="0" xfId="0">
      <alignment vertical="top" wrapText="1"/>
    </xf>
    <xf numFmtId="165" fontId="6" fillId="2" borderId="1" applyAlignment="1" pivotButton="0" quotePrefix="0" xfId="0">
      <alignment vertical="top" wrapText="1"/>
    </xf>
    <xf numFmtId="166" fontId="6" fillId="2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8" fontId="5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4" fillId="0" borderId="1" pivotButton="0" quotePrefix="0" xfId="0"/>
    <xf numFmtId="164" fontId="6" fillId="2" borderId="1" pivotButton="0" quotePrefix="0" xfId="0"/>
    <xf numFmtId="168" fontId="4" fillId="0" borderId="1" pivotButton="0" quotePrefix="0" xfId="0"/>
    <xf numFmtId="0" fontId="5" fillId="0" borderId="1" pivotButton="0" quotePrefix="0" xfId="0"/>
    <xf numFmtId="168" fontId="5" fillId="0" borderId="1" pivotButton="0" quotePrefix="0" xfId="0"/>
    <xf numFmtId="165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0" fontId="10" fillId="0" borderId="0" pivotButton="0" quotePrefix="0" xfId="0"/>
    <xf numFmtId="166" fontId="6" fillId="0" borderId="1" pivotButton="0" quotePrefix="0" xfId="0"/>
    <xf numFmtId="164" fontId="6" fillId="0" borderId="1" pivotButton="0" quotePrefix="0" xfId="0"/>
    <xf numFmtId="0" fontId="11" fillId="0" borderId="0" pivotButton="0" quotePrefix="0" xfId="0"/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" fontId="6" fillId="2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90" customWidth="1" min="2" max="2"/>
  </cols>
  <sheetData>
    <row r="1">
      <c r="A1" s="1" t="inlineStr">
        <is>
          <t>SISKOP — Daftar Rumus Sistem</t>
        </is>
      </c>
    </row>
    <row r="2">
      <c r="A2" s="2" t="inlineStr">
        <is>
          <t>Disusun dari kode sumber feature/reports-alignment-v2@99a527a, 11 Oktober 2026. Edisi awal: main@0154f9c, 29 September 2026.</t>
        </is>
      </c>
    </row>
    <row r="4">
      <c r="A4" s="3" t="inlineStr">
        <is>
          <t>Isi workbook</t>
        </is>
      </c>
      <c r="B4" s="4" t="inlineStr"/>
    </row>
    <row r="5">
      <c r="A5" s="5" t="inlineStr">
        <is>
          <t>Daftar Rumus</t>
        </is>
      </c>
      <c r="B5" s="4" t="inlineStr">
        <is>
          <t>67 rumus bisnis: definisi, variabel, aturan, jenis aritmetika, file sumber, dasar regulasi.</t>
        </is>
      </c>
    </row>
    <row r="6">
      <c r="A6" s="5" t="inlineStr">
        <is>
          <t>Simulasi</t>
        </is>
      </c>
      <c r="B6" s="4" t="inlineStr">
        <is>
          <t>Kalkulator hidup untuk rumus utama (bagian A–P). Ubah sel kuning berteks biru.</t>
        </is>
      </c>
    </row>
    <row r="7">
      <c r="A7" s="5" t="inlineStr">
        <is>
          <t>Parameter</t>
        </is>
      </c>
      <c r="B7" s="4" t="inlineStr">
        <is>
          <t>Semua konstanta &amp; batas regulasi yang dipakai kode, termasuk batas kelas KSP dan akun tujuan penutupan.</t>
        </is>
      </c>
    </row>
    <row r="8">
      <c r="A8" s="5" t="inlineStr">
        <is>
          <t>Jurnal Otomatis</t>
        </is>
      </c>
      <c r="B8" s="4" t="inlineStr">
        <is>
          <t>21 pola jurnal Debit/Kredit per jenis transaksi.</t>
        </is>
      </c>
    </row>
    <row r="9">
      <c r="A9" s="5" t="inlineStr">
        <is>
          <t>Temuan</t>
        </is>
      </c>
      <c r="B9" s="4" t="inlineStr">
        <is>
          <t>11 catatan dari review rumus (float, pembulatan, penamaan, data basi).</t>
        </is>
      </c>
    </row>
    <row r="10">
      <c r="A10" s="5" t="inlineStr"/>
      <c r="B10" s="4" t="inlineStr"/>
    </row>
    <row r="11">
      <c r="A11" s="3" t="inlineStr">
        <is>
          <t>Legenda warna</t>
        </is>
      </c>
      <c r="B11" s="4" t="inlineStr"/>
    </row>
    <row r="12">
      <c r="A12" s="5" t="inlineStr">
        <is>
          <t>Teks biru + isi kuning</t>
        </is>
      </c>
      <c r="B12" s="6" t="inlineStr">
        <is>
          <t>Input — boleh diubah</t>
        </is>
      </c>
    </row>
    <row r="13">
      <c r="A13" s="5" t="inlineStr">
        <is>
          <t>Teks hitam</t>
        </is>
      </c>
      <c r="B13" s="4" t="inlineStr">
        <is>
          <t>Hasil rumus — jangan ditimpa</t>
        </is>
      </c>
    </row>
    <row r="14">
      <c r="A14" s="5" t="inlineStr">
        <is>
          <t>Teks hijau</t>
        </is>
      </c>
      <c r="B14" s="7" t="inlineStr">
        <is>
          <t>Rujukan ke sheet Parameter</t>
        </is>
      </c>
    </row>
    <row r="15">
      <c r="A15" s="5" t="inlineStr">
        <is>
          <t>Isi kuning muda (Aritmetika)</t>
        </is>
      </c>
      <c r="B15" s="8" t="inlineStr">
        <is>
          <t>Rumus dihitung dengan number (float), bukan Decimal</t>
        </is>
      </c>
    </row>
    <row r="16">
      <c r="A16" s="5" t="inlineStr"/>
      <c r="B16" s="4" t="inlineStr"/>
    </row>
    <row r="17">
      <c r="A17" s="5" t="inlineStr">
        <is>
          <t>Catatan</t>
        </is>
      </c>
      <c r="B17" s="4" t="inlineStr">
        <is>
          <t>Hasil Simulasi mengikuti rumus kode, tetapi Excel menghitung dengan float. Untuk angka resmi, gunakan hasil aplikasi.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zoomScale="100" zoomScaleNormal="100" workbookViewId="0">
      <pane xSplit="3" ySplit="4" topLeftCell="D5" activePane="bottomRight" state="frozen"/>
      <selection pane="bottomRight" activeCell="A1" sqref="A1"/>
    </sheetView>
  </sheetViews>
  <sheetFormatPr baseColWidth="8" defaultRowHeight="15" outlineLevelRow="0"/>
  <cols>
    <col width="7" customWidth="1" min="1" max="1"/>
    <col width="16" customWidth="1" min="2" max="2"/>
    <col width="30" customWidth="1" min="3" max="3"/>
    <col width="58" customWidth="1" min="4" max="4"/>
    <col width="46" customWidth="1" min="5" max="5"/>
    <col width="44" customWidth="1" min="6" max="6"/>
    <col width="13" customWidth="1" min="7" max="7"/>
    <col width="38" customWidth="1" min="8" max="8"/>
    <col width="30" customWidth="1" min="9" max="9"/>
    <col width="11" customWidth="1" min="10" max="10"/>
  </cols>
  <sheetData>
    <row r="1">
      <c r="A1" s="1" t="inlineStr">
        <is>
          <t>Daftar Rumus SISKOP</t>
        </is>
      </c>
    </row>
    <row r="2">
      <c r="A2" s="2" t="inlineStr">
        <is>
          <t>Setiap rumus bisnis di kode, per feature/reports-alignment-v2@99a527a (2026-10-11). Kolom 'Aritmetika' menandai apakah dihitung dengan Decimal atau number (float).</t>
        </is>
      </c>
    </row>
    <row r="4" ht="30" customHeight="1">
      <c r="A4" s="9" t="inlineStr">
        <is>
          <t>No</t>
        </is>
      </c>
      <c r="B4" s="9" t="inlineStr">
        <is>
          <t>Modul</t>
        </is>
      </c>
      <c r="C4" s="9" t="inlineStr">
        <is>
          <t>Nama Rumus</t>
        </is>
      </c>
      <c r="D4" s="9" t="inlineStr">
        <is>
          <t>Rumus</t>
        </is>
      </c>
      <c r="E4" s="9" t="inlineStr">
        <is>
          <t>Variabel / Keterangan</t>
        </is>
      </c>
      <c r="F4" s="9" t="inlineStr">
        <is>
          <t>Aturan, Batas &amp; Pembulatan</t>
        </is>
      </c>
      <c r="G4" s="9" t="inlineStr">
        <is>
          <t>Aritmetika</t>
        </is>
      </c>
      <c r="H4" s="9" t="inlineStr">
        <is>
          <t>Sumber Kode</t>
        </is>
      </c>
      <c r="I4" s="9" t="inlineStr">
        <is>
          <t>Dasar Regulasi / Keputusan</t>
        </is>
      </c>
      <c r="J4" s="9" t="inlineStr">
        <is>
          <t>Simulasi</t>
        </is>
      </c>
    </row>
    <row r="5" ht="43" customHeight="1">
      <c r="A5" s="10" t="inlineStr">
        <is>
          <t>SIM-01</t>
        </is>
      </c>
      <c r="B5" s="10" t="inlineStr">
        <is>
          <t>Simpanan</t>
        </is>
      </c>
      <c r="C5" s="11" t="inlineStr">
        <is>
          <t>Bunga simpanan per periode</t>
        </is>
      </c>
      <c r="D5" s="12" t="inlineStr">
        <is>
          <t>Bunga = ROUND(Saldo × Rate ÷ D, 2)
D = 360 (DAILY), 12 (MONTHLY), 1 (YEARLY)</t>
        </is>
      </c>
      <c r="E5" s="10" t="inlineStr">
        <is>
          <t>Rate = % per tahun dari produk simpanan (SavingConfig.rate); periodUnit hanya menentukan frekuensi kredit</t>
        </is>
      </c>
      <c r="F5" s="10" t="inlineStr">
        <is>
          <t>Rate ≤ 9%/tahun. Dibulatkan 2 desimal</t>
        </is>
      </c>
      <c r="G5" s="13" t="inlineStr">
        <is>
          <t>number (float)</t>
        </is>
      </c>
      <c r="H5" s="10" t="inlineStr">
        <is>
          <t>lib/saving-calc.ts calculateSavingInterest</t>
        </is>
      </c>
      <c r="I5" s="10" t="inlineStr">
        <is>
          <t>Permenkop UKM 8/2023 Pasal 26</t>
        </is>
      </c>
      <c r="J5" s="14" t="inlineStr">
        <is>
          <t>D</t>
        </is>
      </c>
    </row>
    <row r="6" ht="30" customHeight="1">
      <c r="A6" s="15" t="inlineStr">
        <is>
          <t>SIM-02</t>
        </is>
      </c>
      <c r="B6" s="15" t="inlineStr">
        <is>
          <t>Simpanan</t>
        </is>
      </c>
      <c r="C6" s="16" t="inlineStr">
        <is>
          <t>Akrual bunga harian (scheduler)</t>
        </is>
      </c>
      <c r="D6" s="12" t="inlineStr">
        <is>
          <t>Bunga = ROUND(Saldo × Rate ÷ 36.000, 2) × HariTerlewat
HariTerlewat = hari ini − lastInterestAt (run pertama = 1)</t>
        </is>
      </c>
      <c r="E6" s="15" t="inlineStr">
        <is>
          <t>Dijalankan harian; saldo dikunci (FOR UPDATE)</t>
        </is>
      </c>
      <c r="F6" s="15" t="inlineStr">
        <is>
          <t>Dibulatkan per hari lalu dikali hari; tidak pernah menagih mundur sampai pembukaan rekening</t>
        </is>
      </c>
      <c r="G6" s="13" t="inlineStr">
        <is>
          <t>Decimal</t>
        </is>
      </c>
      <c r="H6" s="15" t="inlineStr">
        <is>
          <t>savings/daily-interest.ts</t>
        </is>
      </c>
      <c r="I6" s="15" t="inlineStr"/>
      <c r="J6" s="14" t="inlineStr">
        <is>
          <t>D</t>
        </is>
      </c>
    </row>
    <row r="7" ht="30" customHeight="1">
      <c r="A7" s="10" t="inlineStr">
        <is>
          <t>SIM-03</t>
        </is>
      </c>
      <c r="B7" s="10" t="inlineStr">
        <is>
          <t>Simpanan</t>
        </is>
      </c>
      <c r="C7" s="11" t="inlineStr">
        <is>
          <t>Rekening Koran — Saldo Akhir</t>
        </is>
      </c>
      <c r="D7" s="12" t="inlineStr">
        <is>
          <t>SaldoAkhir = Saving.balance − Σ mutasi bertanda setelah akhir periode</t>
        </is>
      </c>
      <c r="E7" s="10" t="inlineStr">
        <is>
          <t>Mutasi bertanda: PENARIKAN = −jumlah; SETORAN/BUNGA = +jumlah</t>
        </is>
      </c>
      <c r="F7" s="10" t="inlineStr">
        <is>
          <t>Periode maks. 366 hari; default awal bulan s/d hari ini</t>
        </is>
      </c>
      <c r="G7" s="14" t="inlineStr">
        <is>
          <t>Decimal</t>
        </is>
      </c>
      <c r="H7" s="10" t="inlineStr">
        <is>
          <t>savings/service.ts getSavingStatement</t>
        </is>
      </c>
      <c r="I7" s="10" t="inlineStr"/>
      <c r="J7" s="14" t="inlineStr">
        <is>
          <t>E</t>
        </is>
      </c>
    </row>
    <row r="8" ht="30" customHeight="1">
      <c r="A8" s="15" t="inlineStr">
        <is>
          <t>SIM-04</t>
        </is>
      </c>
      <c r="B8" s="15" t="inlineStr">
        <is>
          <t>Simpanan</t>
        </is>
      </c>
      <c r="C8" s="16" t="inlineStr">
        <is>
          <t>Rekening Koran — Saldo Awal &amp; berjalan</t>
        </is>
      </c>
      <c r="D8" s="12" t="inlineStr">
        <is>
          <t>SaldoAwal = SaldoAkhir − Σ mutasi bertanda dalam periode
Saldo_i = Saldo_(i−1) + Kredit_i − Debit_i</t>
        </is>
      </c>
      <c r="E8" s="15" t="inlineStr">
        <is>
          <t>Kredit = setoran + bunga; Debit = penarikan (dari sisi pemilik rekening)</t>
        </is>
      </c>
      <c r="F8" s="15" t="inlineStr"/>
      <c r="G8" s="13" t="inlineStr">
        <is>
          <t>Decimal</t>
        </is>
      </c>
      <c r="H8" s="15" t="inlineStr">
        <is>
          <t>savings/service.ts getSavingStatement</t>
        </is>
      </c>
      <c r="I8" s="15" t="inlineStr"/>
      <c r="J8" s="14" t="inlineStr">
        <is>
          <t>E</t>
        </is>
      </c>
    </row>
    <row r="9" ht="30" customHeight="1">
      <c r="A9" s="10" t="inlineStr">
        <is>
          <t>SIM-05</t>
        </is>
      </c>
      <c r="B9" s="10" t="inlineStr">
        <is>
          <t>Simpanan</t>
        </is>
      </c>
      <c r="C9" s="11" t="inlineStr">
        <is>
          <t>Syarat tarik Simpanan Pokok</t>
        </is>
      </c>
      <c r="D9" s="12" t="inlineStr">
        <is>
          <t>Boleh tarik Pokok ⇔ tidak ada pinjaman ACTIVE; Saldo ≥ jumlah tarik</t>
        </is>
      </c>
      <c r="E9" s="10" t="inlineStr"/>
      <c r="F9" s="10" t="inlineStr">
        <is>
          <t>Belum ada batas minimum/nol (QA D2)</t>
        </is>
      </c>
      <c r="G9" s="14" t="inlineStr">
        <is>
          <t>Decimal</t>
        </is>
      </c>
      <c r="H9" s="10" t="inlineStr">
        <is>
          <t>savings/service.ts withdrawFromSaving</t>
        </is>
      </c>
      <c r="I9" s="10" t="inlineStr">
        <is>
          <t>AD/ART; UU 25/1992</t>
        </is>
      </c>
      <c r="J9" s="14" t="inlineStr"/>
    </row>
    <row r="10" ht="56" customHeight="1">
      <c r="A10" s="15" t="inlineStr">
        <is>
          <t>PIN-01</t>
        </is>
      </c>
      <c r="B10" s="15" t="inlineStr">
        <is>
          <t>Pinjaman</t>
        </is>
      </c>
      <c r="C10" s="16" t="inlineStr">
        <is>
          <t>Angsuran anuitas (KONVENSIONAL + BUNGA)</t>
        </is>
      </c>
      <c r="D10" s="12" t="inlineStr">
        <is>
          <t>r = Rate ÷ 12
Angsuran = P × r ÷ (1 − (1 + r)^−n)
Total = Angsuran × n; Bunga = Total − P
Jika r = 0: Angsuran = P ÷ n</t>
        </is>
      </c>
      <c r="E10" s="15" t="inlineStr">
        <is>
          <t>P = pokok; n = tenor bulan</t>
        </is>
      </c>
      <c r="F10" s="15" t="inlineStr">
        <is>
          <t>Hanya frekuensi MONTHLY. Dibulatkan 2 desimal</t>
        </is>
      </c>
      <c r="G10" s="13" t="inlineStr">
        <is>
          <t>number (float)</t>
        </is>
      </c>
      <c r="H10" s="15" t="inlineStr">
        <is>
          <t>lib/loan-calc.ts calculateLoan</t>
        </is>
      </c>
      <c r="I10" s="15" t="inlineStr">
        <is>
          <t>Rate ≤ 24%/tahun (Pasal 27)</t>
        </is>
      </c>
      <c r="J10" s="14" t="inlineStr">
        <is>
          <t>A</t>
        </is>
      </c>
    </row>
    <row r="11" ht="30" customHeight="1">
      <c r="A11" s="10" t="inlineStr">
        <is>
          <t>PIN-02</t>
        </is>
      </c>
      <c r="B11" s="10" t="inlineStr">
        <is>
          <t>Pinjaman</t>
        </is>
      </c>
      <c r="C11" s="11" t="inlineStr">
        <is>
          <t>Flat margin (SYARIAH atau MARGIN)</t>
        </is>
      </c>
      <c r="D11" s="12" t="inlineStr">
        <is>
          <t>Margin = P × Rate × n ÷ 12
Total = P + Margin; Angsuran = Total ÷ n</t>
        </is>
      </c>
      <c r="E11" s="10" t="inlineStr">
        <is>
          <t>Murabahah / flat</t>
        </is>
      </c>
      <c r="F11" s="10" t="inlineStr">
        <is>
          <t>Berlaku untuk semua frekuensi; n untuk DAILY/WEEKLY = PIN-04</t>
        </is>
      </c>
      <c r="G11" s="13" t="inlineStr">
        <is>
          <t>number (float)</t>
        </is>
      </c>
      <c r="H11" s="10" t="inlineStr">
        <is>
          <t>lib/loan-calc.ts calculateLoan</t>
        </is>
      </c>
      <c r="I11" s="10" t="inlineStr"/>
      <c r="J11" s="14" t="inlineStr">
        <is>
          <t>B</t>
        </is>
      </c>
    </row>
    <row r="12" ht="43" customHeight="1">
      <c r="A12" s="15" t="inlineStr">
        <is>
          <t>PIN-03</t>
        </is>
      </c>
      <c r="B12" s="15" t="inlineStr">
        <is>
          <t>Pinjaman</t>
        </is>
      </c>
      <c r="C12" s="16" t="inlineStr">
        <is>
          <t>Bunga harian flat (HARIAN)</t>
        </is>
      </c>
      <c r="D12" s="12" t="inlineStr">
        <is>
          <t>Bunga = P × Rate ÷ 360 × HariTenor
Total = P + Bunga</t>
        </is>
      </c>
      <c r="E12" s="15" t="inlineStr">
        <is>
          <t>HariTenor: MONTHLY = hari kalender riil pencairan → jatuh tempo; DAILY = jumlah cicilan; WEEKLY = cicilan × 7; tanpa tanggal = n × 30</t>
        </is>
      </c>
      <c r="F12" s="15" t="inlineStr"/>
      <c r="G12" s="13" t="inlineStr">
        <is>
          <t>number (float)</t>
        </is>
      </c>
      <c r="H12" s="15" t="inlineStr">
        <is>
          <t>lib/loan-calc.ts; loans/service.ts createLoan</t>
        </is>
      </c>
      <c r="I12" s="15" t="inlineStr"/>
      <c r="J12" s="14" t="inlineStr">
        <is>
          <t>C</t>
        </is>
      </c>
    </row>
    <row r="13" ht="30" customHeight="1">
      <c r="A13" s="10" t="inlineStr">
        <is>
          <t>PIN-04</t>
        </is>
      </c>
      <c r="B13" s="10" t="inlineStr">
        <is>
          <t>Pinjaman</t>
        </is>
      </c>
      <c r="C13" s="11" t="inlineStr">
        <is>
          <t>Tenor bulan untuk DAILY/WEEKLY</t>
        </is>
      </c>
      <c r="D13" s="12" t="inlineStr">
        <is>
          <t>TenorBulan = MAX(1, ROUNDUP(Hari ÷ 30))
Hari = cicilan (DAILY) atau cicilan × 7 (WEEKLY)</t>
        </is>
      </c>
      <c r="E13" s="10" t="inlineStr">
        <is>
          <t>Dipakai untuk angsuran bulanan &amp; flat margin</t>
        </is>
      </c>
      <c r="F13" s="10" t="inlineStr">
        <is>
          <t>Pembulatan ke atas menaikkan margin flat (lihat Temuan T4)</t>
        </is>
      </c>
      <c r="G13" s="14" t="inlineStr">
        <is>
          <t>integer</t>
        </is>
      </c>
      <c r="H13" s="10" t="inlineStr">
        <is>
          <t>loans/service.ts createLoan</t>
        </is>
      </c>
      <c r="I13" s="10" t="inlineStr"/>
      <c r="J13" s="14" t="inlineStr">
        <is>
          <t>C</t>
        </is>
      </c>
    </row>
    <row r="14" ht="56" customHeight="1">
      <c r="A14" s="15" t="inlineStr">
        <is>
          <t>PIN-05</t>
        </is>
      </c>
      <c r="B14" s="15" t="inlineStr">
        <is>
          <t>Pinjaman</t>
        </is>
      </c>
      <c r="C14" s="16" t="inlineStr">
        <is>
          <t>Nominal cicilan jadwal</t>
        </is>
      </c>
      <c r="D14" s="12" t="inlineStr">
        <is>
          <t>Rata = Total ÷ JumlahCicilan
DAILY/WEEKLY: Cicilan = ROUNDUP(Rata ÷ 500) × 500
MONTHLY: Cicilan = ROUND(Rata, 2)
Cicilan terakhir = Total − Σ cicilan sebelumnya</t>
        </is>
      </c>
      <c r="E14" s="15" t="inlineStr"/>
      <c r="F14" s="15" t="inlineStr">
        <is>
          <t>Σ cicilan = Total persis</t>
        </is>
      </c>
      <c r="G14" s="13" t="inlineStr">
        <is>
          <t>Decimal</t>
        </is>
      </c>
      <c r="H14" s="15" t="inlineStr">
        <is>
          <t>lib/installment-schedule.ts buildSchedule</t>
        </is>
      </c>
      <c r="I14" s="15" t="inlineStr">
        <is>
          <t>Keputusan pasar D8 (Rp500)</t>
        </is>
      </c>
      <c r="J14" s="14" t="inlineStr">
        <is>
          <t>C</t>
        </is>
      </c>
    </row>
    <row r="15" ht="43" customHeight="1">
      <c r="A15" s="10" t="inlineStr">
        <is>
          <t>PIN-06</t>
        </is>
      </c>
      <c r="B15" s="10" t="inlineStr">
        <is>
          <t>Pinjaman</t>
        </is>
      </c>
      <c r="C15" s="11" t="inlineStr">
        <is>
          <t>Porsi pokok &amp; bunga per cicilan</t>
        </is>
      </c>
      <c r="D15" s="12" t="inlineStr">
        <is>
          <t>Pokok_i = ROUND(Cicilan_i × P ÷ Total, 2)
Bunga_i = Cicilan_i − Pokok_i
Pokok terakhir = P − Σ pokok sebelumnya</t>
        </is>
      </c>
      <c r="E15" s="10" t="inlineStr"/>
      <c r="F15" s="10" t="inlineStr"/>
      <c r="G15" s="14" t="inlineStr">
        <is>
          <t>Decimal</t>
        </is>
      </c>
      <c r="H15" s="10" t="inlineStr">
        <is>
          <t>lib/installment-schedule.ts buildSchedule</t>
        </is>
      </c>
      <c r="I15" s="10" t="inlineStr"/>
      <c r="J15" s="14" t="inlineStr">
        <is>
          <t>C</t>
        </is>
      </c>
    </row>
    <row r="16" ht="43" customHeight="1">
      <c r="A16" s="15" t="inlineStr">
        <is>
          <t>PIN-07</t>
        </is>
      </c>
      <c r="B16" s="15" t="inlineStr">
        <is>
          <t>Pinjaman</t>
        </is>
      </c>
      <c r="C16" s="16" t="inlineStr">
        <is>
          <t>Tanggal jatuh tempo</t>
        </is>
      </c>
      <c r="D16" s="12" t="inlineStr">
        <is>
          <t>DAILY: hari operasional ke-i setelah pencairan
WEEKLY: pencairan + 7i hari → hari operasional berikutnya
MONTHLY: pencairan + i bulan → hari operasional berikutnya</t>
        </is>
      </c>
      <c r="E16" s="15" t="inlineStr">
        <is>
          <t>Hari operasional = bukan hari tutup (default Minggu) &amp; bukan hari libur tenant</t>
        </is>
      </c>
      <c r="F16" s="15" t="inlineStr">
        <is>
          <t>Tanggal bisnis Asia/Jakarta (UTC+7)</t>
        </is>
      </c>
      <c r="G16" s="13" t="inlineStr">
        <is>
          <t>tanggal</t>
        </is>
      </c>
      <c r="H16" s="15" t="inlineStr">
        <is>
          <t>lib/installment-schedule.ts; lib/operating-calendar.ts</t>
        </is>
      </c>
      <c r="I16" s="15" t="inlineStr">
        <is>
          <t>Keputusan pasar D1</t>
        </is>
      </c>
      <c r="J16" s="14" t="inlineStr"/>
    </row>
    <row r="17" ht="69" customHeight="1">
      <c r="A17" s="10" t="inlineStr">
        <is>
          <t>PIN-08</t>
        </is>
      </c>
      <c r="B17" s="10" t="inlineStr">
        <is>
          <t>Pinjaman</t>
        </is>
      </c>
      <c r="C17" s="11" t="inlineStr">
        <is>
          <t>Alokasi pembayaran</t>
        </is>
      </c>
      <c r="D17" s="12" t="inlineStr">
        <is>
          <t>Untuk tiap cicilan belum lunas, tertua dulu:
Dipakai = MIN(sisa bayar, sisa cicilan)
Bunga dulu = MIN(Dipakai, sisa bunga); Pokok = Dipakai − Bunga
LUNAS jika terbayar ≥ cicilan, else PARTIAL</t>
        </is>
      </c>
      <c r="E17" s="10" t="inlineStr"/>
      <c r="F17" s="10" t="inlineStr"/>
      <c r="G17" s="14" t="inlineStr">
        <is>
          <t>Decimal</t>
        </is>
      </c>
      <c r="H17" s="10" t="inlineStr">
        <is>
          <t>lib/loan-allocation.ts allocatePayment</t>
        </is>
      </c>
      <c r="I17" s="10" t="inlineStr"/>
      <c r="J17" s="14" t="inlineStr"/>
    </row>
    <row r="18" ht="30" customHeight="1">
      <c r="A18" s="15" t="inlineStr">
        <is>
          <t>PIN-09</t>
        </is>
      </c>
      <c r="B18" s="15" t="inlineStr">
        <is>
          <t>Pinjaman</t>
        </is>
      </c>
      <c r="C18" s="16" t="inlineStr">
        <is>
          <t>Pemisahan pembayaran (pinjaman tanpa jadwal)</t>
        </is>
      </c>
      <c r="D18" s="12" t="inlineStr">
        <is>
          <t>Bunga = ROUND(Bayar × (Total − P) ÷ Total, 2)
Pokok = Bayar − Bunga</t>
        </is>
      </c>
      <c r="E18" s="15" t="inlineStr">
        <is>
          <t>Hanya pinjaman lama yang belum di-backfill</t>
        </is>
      </c>
      <c r="F18" s="15" t="inlineStr"/>
      <c r="G18" s="13" t="inlineStr">
        <is>
          <t>Decimal</t>
        </is>
      </c>
      <c r="H18" s="15" t="inlineStr">
        <is>
          <t>lib/journal.ts splitLoanPayment</t>
        </is>
      </c>
      <c r="I18" s="15" t="inlineStr"/>
      <c r="J18" s="14" t="inlineStr"/>
    </row>
    <row r="19" ht="28" customHeight="1">
      <c r="A19" s="10" t="inlineStr">
        <is>
          <t>PIN-10</t>
        </is>
      </c>
      <c r="B19" s="10" t="inlineStr">
        <is>
          <t>Pinjaman</t>
        </is>
      </c>
      <c r="C19" s="11" t="inlineStr">
        <is>
          <t>Sisa pinjaman</t>
        </is>
      </c>
      <c r="D19" s="12" t="inlineStr">
        <is>
          <t>Sisa = MAX(0, Sisa − Bayar); status COMPLETED bila 0</t>
        </is>
      </c>
      <c r="E19" s="10" t="inlineStr">
        <is>
          <t>Bayar &gt; Sisa ditolak</t>
        </is>
      </c>
      <c r="F19" s="10" t="inlineStr">
        <is>
          <t>Denda diinput manual (tidak dihitung otomatis)</t>
        </is>
      </c>
      <c r="G19" s="14" t="inlineStr">
        <is>
          <t>Decimal</t>
        </is>
      </c>
      <c r="H19" s="10" t="inlineStr">
        <is>
          <t>loans/service.ts recordLoanPayment</t>
        </is>
      </c>
      <c r="I19" s="10" t="inlineStr">
        <is>
          <t>Keputusan pasar D7</t>
        </is>
      </c>
      <c r="J19" s="14" t="inlineStr"/>
    </row>
    <row r="20" ht="30" customHeight="1">
      <c r="A20" s="15" t="inlineStr">
        <is>
          <t>PIN-11</t>
        </is>
      </c>
      <c r="B20" s="15" t="inlineStr">
        <is>
          <t>Pinjaman</t>
        </is>
      </c>
      <c r="C20" s="16" t="inlineStr">
        <is>
          <t>Override bunga per pinjaman</t>
        </is>
      </c>
      <c r="D20" s="12" t="inlineStr">
        <is>
          <t>RateEfektif = rate input bila ≠ rate produk, else rate produk</t>
        </is>
      </c>
      <c r="E20" s="15" t="inlineStr">
        <is>
          <t>Wajib isi rateNote bila diubah</t>
        </is>
      </c>
      <c r="F20" s="15" t="inlineStr">
        <is>
          <t>≤ 24%/tahun; tercatat di jejak audit</t>
        </is>
      </c>
      <c r="G20" s="13" t="inlineStr">
        <is>
          <t>number (float)</t>
        </is>
      </c>
      <c r="H20" s="15" t="inlineStr">
        <is>
          <t>loans/service.ts createLoan</t>
        </is>
      </c>
      <c r="I20" s="15" t="inlineStr">
        <is>
          <t>Keputusan pasar D3</t>
        </is>
      </c>
      <c r="J20" s="14" t="inlineStr">
        <is>
          <t>A</t>
        </is>
      </c>
    </row>
    <row r="21" ht="43" customHeight="1">
      <c r="A21" s="10" t="inlineStr">
        <is>
          <t>PIN-12</t>
        </is>
      </c>
      <c r="B21" s="10" t="inlineStr">
        <is>
          <t>Pinjaman</t>
        </is>
      </c>
      <c r="C21" s="11" t="inlineStr">
        <is>
          <t>Hari tunggakan</t>
        </is>
      </c>
      <c r="D21" s="12" t="inlineStr">
        <is>
          <t>Dengan jadwal: hari ini − jatuh tempo cicilan belum lunas tertua (0 bila belum jatuh tempo)
Tanpa jadwal: maks. hari lewat untuk bulan tanpa pembayaran</t>
        </is>
      </c>
      <c r="E21" s="10" t="inlineStr"/>
      <c r="F21" s="10" t="inlineStr">
        <is>
          <t>Dihitung ulang harian oleh scheduler</t>
        </is>
      </c>
      <c r="G21" s="14" t="inlineStr">
        <is>
          <t>integer</t>
        </is>
      </c>
      <c r="H21" s="10" t="inlineStr">
        <is>
          <t>lib/kol.ts recalculateKOL</t>
        </is>
      </c>
      <c r="I21" s="10" t="inlineStr">
        <is>
          <t>Keputusan pasar D2</t>
        </is>
      </c>
      <c r="J21" s="14" t="inlineStr">
        <is>
          <t>H</t>
        </is>
      </c>
    </row>
    <row r="22" ht="30" customHeight="1">
      <c r="A22" s="15" t="inlineStr">
        <is>
          <t>PIN-13</t>
        </is>
      </c>
      <c r="B22" s="15" t="inlineStr">
        <is>
          <t>Pinjaman</t>
        </is>
      </c>
      <c r="C22" s="16" t="inlineStr">
        <is>
          <t>Kolektibilitas (KOL)</t>
        </is>
      </c>
      <c r="D22" s="12" t="inlineStr">
        <is>
          <t>≤30 Lancar; ≤90 Dalam Perhatian; ≤120 Kurang Lancar; ≤180 Diragukan; &gt;180 Macet</t>
        </is>
      </c>
      <c r="E22" s="15" t="inlineStr">
        <is>
          <t>Input = hari tunggakan (PIN-12)</t>
        </is>
      </c>
      <c r="F22" s="15" t="inlineStr"/>
      <c r="G22" s="13" t="inlineStr">
        <is>
          <t>integer</t>
        </is>
      </c>
      <c r="H22" s="15" t="inlineStr">
        <is>
          <t>lib/kol.ts getKOLCategory</t>
        </is>
      </c>
      <c r="I22" s="15" t="inlineStr"/>
      <c r="J22" s="14" t="inlineStr">
        <is>
          <t>H</t>
        </is>
      </c>
    </row>
    <row r="23" ht="30" customHeight="1">
      <c r="A23" s="10" t="inlineStr">
        <is>
          <t>PIN-14</t>
        </is>
      </c>
      <c r="B23" s="10" t="inlineStr">
        <is>
          <t>Pinjaman</t>
        </is>
      </c>
      <c r="C23" s="11" t="inlineStr">
        <is>
          <t>BMPP — batas &amp; ruang</t>
        </is>
      </c>
      <c r="D23" s="12" t="inlineStr">
        <is>
          <t>Batas = ModalSendiri × % (10% terkait, 15% lainnya)
Ruang = MAX(0, Batas − pokok pinjaman ACTIVE)</t>
        </is>
      </c>
      <c r="E23" s="10" t="inlineStr">
        <is>
          <t>KSU (&gt;1 unit aktif): Modal Sendiri &amp; pinjaman unit pemberi; tunggal: konsolidasi</t>
        </is>
      </c>
      <c r="F23" s="10" t="inlineStr"/>
      <c r="G23" s="14" t="inlineStr">
        <is>
          <t>Decimal</t>
        </is>
      </c>
      <c r="H23" s="10" t="inlineStr">
        <is>
          <t>loans/service.ts computeBmpp</t>
        </is>
      </c>
      <c r="I23" s="10" t="inlineStr">
        <is>
          <t>Permenkop UKM 8/2023 Pasal 44–45</t>
        </is>
      </c>
      <c r="J23" s="14" t="inlineStr">
        <is>
          <t>F</t>
        </is>
      </c>
    </row>
    <row r="24" ht="43" customHeight="1">
      <c r="A24" s="15" t="inlineStr">
        <is>
          <t>PIN-15</t>
        </is>
      </c>
      <c r="B24" s="15" t="inlineStr">
        <is>
          <t>Pinjaman</t>
        </is>
      </c>
      <c r="C24" s="16" t="inlineStr">
        <is>
          <t>BMPP — keputusan</t>
        </is>
      </c>
      <c r="D24" s="12" t="inlineStr">
        <is>
          <t>Terkait: (aktif + baru) &gt; Batas → DITOLAK
Lainnya: ModalSendiri &gt; 0 dan (aktif + baru) &gt; Batas → PERINGATAN, lanjut dengan acknowledgeBmpp</t>
        </is>
      </c>
      <c r="E24" s="15" t="inlineStr">
        <is>
          <t>Terkait = pengurus atau pengawas</t>
        </is>
      </c>
      <c r="F24" s="15" t="inlineStr">
        <is>
          <t>Modal Sendiri 0 → pihak terkait tidak bisa meminjam</t>
        </is>
      </c>
      <c r="G24" s="13" t="inlineStr">
        <is>
          <t>Decimal</t>
        </is>
      </c>
      <c r="H24" s="15" t="inlineStr">
        <is>
          <t>loans/service.ts createLoan; lib/regulatory-config.ts</t>
        </is>
      </c>
      <c r="I24" s="15" t="inlineStr">
        <is>
          <t>Pasal 44 (blokir), Pasal 45 (peringatan)</t>
        </is>
      </c>
      <c r="J24" s="14" t="inlineStr">
        <is>
          <t>F</t>
        </is>
      </c>
    </row>
    <row r="25" ht="30" customHeight="1">
      <c r="A25" s="10" t="inlineStr">
        <is>
          <t>PIN-16</t>
        </is>
      </c>
      <c r="B25" s="10" t="inlineStr">
        <is>
          <t>Pinjaman</t>
        </is>
      </c>
      <c r="C25" s="11" t="inlineStr">
        <is>
          <t>Syarat simpanan pokok</t>
        </is>
      </c>
      <c r="D25" s="12" t="inlineStr">
        <is>
          <t>Pinjaman baru hanya bila anggota punya Simpanan Pokok aktif</t>
        </is>
      </c>
      <c r="E25" s="10" t="inlineStr"/>
      <c r="F25" s="10" t="inlineStr">
        <is>
          <t>Pokok bersaldo 0 tetap lolos (Temuan O1 PRD)</t>
        </is>
      </c>
      <c r="G25" s="14" t="inlineStr">
        <is>
          <t>boolean</t>
        </is>
      </c>
      <c r="H25" s="10" t="inlineStr">
        <is>
          <t>loans/service.ts; savings/service.ts hasPokokSaving</t>
        </is>
      </c>
      <c r="I25" s="10" t="inlineStr"/>
      <c r="J25" s="14" t="inlineStr"/>
    </row>
    <row r="26" ht="43" customHeight="1">
      <c r="A26" s="15" t="inlineStr">
        <is>
          <t>TOK-01</t>
        </is>
      </c>
      <c r="B26" s="15" t="inlineStr">
        <is>
          <t>Toko / POS</t>
        </is>
      </c>
      <c r="C26" s="16" t="inlineStr">
        <is>
          <t>Total penjualan &amp; HPP</t>
        </is>
      </c>
      <c r="D26" s="12" t="inlineStr">
        <is>
          <t>Total = Σ harga × qty
HPP = Σ harga pokok × qty
Margin = Total − HPP</t>
        </is>
      </c>
      <c r="E26" s="15" t="inlineStr">
        <is>
          <t>Harga dari master produk (bukan dari klien)</t>
        </is>
      </c>
      <c r="F26" s="15" t="inlineStr">
        <is>
          <t>Stok harus ≥ qty</t>
        </is>
      </c>
      <c r="G26" s="13" t="inlineStr">
        <is>
          <t>Decimal</t>
        </is>
      </c>
      <c r="H26" s="15" t="inlineStr">
        <is>
          <t>konsumen/sale.service.ts</t>
        </is>
      </c>
      <c r="I26" s="15" t="inlineStr"/>
      <c r="J26" s="14" t="inlineStr"/>
    </row>
    <row r="27" ht="30" customHeight="1">
      <c r="A27" s="10" t="inlineStr">
        <is>
          <t>TOK-02</t>
        </is>
      </c>
      <c r="B27" s="10" t="inlineStr">
        <is>
          <t>Toko / POS</t>
        </is>
      </c>
      <c r="C27" s="11" t="inlineStr">
        <is>
          <t>Nilai restock</t>
        </is>
      </c>
      <c r="D27" s="12" t="inlineStr">
        <is>
          <t>Nilai = harga pokok × qty (Dr Persediaan / Cr Kas)</t>
        </is>
      </c>
      <c r="E27" s="10" t="inlineStr">
        <is>
          <t>Penyesuaian stok tidak dijurnal</t>
        </is>
      </c>
      <c r="F27" s="10" t="inlineStr"/>
      <c r="G27" s="14" t="inlineStr">
        <is>
          <t>Decimal</t>
        </is>
      </c>
      <c r="H27" s="10" t="inlineStr">
        <is>
          <t>konsumen/product.service.ts; lib/journal.ts postStockPurchase</t>
        </is>
      </c>
      <c r="I27" s="10" t="inlineStr"/>
      <c r="J27" s="14" t="inlineStr"/>
    </row>
    <row r="28" ht="56" customHeight="1">
      <c r="A28" s="15" t="inlineStr">
        <is>
          <t>TOK-03</t>
        </is>
      </c>
      <c r="B28" s="15" t="inlineStr">
        <is>
          <t>Toko / POS</t>
        </is>
      </c>
      <c r="C28" s="16" t="inlineStr">
        <is>
          <t>Limit Kredit Anggota</t>
        </is>
      </c>
      <c r="D28" s="12" t="inlineStr">
        <is>
          <t>Limit = Σ saldo simpanan aktif × 50%
Piutang = Σ belanja MEMBER_CREDIT − Σ pelunasan
Tersedia = Limit − Piutang
Berhak ⇔ punya simpanan aktif dan Limit &gt; 0</t>
        </is>
      </c>
      <c r="E28" s="15" t="inlineStr">
        <is>
          <t>Semua jenis simpanan (Pokok + Wajib + Sukarela)</t>
        </is>
      </c>
      <c r="F28" s="15" t="inlineStr">
        <is>
          <t>Dihitung ulang setiap dibaca, tidak disimpan</t>
        </is>
      </c>
      <c r="G28" s="13" t="inlineStr">
        <is>
          <t>Decimal</t>
        </is>
      </c>
      <c r="H28" s="15" t="inlineStr">
        <is>
          <t>konsumen/credit.service.ts</t>
        </is>
      </c>
      <c r="I28" s="15" t="inlineStr">
        <is>
          <t>Keputusan produk</t>
        </is>
      </c>
      <c r="J28" s="14" t="inlineStr">
        <is>
          <t>G</t>
        </is>
      </c>
    </row>
    <row r="29" ht="56" customHeight="1">
      <c r="A29" s="10" t="inlineStr">
        <is>
          <t>PAS-01</t>
        </is>
      </c>
      <c r="B29" s="10" t="inlineStr">
        <is>
          <t>Pasar</t>
        </is>
      </c>
      <c r="C29" s="11" t="inlineStr">
        <is>
          <t>Tagihan sewa</t>
        </is>
      </c>
      <c r="D29" s="12" t="inlineStr">
        <is>
          <t>Satu tagihan SEWA per ulang tahun periode kontrak (MONTHLY/YEARLY) sejak tanggal mulai
Jumlah = rentAmount; jatuh tempo = hari operasional berikutnya</t>
        </is>
      </c>
      <c r="E29" s="10" t="inlineStr">
        <is>
          <t>Idempoten per (kontrak, awal periode)</t>
        </is>
      </c>
      <c r="F29" s="10" t="inlineStr">
        <is>
          <t>Hanya dibuat pada hari operasional</t>
        </is>
      </c>
      <c r="G29" s="14" t="inlineStr">
        <is>
          <t>Decimal</t>
        </is>
      </c>
      <c r="H29" s="10" t="inlineStr">
        <is>
          <t>market/charge-generator.ts</t>
        </is>
      </c>
      <c r="I29" s="10" t="inlineStr">
        <is>
          <t>Keputusan pasar D1</t>
        </is>
      </c>
      <c r="J29" s="14" t="inlineStr"/>
    </row>
    <row r="30" ht="43" customHeight="1">
      <c r="A30" s="15" t="inlineStr">
        <is>
          <t>PAS-02</t>
        </is>
      </c>
      <c r="B30" s="15" t="inlineStr">
        <is>
          <t>Pasar</t>
        </is>
      </c>
      <c r="C30" s="16" t="inlineStr">
        <is>
          <t>Tagihan retribusi harian</t>
        </is>
      </c>
      <c r="D30" s="12" t="inlineStr">
        <is>
          <t>Satu tagihan RETRIBUSI per hari operasional per tarif DAILY aktif yang cocok (pasar + jenis lapak)
Jumlah = levyRate.amount</t>
        </is>
      </c>
      <c r="E30" s="15" t="inlineStr"/>
      <c r="F30" s="15" t="inlineStr">
        <is>
          <t>Retribusi = pendapatan koperasi</t>
        </is>
      </c>
      <c r="G30" s="13" t="inlineStr">
        <is>
          <t>Decimal</t>
        </is>
      </c>
      <c r="H30" s="15" t="inlineStr">
        <is>
          <t>market/charge-generator.ts</t>
        </is>
      </c>
      <c r="I30" s="15" t="inlineStr">
        <is>
          <t>Keputusan pasar D5</t>
        </is>
      </c>
      <c r="J30" s="14" t="inlineStr"/>
    </row>
    <row r="31" ht="30" customHeight="1">
      <c r="A31" s="10" t="inlineStr">
        <is>
          <t>PAS-03</t>
        </is>
      </c>
      <c r="B31" s="10" t="inlineStr">
        <is>
          <t>Pasar</t>
        </is>
      </c>
      <c r="C31" s="11" t="inlineStr">
        <is>
          <t>Tunggakan angsuran</t>
        </is>
      </c>
      <c r="D31" s="12" t="inlineStr">
        <is>
          <t>Σ (pokok + bunga jatuh tempo − pokok + bunga terbayar) cicilan belum lunas dengan jatuh tempo &lt; hari ini</t>
        </is>
      </c>
      <c r="E31" s="10" t="inlineStr">
        <is>
          <t>Pinjaman ACTIVE</t>
        </is>
      </c>
      <c r="F31" s="10" t="inlineStr"/>
      <c r="G31" s="14" t="inlineStr">
        <is>
          <t>Decimal</t>
        </is>
      </c>
      <c r="H31" s="10" t="inlineStr">
        <is>
          <t>dashboard/service.ts getPasarDashboard</t>
        </is>
      </c>
      <c r="I31" s="10" t="inlineStr"/>
      <c r="J31" s="14" t="inlineStr"/>
    </row>
    <row r="32" ht="30" customHeight="1">
      <c r="A32" s="15" t="inlineStr">
        <is>
          <t>PAS-04</t>
        </is>
      </c>
      <c r="B32" s="15" t="inlineStr">
        <is>
          <t>Pasar</t>
        </is>
      </c>
      <c r="C32" s="16" t="inlineStr">
        <is>
          <t>Tunggakan sewa/retribusi</t>
        </is>
      </c>
      <c r="D32" s="12" t="inlineStr">
        <is>
          <t>Σ (jumlah − terbayar) tagihan belum lunas dengan jatuh tempo &lt; hari ini</t>
        </is>
      </c>
      <c r="E32" s="15" t="inlineStr"/>
      <c r="F32" s="15" t="inlineStr"/>
      <c r="G32" s="13" t="inlineStr">
        <is>
          <t>Decimal</t>
        </is>
      </c>
      <c r="H32" s="15" t="inlineStr">
        <is>
          <t>dashboard/service.ts getPasarDashboard</t>
        </is>
      </c>
      <c r="I32" s="15" t="inlineStr"/>
      <c r="J32" s="14" t="inlineStr"/>
    </row>
    <row r="33" ht="30" customHeight="1">
      <c r="A33" s="10" t="inlineStr">
        <is>
          <t>PAS-05</t>
        </is>
      </c>
      <c r="B33" s="10" t="inlineStr">
        <is>
          <t>Pasar</t>
        </is>
      </c>
      <c r="C33" s="11" t="inlineStr">
        <is>
          <t>Setoran hari ini</t>
        </is>
      </c>
      <c r="D33" s="12" t="inlineStr">
        <is>
          <t>Σ expectedTotal batch kolektor dengan tanggal bisnis hari ini</t>
        </is>
      </c>
      <c r="E33" s="10" t="inlineStr">
        <is>
          <t>expectedTotal bertambah setiap setoran kolektor</t>
        </is>
      </c>
      <c r="F33" s="10" t="inlineStr"/>
      <c r="G33" s="14" t="inlineStr">
        <is>
          <t>Decimal</t>
        </is>
      </c>
      <c r="H33" s="10" t="inlineStr">
        <is>
          <t>collections/service.ts; dashboard/service.ts</t>
        </is>
      </c>
      <c r="I33" s="10" t="inlineStr"/>
      <c r="J33" s="14" t="inlineStr">
        <is>
          <t>M</t>
        </is>
      </c>
    </row>
    <row r="34" ht="30" customHeight="1">
      <c r="A34" s="15" t="inlineStr">
        <is>
          <t>PAS-06</t>
        </is>
      </c>
      <c r="B34" s="15" t="inlineStr">
        <is>
          <t>Pasar</t>
        </is>
      </c>
      <c r="C34" s="16" t="inlineStr">
        <is>
          <t>Selisih setoran kolektor</t>
        </is>
      </c>
      <c r="D34" s="12" t="inlineStr">
        <is>
          <t>Selisih = Diterima − Diharapkan
Kurang → Dr Piutang Kolektor; Lebih → Cr Selisih Kas</t>
        </is>
      </c>
      <c r="E34" s="15" t="inlineStr">
        <is>
          <t>Kolektor tidak boleh memverifikasi batch sendiri</t>
        </is>
      </c>
      <c r="F34" s="15" t="inlineStr">
        <is>
          <t>Batch harus SUBMITTED</t>
        </is>
      </c>
      <c r="G34" s="13" t="inlineStr">
        <is>
          <t>Decimal</t>
        </is>
      </c>
      <c r="H34" s="15" t="inlineStr">
        <is>
          <t>collections/service.ts verifyBatch; lib/journal.ts</t>
        </is>
      </c>
      <c r="I34" s="15" t="inlineStr"/>
      <c r="J34" s="14" t="inlineStr">
        <is>
          <t>M</t>
        </is>
      </c>
    </row>
    <row r="35" ht="56" customHeight="1">
      <c r="A35" s="10" t="inlineStr">
        <is>
          <t>MOD-01</t>
        </is>
      </c>
      <c r="B35" s="10" t="inlineStr">
        <is>
          <t>Permodalan</t>
        </is>
      </c>
      <c r="C35" s="11" t="inlineStr">
        <is>
          <t>Modal Sendiri</t>
        </is>
      </c>
      <c r="D35" s="12" t="inlineStr">
        <is>
          <t>MS = Σ saldo akun EKUITAS kelas {Simpanan Pokok, Simpanan Wajib, Modal Tetap, Cadangan Umum, Cadangan Risiko, Hibah} per tanggal + penyesuaian terbaru per cakupan
Saldo akun = Kredit − Debit (normal kredit)</t>
        </is>
      </c>
      <c r="E35" s="10" t="inlineStr">
        <is>
          <t>Tanpa unit = konsolidasi; dengan unit = unit itu saja</t>
        </is>
      </c>
      <c r="F35" s="10" t="inlineStr">
        <is>
          <t>Tidak termasuk Modal Penyertaan, SHU belum dibagi, ekuitas lain</t>
        </is>
      </c>
      <c r="G35" s="14" t="inlineStr">
        <is>
          <t>Decimal</t>
        </is>
      </c>
      <c r="H35" s="10" t="inlineStr">
        <is>
          <t>reports/capital-service.ts getModalSendiri</t>
        </is>
      </c>
      <c r="I35" s="10" t="inlineStr">
        <is>
          <t>Permenkop UKM 8/2023 Pasal 1 angka 23–24</t>
        </is>
      </c>
      <c r="J35" s="14" t="inlineStr">
        <is>
          <t>J</t>
        </is>
      </c>
    </row>
    <row r="36" ht="30" customHeight="1">
      <c r="A36" s="15" t="inlineStr">
        <is>
          <t>MOD-02</t>
        </is>
      </c>
      <c r="B36" s="15" t="inlineStr">
        <is>
          <t>Permodalan</t>
        </is>
      </c>
      <c r="C36" s="16" t="inlineStr">
        <is>
          <t>Rasio Modal Sendiri / Aset</t>
        </is>
      </c>
      <c r="D36" s="12" t="inlineStr">
        <is>
          <t>Rasio = MS ÷ Total Aset × 100%</t>
        </is>
      </c>
      <c r="E36" s="15" t="inlineStr"/>
      <c r="F36" s="15" t="inlineStr">
        <is>
          <t>Kosong bila aset 0</t>
        </is>
      </c>
      <c r="G36" s="13" t="inlineStr">
        <is>
          <t>Decimal</t>
        </is>
      </c>
      <c r="H36" s="15" t="inlineStr">
        <is>
          <t>dashboard/service.ts getCapitalDashboard</t>
        </is>
      </c>
      <c r="I36" s="15" t="inlineStr"/>
      <c r="J36" s="14" t="inlineStr">
        <is>
          <t>J</t>
        </is>
      </c>
    </row>
    <row r="37" ht="43" customHeight="1">
      <c r="A37" s="10" t="inlineStr">
        <is>
          <t>MOD-03</t>
        </is>
      </c>
      <c r="B37" s="10" t="inlineStr">
        <is>
          <t>Permodalan</t>
        </is>
      </c>
      <c r="C37" s="11" t="inlineStr">
        <is>
          <t>Ambang wajib audit</t>
        </is>
      </c>
      <c r="D37" s="12" t="inlineStr">
        <is>
          <t>WAJIB: MS per 31 Des tahun lalu ≥ Rp5 miliar
MENDEKATI: MS berjalan ≥ Rp5 miliar
Progres = MS ÷ Rp5 miliar</t>
        </is>
      </c>
      <c r="E37" s="10" t="inlineStr">
        <is>
          <t>Hanya tenant dengan unit KSP aktif</t>
        </is>
      </c>
      <c r="F37" s="10" t="inlineStr">
        <is>
          <t>Notifikasi maks. 1× per jenis per tahun; pengingat, tidak memblokir</t>
        </is>
      </c>
      <c r="G37" s="14" t="inlineStr">
        <is>
          <t>Decimal</t>
        </is>
      </c>
      <c r="H37" s="10" t="inlineStr">
        <is>
          <t>config/audit-threshold.ts; dashboard/service.ts</t>
        </is>
      </c>
      <c r="I37" s="10" t="inlineStr">
        <is>
          <t>Permenkop UKM 2/2024 Pasal 12</t>
        </is>
      </c>
      <c r="J37" s="14" t="inlineStr">
        <is>
          <t>J</t>
        </is>
      </c>
    </row>
    <row r="38" ht="30" customHeight="1">
      <c r="A38" s="15" t="inlineStr">
        <is>
          <t>MOD-04</t>
        </is>
      </c>
      <c r="B38" s="15" t="inlineStr">
        <is>
          <t>Permodalan</t>
        </is>
      </c>
      <c r="C38" s="16" t="inlineStr">
        <is>
          <t>Konsentrasi simpanan</t>
        </is>
      </c>
      <c r="D38" s="12" t="inlineStr">
        <is>
          <t>Tampilkan anggota dengan saldo Pokok + Wajib &gt; MS × 20%
% = saldo ÷ MS × 100</t>
        </is>
      </c>
      <c r="E38" s="15" t="inlineStr"/>
      <c r="F38" s="15" t="inlineStr">
        <is>
          <t>Indikator, bukan aturan</t>
        </is>
      </c>
      <c r="G38" s="13" t="inlineStr">
        <is>
          <t>Decimal</t>
        </is>
      </c>
      <c r="H38" s="15" t="inlineStr">
        <is>
          <t>dashboard/service.ts getCapitalDashboard</t>
        </is>
      </c>
      <c r="I38" s="15" t="inlineStr"/>
      <c r="J38" s="14" t="inlineStr">
        <is>
          <t>J</t>
        </is>
      </c>
    </row>
    <row r="39" ht="30" customHeight="1">
      <c r="A39" s="10" t="inlineStr">
        <is>
          <t>MOD-05</t>
        </is>
      </c>
      <c r="B39" s="10" t="inlineStr">
        <is>
          <t>Permodalan</t>
        </is>
      </c>
      <c r="C39" s="11" t="inlineStr">
        <is>
          <t>Klasifikasi KSP</t>
        </is>
      </c>
      <c r="D39" s="12" t="inlineStr">
        <is>
          <t>KSP I/II/III = kelas terendah yang batas anggota, MS dan aset-nya semua terpenuhi; selain itu KSP IV</t>
        </is>
      </c>
      <c r="E39" s="10" t="inlineStr">
        <is>
          <t>Batas: lihat sheet Parameter</t>
        </is>
      </c>
      <c r="F39" s="10" t="inlineStr"/>
      <c r="G39" s="14" t="inlineStr">
        <is>
          <t>Decimal</t>
        </is>
      </c>
      <c r="H39" s="10" t="inlineStr">
        <is>
          <t>lib/regulatory-config.ts classifyKsp</t>
        </is>
      </c>
      <c r="I39" s="10" t="inlineStr">
        <is>
          <t>Permenkop UKM 8/2023 Pasal 49</t>
        </is>
      </c>
      <c r="J39" s="14" t="inlineStr">
        <is>
          <t>K</t>
        </is>
      </c>
    </row>
    <row r="40" ht="30" customHeight="1">
      <c r="A40" s="15" t="inlineStr">
        <is>
          <t>MOD-06</t>
        </is>
      </c>
      <c r="B40" s="15" t="inlineStr">
        <is>
          <t>Permodalan</t>
        </is>
      </c>
      <c r="C40" s="16" t="inlineStr">
        <is>
          <t>Penggunaan BMPP (dashboard)</t>
        </is>
      </c>
      <c r="D40" s="12" t="inlineStr">
        <is>
          <t>Penggunaan = pokok aktif ÷ batas BMPP × 100%</t>
        </is>
      </c>
      <c r="E40" s="15" t="inlineStr">
        <is>
          <t>Diurutkan dari yang paling dekat batas</t>
        </is>
      </c>
      <c r="F40" s="15" t="inlineStr"/>
      <c r="G40" s="13" t="inlineStr">
        <is>
          <t>Decimal</t>
        </is>
      </c>
      <c r="H40" s="15" t="inlineStr">
        <is>
          <t>dashboard/service.ts getCapitalDashboard</t>
        </is>
      </c>
      <c r="I40" s="15" t="inlineStr"/>
      <c r="J40" s="14" t="inlineStr">
        <is>
          <t>F</t>
        </is>
      </c>
    </row>
    <row r="41" ht="30" customHeight="1">
      <c r="A41" s="10" t="inlineStr">
        <is>
          <t>KUA-01</t>
        </is>
      </c>
      <c r="B41" s="10" t="inlineStr">
        <is>
          <t>Dashboard</t>
        </is>
      </c>
      <c r="C41" s="11" t="inlineStr">
        <is>
          <t>Total outstanding</t>
        </is>
      </c>
      <c r="D41" s="12" t="inlineStr">
        <is>
          <t>Σ remainingAmount pinjaman ACTIVE (per KOL)</t>
        </is>
      </c>
      <c r="E41" s="10" t="inlineStr"/>
      <c r="F41" s="10" t="inlineStr"/>
      <c r="G41" s="14" t="inlineStr">
        <is>
          <t>Decimal</t>
        </is>
      </c>
      <c r="H41" s="10" t="inlineStr">
        <is>
          <t>dashboard/service.ts getLoanQualityDashboard</t>
        </is>
      </c>
      <c r="I41" s="10" t="inlineStr"/>
      <c r="J41" s="14" t="inlineStr">
        <is>
          <t>I</t>
        </is>
      </c>
    </row>
    <row r="42" ht="30" customHeight="1">
      <c r="A42" s="15" t="inlineStr">
        <is>
          <t>KUA-02</t>
        </is>
      </c>
      <c r="B42" s="15" t="inlineStr">
        <is>
          <t>Dashboard</t>
        </is>
      </c>
      <c r="C42" s="16" t="inlineStr">
        <is>
          <t>Rasio NPL</t>
        </is>
      </c>
      <c r="D42" s="12" t="inlineStr">
        <is>
          <t>NPL = (Kurang Lancar + Diragukan + Macet) ÷ Total outstanding × 100%</t>
        </is>
      </c>
      <c r="E42" s="15" t="inlineStr"/>
      <c r="F42" s="15" t="inlineStr"/>
      <c r="G42" s="13" t="inlineStr">
        <is>
          <t>Decimal</t>
        </is>
      </c>
      <c r="H42" s="15" t="inlineStr">
        <is>
          <t>dashboard/service.ts</t>
        </is>
      </c>
      <c r="I42" s="15" t="inlineStr"/>
      <c r="J42" s="14" t="inlineStr">
        <is>
          <t>I</t>
        </is>
      </c>
    </row>
    <row r="43" ht="30" customHeight="1">
      <c r="A43" s="10" t="inlineStr">
        <is>
          <t>KUA-03</t>
        </is>
      </c>
      <c r="B43" s="10" t="inlineStr">
        <is>
          <t>Dashboard</t>
        </is>
      </c>
      <c r="C43" s="11" t="inlineStr">
        <is>
          <t>LDR</t>
        </is>
      </c>
      <c r="D43" s="12" t="inlineStr">
        <is>
          <t>LDR = Total outstanding ÷ Σ saldo simpanan non-ekuitas × 100%</t>
        </is>
      </c>
      <c r="E43" s="10" t="inlineStr">
        <is>
          <t>Non-ekuitas = selain Pokok &amp; Wajib (yaitu Sukarela)</t>
        </is>
      </c>
      <c r="F43" s="10" t="inlineStr"/>
      <c r="G43" s="14" t="inlineStr">
        <is>
          <t>Decimal</t>
        </is>
      </c>
      <c r="H43" s="10" t="inlineStr">
        <is>
          <t>dashboard/service.ts</t>
        </is>
      </c>
      <c r="I43" s="10" t="inlineStr"/>
      <c r="J43" s="14" t="inlineStr">
        <is>
          <t>I</t>
        </is>
      </c>
    </row>
    <row r="44" ht="43" customHeight="1">
      <c r="A44" s="15" t="inlineStr">
        <is>
          <t>KUA-04</t>
        </is>
      </c>
      <c r="B44" s="15" t="inlineStr">
        <is>
          <t>Dashboard</t>
        </is>
      </c>
      <c r="C44" s="16" t="inlineStr">
        <is>
          <t>Pertumbuhan bulanan (12 bulan)</t>
        </is>
      </c>
      <c r="D44" s="12" t="inlineStr">
        <is>
          <t>Anggota baru = jumlah anggota dibuat di bulan itu
Arus simpanan bersih = Σ setoran + bunga − penarikan
Pencairan = Σ pokok dicairkan; Angsuran = Σ pembayaran</t>
        </is>
      </c>
      <c r="E44" s="15" t="inlineStr"/>
      <c r="F44" s="15" t="inlineStr"/>
      <c r="G44" s="13" t="inlineStr">
        <is>
          <t>Decimal</t>
        </is>
      </c>
      <c r="H44" s="15" t="inlineStr">
        <is>
          <t>dashboard/service.ts getGrowthDashboard</t>
        </is>
      </c>
      <c r="I44" s="15" t="inlineStr"/>
      <c r="J44" s="14" t="inlineStr"/>
    </row>
    <row r="45" ht="69" customHeight="1">
      <c r="A45" s="10" t="inlineStr">
        <is>
          <t>KUA-05</t>
        </is>
      </c>
      <c r="B45" s="10" t="inlineStr">
        <is>
          <t>Laporan</t>
        </is>
      </c>
      <c r="C45" s="11" t="inlineStr">
        <is>
          <t>Portfolio at Risk (PAR) per bucket</t>
        </is>
      </c>
      <c r="D45" s="12" t="inlineStr">
        <is>
          <t>Bucket menurut Loan.daysOverdue: ≤0 CURRENT; ≤30 D1_30; ≤60 D31_60; ≤90 D61_90; &gt;90 D90_PLUS
PAR&gt;1 = Σ outstanding (D1_30…D90_PLUS) ÷ Total × 100%
PAR&gt;30 = Σ (D31_60…D90_PLUS) ÷ Total × 100%
PAR&gt;90 = Σ D90_PLUS ÷ Total × 100%</t>
        </is>
      </c>
      <c r="E45" s="10" t="inlineStr">
        <is>
          <t>Hanya pinjaman ACTIVE. Outstanding = pokok belum dibayar (KUA-07). Rasio NPL laporan = PAR&gt;90; sama dengan KL + D + M di KUA-02 karena batas KOL Dalam Perhatian ≤90 hari.</t>
        </is>
      </c>
      <c r="F45" s="10" t="inlineStr">
        <is>
          <t>Persen, 2 desimal. Buku kosong → 0 (bukan pembagian nol). Hari tunggakan memakai Loan.daysOverdue hasil job KOL harian (lib/kol.ts), bukan dihitung ulang (lihat Temuan T9).</t>
        </is>
      </c>
      <c r="G45" s="14" t="inlineStr">
        <is>
          <t>Decimal</t>
        </is>
      </c>
      <c r="H45" s="10" t="inlineStr">
        <is>
          <t>reports/portfolio-service.ts getPortfolioPar; listParLoans</t>
        </is>
      </c>
      <c r="I45" s="10" t="inlineStr">
        <is>
          <t>Praktik umum mikrokeuangan (PAR30/PAR90)</t>
        </is>
      </c>
      <c r="J45" s="14" t="inlineStr">
        <is>
          <t>N</t>
        </is>
      </c>
    </row>
    <row r="46" ht="56" customHeight="1">
      <c r="A46" s="15" t="inlineStr">
        <is>
          <t>KUA-06</t>
        </is>
      </c>
      <c r="B46" s="15" t="inlineStr">
        <is>
          <t>Laporan</t>
        </is>
      </c>
      <c r="C46" s="16" t="inlineStr">
        <is>
          <t>PAR per produk pinjaman</t>
        </is>
      </c>
      <c r="D46" s="12" t="inlineStr">
        <is>
          <t>PAR30_p = Σ outstanding (daysOverdue &gt; 30) ÷ Outstanding produk p × 100%
PAR90_p = Σ outstanding (daysOverdue &gt; 90) ÷ Outstanding produk p × 100%</t>
        </is>
      </c>
      <c r="E46" s="15" t="inlineStr">
        <is>
          <t>Dikelompokkan per LoanConfig, urut outstanding terbesar.</t>
        </is>
      </c>
      <c r="F46" s="15" t="inlineStr">
        <is>
          <t>Persen, 2 desimal; produk tanpa outstanding → 0.</t>
        </is>
      </c>
      <c r="G46" s="13" t="inlineStr">
        <is>
          <t>Decimal</t>
        </is>
      </c>
      <c r="H46" s="15" t="inlineStr">
        <is>
          <t>reports/portfolio-service.ts getPortfolioPar (byProduct)</t>
        </is>
      </c>
      <c r="I46" s="15" t="inlineStr"/>
      <c r="J46" s="14" t="inlineStr">
        <is>
          <t>N</t>
        </is>
      </c>
    </row>
    <row r="47" ht="56" customHeight="1">
      <c r="A47" s="10" t="inlineStr">
        <is>
          <t>KUA-07</t>
        </is>
      </c>
      <c r="B47" s="10" t="inlineStr">
        <is>
          <t>Laporan</t>
        </is>
      </c>
      <c r="C47" s="11" t="inlineStr">
        <is>
          <t>Outstanding pokok pinjaman</t>
        </is>
      </c>
      <c r="D47" s="12" t="inlineStr">
        <is>
          <t>Bila ada jadwal: Σ (principalDue − principalPaid)
Bila tanpa jadwal: remainingAmount × principalAmount ÷ totalAmount
Bila totalAmount = 0: 0</t>
        </is>
      </c>
      <c r="E47" s="10" t="inlineStr">
        <is>
          <t>Pinjaman lama sebelum fitur jadwal memakai porsi pokok flat (sama dengan PIN-09). Lihat Temuan T11.</t>
        </is>
      </c>
      <c r="F47" s="10" t="inlineStr">
        <is>
          <t>Tidak dibulatkan di SQL; dibulatkan 2 desimal saat ditampilkan.</t>
        </is>
      </c>
      <c r="G47" s="14" t="inlineStr">
        <is>
          <t>Decimal</t>
        </is>
      </c>
      <c r="H47" s="10" t="inlineStr">
        <is>
          <t>reports/portfolio-service.ts outstandingSql</t>
        </is>
      </c>
      <c r="I47" s="10" t="inlineStr"/>
      <c r="J47" s="14" t="inlineStr">
        <is>
          <t>N</t>
        </is>
      </c>
    </row>
    <row r="48" ht="69" customHeight="1">
      <c r="A48" s="15" t="inlineStr">
        <is>
          <t>KUA-08</t>
        </is>
      </c>
      <c r="B48" s="15" t="inlineStr">
        <is>
          <t>Laporan</t>
        </is>
      </c>
      <c r="C48" s="16" t="inlineStr">
        <is>
          <t>Efisiensi penagihan</t>
        </is>
      </c>
      <c r="D48" s="12" t="inlineStr">
        <is>
          <t>Efisiensi = Σ (principalPaid + interestPaid) cicilan jatuh tempo dalam periode ÷ Σ (principalDue + interestDue) cicilan itu × 100%</t>
        </is>
      </c>
      <c r="E48" s="15" t="inlineStr">
        <is>
          <t>Cicilan pinjaman ACTIVE atau COMPLETED dengan jatuh tempo dalam [dari, sampai]. Kas diterima periode = Σ LoanPayment.amount (paidAt dalam periode), hanya informasi. Pinjaman ACTIVE tanpa jadwal tidak terukur dan hanya dihitung jumlahnya.</t>
        </is>
      </c>
      <c r="F48" s="15" t="inlineStr">
        <is>
          <t>Kosong (null) bila tidak ada tagihan jatuh tempo. 'Terbayar' kumulatif sampai sekarang, bukan sampai akhir periode, sehingga periode lama bisa naik seiring waktu (lihat Temuan T10).</t>
        </is>
      </c>
      <c r="G48" s="13" t="inlineStr">
        <is>
          <t>Decimal</t>
        </is>
      </c>
      <c r="H48" s="15" t="inlineStr">
        <is>
          <t>reports/portfolio-service.ts getCollectionEfficiency</t>
        </is>
      </c>
      <c r="I48" s="15" t="inlineStr"/>
      <c r="J48" s="14" t="inlineStr">
        <is>
          <t>N</t>
        </is>
      </c>
    </row>
    <row r="49" ht="56" customHeight="1">
      <c r="A49" s="10" t="inlineStr">
        <is>
          <t>LAP-01</t>
        </is>
      </c>
      <c r="B49" s="10" t="inlineStr">
        <is>
          <t>Laporan</t>
        </is>
      </c>
      <c r="C49" s="11" t="inlineStr">
        <is>
          <t>SHU berjalan</t>
        </is>
      </c>
      <c r="D49" s="12" t="inlineStr">
        <is>
          <t>SHU = Σ kontribusi PENDAPATAN − Σ kontribusi BEBAN dalam periode
Kontribusi akun = saldo sisi normal; akun kontra bernilai negatif</t>
        </is>
      </c>
      <c r="E49" s="10" t="inlineStr">
        <is>
          <t>Akun induk (header) hanya ditampilkan, tidak dijumlahkan (menghindari hitung ganda).</t>
        </is>
      </c>
      <c r="F49" s="10" t="inlineStr">
        <is>
          <t>Entri penutup (entryType PENUTUP, Tutup Buku) dikecualikan dari mutasi periode agar laba rugi tahun yang sudah ditutup tetap menampilkan aktivitas aslinya. Pembulatan 2 desimal.</t>
        </is>
      </c>
      <c r="G49" s="14" t="inlineStr">
        <is>
          <t>Decimal</t>
        </is>
      </c>
      <c r="H49" s="10" t="inlineStr">
        <is>
          <t>reports/regulatory-service.ts getLaporanHasilUsaha</t>
        </is>
      </c>
      <c r="I49" s="10" t="inlineStr"/>
      <c r="J49" s="14" t="inlineStr">
        <is>
          <t>L</t>
        </is>
      </c>
    </row>
    <row r="50" ht="69" customHeight="1">
      <c r="A50" s="15" t="inlineStr">
        <is>
          <t>LAP-02</t>
        </is>
      </c>
      <c r="B50" s="15" t="inlineStr">
        <is>
          <t>Laporan</t>
        </is>
      </c>
      <c r="C50" s="16" t="inlineStr">
        <is>
          <t>Identitas Neraca</t>
        </is>
      </c>
      <c r="D50" s="12" t="inlineStr">
        <is>
          <t>Aset = Kewajiban + Ekuitas + SHU Tahun Berjalan (Belum Ditutup, dihitung otomatis)
SHU Tahun Berjalan = Σ kontribusi PENDAPATAN − Σ kontribusi BEBAN (kumulatif s.d. tanggal neraca)</t>
        </is>
      </c>
      <c r="E50" s="15" t="inlineStr">
        <is>
          <t>Baris SHU berjalan dihitung, bukan akun. Total seksi = Σ akun rinci; akun induk menampilkan roll-up anak (LAP-10), akun kontra mengurangi seksinya (LAP-11).</t>
        </is>
      </c>
      <c r="F50" s="15" t="inlineStr">
        <is>
          <t>Seimbang bila |Aset − (Kewajiban + Ekuitas)| &lt; 0,01. Setelah Tutup Buku (LAP-15) entri PENUTUP ikut dihitung, sehingga PENDAPATAN/BEBAN tahun lalu bernilai nol dan hasilnya berpindah ke akun ekuitas tujuan.</t>
        </is>
      </c>
      <c r="G50" s="13" t="inlineStr">
        <is>
          <t>Decimal</t>
        </is>
      </c>
      <c r="H50" s="15" t="inlineStr">
        <is>
          <t>reports/regulatory-service.ts getNeraca</t>
        </is>
      </c>
      <c r="I50" s="15" t="inlineStr"/>
      <c r="J50" s="14" t="inlineStr"/>
    </row>
    <row r="51" ht="30" customHeight="1">
      <c r="A51" s="10" t="inlineStr">
        <is>
          <t>LAP-03</t>
        </is>
      </c>
      <c r="B51" s="10" t="inlineStr">
        <is>
          <t>Laporan</t>
        </is>
      </c>
      <c r="C51" s="11" t="inlineStr">
        <is>
          <t>Alokasi SHU</t>
        </is>
      </c>
      <c r="D51" s="12" t="inlineStr">
        <is>
          <t>Pool_k = SHU × %_k untuk k ∈ {Jasa Simpanan, Jasa Pinjaman, Cadangan, Lainnya}</t>
        </is>
      </c>
      <c r="E51" s="10" t="inlineStr">
        <is>
          <t>% dari Konfigurasi SHU</t>
        </is>
      </c>
      <c r="F51" s="10" t="inlineStr">
        <is>
          <t>Dibagi ke anggota hanya bila SHU &gt; 0</t>
        </is>
      </c>
      <c r="G51" s="13" t="inlineStr">
        <is>
          <t>number (float)</t>
        </is>
      </c>
      <c r="H51" s="10" t="inlineStr">
        <is>
          <t>reports/regulatory-service.ts getShuDistribution</t>
        </is>
      </c>
      <c r="I51" s="10" t="inlineStr">
        <is>
          <t>AD/ART</t>
        </is>
      </c>
      <c r="J51" s="14" t="inlineStr">
        <is>
          <t>L</t>
        </is>
      </c>
    </row>
    <row r="52" ht="30" customHeight="1">
      <c r="A52" s="15" t="inlineStr">
        <is>
          <t>LAP-04</t>
        </is>
      </c>
      <c r="B52" s="15" t="inlineStr">
        <is>
          <t>Laporan</t>
        </is>
      </c>
      <c r="C52" s="16" t="inlineStr">
        <is>
          <t>Jasa Simpanan per anggota</t>
        </is>
      </c>
      <c r="D52" s="12" t="inlineStr">
        <is>
          <t>RataSaldo_i = (saldo awal + saldo akhir periode) ÷ 2
JS_i = RataSaldo_i ÷ Σ RataSaldo × Pool JS</t>
        </is>
      </c>
      <c r="E52" s="15" t="inlineStr">
        <is>
          <t>Anggota aktif</t>
        </is>
      </c>
      <c r="F52" s="15" t="inlineStr"/>
      <c r="G52" s="13" t="inlineStr">
        <is>
          <t>number (float)</t>
        </is>
      </c>
      <c r="H52" s="15" t="inlineStr">
        <is>
          <t>reports/regulatory-service.ts</t>
        </is>
      </c>
      <c r="I52" s="15" t="inlineStr"/>
      <c r="J52" s="14" t="inlineStr">
        <is>
          <t>L</t>
        </is>
      </c>
    </row>
    <row r="53" ht="30" customHeight="1">
      <c r="A53" s="10" t="inlineStr">
        <is>
          <t>LAP-05</t>
        </is>
      </c>
      <c r="B53" s="10" t="inlineStr">
        <is>
          <t>Laporan</t>
        </is>
      </c>
      <c r="C53" s="11" t="inlineStr">
        <is>
          <t>Jasa Pinjaman per anggota</t>
        </is>
      </c>
      <c r="D53" s="12" t="inlineStr">
        <is>
          <t>JP_i = Bunga dibayar_i ÷ Σ Bunga dibayar × Pool JP</t>
        </is>
      </c>
      <c r="E53" s="10" t="inlineStr">
        <is>
          <t>Bunga dibayar dari pembayaran pinjaman dalam periode (PIN-09)</t>
        </is>
      </c>
      <c r="F53" s="10" t="inlineStr"/>
      <c r="G53" s="13" t="inlineStr">
        <is>
          <t>number (float)</t>
        </is>
      </c>
      <c r="H53" s="10" t="inlineStr">
        <is>
          <t>reports/regulatory-service.ts</t>
        </is>
      </c>
      <c r="I53" s="10" t="inlineStr"/>
      <c r="J53" s="14" t="inlineStr">
        <is>
          <t>L</t>
        </is>
      </c>
    </row>
    <row r="54" ht="43" customHeight="1">
      <c r="A54" s="15" t="inlineStr">
        <is>
          <t>LAP-06</t>
        </is>
      </c>
      <c r="B54" s="15" t="inlineStr">
        <is>
          <t>Laporan</t>
        </is>
      </c>
      <c r="C54" s="16" t="inlineStr">
        <is>
          <t>Rincian SHU simpanan</t>
        </is>
      </c>
      <c r="D54" s="12" t="inlineStr">
        <is>
          <t>SHU Sukarela = RataSukarela ÷ RataSaldo × JS_i
SHU Pokok+Wajib = JS_i − SHU Sukarela
Total SHU = JS_i + JP_i</t>
        </is>
      </c>
      <c r="E54" s="15" t="inlineStr">
        <is>
          <t>Sisa pembulatan masuk Pokok+Wajib</t>
        </is>
      </c>
      <c r="F54" s="15" t="inlineStr"/>
      <c r="G54" s="13" t="inlineStr">
        <is>
          <t>number (float)</t>
        </is>
      </c>
      <c r="H54" s="15" t="inlineStr">
        <is>
          <t>reports/regulatory-service.ts</t>
        </is>
      </c>
      <c r="I54" s="15" t="inlineStr"/>
      <c r="J54" s="14" t="inlineStr">
        <is>
          <t>L</t>
        </is>
      </c>
    </row>
    <row r="55" ht="56" customHeight="1">
      <c r="A55" s="10" t="inlineStr">
        <is>
          <t>LAP-07</t>
        </is>
      </c>
      <c r="B55" s="10" t="inlineStr">
        <is>
          <t>Laporan</t>
        </is>
      </c>
      <c r="C55" s="11" t="inlineStr">
        <is>
          <t>Perubahan Ekuitas</t>
        </is>
      </c>
      <c r="D55" s="12" t="inlineStr">
        <is>
          <t>Saldo Akhir_k = Saldo Awal_k + Penambahan_k − Pengurangan_k per kelas ekuitas</t>
        </is>
      </c>
      <c r="E55" s="10" t="inlineStr">
        <is>
          <t>Urutan kolom sesuai lampiran Permenkop UKM 2/2024. Saldo awal/akhir kumulatif; mutasi per periode.</t>
        </is>
      </c>
      <c r="F55" s="10" t="inlineStr">
        <is>
          <t>Mutasi periode mengecualikan entri PENUTUP, supaya SHU tahun berjalan tampil sebagai penambahan ekuitas, bukan sebagai pemindahan hasil tutup buku.</t>
        </is>
      </c>
      <c r="G55" s="14" t="inlineStr">
        <is>
          <t>Decimal</t>
        </is>
      </c>
      <c r="H55" s="10" t="inlineStr">
        <is>
          <t>reports/capital-service.ts getPerubahanEkuitas</t>
        </is>
      </c>
      <c r="I55" s="10" t="inlineStr">
        <is>
          <t>Permenkop UKM 2/2024</t>
        </is>
      </c>
      <c r="J55" s="14" t="inlineStr"/>
    </row>
    <row r="56" ht="30" customHeight="1">
      <c r="A56" s="15" t="inlineStr">
        <is>
          <t>LAP-08</t>
        </is>
      </c>
      <c r="B56" s="15" t="inlineStr">
        <is>
          <t>Laporan</t>
        </is>
      </c>
      <c r="C56" s="16" t="inlineStr">
        <is>
          <t>Konsolidasi KSU</t>
        </is>
      </c>
      <c r="D56" s="12" t="inlineStr">
        <is>
          <t>Konsolidasi = Σ per unit + bucket 'tidak teralokasi' (JournalEntry.unitId = null)</t>
        </is>
      </c>
      <c r="E56" s="15" t="inlineStr"/>
      <c r="F56" s="15" t="inlineStr"/>
      <c r="G56" s="13" t="inlineStr">
        <is>
          <t>Decimal</t>
        </is>
      </c>
      <c r="H56" s="15" t="inlineStr">
        <is>
          <t>ksu/service.ts; CLAUDE.md aturan 2b</t>
        </is>
      </c>
      <c r="I56" s="15" t="inlineStr"/>
      <c r="J56" s="14" t="inlineStr"/>
    </row>
    <row r="57" ht="30" customHeight="1">
      <c r="A57" s="10" t="inlineStr">
        <is>
          <t>LAP-09</t>
        </is>
      </c>
      <c r="B57" s="10" t="inlineStr">
        <is>
          <t>Laporan</t>
        </is>
      </c>
      <c r="C57" s="11" t="inlineStr">
        <is>
          <t>Batas tanggal periode</t>
        </is>
      </c>
      <c r="D57" s="12" t="inlineStr">
        <is>
          <t>Dari = awal hari bisnis; Sampai = akhir hari bisnis (23:59:59.999 WIB)</t>
        </is>
      </c>
      <c r="E57" s="10" t="inlineStr">
        <is>
          <t>Menggantikan endOfDay waktu server (perbaikan D7)</t>
        </is>
      </c>
      <c r="F57" s="10" t="inlineStr"/>
      <c r="G57" s="14" t="inlineStr">
        <is>
          <t>tanggal</t>
        </is>
      </c>
      <c r="H57" s="10" t="inlineStr">
        <is>
          <t>lib/operating-calendar.ts; reports/routes.ts</t>
        </is>
      </c>
      <c r="I57" s="10" t="inlineStr"/>
      <c r="J57" s="14" t="inlineStr"/>
    </row>
    <row r="58" ht="56" customHeight="1">
      <c r="A58" s="15" t="inlineStr">
        <is>
          <t>LAP-10</t>
        </is>
      </c>
      <c r="B58" s="15" t="inlineStr">
        <is>
          <t>Laporan</t>
        </is>
      </c>
      <c r="C58" s="16" t="inlineStr">
        <is>
          <t>Roll-up akun induk</t>
        </is>
      </c>
      <c r="D58" s="12" t="inlineStr">
        <is>
          <t>Σdebit_induk = Σdebit_akun + Σdebit semua keturunan
Σkredit_induk = Σkredit_akun + Σkredit semua keturunan
Nilai induk = nilai sisi normal induk dari Σ sisi yang sudah dijumlah</t>
        </is>
      </c>
      <c r="E58" s="15" t="inlineStr">
        <is>
          <t>Hirarki dari Account.parentId, bukan rentang kode. Induk hanya untuk tampilan; total seksi menjumlah akun rinci saja.</t>
        </is>
      </c>
      <c r="F58" s="15" t="inlineStr">
        <is>
          <t>Menjumlah sisi debit/kredit mentah (bukan saldo bertanda) agar anak kontra tetap benar. Siklus induk dihentikan, bukan berulang tanpa akhir.</t>
        </is>
      </c>
      <c r="G58" s="13" t="inlineStr">
        <is>
          <t>Decimal</t>
        </is>
      </c>
      <c r="H58" s="15" t="inlineStr">
        <is>
          <t>lib/account-tree.ts rollUpSums, orderDepthFirst</t>
        </is>
      </c>
      <c r="I58" s="15" t="inlineStr"/>
      <c r="J58" s="14" t="inlineStr">
        <is>
          <t>P</t>
        </is>
      </c>
    </row>
    <row r="59" ht="82" customHeight="1">
      <c r="A59" s="10" t="inlineStr">
        <is>
          <t>LAP-11</t>
        </is>
      </c>
      <c r="B59" s="10" t="inlineStr">
        <is>
          <t>Laporan</t>
        </is>
      </c>
      <c r="C59" s="11" t="inlineStr">
        <is>
          <t>Akun kontra</t>
        </is>
      </c>
      <c r="D59" s="12" t="inlineStr">
        <is>
          <t>Kontra ⇔ sisi normal ≠ sisi alami kategori (ASET, BEBAN = DEBIT; lainnya = KREDIT)
Kontribusi ke seksi = −NilaiSisiNormal bila kontra, else +NilaiSisiNormal
NilaiSisiNormal = Debit − Kredit (DEBIT) atau Kredit − Debit (KREDIT)</t>
        </is>
      </c>
      <c r="E59" s="10" t="inlineStr">
        <is>
          <t>Contoh: Penyisihan Kerugian Piutang, Prive, Retur Penjualan. Tanpa flag tersimpan, supaya tidak bisa menyimpang dari data.</t>
        </is>
      </c>
      <c r="F59" s="10" t="inlineStr">
        <is>
          <t>Neraca Saldo (LAP-12) tidak melakukan netting kontra: tiap akun ditampilkan pada sisi sebenarnya.</t>
        </is>
      </c>
      <c r="G59" s="14" t="inlineStr">
        <is>
          <t>Decimal</t>
        </is>
      </c>
      <c r="H59" s="10" t="inlineStr">
        <is>
          <t>lib/account-tree.ts isContraAccount, reportContribution</t>
        </is>
      </c>
      <c r="I59" s="10" t="inlineStr"/>
      <c r="J59" s="14" t="inlineStr">
        <is>
          <t>P</t>
        </is>
      </c>
    </row>
    <row r="60" ht="69" customHeight="1">
      <c r="A60" s="15" t="inlineStr">
        <is>
          <t>LAP-12</t>
        </is>
      </c>
      <c r="B60" s="15" t="inlineStr">
        <is>
          <t>Laporan</t>
        </is>
      </c>
      <c r="C60" s="16" t="inlineStr">
        <is>
          <t>Neraca Saldo</t>
        </is>
      </c>
      <c r="D60" s="12" t="inlineStr">
        <is>
          <t>SaldoAwal = NilaiSisiNormal(Σ semua entri sebelum periode)
Mutasi D/K = Σ debit / Σ kredit dalam periode
SaldoAkhir = SaldoAwal + NilaiSisiNormal(mutasi)</t>
        </is>
      </c>
      <c r="E60" s="15" t="inlineStr">
        <is>
          <t>Akun induk = roll-up anak (LAP-10). Entri PENUTUP ikut dihitung. Scope unit: semua / satu unit / bucket tidak teralokasi (LAP-08).</t>
        </is>
      </c>
      <c r="F60" s="15" t="inlineStr">
        <is>
          <t>Seimbang ⇔ ΣMutasi Debit = ΣMutasi Kredit dan Σ SaldoAkhir akun DEBIT = Σ SaldoAkhir akun KREDIT, hanya atas akun rinci. Buku Besar ringkasan = Neraca Saldo tanpa akun yang seluruhnya nol.</t>
        </is>
      </c>
      <c r="G60" s="13" t="inlineStr">
        <is>
          <t>Decimal</t>
        </is>
      </c>
      <c r="H60" s="15" t="inlineStr">
        <is>
          <t>reports/ledger-service.ts getNeracaSaldo, getBukuBesar</t>
        </is>
      </c>
      <c r="I60" s="15" t="inlineStr"/>
      <c r="J60" s="14" t="inlineStr"/>
    </row>
    <row r="61" ht="56" customHeight="1">
      <c r="A61" s="10" t="inlineStr">
        <is>
          <t>LAP-13</t>
        </is>
      </c>
      <c r="B61" s="10" t="inlineStr">
        <is>
          <t>Laporan</t>
        </is>
      </c>
      <c r="C61" s="11" t="inlineStr">
        <is>
          <t>Buku Besar — saldo berjalan</t>
        </is>
      </c>
      <c r="D61" s="12" t="inlineStr">
        <is>
          <t>Saldo_i = SaldoAwal + Σ(j≤i) tanda(debit_j, kredit_j)
tanda = Debit − Kredit (akun DEBIT) atau Kredit − Debit (akun KREDIT)
SaldoAkhir = SaldoAwal + Σ tanda dalam periode</t>
        </is>
      </c>
      <c r="E61" s="10" t="inlineStr">
        <is>
          <t>Urutan baris: tanggal entri, nomor entri (LAN-07), id. Antar halaman saldo tetap menyambung karena mutasi baris sebelum halaman dilipat ke saldo awal halaman.</t>
        </is>
      </c>
      <c r="F61" s="10" t="inlineStr">
        <is>
          <t>Akun induk ditolak (tidak punya mutasi sendiri).</t>
        </is>
      </c>
      <c r="G61" s="14" t="inlineStr">
        <is>
          <t>Decimal</t>
        </is>
      </c>
      <c r="H61" s="10" t="inlineStr">
        <is>
          <t>reports/ledger-service.ts getBukuBesarAccount</t>
        </is>
      </c>
      <c r="I61" s="10" t="inlineStr"/>
      <c r="J61" s="14" t="inlineStr"/>
    </row>
    <row r="62" ht="95" customHeight="1">
      <c r="A62" s="15" t="inlineStr">
        <is>
          <t>LAP-14</t>
        </is>
      </c>
      <c r="B62" s="15" t="inlineStr">
        <is>
          <t>Laporan</t>
        </is>
      </c>
      <c r="C62" s="16" t="inlineStr">
        <is>
          <t>Periode pembanding (Neraca, Hasil Usaha, Neraca Saldo)</t>
        </is>
      </c>
      <c r="D62" s="12" t="inlineStr">
        <is>
          <t>PREVIOUS_YEAR: [dari, sampai] digeser 12 bulan
PREVIOUS_PERIOD, bulan kalender penuh: digeser n bulan, n = jumlah bulan
PREVIOUS_PERIOD lainnya: L = sampai − dari + 1 hari; pembanding = [dari − L, dari − 1]
Neraca (tanggal): digeser 1 bulan (PREVIOUS_PERIOD) atau 12 bulan (PREVIOUS_YEAR)</t>
        </is>
      </c>
      <c r="E62" s="15" t="inlineStr">
        <is>
          <t>Tanggal yang tidak ada di bulan tujuan dijepit ke hari terakhir bulan (31 Mar → 28 Feb); akhir bulan tetap akhir bulan.</t>
        </is>
      </c>
      <c r="F62" s="15" t="inlineStr">
        <is>
          <t>Aritmetika tanggal pada string YYYY-MM-DD dengan UTC, sehingga zona waktu server tidak menggeser batas satu hari.</t>
        </is>
      </c>
      <c r="G62" s="13" t="inlineStr">
        <is>
          <t>tanggal</t>
        </is>
      </c>
      <c r="H62" s="15" t="inlineStr">
        <is>
          <t>lib/comparison.ts comparisonRange, comparisonAsOf</t>
        </is>
      </c>
      <c r="I62" s="15" t="inlineStr"/>
      <c r="J62" s="14" t="inlineStr"/>
    </row>
    <row r="63" ht="82" customHeight="1">
      <c r="A63" s="10" t="inlineStr">
        <is>
          <t>LAP-15</t>
        </is>
      </c>
      <c r="B63" s="10" t="inlineStr">
        <is>
          <t>Laporan</t>
        </is>
      </c>
      <c r="C63" s="11" t="inlineStr">
        <is>
          <t>Tutup Buku (penutupan tahun)</t>
        </is>
      </c>
      <c r="D63" s="12" t="inlineStr">
        <is>
          <t>Saldo_a = Σdebit − Σkredit akun PENDAPATAN/BEBAN a, per (unit, akun), entri non-PENUTUP tahun itu
Tiap akun: Saldo_a &gt; 0 → Kredit akun sebesar Saldo_a; Saldo_a &lt; 0 → Debit akun sebesar |Saldo_a|
SHU = −Σ Saldo_a; SHU &gt; 0 → Kredit akun tujuan; SHU &lt; 0 → Debit akun tujuan</t>
        </is>
      </c>
      <c r="E63" s="10" t="inlineStr">
        <is>
          <t>Satu entri PENUTUP per unit ditambah satu untuk bucket tidak teralokasi, sehingga jumlah per unit tetap kembali ke konsolidasi. Akun tujuan bawaan 3-3100 SHU Tahun Lalu; harus EKUITAS rinci aktif.</t>
        </is>
      </c>
      <c r="F63" s="10" t="inlineStr">
        <is>
          <t>Hanya tahun yang sudah berakhir (≥ 2000 dan &lt; tahun bisnis berjalan). Ditolak bila masih ada entri UNPOSTED_MISSING_MAPPING di tahun itu atau tahun sudah ditutup. Jurnal manual ke tahun tertutup ditolak sampai dibuka kembali. Entri bertanggal 31 Des.</t>
        </is>
      </c>
      <c r="G63" s="14" t="inlineStr">
        <is>
          <t>Decimal</t>
        </is>
      </c>
      <c r="H63" s="10" t="inlineStr">
        <is>
          <t>modules/journal/year-close.ts planYearClose, closeYear, assertFiscalYearOpen</t>
        </is>
      </c>
      <c r="I63" s="10" t="inlineStr"/>
      <c r="J63" s="14" t="inlineStr">
        <is>
          <t>O</t>
        </is>
      </c>
    </row>
    <row r="64" ht="43" customHeight="1">
      <c r="A64" s="15" t="inlineStr">
        <is>
          <t>LAP-16</t>
        </is>
      </c>
      <c r="B64" s="15" t="inlineStr">
        <is>
          <t>Laporan</t>
        </is>
      </c>
      <c r="C64" s="16" t="inlineStr">
        <is>
          <t>Buka kembali tahun buku</t>
        </is>
      </c>
      <c r="D64" s="12" t="inlineStr">
        <is>
          <t>Untuk tiap entri PENUTUP tahun itu: entri cermin dengan Debit ↔ Kredit ditukar (reversalOfId menunjuk entri asal)</t>
        </is>
      </c>
      <c r="E64" s="15" t="inlineStr">
        <is>
          <t>Tidak ada yang dihapus; jejak audit memuat penutupan dan pembukaan kembali.</t>
        </is>
      </c>
      <c r="F64" s="15" t="inlineStr">
        <is>
          <t>Tidak bisa dibuka bila ada tahun lebih baru yang masih tertutup (saldo awalnya bertumpu pada tahun ini). Tidak bisa dibuka dua kali.</t>
        </is>
      </c>
      <c r="G64" s="13" t="inlineStr">
        <is>
          <t>Decimal</t>
        </is>
      </c>
      <c r="H64" s="15" t="inlineStr">
        <is>
          <t>modules/journal/year-close.ts reopenYear</t>
        </is>
      </c>
      <c r="I64" s="15" t="inlineStr"/>
      <c r="J64" s="14" t="inlineStr">
        <is>
          <t>O</t>
        </is>
      </c>
    </row>
    <row r="65" ht="30" customHeight="1">
      <c r="A65" s="10" t="inlineStr">
        <is>
          <t>LAN-01</t>
        </is>
      </c>
      <c r="B65" s="10" t="inlineStr">
        <is>
          <t>Anggota</t>
        </is>
      </c>
      <c r="C65" s="11" t="inlineStr">
        <is>
          <t>Nomor anggota</t>
        </is>
      </c>
      <c r="D65" s="12" t="inlineStr">
        <is>
          <t>KOP-{SLUG}-{YYYYMM}-{urut 4 digit}</t>
        </is>
      </c>
      <c r="E65" s="10" t="inlineStr">
        <is>
          <t>Urutan = jumlah anggota dengan prefiks sama + 1</t>
        </is>
      </c>
      <c r="F65" s="10" t="inlineStr">
        <is>
          <t>Tidak aman terhadap pembuatan bersamaan (Temuan T6)</t>
        </is>
      </c>
      <c r="G65" s="14" t="inlineStr">
        <is>
          <t>teks</t>
        </is>
      </c>
      <c r="H65" s="10" t="inlineStr">
        <is>
          <t>lib/id-generator.ts generateMemberId</t>
        </is>
      </c>
      <c r="I65" s="10" t="inlineStr"/>
      <c r="J65" s="14" t="inlineStr"/>
    </row>
    <row r="66" ht="30" customHeight="1">
      <c r="A66" s="15" t="inlineStr">
        <is>
          <t>LAN-02</t>
        </is>
      </c>
      <c r="B66" s="15" t="inlineStr">
        <is>
          <t>Anggota</t>
        </is>
      </c>
      <c r="C66" s="16" t="inlineStr">
        <is>
          <t>Nomor rekening</t>
        </is>
      </c>
      <c r="D66" s="12" t="inlineStr">
        <is>
          <t>ACC-{10 digit acak}, diulang sampai unik global</t>
        </is>
      </c>
      <c r="E66" s="15" t="inlineStr"/>
      <c r="F66" s="15" t="inlineStr"/>
      <c r="G66" s="13" t="inlineStr">
        <is>
          <t>teks</t>
        </is>
      </c>
      <c r="H66" s="15" t="inlineStr">
        <is>
          <t>lib/id-generator.ts generateAccountNumber</t>
        </is>
      </c>
      <c r="I66" s="15" t="inlineStr"/>
      <c r="J66" s="14" t="inlineStr"/>
    </row>
    <row r="67" ht="30" customHeight="1">
      <c r="A67" s="10" t="inlineStr">
        <is>
          <t>LAN-03</t>
        </is>
      </c>
      <c r="B67" s="10" t="inlineStr">
        <is>
          <t>Sistem</t>
        </is>
      </c>
      <c r="C67" s="11" t="inlineStr">
        <is>
          <t>Tanggal bisnis</t>
        </is>
      </c>
      <c r="D67" s="12" t="inlineStr">
        <is>
          <t>Tanggal bisnis = tanggal UTC + 7 jam (Asia/Jakarta, tanpa DST)</t>
        </is>
      </c>
      <c r="E67" s="10" t="inlineStr"/>
      <c r="F67" s="10" t="inlineStr"/>
      <c r="G67" s="14" t="inlineStr">
        <is>
          <t>tanggal</t>
        </is>
      </c>
      <c r="H67" s="10" t="inlineStr">
        <is>
          <t>lib/operating-calendar.ts businessDate</t>
        </is>
      </c>
      <c r="I67" s="10" t="inlineStr"/>
      <c r="J67" s="14" t="inlineStr"/>
    </row>
    <row r="68" ht="30" customHeight="1">
      <c r="A68" s="15" t="inlineStr">
        <is>
          <t>LAN-04</t>
        </is>
      </c>
      <c r="B68" s="15" t="inlineStr">
        <is>
          <t>Sistem</t>
        </is>
      </c>
      <c r="C68" s="16" t="inlineStr">
        <is>
          <t>Penghapusan jejak audit</t>
        </is>
      </c>
      <c r="D68" s="12" t="inlineStr">
        <is>
          <t>Hapus baris dengan createdAt &lt; hari ini − 90 hari</t>
        </is>
      </c>
      <c r="E68" s="15" t="inlineStr">
        <is>
          <t>Dijalankan harian lintas tenant</t>
        </is>
      </c>
      <c r="F68" s="15" t="inlineStr"/>
      <c r="G68" s="13" t="inlineStr">
        <is>
          <t>tanggal</t>
        </is>
      </c>
      <c r="H68" s="15" t="inlineStr">
        <is>
          <t>audit-log/service.ts purgeStaleAuditLogs</t>
        </is>
      </c>
      <c r="I68" s="15" t="inlineStr"/>
      <c r="J68" s="14" t="inlineStr"/>
    </row>
    <row r="69" ht="30" customHeight="1">
      <c r="A69" s="10" t="inlineStr">
        <is>
          <t>LAN-05</t>
        </is>
      </c>
      <c r="B69" s="10" t="inlineStr">
        <is>
          <t>Sistem</t>
        </is>
      </c>
      <c r="C69" s="11" t="inlineStr">
        <is>
          <t>Validasi nominal uang</t>
        </is>
      </c>
      <c r="D69" s="12" t="inlineStr">
        <is>
          <t>Nominal = string/angka ≤ 13 digit bulat, ≤ 2 desimal → Decimal(15,2)</t>
        </is>
      </c>
      <c r="E69" s="10" t="inlineStr">
        <is>
          <t>Angka float seperti 0.30000000000000004 ditolak</t>
        </is>
      </c>
      <c r="F69" s="10" t="inlineStr"/>
      <c r="G69" s="14" t="inlineStr">
        <is>
          <t>Decimal</t>
        </is>
      </c>
      <c r="H69" s="10" t="inlineStr">
        <is>
          <t>lib/money.ts moneySchema</t>
        </is>
      </c>
      <c r="I69" s="10" t="inlineStr">
        <is>
          <t>CLAUDE.md aturan 2</t>
        </is>
      </c>
      <c r="J69" s="14" t="inlineStr"/>
    </row>
    <row r="70" ht="28" customHeight="1">
      <c r="A70" s="15" t="inlineStr">
        <is>
          <t>LAN-06</t>
        </is>
      </c>
      <c r="B70" s="15" t="inlineStr">
        <is>
          <t>Sistem</t>
        </is>
      </c>
      <c r="C70" s="16" t="inlineStr">
        <is>
          <t>Keseimbangan jurnal</t>
        </is>
      </c>
      <c r="D70" s="12" t="inlineStr">
        <is>
          <t>Σ Debit = Σ Kredit (2 desimal), else ditolak</t>
        </is>
      </c>
      <c r="E70" s="15" t="inlineStr">
        <is>
          <t>Setiap entri jurnal otomatis</t>
        </is>
      </c>
      <c r="F70" s="15" t="inlineStr"/>
      <c r="G70" s="13" t="inlineStr">
        <is>
          <t>Decimal</t>
        </is>
      </c>
      <c r="H70" s="15" t="inlineStr">
        <is>
          <t>lib/journal.ts</t>
        </is>
      </c>
      <c r="I70" s="15" t="inlineStr"/>
      <c r="J70" s="14" t="inlineStr"/>
    </row>
    <row r="71" ht="43" customHeight="1">
      <c r="A71" s="10" t="inlineStr">
        <is>
          <t>LAN-07</t>
        </is>
      </c>
      <c r="B71" s="10" t="inlineStr">
        <is>
          <t>Sistem</t>
        </is>
      </c>
      <c r="C71" s="11" t="inlineStr">
        <is>
          <t>Nomor entri jurnal</t>
        </is>
      </c>
      <c r="D71" s="12" t="inlineStr">
        <is>
          <t>entryNo = Tenant.journalSeq + 1 (kenaikan atomik per tenant)</t>
        </is>
      </c>
      <c r="E71" s="10" t="inlineStr">
        <is>
          <t>Nomor urut per tenant untuk setiap entri jurnal, otomatis maupun manual.</t>
        </is>
      </c>
      <c r="F71" s="10" t="inlineStr">
        <is>
          <t>Kenaikan atomik dalam transaksi yang sama dengan entri, sehingga posting bersamaan tidak berbagi nomor (berbeda dengan LAN-01).</t>
        </is>
      </c>
      <c r="G71" s="14" t="inlineStr">
        <is>
          <t>Integer</t>
        </is>
      </c>
      <c r="H71" s="10" t="inlineStr">
        <is>
          <t>lib/journal.ts nextEntryNo</t>
        </is>
      </c>
      <c r="I71" s="10" t="inlineStr"/>
      <c r="J71" s="14" t="inlineStr"/>
    </row>
  </sheetData>
  <autoFilter ref="A4:J71"/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 outlineLevelRow="0"/>
  <cols>
    <col width="44" customWidth="1" min="1" max="1"/>
    <col width="22" customWidth="1" min="2" max="2"/>
    <col width="70" customWidth="1" min="3" max="3"/>
    <col width="16" customWidth="1" min="4" max="11"/>
  </cols>
  <sheetData>
    <row r="1">
      <c r="A1" s="1" t="inlineStr">
        <is>
          <t>Simulasi Rumus</t>
        </is>
      </c>
    </row>
    <row r="2">
      <c r="A2" s="2" t="inlineStr">
        <is>
          <t>Sel kuning berteks biru = input; ubah nilainya dan hasil (hitam) dihitung ulang. Teks hijau = rujukan ke sheet Parameter.</t>
        </is>
      </c>
    </row>
    <row r="5" ht="30" customHeight="1">
      <c r="A5" s="17" t="inlineStr">
        <is>
          <t>A. Pinjaman Anuitas — KONVENSIONAL + BUNGA, angsuran bulanan (lib/loan-calc.ts)</t>
        </is>
      </c>
      <c r="B5" s="46" t="n"/>
      <c r="C5" s="47" t="n"/>
    </row>
    <row r="6">
      <c r="A6" s="18" t="inlineStr">
        <is>
          <t>Pokok pinjaman (P)</t>
        </is>
      </c>
      <c r="B6" s="19" t="n">
        <v>10000000</v>
      </c>
      <c r="C6" s="18" t="inlineStr">
        <is>
          <t>Input</t>
        </is>
      </c>
    </row>
    <row r="7">
      <c r="A7" s="18" t="inlineStr">
        <is>
          <t>Bunga per tahun</t>
        </is>
      </c>
      <c r="B7" s="20" t="n">
        <v>0.18</v>
      </c>
      <c r="C7" s="18" t="inlineStr">
        <is>
          <t>Input</t>
        </is>
      </c>
    </row>
    <row r="8">
      <c r="A8" s="18" t="inlineStr">
        <is>
          <t>Tenor (bulan, n)</t>
        </is>
      </c>
      <c r="B8" s="21" t="n">
        <v>12</v>
      </c>
      <c r="C8" s="18" t="inlineStr">
        <is>
          <t>Input</t>
        </is>
      </c>
    </row>
    <row r="9">
      <c r="A9" s="18" t="inlineStr">
        <is>
          <t>Batas bunga regulasi</t>
        </is>
      </c>
      <c r="B9" s="22">
        <f>Parameter!$C$5</f>
        <v/>
      </c>
      <c r="C9" s="18" t="inlineStr">
        <is>
          <t>Dari Parameter!C5</t>
        </is>
      </c>
    </row>
    <row r="10">
      <c r="A10" s="18" t="inlineStr">
        <is>
          <t>Lolos batas bunga?</t>
        </is>
      </c>
      <c r="B10" s="18">
        <f>IF(B7&lt;=B9,"YA","DITOLAK — melebihi batas")</f>
        <v/>
      </c>
      <c r="C10" s="18" t="inlineStr">
        <is>
          <t>validateRegulatoryRate</t>
        </is>
      </c>
    </row>
    <row r="11">
      <c r="A11" s="18" t="inlineStr">
        <is>
          <t>Bunga per bulan (r)</t>
        </is>
      </c>
      <c r="B11" s="23">
        <f>B7/12</f>
        <v/>
      </c>
      <c r="C11" s="18" t="inlineStr">
        <is>
          <t>r = bunga tahunan ÷ 12</t>
        </is>
      </c>
    </row>
    <row r="12">
      <c r="A12" s="24" t="inlineStr">
        <is>
          <t>Angsuran per bulan</t>
        </is>
      </c>
      <c r="B12" s="25">
        <f>IF(B11=0,ROUND(B6/B8,2),ROUND(B6*B11/(1-(1+B11)^(-B8)),2))</f>
        <v/>
      </c>
      <c r="C12" s="18" t="inlineStr">
        <is>
          <t>P × r ÷ (1 − (1 + r)^−n); jika r = 0 → P ÷ n</t>
        </is>
      </c>
    </row>
    <row r="13">
      <c r="A13" s="18" t="inlineStr">
        <is>
          <t>Total dibayar</t>
        </is>
      </c>
      <c r="B13" s="26">
        <f>IF(B11=0,B6,ROUND(B6*B11/(1-(1+B11)^(-B8))*B8,2))</f>
        <v/>
      </c>
      <c r="C13" s="18" t="inlineStr">
        <is>
          <t>Angsuran (belum dibulatkan) × n</t>
        </is>
      </c>
    </row>
    <row r="14">
      <c r="A14" s="18" t="inlineStr">
        <is>
          <t>Total bunga</t>
        </is>
      </c>
      <c r="B14" s="26">
        <f>ROUND(B13-B6,2)</f>
        <v/>
      </c>
      <c r="C14" s="18" t="inlineStr">
        <is>
          <t>Total − P</t>
        </is>
      </c>
    </row>
    <row r="16" ht="30" customHeight="1">
      <c r="A16" s="17" t="inlineStr">
        <is>
          <t>B. Pinjaman Flat / Margin — SYARIAH atau rateType MARGIN (lib/loan-calc.ts)</t>
        </is>
      </c>
      <c r="B16" s="46" t="n"/>
      <c r="C16" s="47" t="n"/>
    </row>
    <row r="17">
      <c r="A17" s="18" t="inlineStr">
        <is>
          <t>Pokok / harga pokok (P)</t>
        </is>
      </c>
      <c r="B17" s="19" t="n">
        <v>10000000</v>
      </c>
      <c r="C17" s="18" t="inlineStr">
        <is>
          <t>Input</t>
        </is>
      </c>
    </row>
    <row r="18">
      <c r="A18" s="18" t="inlineStr">
        <is>
          <t>Margin per tahun</t>
        </is>
      </c>
      <c r="B18" s="20" t="n">
        <v>0.18</v>
      </c>
      <c r="C18" s="18" t="inlineStr">
        <is>
          <t>Input</t>
        </is>
      </c>
    </row>
    <row r="19">
      <c r="A19" s="18" t="inlineStr">
        <is>
          <t>Tenor (bulan, n)</t>
        </is>
      </c>
      <c r="B19" s="21" t="n">
        <v>12</v>
      </c>
      <c r="C19" s="18" t="inlineStr">
        <is>
          <t>Input</t>
        </is>
      </c>
    </row>
    <row r="20">
      <c r="A20" s="24" t="inlineStr">
        <is>
          <t>Total margin</t>
        </is>
      </c>
      <c r="B20" s="25">
        <f>ROUND(B17*B18*B19/12,2)</f>
        <v/>
      </c>
      <c r="C20" s="18" t="inlineStr">
        <is>
          <t>P × margin × n ÷ 12</t>
        </is>
      </c>
    </row>
    <row r="21">
      <c r="A21" s="18" t="inlineStr">
        <is>
          <t>Total dibayar</t>
        </is>
      </c>
      <c r="B21" s="26">
        <f>ROUND(B17+B17*B18*B19/12,2)</f>
        <v/>
      </c>
      <c r="C21" s="18" t="inlineStr">
        <is>
          <t>P + margin</t>
        </is>
      </c>
    </row>
    <row r="22">
      <c r="A22" s="18" t="inlineStr">
        <is>
          <t>Angsuran per bulan</t>
        </is>
      </c>
      <c r="B22" s="26">
        <f>ROUND((B17+B17*B18*B19/12)/B19,2)</f>
        <v/>
      </c>
      <c r="C22" s="18" t="inlineStr">
        <is>
          <t>Total ÷ n</t>
        </is>
      </c>
    </row>
    <row r="24" ht="30" customHeight="1">
      <c r="A24" s="17" t="inlineStr">
        <is>
          <t>C. Pinjaman Harian (flat) + Jadwal Cicilan Pasar — rateType HARIAN, frekuensi DAILY</t>
        </is>
      </c>
      <c r="B24" s="46" t="n"/>
      <c r="C24" s="47" t="n"/>
    </row>
    <row r="25">
      <c r="A25" s="18" t="inlineStr">
        <is>
          <t>Pokok pinjaman (P)</t>
        </is>
      </c>
      <c r="B25" s="19" t="n">
        <v>5000000</v>
      </c>
      <c r="C25" s="18" t="inlineStr">
        <is>
          <t>Input</t>
        </is>
      </c>
    </row>
    <row r="26">
      <c r="A26" s="18" t="inlineStr">
        <is>
          <t>Bunga per tahun</t>
        </is>
      </c>
      <c r="B26" s="20" t="n">
        <v>0.24</v>
      </c>
      <c r="C26" s="18" t="inlineStr">
        <is>
          <t>Input</t>
        </is>
      </c>
    </row>
    <row r="27">
      <c r="A27" s="18" t="inlineStr">
        <is>
          <t>Frekuensi (DAILY / WEEKLY / MONTHLY)</t>
        </is>
      </c>
      <c r="B27" s="27" t="inlineStr">
        <is>
          <t>DAILY</t>
        </is>
      </c>
      <c r="C27" s="18" t="inlineStr">
        <is>
          <t>Input: DAILY, WEEKLY atau MONTHLY</t>
        </is>
      </c>
    </row>
    <row r="28">
      <c r="A28" s="18" t="inlineStr">
        <is>
          <t>Jumlah cicilan</t>
        </is>
      </c>
      <c r="B28" s="21" t="n">
        <v>100</v>
      </c>
      <c r="C28" s="18" t="inlineStr">
        <is>
          <t>Input. MONTHLY: sama dengan tenor bulan</t>
        </is>
      </c>
    </row>
    <row r="29">
      <c r="A29" s="18" t="inlineStr">
        <is>
          <t>Hari per tahun (konvensi)</t>
        </is>
      </c>
      <c r="B29" s="28">
        <f>Parameter!$C$11</f>
        <v/>
      </c>
      <c r="C29" s="18" t="inlineStr">
        <is>
          <t>Dari Parameter!C11</t>
        </is>
      </c>
    </row>
    <row r="30">
      <c r="A30" s="18" t="inlineStr">
        <is>
          <t>Unit pembulatan</t>
        </is>
      </c>
      <c r="B30" s="29">
        <f>Parameter!$C$12</f>
        <v/>
      </c>
      <c r="C30" s="18" t="inlineStr">
        <is>
          <t>Dari Parameter!C12</t>
        </is>
      </c>
    </row>
    <row r="31">
      <c r="A31" s="18" t="inlineStr">
        <is>
          <t>Hari tenor (termDays)</t>
        </is>
      </c>
      <c r="B31" s="30">
        <f>IF(B27="DAILY",B28,IF(B27="WEEKLY",B28*7,B28*30))</f>
        <v/>
      </c>
      <c r="C31" s="18" t="inlineStr">
        <is>
          <t>DAILY = jumlah cicilan; WEEKLY = × 7. MONTHLY memakai hari kalender riil sampai jatuh tempo (≈ × 30 di sini)</t>
        </is>
      </c>
    </row>
    <row r="32">
      <c r="A32" s="18" t="inlineStr">
        <is>
          <t>Tenor bulan untuk kalkulasi</t>
        </is>
      </c>
      <c r="B32" s="30">
        <f>IF(B27="MONTHLY",B28,MAX(1,ROUNDUP(B31/30,0)))</f>
        <v/>
      </c>
      <c r="C32" s="18" t="inlineStr">
        <is>
          <t>MAX(1, ROUNDUP(hari ÷ 30)) untuk DAILY/WEEKLY — lihat Temuan T4</t>
        </is>
      </c>
    </row>
    <row r="33">
      <c r="A33" s="24" t="inlineStr">
        <is>
          <t>Total bunga</t>
        </is>
      </c>
      <c r="B33" s="25">
        <f>ROUND(B25*B26/B29*B31,2)</f>
        <v/>
      </c>
      <c r="C33" s="18" t="inlineStr">
        <is>
          <t>P × bunga ÷ 360 × hari tenor</t>
        </is>
      </c>
    </row>
    <row r="34">
      <c r="A34" s="18" t="inlineStr">
        <is>
          <t>Total dibayar</t>
        </is>
      </c>
      <c r="B34" s="26">
        <f>ROUND(B25+B25*B26/B29*B31,2)</f>
        <v/>
      </c>
      <c r="C34" s="18" t="inlineStr">
        <is>
          <t>P + bunga</t>
        </is>
      </c>
    </row>
    <row r="35">
      <c r="A35" s="18" t="inlineStr">
        <is>
          <t>Bagian rata (Total ÷ cicilan)</t>
        </is>
      </c>
      <c r="B35" s="26">
        <f>B34/B28</f>
        <v/>
      </c>
      <c r="C35" s="18" t="inlineStr"/>
    </row>
    <row r="36">
      <c r="A36" s="24" t="inlineStr">
        <is>
          <t>Nominal cicilan ke-1 s/d n−1</t>
        </is>
      </c>
      <c r="B36" s="25">
        <f>IF(B27="MONTHLY",ROUND(B35,2),ROUNDUP(B35/B30,0)*B30)</f>
        <v/>
      </c>
      <c r="C36" s="18" t="inlineStr">
        <is>
          <t>DAILY/WEEKLY: dibulatkan KE ATAS ke kelipatan Rp500; MONTHLY: 2 desimal</t>
        </is>
      </c>
    </row>
    <row r="37">
      <c r="A37" s="18" t="inlineStr">
        <is>
          <t>Nominal cicilan terakhir</t>
        </is>
      </c>
      <c r="B37" s="26">
        <f>ROUND(B34-(B28-1)*B36,2)</f>
        <v/>
      </c>
      <c r="C37" s="18" t="inlineStr">
        <is>
          <t>Sisa, sehingga Σ cicilan = Total persis</t>
        </is>
      </c>
    </row>
    <row r="38">
      <c r="A38" s="18" t="inlineStr">
        <is>
          <t>Porsi pokok cicilan ke-1</t>
        </is>
      </c>
      <c r="B38" s="26">
        <f>ROUND(B36*B25/B34,2)</f>
        <v/>
      </c>
      <c r="C38" s="18" t="inlineStr">
        <is>
          <t>Cicilan × P ÷ Total (cicilan terakhir menyerap sisa)</t>
        </is>
      </c>
    </row>
    <row r="39">
      <c r="A39" s="18" t="inlineStr">
        <is>
          <t>Porsi bunga cicilan ke-1</t>
        </is>
      </c>
      <c r="B39" s="26">
        <f>ROUND(B36-B38,2)</f>
        <v/>
      </c>
      <c r="C39" s="18" t="inlineStr">
        <is>
          <t>Cicilan − porsi pokok</t>
        </is>
      </c>
    </row>
    <row r="41" ht="30" customHeight="1">
      <c r="A41" s="17" t="inlineStr">
        <is>
          <t>D. Bunga Simpanan (lib/saving-calc.ts, savings/daily-interest.ts)</t>
        </is>
      </c>
      <c r="B41" s="46" t="n"/>
      <c r="C41" s="47" t="n"/>
    </row>
    <row r="42">
      <c r="A42" s="18" t="inlineStr">
        <is>
          <t>Saldo simpanan</t>
        </is>
      </c>
      <c r="B42" s="19" t="n">
        <v>10000000</v>
      </c>
      <c r="C42" s="18" t="inlineStr">
        <is>
          <t>Input</t>
        </is>
      </c>
    </row>
    <row r="43">
      <c r="A43" s="18" t="inlineStr">
        <is>
          <t>Bunga per tahun</t>
        </is>
      </c>
      <c r="B43" s="20" t="n">
        <v>0.06</v>
      </c>
      <c r="C43" s="18" t="inlineStr">
        <is>
          <t>Input</t>
        </is>
      </c>
    </row>
    <row r="44">
      <c r="A44" s="18" t="inlineStr">
        <is>
          <t>Hari sejak lastInterestAt</t>
        </is>
      </c>
      <c r="B44" s="21" t="n">
        <v>3</v>
      </c>
      <c r="C44" s="18" t="inlineStr">
        <is>
          <t>Input. Run pertama = 1 hari</t>
        </is>
      </c>
    </row>
    <row r="45">
      <c r="A45" s="18" t="inlineStr">
        <is>
          <t>Batas bunga simpanan</t>
        </is>
      </c>
      <c r="B45" s="22">
        <f>Parameter!$C$6</f>
        <v/>
      </c>
      <c r="C45" s="18" t="inlineStr">
        <is>
          <t>Dari Parameter!C6</t>
        </is>
      </c>
    </row>
    <row r="46">
      <c r="A46" s="18" t="inlineStr">
        <is>
          <t>Hari per tahun</t>
        </is>
      </c>
      <c r="B46" s="28">
        <f>Parameter!$C$11</f>
        <v/>
      </c>
      <c r="C46" s="18" t="inlineStr">
        <is>
          <t>Dari Parameter!C11</t>
        </is>
      </c>
    </row>
    <row r="47">
      <c r="A47" s="18" t="inlineStr">
        <is>
          <t>Lolos batas bunga?</t>
        </is>
      </c>
      <c r="B47" s="18">
        <f>IF(B43&lt;=B45,"YA","DITOLAK — melebihi batas")</f>
        <v/>
      </c>
      <c r="C47" s="18" t="inlineStr"/>
    </row>
    <row r="48">
      <c r="A48" s="24" t="inlineStr">
        <is>
          <t>Bunga harian</t>
        </is>
      </c>
      <c r="B48" s="25">
        <f>ROUND(B42*B43/B46,2)</f>
        <v/>
      </c>
      <c r="C48" s="18" t="inlineStr">
        <is>
          <t>Saldo × bunga ÷ 360, dibulatkan per hari</t>
        </is>
      </c>
    </row>
    <row r="49">
      <c r="A49" s="18" t="inlineStr">
        <is>
          <t>Bunga dikreditkan run ini</t>
        </is>
      </c>
      <c r="B49" s="26">
        <f>ROUND(B42*B43/B46,2)*B44</f>
        <v/>
      </c>
      <c r="C49" s="18" t="inlineStr">
        <is>
          <t>Bunga harian (sudah dibulatkan) × hari terlewat</t>
        </is>
      </c>
    </row>
    <row r="50">
      <c r="A50" s="18" t="inlineStr">
        <is>
          <t>Bunga periode MONTHLY</t>
        </is>
      </c>
      <c r="B50" s="26">
        <f>ROUND(B42*B43/12,2)</f>
        <v/>
      </c>
      <c r="C50" s="18" t="inlineStr">
        <is>
          <t>Saldo × bunga ÷ 12</t>
        </is>
      </c>
    </row>
    <row r="51">
      <c r="A51" s="18" t="inlineStr">
        <is>
          <t>Bunga periode YEARLY</t>
        </is>
      </c>
      <c r="B51" s="26">
        <f>ROUND(B42*B43,2)</f>
        <v/>
      </c>
      <c r="C51" s="18" t="inlineStr">
        <is>
          <t>Saldo × bunga</t>
        </is>
      </c>
    </row>
    <row r="53" ht="30" customHeight="1">
      <c r="A53" s="17" t="inlineStr">
        <is>
          <t>E. Rekening Koran (savings/service.ts getSavingStatement)</t>
        </is>
      </c>
      <c r="B53" s="46" t="n"/>
      <c r="C53" s="47" t="n"/>
    </row>
    <row r="54">
      <c r="A54" s="18" t="inlineStr">
        <is>
          <t>Saldo saat ini (Saving.balance)</t>
        </is>
      </c>
      <c r="B54" s="19" t="n">
        <v>12000000</v>
      </c>
      <c r="C54" s="18" t="inlineStr">
        <is>
          <t>Input</t>
        </is>
      </c>
    </row>
    <row r="55">
      <c r="A55" s="18" t="inlineStr">
        <is>
          <t>Mutasi bersih SETELAH akhir periode</t>
        </is>
      </c>
      <c r="B55" s="19" t="n">
        <v>500000</v>
      </c>
      <c r="C55" s="18" t="inlineStr">
        <is>
          <t>Input: setoran + bunga − penarikan setelah periode</t>
        </is>
      </c>
    </row>
    <row r="56">
      <c r="A56" s="18" t="inlineStr">
        <is>
          <t>Setoran dalam periode (Kredit)</t>
        </is>
      </c>
      <c r="B56" s="19" t="n">
        <v>3000000</v>
      </c>
      <c r="C56" s="18" t="inlineStr">
        <is>
          <t>Input</t>
        </is>
      </c>
    </row>
    <row r="57">
      <c r="A57" s="18" t="inlineStr">
        <is>
          <t>Bunga dalam periode (Kredit)</t>
        </is>
      </c>
      <c r="B57" s="19" t="n">
        <v>50000</v>
      </c>
      <c r="C57" s="18" t="inlineStr">
        <is>
          <t>Input</t>
        </is>
      </c>
    </row>
    <row r="58">
      <c r="A58" s="18" t="inlineStr">
        <is>
          <t>Penarikan dalam periode (Debit)</t>
        </is>
      </c>
      <c r="B58" s="19" t="n">
        <v>1000000</v>
      </c>
      <c r="C58" s="18" t="inlineStr">
        <is>
          <t>Input</t>
        </is>
      </c>
    </row>
    <row r="59">
      <c r="A59" s="24" t="inlineStr">
        <is>
          <t>Saldo Akhir</t>
        </is>
      </c>
      <c r="B59" s="25">
        <f>B54-B55</f>
        <v/>
      </c>
      <c r="C59" s="18" t="inlineStr">
        <is>
          <t>Saldo sekarang − mutasi setelah periode</t>
        </is>
      </c>
    </row>
    <row r="60">
      <c r="A60" s="24" t="inlineStr">
        <is>
          <t>Saldo Awal</t>
        </is>
      </c>
      <c r="B60" s="25">
        <f>B59-(B56+B57-B58)</f>
        <v/>
      </c>
      <c r="C60" s="18" t="inlineStr">
        <is>
          <t>Saldo Akhir − (Kredit − Debit) dalam periode</t>
        </is>
      </c>
    </row>
    <row r="62" ht="30" customHeight="1">
      <c r="A62" s="17" t="inlineStr">
        <is>
          <t>F. BMPP — Batas Maksimum Pemberian Pinjaman (loans/service.ts computeBmpp)</t>
        </is>
      </c>
      <c r="B62" s="46" t="n"/>
      <c r="C62" s="47" t="n"/>
    </row>
    <row r="63">
      <c r="A63" s="18" t="inlineStr">
        <is>
          <t>Modal Sendiri (unit pemberi pinjaman bila KSU)</t>
        </is>
      </c>
      <c r="B63" s="19" t="n">
        <v>2000000000</v>
      </c>
      <c r="C63" s="18" t="inlineStr">
        <is>
          <t>Input</t>
        </is>
      </c>
    </row>
    <row r="64">
      <c r="A64" s="18" t="inlineStr">
        <is>
          <t>Pihak terkait? (YA / TIDAK)</t>
        </is>
      </c>
      <c r="B64" s="27" t="inlineStr">
        <is>
          <t>TIDAK</t>
        </is>
      </c>
      <c r="C64" s="18" t="inlineStr">
        <is>
          <t>Input: YA untuk pengurus/pengawas</t>
        </is>
      </c>
    </row>
    <row r="65">
      <c r="A65" s="18" t="inlineStr">
        <is>
          <t>Pokok pinjaman aktif anggota</t>
        </is>
      </c>
      <c r="B65" s="19" t="n">
        <v>150000000</v>
      </c>
      <c r="C65" s="18" t="inlineStr">
        <is>
          <t>Input</t>
        </is>
      </c>
    </row>
    <row r="66">
      <c r="A66" s="18" t="inlineStr">
        <is>
          <t>Pokok pinjaman baru</t>
        </is>
      </c>
      <c r="B66" s="19" t="n">
        <v>200000000</v>
      </c>
      <c r="C66" s="18" t="inlineStr">
        <is>
          <t>Input</t>
        </is>
      </c>
    </row>
    <row r="67">
      <c r="A67" s="18" t="inlineStr">
        <is>
          <t>Persentase BMPP</t>
        </is>
      </c>
      <c r="B67" s="31">
        <f>IF(B64="YA",Parameter!$C$7,Parameter!$C$8)</f>
        <v/>
      </c>
      <c r="C67" s="18" t="inlineStr">
        <is>
          <t>10% pihak terkait, 15% lainnya</t>
        </is>
      </c>
    </row>
    <row r="68">
      <c r="A68" s="24" t="inlineStr">
        <is>
          <t>Batas BMPP</t>
        </is>
      </c>
      <c r="B68" s="25">
        <f>B63*B67</f>
        <v/>
      </c>
      <c r="C68" s="18" t="inlineStr">
        <is>
          <t>Modal Sendiri × persentase</t>
        </is>
      </c>
    </row>
    <row r="69">
      <c r="A69" s="18" t="inlineStr">
        <is>
          <t>Sisa ruang (headroom)</t>
        </is>
      </c>
      <c r="B69" s="26">
        <f>MAX(0,B68-B65)</f>
        <v/>
      </c>
      <c r="C69" s="18" t="inlineStr">
        <is>
          <t>MAX(0, batas − pinjaman aktif)</t>
        </is>
      </c>
    </row>
    <row r="70">
      <c r="A70" s="18" t="inlineStr">
        <is>
          <t>Pinjaman aktif + baru</t>
        </is>
      </c>
      <c r="B70" s="26">
        <f>B65+B66</f>
        <v/>
      </c>
      <c r="C70" s="18" t="inlineStr"/>
    </row>
    <row r="71">
      <c r="A71" s="24" t="inlineStr">
        <is>
          <t>Hasil</t>
        </is>
      </c>
      <c r="B71" s="24">
        <f>IF(B64="YA",IF(B70&gt;B68,"DITOLAK (Pasal 44)","OK"),IF(AND(B63&gt;0,B70&gt;B68),"PERINGATAN — perlu konfirmasi (Pasal 45)","OK"))</f>
        <v/>
      </c>
      <c r="C71" s="18" t="inlineStr">
        <is>
          <t>Pihak terkait: blokir keras. Lainnya: peringatan, hanya bila Modal Sendiri &gt; 0</t>
        </is>
      </c>
    </row>
    <row r="73" ht="30" customHeight="1">
      <c r="A73" s="17" t="inlineStr">
        <is>
          <t>G. Kredit Anggota Toko (konsumen/credit.service.ts)</t>
        </is>
      </c>
      <c r="B73" s="46" t="n"/>
      <c r="C73" s="47" t="n"/>
    </row>
    <row r="74">
      <c r="A74" s="18" t="inlineStr">
        <is>
          <t>Total saldo simpanan aktif (semua jenis)</t>
        </is>
      </c>
      <c r="B74" s="19" t="n">
        <v>4000000</v>
      </c>
      <c r="C74" s="18" t="inlineStr">
        <is>
          <t>Input</t>
        </is>
      </c>
    </row>
    <row r="75">
      <c r="A75" s="18" t="inlineStr">
        <is>
          <t>Punya simpanan aktif? (YA / TIDAK)</t>
        </is>
      </c>
      <c r="B75" s="27" t="inlineStr">
        <is>
          <t>YA</t>
        </is>
      </c>
      <c r="C75" s="18" t="inlineStr">
        <is>
          <t>Input</t>
        </is>
      </c>
    </row>
    <row r="76">
      <c r="A76" s="18" t="inlineStr">
        <is>
          <t>Total belanja kredit (MEMBER_CREDIT)</t>
        </is>
      </c>
      <c r="B76" s="19" t="n">
        <v>1500000</v>
      </c>
      <c r="C76" s="18" t="inlineStr">
        <is>
          <t>Input</t>
        </is>
      </c>
    </row>
    <row r="77">
      <c r="A77" s="18" t="inlineStr">
        <is>
          <t>Total pelunasan</t>
        </is>
      </c>
      <c r="B77" s="19" t="n">
        <v>500000</v>
      </c>
      <c r="C77" s="18" t="inlineStr">
        <is>
          <t>Input</t>
        </is>
      </c>
    </row>
    <row r="78">
      <c r="A78" s="18" t="inlineStr">
        <is>
          <t>Rasio limit</t>
        </is>
      </c>
      <c r="B78" s="22">
        <f>Parameter!$C$10</f>
        <v/>
      </c>
      <c r="C78" s="18" t="inlineStr">
        <is>
          <t>Dari Parameter!C10</t>
        </is>
      </c>
    </row>
    <row r="79">
      <c r="A79" s="24" t="inlineStr">
        <is>
          <t>Limit kredit</t>
        </is>
      </c>
      <c r="B79" s="25">
        <f>B74*B78</f>
        <v/>
      </c>
      <c r="C79" s="18" t="inlineStr">
        <is>
          <t>Total simpanan × 50%, dihitung ulang setiap dibaca</t>
        </is>
      </c>
    </row>
    <row r="80">
      <c r="A80" s="18" t="inlineStr">
        <is>
          <t>Piutang berjalan</t>
        </is>
      </c>
      <c r="B80" s="26">
        <f>B76-B77</f>
        <v/>
      </c>
      <c r="C80" s="18" t="inlineStr">
        <is>
          <t>Belanja kredit − pelunasan</t>
        </is>
      </c>
    </row>
    <row r="81">
      <c r="A81" s="24" t="inlineStr">
        <is>
          <t>Sisa kredit tersedia</t>
        </is>
      </c>
      <c r="B81" s="25">
        <f>B79-B80</f>
        <v/>
      </c>
      <c r="C81" s="18" t="inlineStr">
        <is>
          <t>Limit − piutang</t>
        </is>
      </c>
    </row>
    <row r="82">
      <c r="A82" s="18" t="inlineStr">
        <is>
          <t>Berhak kredit?</t>
        </is>
      </c>
      <c r="B82" s="18">
        <f>IF(AND(B75="YA",B79&gt;0),"YA","TIDAK")</f>
        <v/>
      </c>
      <c r="C82" s="18" t="inlineStr"/>
    </row>
    <row r="84" ht="30" customHeight="1">
      <c r="A84" s="17" t="inlineStr">
        <is>
          <t>H. Kolektibilitas (lib/kol.ts)</t>
        </is>
      </c>
      <c r="B84" s="46" t="n"/>
      <c r="C84" s="47" t="n"/>
    </row>
    <row r="85">
      <c r="A85" s="18" t="inlineStr">
        <is>
          <t>Hari tunggakan</t>
        </is>
      </c>
      <c r="B85" s="21" t="n">
        <v>95</v>
      </c>
      <c r="C85" s="18" t="inlineStr">
        <is>
          <t>Input: hari ini − jatuh tempo cicilan belum lunas tertua</t>
        </is>
      </c>
    </row>
    <row r="86">
      <c r="A86" s="24" t="inlineStr">
        <is>
          <t>KOL</t>
        </is>
      </c>
      <c r="B86" s="24">
        <f>IF(B85&lt;=Parameter!$C$14,"LANCAR",IF(B85&lt;=Parameter!$C$15,"DALAM PERHATIAN",IF(B85&lt;=Parameter!$C$16,"KURANG LANCAR",IF(B85&lt;=Parameter!$C$17,"DIRAGUKAN","MACET"))))</f>
        <v/>
      </c>
      <c r="C86" s="18" t="inlineStr">
        <is>
          <t>≤30 / ≤90 / ≤120 / ≤180 / &gt;180 hari</t>
        </is>
      </c>
    </row>
    <row r="88" ht="30" customHeight="1">
      <c r="A88" s="17" t="inlineStr">
        <is>
          <t>I. Kualitas Pinjaman (dashboard/service.ts getLoanQualityDashboard)</t>
        </is>
      </c>
      <c r="B88" s="46" t="n"/>
      <c r="C88" s="47" t="n"/>
    </row>
    <row r="89">
      <c r="A89" s="18" t="inlineStr">
        <is>
          <t>Outstanding LANCAR</t>
        </is>
      </c>
      <c r="B89" s="19" t="n">
        <v>800000000</v>
      </c>
      <c r="C89" s="18" t="inlineStr">
        <is>
          <t>Input</t>
        </is>
      </c>
    </row>
    <row r="90">
      <c r="A90" s="18" t="inlineStr">
        <is>
          <t>Outstanding DALAM PERHATIAN</t>
        </is>
      </c>
      <c r="B90" s="19" t="n">
        <v>60000000</v>
      </c>
      <c r="C90" s="18" t="inlineStr">
        <is>
          <t>Input</t>
        </is>
      </c>
    </row>
    <row r="91">
      <c r="A91" s="18" t="inlineStr">
        <is>
          <t>Outstanding KURANG LANCAR</t>
        </is>
      </c>
      <c r="B91" s="19" t="n">
        <v>20000000</v>
      </c>
      <c r="C91" s="18" t="inlineStr">
        <is>
          <t>Input</t>
        </is>
      </c>
    </row>
    <row r="92">
      <c r="A92" s="18" t="inlineStr">
        <is>
          <t>Outstanding DIRAGUKAN</t>
        </is>
      </c>
      <c r="B92" s="19" t="n">
        <v>10000000</v>
      </c>
      <c r="C92" s="18" t="inlineStr">
        <is>
          <t>Input</t>
        </is>
      </c>
    </row>
    <row r="93">
      <c r="A93" s="18" t="inlineStr">
        <is>
          <t>Outstanding MACET</t>
        </is>
      </c>
      <c r="B93" s="19" t="n">
        <v>10000000</v>
      </c>
      <c r="C93" s="18" t="inlineStr">
        <is>
          <t>Input</t>
        </is>
      </c>
    </row>
    <row r="94">
      <c r="A94" s="18" t="inlineStr">
        <is>
          <t>Saldo simpanan non-ekuitas (Sukarela)</t>
        </is>
      </c>
      <c r="B94" s="19" t="n">
        <v>1200000000</v>
      </c>
      <c r="C94" s="18" t="inlineStr">
        <is>
          <t>Input</t>
        </is>
      </c>
    </row>
    <row r="95">
      <c r="A95" s="18" t="inlineStr">
        <is>
          <t>Total outstanding</t>
        </is>
      </c>
      <c r="B95" s="26">
        <f>SUM(B89,B90,B91,B92,B93)</f>
        <v/>
      </c>
      <c r="C95" s="18" t="inlineStr">
        <is>
          <t>Σ remainingAmount pinjaman ACTIVE</t>
        </is>
      </c>
    </row>
    <row r="96">
      <c r="A96" s="24" t="inlineStr">
        <is>
          <t>Rasio NPL</t>
        </is>
      </c>
      <c r="B96" s="32">
        <f>IF(B95=0,"-",(B91+B92+B93)/B95)</f>
        <v/>
      </c>
      <c r="C96" s="18" t="inlineStr">
        <is>
          <t>(KL + D + M) ÷ total outstanding</t>
        </is>
      </c>
    </row>
    <row r="97">
      <c r="A97" s="24" t="inlineStr">
        <is>
          <t>LDR</t>
        </is>
      </c>
      <c r="B97" s="32">
        <f>IF(B94=0,"-",B95/B94)</f>
        <v/>
      </c>
      <c r="C97" s="18" t="inlineStr">
        <is>
          <t>Total outstanding ÷ simpanan non-ekuitas</t>
        </is>
      </c>
    </row>
    <row r="99" ht="30" customHeight="1">
      <c r="A99" s="17" t="inlineStr">
        <is>
          <t>J. Modal Sendiri &amp; Ambang Audit (reports/capital-service.ts, config/audit-threshold.ts)</t>
        </is>
      </c>
      <c r="B99" s="46" t="n"/>
      <c r="C99" s="47" t="n"/>
    </row>
    <row r="100">
      <c r="A100" s="18" t="inlineStr">
        <is>
          <t>Saldo Simpanan Pokok</t>
        </is>
      </c>
      <c r="B100" s="19" t="n">
        <v>300000000</v>
      </c>
      <c r="C100" s="18" t="inlineStr">
        <is>
          <t>Termasuk</t>
        </is>
      </c>
    </row>
    <row r="101">
      <c r="A101" s="18" t="inlineStr">
        <is>
          <t>Saldo Simpanan Wajib</t>
        </is>
      </c>
      <c r="B101" s="19" t="n">
        <v>900000000</v>
      </c>
      <c r="C101" s="18" t="inlineStr">
        <is>
          <t>Termasuk</t>
        </is>
      </c>
    </row>
    <row r="102">
      <c r="A102" s="18" t="inlineStr">
        <is>
          <t>Saldo Modal Tetap</t>
        </is>
      </c>
      <c r="B102" s="19" t="n">
        <v>0</v>
      </c>
      <c r="C102" s="18" t="inlineStr">
        <is>
          <t>Termasuk</t>
        </is>
      </c>
    </row>
    <row r="103">
      <c r="A103" s="18" t="inlineStr">
        <is>
          <t>Saldo Cadangan Umum</t>
        </is>
      </c>
      <c r="B103" s="19" t="n">
        <v>400000000</v>
      </c>
      <c r="C103" s="18" t="inlineStr">
        <is>
          <t>Termasuk</t>
        </is>
      </c>
    </row>
    <row r="104">
      <c r="A104" s="18" t="inlineStr">
        <is>
          <t>Saldo Cadangan Risiko</t>
        </is>
      </c>
      <c r="B104" s="19" t="n">
        <v>100000000</v>
      </c>
      <c r="C104" s="18" t="inlineStr">
        <is>
          <t>Termasuk</t>
        </is>
      </c>
    </row>
    <row r="105">
      <c r="A105" s="18" t="inlineStr">
        <is>
          <t>Saldo Hibah</t>
        </is>
      </c>
      <c r="B105" s="19" t="n">
        <v>50000000</v>
      </c>
      <c r="C105" s="18" t="inlineStr">
        <is>
          <t>Termasuk</t>
        </is>
      </c>
    </row>
    <row r="106">
      <c r="A106" s="18" t="inlineStr">
        <is>
          <t>Saldo Modal Penyertaan</t>
        </is>
      </c>
      <c r="B106" s="19" t="n">
        <v>250000000</v>
      </c>
      <c r="C106" s="18" t="inlineStr">
        <is>
          <t>TIDAK termasuk</t>
        </is>
      </c>
    </row>
    <row r="107">
      <c r="A107" s="18" t="inlineStr">
        <is>
          <t>SHU belum dibagi</t>
        </is>
      </c>
      <c r="B107" s="19" t="n">
        <v>120000000</v>
      </c>
      <c r="C107" s="18" t="inlineStr">
        <is>
          <t>TIDAK termasuk</t>
        </is>
      </c>
    </row>
    <row r="108">
      <c r="A108" s="18" t="inlineStr">
        <is>
          <t>Penyesuaian saldo awal (terbaru)</t>
        </is>
      </c>
      <c r="B108" s="19" t="n">
        <v>0</v>
      </c>
      <c r="C108" s="18" t="inlineStr">
        <is>
          <t>ModalSendiriAdjustment</t>
        </is>
      </c>
    </row>
    <row r="109">
      <c r="A109" s="18" t="inlineStr">
        <is>
          <t>Total Aset</t>
        </is>
      </c>
      <c r="B109" s="19" t="n">
        <v>6000000000</v>
      </c>
      <c r="C109" s="18" t="inlineStr">
        <is>
          <t>Input</t>
        </is>
      </c>
    </row>
    <row r="110">
      <c r="A110" s="18" t="inlineStr">
        <is>
          <t>Modal Sendiri per 31 Des tahun lalu</t>
        </is>
      </c>
      <c r="B110" s="19" t="n">
        <v>1600000000</v>
      </c>
      <c r="C110" s="18" t="inlineStr">
        <is>
          <t>Input</t>
        </is>
      </c>
    </row>
    <row r="111">
      <c r="A111" s="18" t="inlineStr">
        <is>
          <t>Punya unit KSP aktif? (YA / TIDAK)</t>
        </is>
      </c>
      <c r="B111" s="27" t="inlineStr">
        <is>
          <t>YA</t>
        </is>
      </c>
      <c r="C111" s="18" t="inlineStr">
        <is>
          <t>Input</t>
        </is>
      </c>
    </row>
    <row r="112">
      <c r="A112" s="24" t="inlineStr">
        <is>
          <t>Modal Sendiri</t>
        </is>
      </c>
      <c r="B112" s="25">
        <f>SUM(B100,B101,B102,B103,B104,B105)+B108</f>
        <v/>
      </c>
      <c r="C112" s="18" t="inlineStr">
        <is>
          <t>Σ kelas Modal Sendiri + penyesuaian</t>
        </is>
      </c>
    </row>
    <row r="113">
      <c r="A113" s="18" t="inlineStr">
        <is>
          <t>Rasio Modal Sendiri / Aset</t>
        </is>
      </c>
      <c r="B113" s="31">
        <f>IF(B109=0,"-",B112/B109)</f>
        <v/>
      </c>
      <c r="C113" s="18" t="inlineStr"/>
    </row>
    <row r="114">
      <c r="A114" s="18" t="inlineStr">
        <is>
          <t>Progres ke ambang audit</t>
        </is>
      </c>
      <c r="B114" s="31">
        <f>B112/Parameter!$C$9</f>
        <v/>
      </c>
      <c r="C114" s="18" t="inlineStr">
        <is>
          <t>Modal Sendiri ÷ Rp5 miliar</t>
        </is>
      </c>
    </row>
    <row r="115">
      <c r="A115" s="24" t="inlineStr">
        <is>
          <t>Status notifikasi audit</t>
        </is>
      </c>
      <c r="B115" s="24">
        <f>IF(B111&lt;&gt;"YA","Tidak berlaku (tanpa unit KSP)",IF(B110&gt;=Parameter!$C$9,"WAJIB AUDIT — tahun buku lalu",IF(B112&gt;=Parameter!$C$9,"MENDEKATI — tahun buku berjalan","Belum mencapai ambang")))</f>
        <v/>
      </c>
      <c r="C115" s="18" t="inlineStr">
        <is>
          <t>Maks. 1× per jenis per tahun</t>
        </is>
      </c>
    </row>
    <row r="116">
      <c r="A116" s="18" t="inlineStr">
        <is>
          <t>Batas konsentrasi simpanan per anggota</t>
        </is>
      </c>
      <c r="B116" s="26">
        <f>B112*Parameter!$C$13</f>
        <v/>
      </c>
      <c r="C116" s="18" t="inlineStr">
        <is>
          <t>Anggota dengan pokok+wajib di atas nilai ini ditampilkan di dashboard</t>
        </is>
      </c>
    </row>
    <row r="118" ht="30" customHeight="1">
      <c r="A118" s="17" t="inlineStr">
        <is>
          <t>K. Klasifikasi KSP (lib/regulatory-config.ts classifyKsp — Pasal 49)</t>
        </is>
      </c>
      <c r="B118" s="46" t="n"/>
      <c r="C118" s="47" t="n"/>
    </row>
    <row r="119">
      <c r="A119" s="18" t="inlineStr">
        <is>
          <t>Jumlah anggota aktif</t>
        </is>
      </c>
      <c r="B119" s="21" t="n">
        <v>6200</v>
      </c>
      <c r="C119" s="18" t="inlineStr">
        <is>
          <t>Input</t>
        </is>
      </c>
    </row>
    <row r="120">
      <c r="A120" s="18" t="inlineStr">
        <is>
          <t>Modal Sendiri</t>
        </is>
      </c>
      <c r="B120" s="19" t="n">
        <v>1870000000</v>
      </c>
      <c r="C120" s="18" t="inlineStr">
        <is>
          <t>Input</t>
        </is>
      </c>
    </row>
    <row r="121">
      <c r="A121" s="18" t="inlineStr">
        <is>
          <t>Total aset</t>
        </is>
      </c>
      <c r="B121" s="19" t="n">
        <v>6000000000</v>
      </c>
      <c r="C121" s="18" t="inlineStr">
        <is>
          <t>Input</t>
        </is>
      </c>
    </row>
    <row r="122">
      <c r="A122" s="24" t="inlineStr">
        <is>
          <t>Kelas KSP</t>
        </is>
      </c>
      <c r="B122" s="24">
        <f>IF(AND(B119&lt;=Parameter!$B$26,B120&lt;=Parameter!$C$26,B121&lt;=Parameter!$E$26),"KSP I",IF(AND(B119&lt;=Parameter!$B$27,B120&lt;=Parameter!$C$27,B121&lt;=Parameter!$E$27),"KSP II",IF(AND(B119&lt;=Parameter!$B$28,B120&lt;=Parameter!$C$28,B121&lt;=Parameter!$E$28),"KSP III","KSP IV")))</f>
        <v/>
      </c>
      <c r="C122" s="18" t="inlineStr">
        <is>
          <t>Kelas terendah yang SEMUA batasnya terpenuhi</t>
        </is>
      </c>
    </row>
    <row r="124" ht="30" customHeight="1">
      <c r="A124" s="17" t="inlineStr">
        <is>
          <t>L. Pembagian SHU (reports/regulatory-service.ts getShuDistribution)</t>
        </is>
      </c>
      <c r="B124" s="46" t="n"/>
      <c r="C124" s="47" t="n"/>
    </row>
    <row r="125">
      <c r="A125" s="18" t="inlineStr">
        <is>
          <t>Total Pendapatan periode</t>
        </is>
      </c>
      <c r="B125" s="19" t="n">
        <v>900000000</v>
      </c>
      <c r="C125" s="18" t="inlineStr">
        <is>
          <t>Input</t>
        </is>
      </c>
    </row>
    <row r="126">
      <c r="A126" s="18" t="inlineStr">
        <is>
          <t>Total Beban periode</t>
        </is>
      </c>
      <c r="B126" s="19" t="n">
        <v>650000000</v>
      </c>
      <c r="C126" s="18" t="inlineStr">
        <is>
          <t>Input</t>
        </is>
      </c>
    </row>
    <row r="127">
      <c r="A127" s="18" t="inlineStr">
        <is>
          <t>% Jasa Simpanan</t>
        </is>
      </c>
      <c r="B127" s="20" t="n">
        <v>0.4</v>
      </c>
      <c r="C127" s="18" t="inlineStr">
        <is>
          <t>Konfigurasi SHU</t>
        </is>
      </c>
    </row>
    <row r="128">
      <c r="A128" s="18" t="inlineStr">
        <is>
          <t>% Jasa Pinjaman</t>
        </is>
      </c>
      <c r="B128" s="20" t="n">
        <v>0.25</v>
      </c>
      <c r="C128" s="18" t="inlineStr">
        <is>
          <t>Konfigurasi SHU</t>
        </is>
      </c>
    </row>
    <row r="129">
      <c r="A129" s="18" t="inlineStr">
        <is>
          <t>% Cadangan</t>
        </is>
      </c>
      <c r="B129" s="20" t="n">
        <v>0.2</v>
      </c>
      <c r="C129" s="18" t="inlineStr">
        <is>
          <t>Konfigurasi SHU</t>
        </is>
      </c>
    </row>
    <row r="130">
      <c r="A130" s="18" t="inlineStr">
        <is>
          <t>% Lainnya</t>
        </is>
      </c>
      <c r="B130" s="20" t="n">
        <v>0.15</v>
      </c>
      <c r="C130" s="18" t="inlineStr">
        <is>
          <t>Konfigurasi SHU</t>
        </is>
      </c>
    </row>
    <row r="131">
      <c r="A131" s="24" t="inlineStr">
        <is>
          <t>SHU berjalan</t>
        </is>
      </c>
      <c r="B131" s="25">
        <f>ROUND(B125-B126,2)</f>
        <v/>
      </c>
      <c r="C131" s="18" t="inlineStr">
        <is>
          <t>Pendapatan − Beban</t>
        </is>
      </c>
    </row>
    <row r="132">
      <c r="A132" s="18" t="inlineStr">
        <is>
          <t>Total persentase</t>
        </is>
      </c>
      <c r="B132" s="31">
        <f>B127+B128+B129+B130</f>
        <v/>
      </c>
      <c r="C132" s="18" t="inlineStr">
        <is>
          <t>Wajib 100% (divalidasi di Konfigurasi SHU)</t>
        </is>
      </c>
    </row>
    <row r="133">
      <c r="A133" s="18" t="inlineStr">
        <is>
          <t>Pool Jasa Simpanan</t>
        </is>
      </c>
      <c r="B133" s="26">
        <f>IF(B131&gt;0,ROUND(B131*B127,2),0)</f>
        <v/>
      </c>
      <c r="C133" s="18" t="inlineStr">
        <is>
          <t>SHU × % (dibagi ke anggota hanya bila SHU &gt; 0)</t>
        </is>
      </c>
    </row>
    <row r="134">
      <c r="A134" s="18" t="inlineStr">
        <is>
          <t>Pool Jasa Pinjaman</t>
        </is>
      </c>
      <c r="B134" s="26">
        <f>IF(B131&gt;0,ROUND(B131*B128,2),0)</f>
        <v/>
      </c>
      <c r="C134" s="18" t="inlineStr"/>
    </row>
    <row r="135">
      <c r="A135" s="18" t="inlineStr">
        <is>
          <t>Alokasi Cadangan</t>
        </is>
      </c>
      <c r="B135" s="26">
        <f>ROUND(B131*B129,2)</f>
        <v/>
      </c>
      <c r="C135" s="18" t="inlineStr"/>
    </row>
    <row r="136">
      <c r="A136" s="18" t="inlineStr">
        <is>
          <t>Alokasi Lainnya</t>
        </is>
      </c>
      <c r="B136" s="26">
        <f>ROUND(B131*B130,2)</f>
        <v/>
      </c>
      <c r="C136" s="18" t="inlineStr"/>
    </row>
    <row r="138">
      <c r="A138" s="5" t="inlineStr">
        <is>
          <t>Contoh 3 anggota — kolom biru = input</t>
        </is>
      </c>
    </row>
    <row r="139" ht="30" customHeight="1">
      <c r="A139" s="9" t="inlineStr">
        <is>
          <t>Anggota</t>
        </is>
      </c>
      <c r="B139" s="9" t="inlineStr">
        <is>
          <t>Saldo awal periode</t>
        </is>
      </c>
      <c r="C139" s="9" t="inlineStr">
        <is>
          <t>Saldo akhir periode</t>
        </is>
      </c>
      <c r="D139" s="9" t="inlineStr">
        <is>
          <t>Rata-rata sukarela</t>
        </is>
      </c>
      <c r="E139" s="9" t="inlineStr">
        <is>
          <t>Bunga dibayar</t>
        </is>
      </c>
      <c r="F139" s="9" t="inlineStr">
        <is>
          <t>Rata-rata saldo</t>
        </is>
      </c>
      <c r="G139" s="9" t="inlineStr">
        <is>
          <t>Jasa Simpanan</t>
        </is>
      </c>
      <c r="H139" s="9" t="inlineStr">
        <is>
          <t>SHU Sukarela</t>
        </is>
      </c>
      <c r="I139" s="9" t="inlineStr">
        <is>
          <t>SHU Pokok+Wajib</t>
        </is>
      </c>
      <c r="J139" s="9" t="inlineStr">
        <is>
          <t>Jasa Pinjaman</t>
        </is>
      </c>
      <c r="K139" s="9" t="inlineStr">
        <is>
          <t>Total SHU</t>
        </is>
      </c>
    </row>
    <row r="140">
      <c r="A140" s="33" t="inlineStr">
        <is>
          <t>Anggota 1</t>
        </is>
      </c>
      <c r="B140" s="34" t="n">
        <v>10000000</v>
      </c>
      <c r="C140" s="34" t="n">
        <v>14000000</v>
      </c>
      <c r="D140" s="34" t="n">
        <v>2000000</v>
      </c>
      <c r="E140" s="34" t="n">
        <v>1200000</v>
      </c>
      <c r="F140" s="35">
        <f>ROUND((B140+C140)/2,2)</f>
        <v/>
      </c>
      <c r="G140" s="35">
        <f>IF(SUM($F$140:$F$142)&gt;0,ROUND(F140/SUM($F$140:$F$142)*B133,2),0)</f>
        <v/>
      </c>
      <c r="H140" s="35">
        <f>IF(F140&gt;0,ROUND(D140/F140*G140,2),0)</f>
        <v/>
      </c>
      <c r="I140" s="35">
        <f>ROUND(G140-H140,2)</f>
        <v/>
      </c>
      <c r="J140" s="35">
        <f>IF(SUM($E$140:$E$142)&gt;0,ROUND(E140/SUM($E$140:$E$142)*B134,2),0)</f>
        <v/>
      </c>
      <c r="K140" s="35">
        <f>ROUND(G140+J140,2)</f>
        <v/>
      </c>
    </row>
    <row r="141">
      <c r="A141" s="33" t="inlineStr">
        <is>
          <t>Anggota 2</t>
        </is>
      </c>
      <c r="B141" s="34" t="n">
        <v>5000000</v>
      </c>
      <c r="C141" s="34" t="n">
        <v>5000000</v>
      </c>
      <c r="D141" s="34" t="n">
        <v>0</v>
      </c>
      <c r="E141" s="34" t="n">
        <v>0</v>
      </c>
      <c r="F141" s="35">
        <f>ROUND((B141+C141)/2,2)</f>
        <v/>
      </c>
      <c r="G141" s="35">
        <f>IF(SUM($F$140:$F$142)&gt;0,ROUND(F141/SUM($F$140:$F$142)*B133,2),0)</f>
        <v/>
      </c>
      <c r="H141" s="35">
        <f>IF(F141&gt;0,ROUND(D141/F141*G141,2),0)</f>
        <v/>
      </c>
      <c r="I141" s="35">
        <f>ROUND(G141-H141,2)</f>
        <v/>
      </c>
      <c r="J141" s="35">
        <f>IF(SUM($E$140:$E$142)&gt;0,ROUND(E141/SUM($E$140:$E$142)*B134,2),0)</f>
        <v/>
      </c>
      <c r="K141" s="35">
        <f>ROUND(G141+J141,2)</f>
        <v/>
      </c>
    </row>
    <row r="142">
      <c r="A142" s="33" t="inlineStr">
        <is>
          <t>Anggota 3</t>
        </is>
      </c>
      <c r="B142" s="34" t="n">
        <v>20000000</v>
      </c>
      <c r="C142" s="34" t="n">
        <v>26000000</v>
      </c>
      <c r="D142" s="34" t="n">
        <v>8000000</v>
      </c>
      <c r="E142" s="34" t="n">
        <v>3000000</v>
      </c>
      <c r="F142" s="35">
        <f>ROUND((B142+C142)/2,2)</f>
        <v/>
      </c>
      <c r="G142" s="35">
        <f>IF(SUM($F$140:$F$142)&gt;0,ROUND(F142/SUM($F$140:$F$142)*B133,2),0)</f>
        <v/>
      </c>
      <c r="H142" s="35">
        <f>IF(F142&gt;0,ROUND(D142/F142*G142,2),0)</f>
        <v/>
      </c>
      <c r="I142" s="35">
        <f>ROUND(G142-H142,2)</f>
        <v/>
      </c>
      <c r="J142" s="35">
        <f>IF(SUM($E$140:$E$142)&gt;0,ROUND(E142/SUM($E$140:$E$142)*B134,2),0)</f>
        <v/>
      </c>
      <c r="K142" s="35">
        <f>ROUND(G142+J142,2)</f>
        <v/>
      </c>
    </row>
    <row r="143">
      <c r="A143" s="36" t="inlineStr">
        <is>
          <t>Total</t>
        </is>
      </c>
      <c r="F143" s="37">
        <f>SUM(F140:F142)</f>
        <v/>
      </c>
      <c r="G143" s="37">
        <f>SUM(G140:G142)</f>
        <v/>
      </c>
      <c r="J143" s="37">
        <f>SUM(J140:J142)</f>
        <v/>
      </c>
      <c r="K143" s="37">
        <f>SUM(K140:K142)</f>
        <v/>
      </c>
    </row>
    <row r="144" ht="30" customHeight="1">
      <c r="A144" s="4" t="inlineStr">
        <is>
          <t>Rata-rata saldo = (saldo awal + saldo akhir) ÷ 2. Jasa Simpanan = rata-rata ÷ Σ rata-rata × pool. Jasa Pinjaman = bunga dibayar ÷ Σ bunga × pool. SHU Sukarela = rata-rata sukarela ÷ rata-rata saldo × Jasa Simpanan; sisanya Pokok+Wajib.</t>
        </is>
      </c>
    </row>
    <row r="146" ht="30" customHeight="1">
      <c r="A146" s="17" t="inlineStr">
        <is>
          <t>M. Setoran Kolektor — verifikasi batch (collections/service.ts verifyBatch)</t>
        </is>
      </c>
      <c r="B146" s="46" t="n"/>
      <c r="C146" s="47" t="n"/>
    </row>
    <row r="147">
      <c r="A147" s="18" t="inlineStr">
        <is>
          <t>Total diharapkan (expectedTotal)</t>
        </is>
      </c>
      <c r="B147" s="19" t="n">
        <v>2450000</v>
      </c>
      <c r="C147" s="18" t="inlineStr">
        <is>
          <t>Σ setoran yang dicatat kolektor</t>
        </is>
      </c>
    </row>
    <row r="148">
      <c r="A148" s="18" t="inlineStr">
        <is>
          <t>Uang diterima kasir (receivedTotal)</t>
        </is>
      </c>
      <c r="B148" s="19" t="n">
        <v>2400000</v>
      </c>
      <c r="C148" s="18" t="inlineStr">
        <is>
          <t>Input</t>
        </is>
      </c>
    </row>
    <row r="149">
      <c r="A149" s="24" t="inlineStr">
        <is>
          <t>Selisih (variance)</t>
        </is>
      </c>
      <c r="B149" s="25">
        <f>B148-B147</f>
        <v/>
      </c>
      <c r="C149" s="18" t="inlineStr">
        <is>
          <t>Diterima − diharapkan</t>
        </is>
      </c>
    </row>
    <row r="150">
      <c r="A150" s="18" t="inlineStr">
        <is>
          <t>Dr Piutang Kolektor (kurang setor)</t>
        </is>
      </c>
      <c r="B150" s="26">
        <f>MAX(0,B147-B148)</f>
        <v/>
      </c>
      <c r="C150" s="18" t="inlineStr"/>
    </row>
    <row r="151">
      <c r="A151" s="18" t="inlineStr">
        <is>
          <t>Cr Selisih Kas (lebih setor)</t>
        </is>
      </c>
      <c r="B151" s="26">
        <f>MAX(0,B148-B147)</f>
        <v/>
      </c>
      <c r="C151" s="18" t="inlineStr"/>
    </row>
    <row r="153" ht="30" customHeight="1">
      <c r="A153" s="17" t="inlineStr">
        <is>
          <t>N. Kualitas Portofolio — PAR &amp; Efisiensi Penagihan (reports/portfolio-service.ts)</t>
        </is>
      </c>
      <c r="B153" s="46" t="n"/>
      <c r="C153" s="47" t="n"/>
    </row>
    <row r="154">
      <c r="A154" s="18" t="inlineStr">
        <is>
          <t>Outstanding pokok — CURRENT (tidak menunggak)</t>
        </is>
      </c>
      <c r="B154" s="19" t="n">
        <v>700000000</v>
      </c>
      <c r="C154" s="18" t="inlineStr">
        <is>
          <t>Input. Bucket menurut daysOverdue (konstanta di BUCKET_SQL): ≤0 / ≤30 / ≤60 / ≤90 / &gt;90 hari</t>
        </is>
      </c>
    </row>
    <row r="155">
      <c r="A155" s="18" t="inlineStr">
        <is>
          <t>Outstanding pokok — 1–30 hari</t>
        </is>
      </c>
      <c r="B155" s="19" t="n">
        <v>120000000</v>
      </c>
      <c r="C155" s="18" t="inlineStr">
        <is>
          <t>Input</t>
        </is>
      </c>
    </row>
    <row r="156">
      <c r="A156" s="18" t="inlineStr">
        <is>
          <t>Outstanding pokok — 31–60 hari</t>
        </is>
      </c>
      <c r="B156" s="19" t="n">
        <v>50000000</v>
      </c>
      <c r="C156" s="18" t="inlineStr">
        <is>
          <t>Input</t>
        </is>
      </c>
    </row>
    <row r="157">
      <c r="A157" s="18" t="inlineStr">
        <is>
          <t>Outstanding pokok — 61–90 hari</t>
        </is>
      </c>
      <c r="B157" s="19" t="n">
        <v>30000000</v>
      </c>
      <c r="C157" s="18" t="inlineStr">
        <is>
          <t>Input</t>
        </is>
      </c>
    </row>
    <row r="158">
      <c r="A158" s="18" t="inlineStr">
        <is>
          <t>Outstanding pokok — &gt;90 hari</t>
        </is>
      </c>
      <c r="B158" s="19" t="n">
        <v>100000000</v>
      </c>
      <c r="C158" s="18" t="inlineStr">
        <is>
          <t>Input</t>
        </is>
      </c>
    </row>
    <row r="159">
      <c r="A159" s="18" t="inlineStr">
        <is>
          <t>Total outstanding pokok</t>
        </is>
      </c>
      <c r="B159" s="26">
        <f>SUM(B154:B158)</f>
        <v/>
      </c>
      <c r="C159" s="18" t="inlineStr">
        <is>
          <t>Σ semua bucket (pinjaman ACTIVE)</t>
        </is>
      </c>
    </row>
    <row r="160">
      <c r="A160" s="24" t="inlineStr">
        <is>
          <t>PAR &gt; 1 hari</t>
        </is>
      </c>
      <c r="B160" s="32">
        <f>IF(B159=0,0,SUM(B155:B158)/B159)</f>
        <v/>
      </c>
      <c r="C160" s="18" t="inlineStr">
        <is>
          <t>Σ bucket 1–30 s.d. &gt;90 ÷ total</t>
        </is>
      </c>
    </row>
    <row r="161">
      <c r="A161" s="24" t="inlineStr">
        <is>
          <t>PAR &gt; 30 hari</t>
        </is>
      </c>
      <c r="B161" s="32">
        <f>IF(B159=0,0,SUM(B156:B158)/B159)</f>
        <v/>
      </c>
      <c r="C161" s="18" t="inlineStr">
        <is>
          <t>Σ bucket 31–60 s.d. &gt;90 ÷ total</t>
        </is>
      </c>
    </row>
    <row r="162">
      <c r="A162" s="24" t="inlineStr">
        <is>
          <t>PAR &gt; 90 hari = Rasio NPL laporan</t>
        </is>
      </c>
      <c r="B162" s="32">
        <f>IF(B159=0,0,B158/B159)</f>
        <v/>
      </c>
      <c r="C162" s="18" t="inlineStr">
        <is>
          <t>Bucket &gt;90 ÷ total; sama dengan KL + D + M di bagian I</t>
        </is>
      </c>
    </row>
    <row r="163">
      <c r="A163" s="18" t="inlineStr">
        <is>
          <t>Tagihan jatuh tempo dalam periode (pokok + bunga)</t>
        </is>
      </c>
      <c r="B163" s="19" t="n">
        <v>50000000</v>
      </c>
      <c r="C163" s="18" t="inlineStr">
        <is>
          <t>Input. Σ principalDue + interestDue cicilan yang jatuh tempo di periode</t>
        </is>
      </c>
    </row>
    <row r="164">
      <c r="A164" s="18" t="inlineStr">
        <is>
          <t>Sudah terbayar atas tagihan itu (pokok + bunga)</t>
        </is>
      </c>
      <c r="B164" s="19" t="n">
        <v>46000000</v>
      </c>
      <c r="C164" s="18" t="inlineStr">
        <is>
          <t>Input. Σ principalPaid + interestPaid, kumulatif sampai sekarang</t>
        </is>
      </c>
    </row>
    <row r="165">
      <c r="A165" s="24" t="inlineStr">
        <is>
          <t>Efisiensi penagihan</t>
        </is>
      </c>
      <c r="B165" s="32">
        <f>IF(B163=0,"-",B164/B163)</f>
        <v/>
      </c>
      <c r="C165" s="18" t="inlineStr">
        <is>
          <t>Terbayar ÷ jatuh tempo; kosong bila tidak ada tagihan</t>
        </is>
      </c>
    </row>
    <row r="166">
      <c r="A166" s="18" t="inlineStr">
        <is>
          <t>Sisa bayar pinjaman tanpa jadwal (remainingAmount)</t>
        </is>
      </c>
      <c r="B166" s="19" t="n">
        <v>9000000</v>
      </c>
      <c r="C166" s="18" t="inlineStr">
        <is>
          <t>Input. Pinjaman lama tanpa LoanInstallment</t>
        </is>
      </c>
    </row>
    <row r="167">
      <c r="A167" s="18" t="inlineStr">
        <is>
          <t>Pokok awal (principalAmount)</t>
        </is>
      </c>
      <c r="B167" s="19" t="n">
        <v>10000000</v>
      </c>
      <c r="C167" s="18" t="inlineStr">
        <is>
          <t>Input</t>
        </is>
      </c>
    </row>
    <row r="168">
      <c r="A168" s="18" t="inlineStr">
        <is>
          <t>Total awal (pokok + bunga/margin)</t>
        </is>
      </c>
      <c r="B168" s="19" t="n">
        <v>12000000</v>
      </c>
      <c r="C168" s="18" t="inlineStr">
        <is>
          <t>Input</t>
        </is>
      </c>
    </row>
    <row r="169">
      <c r="A169" s="18" t="inlineStr">
        <is>
          <t>Outstanding pokok pinjaman tanpa jadwal</t>
        </is>
      </c>
      <c r="B169" s="26">
        <f>IF(B168=0,0,B166*B167/B168)</f>
        <v/>
      </c>
      <c r="C169" s="18" t="inlineStr">
        <is>
          <t>remainingAmount × pokok ÷ total (porsi pokok flat)</t>
        </is>
      </c>
    </row>
    <row r="171" ht="30" customHeight="1">
      <c r="A171" s="17" t="inlineStr">
        <is>
          <t>O. Tutup Buku — entri penutup satu tahun (modules/journal/year-close.ts)</t>
        </is>
      </c>
      <c r="B171" s="46" t="n"/>
      <c r="C171" s="47" t="n"/>
    </row>
    <row r="172">
      <c r="A172" s="18" t="inlineStr">
        <is>
          <t>Tahun yang akan ditutup</t>
        </is>
      </c>
      <c r="B172" s="48" t="n">
        <v>2025</v>
      </c>
      <c r="C172" s="18" t="inlineStr">
        <is>
          <t>Input</t>
        </is>
      </c>
    </row>
    <row r="173">
      <c r="A173" s="18" t="inlineStr">
        <is>
          <t>Tahun bisnis berjalan</t>
        </is>
      </c>
      <c r="B173" s="48" t="n">
        <v>2026</v>
      </c>
      <c r="C173" s="18" t="inlineStr">
        <is>
          <t>Input</t>
        </is>
      </c>
    </row>
    <row r="174">
      <c r="A174" s="18" t="inlineStr">
        <is>
          <t>Boleh ditutup?</t>
        </is>
      </c>
      <c r="B174" s="18">
        <f>IF(AND(B172&gt;=2000,B172&lt;B173),"YA","DITOLAK — tahun belum berakhir")</f>
        <v/>
      </c>
      <c r="C174" s="18" t="inlineStr">
        <is>
          <t>Hanya tahun yang sudah berakhir</t>
        </is>
      </c>
    </row>
    <row r="175">
      <c r="A175" s="18" t="inlineStr">
        <is>
          <t>Saldo akun PENDAPATAN (Σ Kredit − Σ Debit)</t>
        </is>
      </c>
      <c r="B175" s="19" t="n">
        <v>1000000000</v>
      </c>
      <c r="C175" s="18" t="inlineStr">
        <is>
          <t>Input. Per unit atau bucket tidak teralokasi</t>
        </is>
      </c>
    </row>
    <row r="176">
      <c r="A176" s="18" t="inlineStr">
        <is>
          <t>Saldo akun BEBAN (Σ Debit − Σ Kredit)</t>
        </is>
      </c>
      <c r="B176" s="19" t="n">
        <v>650000000</v>
      </c>
      <c r="C176" s="18" t="inlineStr">
        <is>
          <t>Input</t>
        </is>
      </c>
    </row>
    <row r="177">
      <c r="A177" s="18" t="inlineStr">
        <is>
          <t>Σ (Debit − Kredit) akun PENDAPATAN + BEBAN</t>
        </is>
      </c>
      <c r="B177" s="26">
        <f>B176-B175</f>
        <v/>
      </c>
      <c r="C177" s="18" t="inlineStr">
        <is>
          <t>PENDAPATAN bersaldo kredit, jadi menyumbang negatif</t>
        </is>
      </c>
    </row>
    <row r="178">
      <c r="A178" s="24" t="inlineStr">
        <is>
          <t>SHU (laba bersih) = −Σ Saldo</t>
        </is>
      </c>
      <c r="B178" s="25">
        <f>-B177</f>
        <v/>
      </c>
      <c r="C178" s="18" t="inlineStr">
        <is>
          <t>Positif = laba, negatif = rugi</t>
        </is>
      </c>
    </row>
    <row r="179">
      <c r="A179" s="18" t="inlineStr">
        <is>
          <t>Debit akun PENDAPATAN (menutup saldo kredit)</t>
        </is>
      </c>
      <c r="B179" s="26">
        <f>MAX(0,B175)</f>
        <v/>
      </c>
      <c r="C179" s="18" t="inlineStr">
        <is>
          <t>Saldo kredit dipindah dengan debit</t>
        </is>
      </c>
    </row>
    <row r="180">
      <c r="A180" s="18" t="inlineStr">
        <is>
          <t>Kredit akun BEBAN (menutup saldo debit)</t>
        </is>
      </c>
      <c r="B180" s="26">
        <f>MAX(0,B176)</f>
        <v/>
      </c>
      <c r="C180" s="18" t="inlineStr">
        <is>
          <t>Saldo debit dipindah dengan kredit</t>
        </is>
      </c>
    </row>
    <row r="181">
      <c r="A181" s="18" t="inlineStr">
        <is>
          <t>Kredit akun tujuan (3-3100 SHU Tahun Lalu)</t>
        </is>
      </c>
      <c r="B181" s="26">
        <f>MAX(0,B178)</f>
        <v/>
      </c>
      <c r="C181" s="18" t="inlineStr">
        <is>
          <t>Bila laba</t>
        </is>
      </c>
    </row>
    <row r="182">
      <c r="A182" s="18" t="inlineStr">
        <is>
          <t>Debit akun tujuan (3-3100 SHU Tahun Lalu)</t>
        </is>
      </c>
      <c r="B182" s="26">
        <f>MAX(0,-B178)</f>
        <v/>
      </c>
      <c r="C182" s="18" t="inlineStr">
        <is>
          <t>Bila rugi</t>
        </is>
      </c>
    </row>
    <row r="183">
      <c r="A183" s="24" t="inlineStr">
        <is>
          <t>Entri penutup seimbang?</t>
        </is>
      </c>
      <c r="B183" s="24">
        <f>IF(ROUND(B179+B182,2)=ROUND(B180+B181,2),"SEIMBANG","TIDAK SEIMBANG")</f>
        <v/>
      </c>
      <c r="C183" s="18" t="inlineStr">
        <is>
          <t>Σ Debit = Σ Kredit (LAN-06)</t>
        </is>
      </c>
    </row>
    <row r="185" ht="30" customHeight="1">
      <c r="A185" s="17" t="inlineStr">
        <is>
          <t>P. Akun Kontra &amp; Roll-up Induk (lib/account-tree.ts)</t>
        </is>
      </c>
      <c r="B185" s="46" t="n"/>
      <c r="C185" s="47" t="n"/>
    </row>
    <row r="186">
      <c r="A186" s="18" t="inlineStr">
        <is>
          <t>Penjualan (KREDIT) — Σ Debit</t>
        </is>
      </c>
      <c r="B186" s="19" t="n">
        <v>0</v>
      </c>
      <c r="C186" s="18" t="inlineStr">
        <is>
          <t>Input. Akun rinci, kategori PENDAPATAN</t>
        </is>
      </c>
    </row>
    <row r="187">
      <c r="A187" s="18" t="inlineStr">
        <is>
          <t>Penjualan (KREDIT) — Σ Kredit</t>
        </is>
      </c>
      <c r="B187" s="19" t="n">
        <v>100000000</v>
      </c>
      <c r="C187" s="18" t="inlineStr">
        <is>
          <t>Input</t>
        </is>
      </c>
    </row>
    <row r="188">
      <c r="A188" s="18" t="inlineStr">
        <is>
          <t>Retur Penjualan (DEBIT, kontra) — Σ Debit</t>
        </is>
      </c>
      <c r="B188" s="19" t="n">
        <v>5000000</v>
      </c>
      <c r="C188" s="18" t="inlineStr">
        <is>
          <t>Input. Kontra: sisi normal DEBIT pada kategori PENDAPATAN</t>
        </is>
      </c>
    </row>
    <row r="189">
      <c r="A189" s="18" t="inlineStr">
        <is>
          <t>Retur Penjualan (DEBIT, kontra) — Σ Kredit</t>
        </is>
      </c>
      <c r="B189" s="19" t="n">
        <v>0</v>
      </c>
      <c r="C189" s="18" t="inlineStr">
        <is>
          <t>Input</t>
        </is>
      </c>
    </row>
    <row r="190">
      <c r="A190" s="18" t="inlineStr">
        <is>
          <t>Nilai sisi normal Penjualan</t>
        </is>
      </c>
      <c r="B190" s="26">
        <f>B187-B186</f>
        <v/>
      </c>
      <c r="C190" s="18" t="inlineStr">
        <is>
          <t>Kredit − Debit</t>
        </is>
      </c>
    </row>
    <row r="191">
      <c r="A191" s="18" t="inlineStr">
        <is>
          <t>Nilai sisi normal Retur Penjualan</t>
        </is>
      </c>
      <c r="B191" s="26">
        <f>B188-B189</f>
        <v/>
      </c>
      <c r="C191" s="18" t="inlineStr">
        <is>
          <t>Debit − Kredit</t>
        </is>
      </c>
    </row>
    <row r="192">
      <c r="A192" s="18" t="inlineStr">
        <is>
          <t>Kontribusi Retur ke seksi PENDAPATAN</t>
        </is>
      </c>
      <c r="B192" s="26">
        <f>-B191</f>
        <v/>
      </c>
      <c r="C192" s="18" t="inlineStr">
        <is>
          <t>Akun kontra mengurangi seksinya</t>
        </is>
      </c>
    </row>
    <row r="193">
      <c r="A193" s="24" t="inlineStr">
        <is>
          <t>Total seksi PENDAPATAN</t>
        </is>
      </c>
      <c r="B193" s="25">
        <f>B190+B192</f>
        <v/>
      </c>
      <c r="C193" s="18" t="inlineStr">
        <is>
          <t>Σ kontribusi akun rinci</t>
        </is>
      </c>
    </row>
    <row r="194">
      <c r="A194" s="18" t="inlineStr">
        <is>
          <t>Induk (header) — Σ Debit hasil roll-up</t>
        </is>
      </c>
      <c r="B194" s="26">
        <f>B186+B188</f>
        <v/>
      </c>
      <c r="C194" s="18" t="inlineStr">
        <is>
          <t>Σ debit anak</t>
        </is>
      </c>
    </row>
    <row r="195">
      <c r="A195" s="18" t="inlineStr">
        <is>
          <t>Induk (header) — Σ Kredit hasil roll-up</t>
        </is>
      </c>
      <c r="B195" s="26">
        <f>B187+B189</f>
        <v/>
      </c>
      <c r="C195" s="18" t="inlineStr">
        <is>
          <t>Σ kredit anak</t>
        </is>
      </c>
    </row>
    <row r="196">
      <c r="A196" s="24" t="inlineStr">
        <is>
          <t>Nilai induk yang ditampilkan</t>
        </is>
      </c>
      <c r="B196" s="25">
        <f>B195-B194</f>
        <v/>
      </c>
      <c r="C196" s="18" t="inlineStr">
        <is>
          <t>Sisi normal induk = KREDIT: Kredit − Debit</t>
        </is>
      </c>
    </row>
    <row r="197">
      <c r="A197" s="18" t="inlineStr">
        <is>
          <t>Induk = total seksi?</t>
        </is>
      </c>
      <c r="B197" s="18">
        <f>IF(ROUND(B196,2)=ROUND(B193,2),"SAMA","BEDA")</f>
        <v/>
      </c>
      <c r="C197" s="18" t="inlineStr">
        <is>
          <t>Roll-up mentah menghasilkan angka yang sama dengan total bertanda</t>
        </is>
      </c>
    </row>
  </sheetData>
  <mergeCells count="17">
    <mergeCell ref="A99:C99"/>
    <mergeCell ref="A41:C41"/>
    <mergeCell ref="A185:C185"/>
    <mergeCell ref="A118:C118"/>
    <mergeCell ref="A5:C5"/>
    <mergeCell ref="A84:C84"/>
    <mergeCell ref="A88:C88"/>
    <mergeCell ref="A146:C146"/>
    <mergeCell ref="A62:C62"/>
    <mergeCell ref="A124:C124"/>
    <mergeCell ref="A153:C153"/>
    <mergeCell ref="A53:C53"/>
    <mergeCell ref="A24:C24"/>
    <mergeCell ref="A73:C73"/>
    <mergeCell ref="A16:C16"/>
    <mergeCell ref="A171:C171"/>
    <mergeCell ref="A144:K144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38" customWidth="1" min="2" max="2"/>
    <col width="20" customWidth="1" min="3" max="3"/>
    <col width="14" customWidth="1" min="4" max="4"/>
    <col width="46" customWidth="1" min="5" max="5"/>
    <col width="44" customWidth="1" min="6" max="6"/>
  </cols>
  <sheetData>
    <row r="1">
      <c r="A1" s="1" t="inlineStr">
        <is>
          <t>Parameter &amp; Konstanta</t>
        </is>
      </c>
    </row>
    <row r="2">
      <c r="A2" s="2" t="inlineStr">
        <is>
          <t>Nilai tetap di kode. Teks biru = input (ubah untuk simulasi). Sheet Simulasi merujuk sel-sel ini.</t>
        </is>
      </c>
    </row>
    <row r="4" ht="30" customHeight="1">
      <c r="A4" s="9" t="inlineStr">
        <is>
          <t>Kode</t>
        </is>
      </c>
      <c r="B4" s="9" t="inlineStr">
        <is>
          <t>Parameter</t>
        </is>
      </c>
      <c r="C4" s="9" t="inlineStr">
        <is>
          <t>Nilai</t>
        </is>
      </c>
      <c r="D4" s="9" t="inlineStr">
        <is>
          <t>Satuan</t>
        </is>
      </c>
      <c r="E4" s="9" t="inlineStr">
        <is>
          <t>Dasar / Alasan</t>
        </is>
      </c>
      <c r="F4" s="9" t="inlineStr">
        <is>
          <t>Sumber Kode</t>
        </is>
      </c>
    </row>
    <row r="5">
      <c r="A5" s="18" t="inlineStr">
        <is>
          <t>P01</t>
        </is>
      </c>
      <c r="B5" s="18" t="inlineStr">
        <is>
          <t>Batas bunga pinjaman per tahun</t>
        </is>
      </c>
      <c r="C5" s="38" t="n">
        <v>0.24</v>
      </c>
      <c r="D5" s="18" t="inlineStr">
        <is>
          <t>% / tahun</t>
        </is>
      </c>
      <c r="E5" s="18" t="inlineStr">
        <is>
          <t>Permenkop UKM 8/2023 Pasal 27</t>
        </is>
      </c>
      <c r="F5" s="18" t="inlineStr">
        <is>
          <t>lib/regulatory-config.ts REGULATORY_CAPS</t>
        </is>
      </c>
    </row>
    <row r="6">
      <c r="A6" s="18" t="inlineStr">
        <is>
          <t>P02</t>
        </is>
      </c>
      <c r="B6" s="18" t="inlineStr">
        <is>
          <t>Batas bunga simpanan per tahun</t>
        </is>
      </c>
      <c r="C6" s="38" t="n">
        <v>0.09</v>
      </c>
      <c r="D6" s="18" t="inlineStr">
        <is>
          <t>% / tahun</t>
        </is>
      </c>
      <c r="E6" s="18" t="inlineStr">
        <is>
          <t>Permenkop UKM 8/2023 Pasal 26</t>
        </is>
      </c>
      <c r="F6" s="18" t="inlineStr">
        <is>
          <t>lib/regulatory-config.ts REGULATORY_CAPS</t>
        </is>
      </c>
    </row>
    <row r="7">
      <c r="A7" s="18" t="inlineStr">
        <is>
          <t>P03</t>
        </is>
      </c>
      <c r="B7" s="18" t="inlineStr">
        <is>
          <t>BMPP pihak terkait (pengurus/pengawas)</t>
        </is>
      </c>
      <c r="C7" s="38" t="n">
        <v>0.1</v>
      </c>
      <c r="D7" s="18" t="inlineStr">
        <is>
          <t>% Modal Sendiri</t>
        </is>
      </c>
      <c r="E7" s="18" t="inlineStr">
        <is>
          <t>Permenkop UKM 8/2023 Pasal 44 — blokir keras</t>
        </is>
      </c>
      <c r="F7" s="18" t="inlineStr">
        <is>
          <t>lib/regulatory-config.ts; loans/service.ts computeBmpp</t>
        </is>
      </c>
    </row>
    <row r="8">
      <c r="A8" s="18" t="inlineStr">
        <is>
          <t>P04</t>
        </is>
      </c>
      <c r="B8" s="18" t="inlineStr">
        <is>
          <t>BMPP anggota lain (tidak terkait)</t>
        </is>
      </c>
      <c r="C8" s="38" t="n">
        <v>0.15</v>
      </c>
      <c r="D8" s="18" t="inlineStr">
        <is>
          <t>% Modal Sendiri</t>
        </is>
      </c>
      <c r="E8" s="18" t="inlineStr">
        <is>
          <t>Pasal 45 — hanya peringatan, bisa dikonfirmasi</t>
        </is>
      </c>
      <c r="F8" s="18" t="inlineStr">
        <is>
          <t>loans/service.ts (acknowledgeBmpp)</t>
        </is>
      </c>
    </row>
    <row r="9">
      <c r="A9" s="18" t="inlineStr">
        <is>
          <t>P05</t>
        </is>
      </c>
      <c r="B9" s="18" t="inlineStr">
        <is>
          <t>Ambang wajib audit KAP</t>
        </is>
      </c>
      <c r="C9" s="39" t="n">
        <v>5000000000</v>
      </c>
      <c r="D9" s="18" t="inlineStr">
        <is>
          <t>Rupiah</t>
        </is>
      </c>
      <c r="E9" s="18" t="inlineStr">
        <is>
          <t>Permenkop UKM 2/2024 Pasal 12 (Rp5 miliar); diukur dari Modal Sendiri</t>
        </is>
      </c>
      <c r="F9" s="18" t="inlineStr">
        <is>
          <t>lib/regulatory-config.ts MODAL_DISETOR_AUDIT_THRESHOLD_RP</t>
        </is>
      </c>
    </row>
    <row r="10">
      <c r="A10" s="18" t="inlineStr">
        <is>
          <t>P06</t>
        </is>
      </c>
      <c r="B10" s="18" t="inlineStr">
        <is>
          <t>Limit Kredit Anggota dari total simpanan</t>
        </is>
      </c>
      <c r="C10" s="38" t="n">
        <v>0.5</v>
      </c>
      <c r="D10" s="18" t="inlineStr">
        <is>
          <t>rasio</t>
        </is>
      </c>
      <c r="E10" s="18" t="inlineStr">
        <is>
          <t>Keputusan produk (Kredit Anggota)</t>
        </is>
      </c>
      <c r="F10" s="18" t="inlineStr">
        <is>
          <t>konsumen/credit.service.ts CREDIT_LIMIT_RATIO</t>
        </is>
      </c>
    </row>
    <row r="11">
      <c r="A11" s="18" t="inlineStr">
        <is>
          <t>P07</t>
        </is>
      </c>
      <c r="B11" s="18" t="inlineStr">
        <is>
          <t>Konvensi hari per tahun</t>
        </is>
      </c>
      <c r="C11" s="40" t="n">
        <v>360</v>
      </c>
      <c r="D11" s="18" t="inlineStr">
        <is>
          <t>hari</t>
        </is>
      </c>
      <c r="E11" s="18" t="inlineStr">
        <is>
          <t>Konvensi 12 × 30 hari (bunga harian &amp; simpanan)</t>
        </is>
      </c>
      <c r="F11" s="18" t="inlineStr">
        <is>
          <t>lib/saving-calc.ts; lib/loan-calc.ts</t>
        </is>
      </c>
    </row>
    <row r="12">
      <c r="A12" s="18" t="inlineStr">
        <is>
          <t>P08</t>
        </is>
      </c>
      <c r="B12" s="18" t="inlineStr">
        <is>
          <t>Pembulatan cicilan harian/mingguan</t>
        </is>
      </c>
      <c r="C12" s="39" t="n">
        <v>500</v>
      </c>
      <c r="D12" s="18" t="inlineStr">
        <is>
          <t>Rupiah</t>
        </is>
      </c>
      <c r="E12" s="18" t="inlineStr">
        <is>
          <t>Keputusan pasar D8 — dibulatkan ke atas</t>
        </is>
      </c>
      <c r="F12" s="18" t="inlineStr">
        <is>
          <t>lib/installment-schedule.ts ROUNDING_UNIT</t>
        </is>
      </c>
    </row>
    <row r="13">
      <c r="A13" s="18" t="inlineStr">
        <is>
          <t>P09</t>
        </is>
      </c>
      <c r="B13" s="18" t="inlineStr">
        <is>
          <t>Ambang konsentrasi simpanan pokok+wajib</t>
        </is>
      </c>
      <c r="C13" s="38" t="n">
        <v>0.2</v>
      </c>
      <c r="D13" s="18" t="inlineStr">
        <is>
          <t>% Modal Sendiri</t>
        </is>
      </c>
      <c r="E13" s="18" t="inlineStr">
        <is>
          <t>Indikator dashboard (bukan aturan)</t>
        </is>
      </c>
      <c r="F13" s="18" t="inlineStr">
        <is>
          <t>dashboard/service.ts MEMBER_CAPITAL_CONCENTRATION_PCT</t>
        </is>
      </c>
    </row>
    <row r="14">
      <c r="A14" s="18" t="inlineStr">
        <is>
          <t>P10</t>
        </is>
      </c>
      <c r="B14" s="18" t="inlineStr">
        <is>
          <t>KOL Lancar: tunggakan maks.</t>
        </is>
      </c>
      <c r="C14" s="40" t="n">
        <v>30</v>
      </c>
      <c r="D14" s="18" t="inlineStr">
        <is>
          <t>hari</t>
        </is>
      </c>
      <c r="E14" s="18" t="inlineStr">
        <is>
          <t>Keputusan pasar D2 (tidak diubah)</t>
        </is>
      </c>
      <c r="F14" s="18" t="inlineStr">
        <is>
          <t>lib/kol.ts getKOLCategory</t>
        </is>
      </c>
    </row>
    <row r="15">
      <c r="A15" s="18" t="inlineStr">
        <is>
          <t>P11</t>
        </is>
      </c>
      <c r="B15" s="18" t="inlineStr">
        <is>
          <t>KOL Dalam Perhatian: tunggakan maks.</t>
        </is>
      </c>
      <c r="C15" s="40" t="n">
        <v>90</v>
      </c>
      <c r="D15" s="18" t="inlineStr">
        <is>
          <t>hari</t>
        </is>
      </c>
      <c r="E15" s="18" t="inlineStr"/>
      <c r="F15" s="18" t="inlineStr">
        <is>
          <t>lib/kol.ts</t>
        </is>
      </c>
    </row>
    <row r="16">
      <c r="A16" s="18" t="inlineStr">
        <is>
          <t>P12</t>
        </is>
      </c>
      <c r="B16" s="18" t="inlineStr">
        <is>
          <t>KOL Kurang Lancar: tunggakan maks.</t>
        </is>
      </c>
      <c r="C16" s="40" t="n">
        <v>120</v>
      </c>
      <c r="D16" s="18" t="inlineStr">
        <is>
          <t>hari</t>
        </is>
      </c>
      <c r="E16" s="18" t="inlineStr"/>
      <c r="F16" s="18" t="inlineStr">
        <is>
          <t>lib/kol.ts</t>
        </is>
      </c>
    </row>
    <row r="17">
      <c r="A17" s="18" t="inlineStr">
        <is>
          <t>P13</t>
        </is>
      </c>
      <c r="B17" s="18" t="inlineStr">
        <is>
          <t>KOL Diragukan: tunggakan maks. (&gt; = Macet)</t>
        </is>
      </c>
      <c r="C17" s="40" t="n">
        <v>180</v>
      </c>
      <c r="D17" s="18" t="inlineStr">
        <is>
          <t>hari</t>
        </is>
      </c>
      <c r="E17" s="18" t="inlineStr"/>
      <c r="F17" s="18" t="inlineStr">
        <is>
          <t>lib/kol.ts</t>
        </is>
      </c>
    </row>
    <row r="18">
      <c r="A18" s="18" t="inlineStr">
        <is>
          <t>P14</t>
        </is>
      </c>
      <c r="B18" s="18" t="inlineStr">
        <is>
          <t>Retensi jejak audit</t>
        </is>
      </c>
      <c r="C18" s="40" t="n">
        <v>90</v>
      </c>
      <c r="D18" s="18" t="inlineStr">
        <is>
          <t>hari</t>
        </is>
      </c>
      <c r="E18" s="18" t="inlineStr">
        <is>
          <t>Dihapus harian oleh scheduler</t>
        </is>
      </c>
      <c r="F18" s="18" t="inlineStr">
        <is>
          <t>audit-log/service.ts RETENTION_DAYS</t>
        </is>
      </c>
    </row>
    <row r="19">
      <c r="A19" s="18" t="inlineStr">
        <is>
          <t>P15</t>
        </is>
      </c>
      <c r="B19" s="18" t="inlineStr">
        <is>
          <t>Periode maks. Rekening Koran</t>
        </is>
      </c>
      <c r="C19" s="40" t="n">
        <v>366</v>
      </c>
      <c r="D19" s="18" t="inlineStr">
        <is>
          <t>hari</t>
        </is>
      </c>
      <c r="E19" s="18" t="inlineStr"/>
      <c r="F19" s="18" t="inlineStr">
        <is>
          <t>savings/service.ts statement</t>
        </is>
      </c>
    </row>
    <row r="20">
      <c r="A20" s="18" t="inlineStr">
        <is>
          <t>P16</t>
        </is>
      </c>
      <c r="B20" s="18" t="inlineStr">
        <is>
          <t>Batas pendaftaran mandiri per IP</t>
        </is>
      </c>
      <c r="C20" s="40" t="n">
        <v>5</v>
      </c>
      <c r="D20" s="18" t="inlineStr">
        <is>
          <t>per jam</t>
        </is>
      </c>
      <c r="E20" s="18" t="inlineStr">
        <is>
          <t>Default, dapat dikonfigurasi</t>
        </is>
      </c>
      <c r="F20" s="18" t="inlineStr">
        <is>
          <t>members/public-registration.routes.ts</t>
        </is>
      </c>
    </row>
    <row r="21">
      <c r="A21" s="18" t="inlineStr">
        <is>
          <t>P17</t>
        </is>
      </c>
      <c r="B21" s="18" t="inlineStr">
        <is>
          <t>Zona waktu tanggal bisnis</t>
        </is>
      </c>
      <c r="C21" s="40" t="n">
        <v>7</v>
      </c>
      <c r="D21" s="18" t="inlineStr">
        <is>
          <t>jam (UTC+7)</t>
        </is>
      </c>
      <c r="E21" s="18" t="inlineStr">
        <is>
          <t>Asia/Jakarta, tanpa DST</t>
        </is>
      </c>
      <c r="F21" s="18" t="inlineStr">
        <is>
          <t>lib/operating-calendar.ts businessDate</t>
        </is>
      </c>
    </row>
    <row r="22">
      <c r="A22" s="18" t="inlineStr">
        <is>
          <t>P18</t>
        </is>
      </c>
      <c r="B22" s="18" t="inlineStr">
        <is>
          <t>Akun tujuan penutupan default</t>
        </is>
      </c>
      <c r="C22" s="49" t="inlineStr">
        <is>
          <t>3-3100</t>
        </is>
      </c>
      <c r="D22" s="18" t="inlineStr">
        <is>
          <t>kode akun</t>
        </is>
      </c>
      <c r="E22" s="18" t="inlineStr">
        <is>
          <t>Akun SHU Tahun Lalu; dapat diganti ke akun EKUITAS rinci aktif lain</t>
        </is>
      </c>
      <c r="F22" s="18" t="inlineStr">
        <is>
          <t>modules/journal/year-close.ts resolveTarget</t>
        </is>
      </c>
    </row>
    <row r="24">
      <c r="A24" s="41" t="inlineStr">
        <is>
          <t>Batas Klasifikasi KSP — Permenkop UKM 8/2023 Pasal 49 (lib/regulatory-config.ts KSP_CLASS_BOUNDS). Melewati salah satu batas = naik kelas.</t>
        </is>
      </c>
    </row>
    <row r="25" ht="30" customHeight="1">
      <c r="A25" s="9" t="inlineStr">
        <is>
          <t>Kelas</t>
        </is>
      </c>
      <c r="B25" s="9" t="inlineStr">
        <is>
          <t>Jumlah anggota maks.</t>
        </is>
      </c>
      <c r="C25" s="9" t="inlineStr">
        <is>
          <t>Modal Sendiri maks.</t>
        </is>
      </c>
      <c r="D25" s="9" t="inlineStr"/>
      <c r="E25" s="9" t="inlineStr">
        <is>
          <t>Aset maks.</t>
        </is>
      </c>
      <c r="F25" s="9" t="inlineStr"/>
    </row>
    <row r="26">
      <c r="A26" s="33" t="inlineStr">
        <is>
          <t>KSP I</t>
        </is>
      </c>
      <c r="B26" s="42" t="n">
        <v>5000</v>
      </c>
      <c r="C26" s="43" t="n">
        <v>2500000000</v>
      </c>
      <c r="D26" s="33" t="inlineStr"/>
      <c r="E26" s="43" t="n">
        <v>15000000000</v>
      </c>
      <c r="F26" s="33" t="inlineStr"/>
    </row>
    <row r="27">
      <c r="A27" s="33" t="inlineStr">
        <is>
          <t>KSP II</t>
        </is>
      </c>
      <c r="B27" s="42" t="n">
        <v>10000</v>
      </c>
      <c r="C27" s="43" t="n">
        <v>15000000000</v>
      </c>
      <c r="D27" s="33" t="inlineStr"/>
      <c r="E27" s="43" t="n">
        <v>100000000000</v>
      </c>
      <c r="F27" s="33" t="inlineStr"/>
    </row>
    <row r="28">
      <c r="A28" s="33" t="inlineStr">
        <is>
          <t>KSP III</t>
        </is>
      </c>
      <c r="B28" s="42" t="n">
        <v>30000</v>
      </c>
      <c r="C28" s="43" t="n">
        <v>50000000000</v>
      </c>
      <c r="D28" s="33" t="inlineStr"/>
      <c r="E28" s="43" t="n">
        <v>500000000000</v>
      </c>
      <c r="F28" s="33" t="inlineStr"/>
    </row>
    <row r="29">
      <c r="A29" s="44" t="inlineStr">
        <is>
          <t>Di atas KSP III = KSP IV.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30" customWidth="1" min="1" max="1"/>
    <col width="26" customWidth="1" min="2" max="2"/>
    <col width="34" customWidth="1" min="3" max="4"/>
    <col width="18" customWidth="1" min="5" max="5"/>
    <col width="44" customWidth="1" min="6" max="6"/>
  </cols>
  <sheetData>
    <row r="1">
      <c r="A1" s="1" t="inlineStr">
        <is>
          <t>Jurnal Otomatis per Transaksi</t>
        </is>
      </c>
    </row>
    <row r="2">
      <c r="A2" s="2" t="inlineStr">
        <is>
          <t>Akun default dari COA standar (lib/coaTemplate.ts); dapat dipetakan ulang di Konfigurasi → Pemetaan Akun.</t>
        </is>
      </c>
    </row>
    <row r="4" ht="30" customHeight="1">
      <c r="A4" s="9" t="inlineStr">
        <is>
          <t>Transaksi</t>
        </is>
      </c>
      <c r="B4" s="9" t="inlineStr">
        <is>
          <t>Jenis Pemetaan</t>
        </is>
      </c>
      <c r="C4" s="9" t="inlineStr">
        <is>
          <t>Debit</t>
        </is>
      </c>
      <c r="D4" s="9" t="inlineStr">
        <is>
          <t>Kredit</t>
        </is>
      </c>
      <c r="E4" s="9" t="inlineStr">
        <is>
          <t>Jumlah</t>
        </is>
      </c>
      <c r="F4" s="9" t="inlineStr">
        <is>
          <t>Catatan</t>
        </is>
      </c>
    </row>
    <row r="5">
      <c r="A5" s="18" t="inlineStr">
        <is>
          <t>Setoran simpanan</t>
        </is>
      </c>
      <c r="B5" s="45" t="inlineStr">
        <is>
          <t>DEPOSIT</t>
        </is>
      </c>
      <c r="C5" s="18" t="inlineStr">
        <is>
          <t>Kas</t>
        </is>
      </c>
      <c r="D5" s="18" t="inlineStr">
        <is>
          <t>Simpanan (Pokok/Wajib/Sukarela)</t>
        </is>
      </c>
      <c r="E5" s="18" t="inlineStr">
        <is>
          <t>Setoran</t>
        </is>
      </c>
      <c r="F5" s="18" t="inlineStr">
        <is>
          <t>Per produk simpanan</t>
        </is>
      </c>
    </row>
    <row r="6">
      <c r="A6" s="18" t="inlineStr">
        <is>
          <t>Penarikan simpanan</t>
        </is>
      </c>
      <c r="B6" s="45" t="inlineStr">
        <is>
          <t>WITHDRAWAL</t>
        </is>
      </c>
      <c r="C6" s="18" t="inlineStr">
        <is>
          <t>Simpanan</t>
        </is>
      </c>
      <c r="D6" s="18" t="inlineStr">
        <is>
          <t>Kas</t>
        </is>
      </c>
      <c r="E6" s="18" t="inlineStr">
        <is>
          <t>Penarikan</t>
        </is>
      </c>
      <c r="F6" s="18" t="inlineStr"/>
    </row>
    <row r="7">
      <c r="A7" s="18" t="inlineStr">
        <is>
          <t>Bunga simpanan harian</t>
        </is>
      </c>
      <c r="B7" s="45" t="inlineStr">
        <is>
          <t>SAVING_INTEREST</t>
        </is>
      </c>
      <c r="C7" s="18" t="inlineStr">
        <is>
          <t>Beban Bunga/Bagi Hasil Simpanan</t>
        </is>
      </c>
      <c r="D7" s="18" t="inlineStr">
        <is>
          <t>Simpanan</t>
        </is>
      </c>
      <c r="E7" s="18" t="inlineStr">
        <is>
          <t>SIM-02</t>
        </is>
      </c>
      <c r="F7" s="18" t="inlineStr">
        <is>
          <t>Tidak dipetakan otomatis — jurnal UNPOSTED sampai dipetakan (Temuan T7)</t>
        </is>
      </c>
    </row>
    <row r="8">
      <c r="A8" s="18" t="inlineStr">
        <is>
          <t>Pencairan pinjaman</t>
        </is>
      </c>
      <c r="B8" s="45" t="inlineStr">
        <is>
          <t>DISBURSEMENT</t>
        </is>
      </c>
      <c r="C8" s="18" t="inlineStr">
        <is>
          <t>Piutang Pinjaman Anggota</t>
        </is>
      </c>
      <c r="D8" s="18" t="inlineStr">
        <is>
          <t>Kas</t>
        </is>
      </c>
      <c r="E8" s="18" t="inlineStr">
        <is>
          <t>Pokok</t>
        </is>
      </c>
      <c r="F8" s="18" t="inlineStr">
        <is>
          <t>Default per produk pinjaman</t>
        </is>
      </c>
    </row>
    <row r="9">
      <c r="A9" s="18" t="inlineStr">
        <is>
          <t>Angsuran — pokok</t>
        </is>
      </c>
      <c r="B9" s="45" t="inlineStr">
        <is>
          <t>PAYMENT_PRINCIPAL</t>
        </is>
      </c>
      <c r="C9" s="18" t="inlineStr">
        <is>
          <t>Kas</t>
        </is>
      </c>
      <c r="D9" s="18" t="inlineStr">
        <is>
          <t>Piutang Pinjaman Anggota</t>
        </is>
      </c>
      <c r="E9" s="18" t="inlineStr">
        <is>
          <t>PIN-08</t>
        </is>
      </c>
      <c r="F9" s="18" t="inlineStr"/>
    </row>
    <row r="10">
      <c r="A10" s="18" t="inlineStr">
        <is>
          <t>Angsuran — bunga</t>
        </is>
      </c>
      <c r="B10" s="45" t="inlineStr">
        <is>
          <t>PAYMENT_INTEREST</t>
        </is>
      </c>
      <c r="C10" s="18" t="inlineStr">
        <is>
          <t>Kas</t>
        </is>
      </c>
      <c r="D10" s="18" t="inlineStr">
        <is>
          <t>Pendapatan Bunga/Margin Pinjaman</t>
        </is>
      </c>
      <c r="E10" s="18" t="inlineStr">
        <is>
          <t>PIN-08</t>
        </is>
      </c>
      <c r="F10" s="18" t="inlineStr"/>
    </row>
    <row r="11">
      <c r="A11" s="18" t="inlineStr">
        <is>
          <t>Angsuran — denda</t>
        </is>
      </c>
      <c r="B11" s="45" t="inlineStr">
        <is>
          <t>PAYMENT_PENALTY</t>
        </is>
      </c>
      <c r="C11" s="18" t="inlineStr">
        <is>
          <t>Kas</t>
        </is>
      </c>
      <c r="D11" s="18" t="inlineStr">
        <is>
          <t>Pendapatan Lain-lain</t>
        </is>
      </c>
      <c r="E11" s="18" t="inlineStr">
        <is>
          <t>Input manual</t>
        </is>
      </c>
      <c r="F11" s="18" t="inlineStr"/>
    </row>
    <row r="12">
      <c r="A12" s="18" t="inlineStr">
        <is>
          <t>Penjualan tunai</t>
        </is>
      </c>
      <c r="B12" s="45" t="inlineStr">
        <is>
          <t>SALE_REVENUE</t>
        </is>
      </c>
      <c r="C12" s="18" t="inlineStr">
        <is>
          <t>Kas</t>
        </is>
      </c>
      <c r="D12" s="18" t="inlineStr">
        <is>
          <t>Penjualan Barang Dagang</t>
        </is>
      </c>
      <c r="E12" s="18" t="inlineStr">
        <is>
          <t>TOK-01 Total</t>
        </is>
      </c>
      <c r="F12" s="18" t="inlineStr">
        <is>
          <t>Semua-atau-tidak-sama-sekali dengan HPP</t>
        </is>
      </c>
    </row>
    <row r="13">
      <c r="A13" s="18" t="inlineStr">
        <is>
          <t>Penjualan kredit anggota</t>
        </is>
      </c>
      <c r="B13" s="45" t="inlineStr">
        <is>
          <t>SALE_RECEIVABLE</t>
        </is>
      </c>
      <c r="C13" s="18" t="inlineStr">
        <is>
          <t>Piutang Anggota (Toko)</t>
        </is>
      </c>
      <c r="D13" s="18" t="inlineStr">
        <is>
          <t>Penjualan Barang Dagang</t>
        </is>
      </c>
      <c r="E13" s="18" t="inlineStr">
        <is>
          <t>TOK-01 Total</t>
        </is>
      </c>
      <c r="F13" s="18" t="inlineStr"/>
    </row>
    <row r="14">
      <c r="A14" s="18" t="inlineStr">
        <is>
          <t>HPP penjualan</t>
        </is>
      </c>
      <c r="B14" s="45" t="inlineStr">
        <is>
          <t>SALE_COGS</t>
        </is>
      </c>
      <c r="C14" s="18" t="inlineStr">
        <is>
          <t>Harga Pokok Penjualan</t>
        </is>
      </c>
      <c r="D14" s="18" t="inlineStr">
        <is>
          <t>Persediaan Barang Dagang</t>
        </is>
      </c>
      <c r="E14" s="18" t="inlineStr">
        <is>
          <t>TOK-01 HPP</t>
        </is>
      </c>
      <c r="F14" s="18" t="inlineStr"/>
    </row>
    <row r="15">
      <c r="A15" s="18" t="inlineStr">
        <is>
          <t>Pelunasan kredit anggota</t>
        </is>
      </c>
      <c r="B15" s="45" t="inlineStr">
        <is>
          <t>MEMBER_CREDIT_REPAYMENT</t>
        </is>
      </c>
      <c r="C15" s="18" t="inlineStr">
        <is>
          <t>Kas</t>
        </is>
      </c>
      <c r="D15" s="18" t="inlineStr">
        <is>
          <t>Piutang Anggota (Toko)</t>
        </is>
      </c>
      <c r="E15" s="18" t="inlineStr">
        <is>
          <t>Pelunasan</t>
        </is>
      </c>
      <c r="F15" s="18" t="inlineStr">
        <is>
          <t>Unit: tidak teralokasi</t>
        </is>
      </c>
    </row>
    <row r="16">
      <c r="A16" s="18" t="inlineStr">
        <is>
          <t>Restock toko</t>
        </is>
      </c>
      <c r="B16" s="45" t="inlineStr">
        <is>
          <t>STOCK_PURCHASE</t>
        </is>
      </c>
      <c r="C16" s="18" t="inlineStr">
        <is>
          <t>Persediaan Barang Dagang</t>
        </is>
      </c>
      <c r="D16" s="18" t="inlineStr">
        <is>
          <t>Kas (atau Utang Usaha)</t>
        </is>
      </c>
      <c r="E16" s="18" t="inlineStr">
        <is>
          <t>TOK-02</t>
        </is>
      </c>
      <c r="F16" s="18" t="inlineStr"/>
    </row>
    <row r="17">
      <c r="A17" s="18" t="inlineStr">
        <is>
          <t>Transaksi oleh kolektor</t>
        </is>
      </c>
      <c r="B17" s="45" t="inlineStr">
        <is>
          <t>COLLECTOR_CASH</t>
        </is>
      </c>
      <c r="C17" s="18" t="inlineStr">
        <is>
          <t>Kas di Kolektor (menggantikan Kas)</t>
        </is>
      </c>
      <c r="D17" s="18" t="inlineStr">
        <is>
          <t>(sesuai transaksi)</t>
        </is>
      </c>
      <c r="E17" s="18" t="inlineStr">
        <is>
          <t>Setoran</t>
        </is>
      </c>
      <c r="F17" s="18" t="inlineStr">
        <is>
          <t>Kas diganti Kas di Kolektor sampai diverifikasi</t>
        </is>
      </c>
    </row>
    <row r="18">
      <c r="A18" s="18" t="inlineStr">
        <is>
          <t>Verifikasi batch kolektor</t>
        </is>
      </c>
      <c r="B18" s="45" t="inlineStr">
        <is>
          <t>COLLECTOR_CASH</t>
        </is>
      </c>
      <c r="C18" s="18" t="inlineStr">
        <is>
          <t>Kas = diterima; Piutang Kolektor = kekurangan</t>
        </is>
      </c>
      <c r="D18" s="18" t="inlineStr">
        <is>
          <t>Kas di Kolektor = diharapkan; Selisih Kas = kelebihan</t>
        </is>
      </c>
      <c r="E18" s="18" t="inlineStr">
        <is>
          <t>PAS-06</t>
        </is>
      </c>
      <c r="F18" s="18" t="inlineStr">
        <is>
          <t>Entri majemuk</t>
        </is>
      </c>
    </row>
    <row r="19">
      <c r="A19" s="18" t="inlineStr">
        <is>
          <t>Tagihan sewa (akrual)</t>
        </is>
      </c>
      <c r="B19" s="45" t="inlineStr">
        <is>
          <t>CHARGE_ACCRUAL_SEWA</t>
        </is>
      </c>
      <c r="C19" s="18" t="inlineStr">
        <is>
          <t>Piutang Sewa &amp; Retribusi</t>
        </is>
      </c>
      <c r="D19" s="18" t="inlineStr">
        <is>
          <t>Pendapatan Sewa Kios</t>
        </is>
      </c>
      <c r="E19" s="18" t="inlineStr">
        <is>
          <t>PAS-01</t>
        </is>
      </c>
      <c r="F19" s="18" t="inlineStr"/>
    </row>
    <row r="20">
      <c r="A20" s="18" t="inlineStr">
        <is>
          <t>Tagihan retribusi (akrual)</t>
        </is>
      </c>
      <c r="B20" s="45" t="inlineStr">
        <is>
          <t>CHARGE_ACCRUAL_RETRIBUSI</t>
        </is>
      </c>
      <c r="C20" s="18" t="inlineStr">
        <is>
          <t>Piutang Sewa &amp; Retribusi</t>
        </is>
      </c>
      <c r="D20" s="18" t="inlineStr">
        <is>
          <t>Pendapatan Retribusi</t>
        </is>
      </c>
      <c r="E20" s="18" t="inlineStr">
        <is>
          <t>PAS-02</t>
        </is>
      </c>
      <c r="F20" s="18" t="inlineStr">
        <is>
          <t>Keputusan D5: pendapatan</t>
        </is>
      </c>
    </row>
    <row r="21">
      <c r="A21" s="18" t="inlineStr">
        <is>
          <t>Pembayaran tagihan pasar</t>
        </is>
      </c>
      <c r="B21" s="45" t="inlineStr">
        <is>
          <t>CHARGE_PAYMENT</t>
        </is>
      </c>
      <c r="C21" s="18" t="inlineStr">
        <is>
          <t>Kas / Kas di Kolektor</t>
        </is>
      </c>
      <c r="D21" s="18" t="inlineStr">
        <is>
          <t>Piutang Sewa &amp; Retribusi</t>
        </is>
      </c>
      <c r="E21" s="18" t="inlineStr">
        <is>
          <t>Pembayaran</t>
        </is>
      </c>
      <c r="F21" s="18" t="inlineStr"/>
    </row>
    <row r="22">
      <c r="A22" s="18" t="inlineStr">
        <is>
          <t>Beban Umum</t>
        </is>
      </c>
      <c r="B22" s="45" t="inlineStr">
        <is>
          <t>MANUAL_EXPENSE (sumber)</t>
        </is>
      </c>
      <c r="C22" s="18" t="inlineStr">
        <is>
          <t>Akun BEBAN pilihan</t>
        </is>
      </c>
      <c r="D22" s="18" t="inlineStr">
        <is>
          <t>Kas/Bank (setara kas)</t>
        </is>
      </c>
      <c r="E22" s="18" t="inlineStr">
        <is>
          <t>Input</t>
        </is>
      </c>
      <c r="F22" s="18" t="inlineStr">
        <is>
          <t>Unit opsional; hapus, tidak bisa edit</t>
        </is>
      </c>
    </row>
    <row r="23">
      <c r="A23" s="18" t="inlineStr">
        <is>
          <t>Penutupan buku (per unit + tidak teralokasi)</t>
        </is>
      </c>
      <c r="B23" s="45" t="inlineStr">
        <is>
          <t>CLOSING (entryType PENUTUP)</t>
        </is>
      </c>
      <c r="C23" s="18" t="inlineStr">
        <is>
          <t>Akun PENDAPATAN bersaldo kredit; akun tujuan 3-3100 bila rugi</t>
        </is>
      </c>
      <c r="D23" s="18" t="inlineStr">
        <is>
          <t>Akun BEBAN bersaldo debit; akun tujuan 3-3100 bila laba</t>
        </is>
      </c>
      <c r="E23" s="18" t="inlineStr">
        <is>
          <t>LAP-15</t>
        </is>
      </c>
      <c r="F23" s="18" t="inlineStr">
        <is>
          <t>Bertanggal 31 Des; saldo tiap akun dinolkan</t>
        </is>
      </c>
    </row>
    <row r="24">
      <c r="A24" s="18" t="inlineStr">
        <is>
          <t>Pembukaan kembali tahun buku</t>
        </is>
      </c>
      <c r="B24" s="45" t="inlineStr">
        <is>
          <t>CLOSING (entryType PENUTUP)</t>
        </is>
      </c>
      <c r="C24" s="18" t="inlineStr">
        <is>
          <t>Cermin: kredit entri penutup menjadi debit</t>
        </is>
      </c>
      <c r="D24" s="18" t="inlineStr">
        <is>
          <t>Cermin: debit entri penutup menjadi kredit</t>
        </is>
      </c>
      <c r="E24" s="18" t="inlineStr">
        <is>
          <t>LAP-16</t>
        </is>
      </c>
      <c r="F24" s="18" t="inlineStr">
        <is>
          <t>reversalOfId menunjuk entri asal; tidak ada yang dihapus</t>
        </is>
      </c>
    </row>
    <row r="25">
      <c r="A25" s="18" t="inlineStr">
        <is>
          <t>Jurnal manual</t>
        </is>
      </c>
      <c r="B25" s="45" t="inlineStr">
        <is>
          <t>MANUAL (UMUM atau PENYESUAIAN)</t>
        </is>
      </c>
      <c r="C25" s="18" t="inlineStr">
        <is>
          <t>Akun pilihan (Σ Debit)</t>
        </is>
      </c>
      <c r="D25" s="18" t="inlineStr">
        <is>
          <t>Akun pilihan (Σ Kredit)</t>
        </is>
      </c>
      <c r="E25" s="18" t="inlineStr">
        <is>
          <t>LAN-06</t>
        </is>
      </c>
      <c r="F25" s="18" t="inlineStr">
        <is>
          <t>Ditolak pada tahun buku tertutup; PENYESUAIAN untuk koreksi akhir periode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 outlineLevelRow="0"/>
  <cols>
    <col width="7" customWidth="1" min="1" max="1"/>
    <col width="34" customWidth="1" min="2" max="2"/>
    <col width="70" customWidth="1" min="3" max="3"/>
    <col width="40" customWidth="1" min="4" max="4"/>
    <col width="12" customWidth="1" min="5" max="5"/>
  </cols>
  <sheetData>
    <row r="1">
      <c r="A1" s="1" t="inlineStr">
        <is>
          <t>Temuan dari Review Rumus</t>
        </is>
      </c>
    </row>
    <row r="2">
      <c r="A2" s="2" t="inlineStr">
        <is>
          <t>Hal yang terlihat saat menyusun daftar ini. Belum ditriase Engineer/QA.</t>
        </is>
      </c>
    </row>
    <row r="4" ht="30" customHeight="1">
      <c r="A4" s="9" t="inlineStr">
        <is>
          <t>ID</t>
        </is>
      </c>
      <c r="B4" s="9" t="inlineStr">
        <is>
          <t>Temuan</t>
        </is>
      </c>
      <c r="C4" s="9" t="inlineStr">
        <is>
          <t>Detail</t>
        </is>
      </c>
      <c r="D4" s="9" t="inlineStr">
        <is>
          <t>Lokasi</t>
        </is>
      </c>
      <c r="E4" s="9" t="inlineStr">
        <is>
          <t>Rumus</t>
        </is>
      </c>
    </row>
    <row r="5" ht="44" customHeight="1">
      <c r="A5" s="18" t="inlineStr">
        <is>
          <t>T1</t>
        </is>
      </c>
      <c r="B5" s="24" t="inlineStr">
        <is>
          <t>Bunga simpanan dihitung dengan float</t>
        </is>
      </c>
      <c r="C5" s="18" t="inlineStr">
        <is>
          <t>calculateSavingInterest memakai number, melanggar CLAUDE.md aturan 2. Jalur akrual harian scheduler sudah Decimal, jadi dua jalur bisa berbeda di sen terakhir.</t>
        </is>
      </c>
      <c r="D5" s="18" t="inlineStr">
        <is>
          <t>lib/saving-calc.ts</t>
        </is>
      </c>
      <c r="E5" s="18" t="inlineStr">
        <is>
          <t>SIM-01</t>
        </is>
      </c>
    </row>
    <row r="6" ht="44" customHeight="1">
      <c r="A6" s="18" t="inlineStr">
        <is>
          <t>T2</t>
        </is>
      </c>
      <c r="B6" s="24" t="inlineStr">
        <is>
          <t>Kalkulasi pinjaman dengan float</t>
        </is>
      </c>
      <c r="C6" s="18" t="inlineStr">
        <is>
          <t>calculateLoan menerima principal.toNumber() dan menghitung dalam number sebelum jadwal Decimal dibangun. Total &amp; bunga bisa meleset sen pada nilai besar.</t>
        </is>
      </c>
      <c r="D6" s="18" t="inlineStr">
        <is>
          <t>lib/loan-calc.ts; loans/service.ts</t>
        </is>
      </c>
      <c r="E6" s="18" t="inlineStr">
        <is>
          <t>PIN-01..03</t>
        </is>
      </c>
    </row>
    <row r="7" ht="44" customHeight="1">
      <c r="A7" s="18" t="inlineStr">
        <is>
          <t>T3</t>
        </is>
      </c>
      <c r="B7" s="24" t="inlineStr">
        <is>
          <t>Pembagian SHU dengan float</t>
        </is>
      </c>
      <c r="C7" s="18" t="inlineStr">
        <is>
          <t>getShuDistribution memakai Number() dan round2 untuk semua pool dan porsi anggota. Σ porsi anggota bisa tidak sama persis dengan pool.</t>
        </is>
      </c>
      <c r="D7" s="18" t="inlineStr">
        <is>
          <t>reports/regulatory-service.ts</t>
        </is>
      </c>
      <c r="E7" s="18" t="inlineStr">
        <is>
          <t>LAP-03..06</t>
        </is>
      </c>
    </row>
    <row r="8" ht="44" customHeight="1">
      <c r="A8" s="18" t="inlineStr">
        <is>
          <t>T4</t>
        </is>
      </c>
      <c r="B8" s="24" t="inlineStr">
        <is>
          <t>Margin flat untuk DAILY/WEEKLY memakai bulan dibulatkan ke atas</t>
        </is>
      </c>
      <c r="C8" s="18" t="inlineStr">
        <is>
          <t>TenorBulan = ROUNDUP(hari ÷ 30), jadi pinjaman flat 100 hari dihitung 4 bulan (bukan 3,33). Margin naik sekitar 20%. HARIAN tidak terpengaruh (memakai hari).</t>
        </is>
      </c>
      <c r="D8" s="18" t="inlineStr">
        <is>
          <t>loans/service.ts createLoan</t>
        </is>
      </c>
      <c r="E8" s="18" t="inlineStr">
        <is>
          <t>PIN-02, PIN-04</t>
        </is>
      </c>
    </row>
    <row r="9" ht="44" customHeight="1">
      <c r="A9" s="18" t="inlineStr">
        <is>
          <t>T5</t>
        </is>
      </c>
      <c r="B9" s="24" t="inlineStr">
        <is>
          <t>Ambang audit memakai Modal Sendiri, nama konstanta Modal Disetor</t>
        </is>
      </c>
      <c r="C9" s="18" t="inlineStr">
        <is>
          <t>Pasal 12 menyebut modal; kode memakai Modal Sendiri buku besar. Konstanta tetap bernama MODAL_DISETOR_AUDIT_THRESHOLD_RP; perlu konfirmasi PM bahwa basisnya memang Modal Sendiri.</t>
        </is>
      </c>
      <c r="D9" s="18" t="inlineStr">
        <is>
          <t>config/audit-threshold.ts</t>
        </is>
      </c>
      <c r="E9" s="18" t="inlineStr">
        <is>
          <t>MOD-03</t>
        </is>
      </c>
    </row>
    <row r="10" ht="44" customHeight="1">
      <c r="A10" s="18" t="inlineStr">
        <is>
          <t>T6</t>
        </is>
      </c>
      <c r="B10" s="24" t="inlineStr">
        <is>
          <t>Nomor anggota rawan bentrok</t>
        </is>
      </c>
      <c r="C10" s="18" t="inlineStr">
        <is>
          <t>Urutan dihitung dari COUNT, bukan sequence DB. Dua pendaftaran bersamaan di bulan yang sama bisa mendapat nomor sama.</t>
        </is>
      </c>
      <c r="D10" s="18" t="inlineStr">
        <is>
          <t>lib/id-generator.ts</t>
        </is>
      </c>
      <c r="E10" s="18" t="inlineStr">
        <is>
          <t>LAN-01</t>
        </is>
      </c>
    </row>
    <row r="11" ht="44" customHeight="1">
      <c r="A11" s="18" t="inlineStr">
        <is>
          <t>T7</t>
        </is>
      </c>
      <c r="B11" s="24" t="inlineStr">
        <is>
          <t>Bunga simpanan harian tidak punya pemetaan default</t>
        </is>
      </c>
      <c r="C11" s="18" t="inlineStr">
        <is>
          <t>Generate COA membuat pemetaan DEPOSIT/WITHDRAWAL per produk simpanan, tetapi tidak SAVING_INTEREST. Scheduler menambah saldo simpanan, namun jurnalnya tersimpan UNPOSTED_MISSING_MAPPING sampai admin memetakan manual — Neraca tidak mencerminkan beban bunga.</t>
        </is>
      </c>
      <c r="D11" s="18" t="inlineStr">
        <is>
          <t>modules/config/service.ts generateStandardCoa; savings/daily-interest.ts</t>
        </is>
      </c>
      <c r="E11" s="18" t="inlineStr">
        <is>
          <t>SIM-02</t>
        </is>
      </c>
    </row>
    <row r="12" ht="44" customHeight="1">
      <c r="A12" s="18" t="inlineStr">
        <is>
          <t>T8</t>
        </is>
      </c>
      <c r="B12" s="24" t="inlineStr">
        <is>
          <t>Pokok bersaldo nol memenuhi syarat pinjaman</t>
        </is>
      </c>
      <c r="C12" s="18" t="inlineStr">
        <is>
          <t>hasPokokSaving hanya memeriksa isActive. Terkait QA D1–D3 dan rencana Setoran Awal yang belum diimplementasikan.</t>
        </is>
      </c>
      <c r="D12" s="18" t="inlineStr">
        <is>
          <t>savings/service.ts</t>
        </is>
      </c>
      <c r="E12" s="18" t="inlineStr">
        <is>
          <t>PIN-16</t>
        </is>
      </c>
    </row>
    <row r="13" ht="44" customHeight="1">
      <c r="A13" s="18" t="inlineStr">
        <is>
          <t>T9</t>
        </is>
      </c>
      <c r="B13" s="24" t="inlineStr">
        <is>
          <t>PAR bergantung pada job KOL harian</t>
        </is>
      </c>
      <c r="C13" s="18" t="inlineStr">
        <is>
          <t>Laporan Kualitas Portofolio membaca Loan.daysOverdue yang terakhir ditulis job harian (recalculateAllKOL). Bila job gagal atau belum jalan, angka PAR basi tanpa tanda apa pun di laporan.</t>
        </is>
      </c>
      <c r="D13" s="18" t="inlineStr">
        <is>
          <t>reports/portfolio-service.ts; lib/kol.ts</t>
        </is>
      </c>
      <c r="E13" s="18" t="inlineStr">
        <is>
          <t>KUA-05</t>
        </is>
      </c>
    </row>
    <row r="14" ht="44" customHeight="1">
      <c r="A14" s="18" t="inlineStr">
        <is>
          <t>T10</t>
        </is>
      </c>
      <c r="B14" s="24" t="inlineStr">
        <is>
          <t>Efisiensi penagihan memakai 'terbayar sampai sekarang'</t>
        </is>
      </c>
      <c r="C14" s="18" t="inlineStr">
        <is>
          <t>principalPaid + interestPaid bersifat kumulatif, bukan terbayar sampai akhir periode. Efisiensi bulan lampau naik seiring waktu dan tidak bisa direproduksi persis di kemudian hari.</t>
        </is>
      </c>
      <c r="D14" s="18" t="inlineStr">
        <is>
          <t>reports/portfolio-service.ts getCollectionEfficiency</t>
        </is>
      </c>
      <c r="E14" s="18" t="inlineStr">
        <is>
          <t>KUA-08</t>
        </is>
      </c>
    </row>
    <row r="15" ht="44" customHeight="1">
      <c r="A15" s="18" t="inlineStr">
        <is>
          <t>T11</t>
        </is>
      </c>
      <c r="B15" s="24" t="inlineStr">
        <is>
          <t>Outstanding pinjaman tanpa jadwal memakai porsi pokok flat</t>
        </is>
      </c>
      <c r="C15" s="18" t="inlineStr">
        <is>
          <t>Fallback remainingAmount × pokok ÷ total mengandaikan pembayaran terdistribusi proporsional; untuk pinjaman anuitas lama hanya pendekatan.</t>
        </is>
      </c>
      <c r="D15" s="18" t="inlineStr">
        <is>
          <t>reports/portfolio-service.ts outstandingSql</t>
        </is>
      </c>
      <c r="E15" s="18" t="inlineStr">
        <is>
          <t>KUA-07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SISKOP</dc:creator>
  <dcterms:created xmlns:dcterms="http://purl.org/dc/terms/" xmlns:xsi="http://www.w3.org/2001/XMLSchema-instance" xsi:type="dcterms:W3CDTF">2026-09-28T17:00:00Z</dcterms:created>
  <dcterms:modified xmlns:dcterms="http://purl.org/dc/terms/" xmlns:xsi="http://www.w3.org/2001/XMLSchema-instance" xsi:type="dcterms:W3CDTF">2026-10-11T05:58:11Z</dcterms:modified>
  <cp:lastModifiedBy>Unknown</cp:lastModifiedBy>
</cp:coreProperties>
</file>