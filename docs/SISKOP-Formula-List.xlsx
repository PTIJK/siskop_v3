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ingkasan" state="visible" r:id="rId4"/>
    <sheet sheetId="2" name="Daftar Rumus" state="visible" r:id="rId5"/>
    <sheet sheetId="3" name="Simulasi" state="visible" r:id="rId6"/>
    <sheet sheetId="4" name="Parameter" state="visible" r:id="rId7"/>
    <sheet sheetId="5" name="Jurnal Otomatis" state="visible" r:id="rId8"/>
    <sheet sheetId="6" name="Temuan" state="visible" r:id="rId9"/>
  </sheets>
  <calcPr calcId="171027"/>
</workbook>
</file>

<file path=xl/sharedStrings.xml><?xml version="1.0" encoding="utf-8"?>
<sst xmlns="http://schemas.openxmlformats.org/spreadsheetml/2006/main" count="1129" uniqueCount="742">
  <si>
    <t>SISKOP — Daftar Rumus Sistem</t>
  </si>
  <si>
    <t>Disusun dari kode sumber main@0154f9c, 29 September 2026.</t>
  </si>
  <si>
    <t>Isi workbook</t>
  </si>
  <si>
    <t/>
  </si>
  <si>
    <t>Daftar Rumus</t>
  </si>
  <si>
    <t>55 rumus bisnis: definisi, variabel, aturan, jenis aritmetika, file sumber, dasar regulasi.</t>
  </si>
  <si>
    <t>Simulasi</t>
  </si>
  <si>
    <t>Kalkulator hidup untuk rumus utama (bagian A–M). Ubah sel kuning berteks biru.</t>
  </si>
  <si>
    <t>Parameter</t>
  </si>
  <si>
    <t>Semua konstanta &amp; batas regulasi yang dipakai kode, termasuk batas kelas KSP.</t>
  </si>
  <si>
    <t>Jurnal Otomatis</t>
  </si>
  <si>
    <t>18 pola jurnal Debit/Kredit per jenis transaksi.</t>
  </si>
  <si>
    <t>Temuan</t>
  </si>
  <si>
    <t>8 catatan dari review rumus (float, pembulatan, penamaan).</t>
  </si>
  <si>
    <t>Legenda warna</t>
  </si>
  <si>
    <t>Teks biru + isi kuning</t>
  </si>
  <si>
    <t>Input — boleh diubah</t>
  </si>
  <si>
    <t>Teks hitam</t>
  </si>
  <si>
    <t>Hasil rumus — jangan ditimpa</t>
  </si>
  <si>
    <t>Teks hijau</t>
  </si>
  <si>
    <t>Rujukan ke sheet Parameter</t>
  </si>
  <si>
    <t>Isi kuning muda (Aritmetika)</t>
  </si>
  <si>
    <t>Rumus dihitung dengan number (float), bukan Decimal</t>
  </si>
  <si>
    <t>Catatan</t>
  </si>
  <si>
    <t>Hasil Simulasi mengikuti rumus kode, tetapi Excel menghitung dengan float. Untuk angka resmi, gunakan hasil aplikasi.</t>
  </si>
  <si>
    <t>Daftar Rumus SISKOP</t>
  </si>
  <si>
    <t>Setiap rumus bisnis di kode, per main@0154f9c (2026-09-29). Kolom 'Aritmetika' menandai apakah dihitung dengan Decimal atau number (float).</t>
  </si>
  <si>
    <t>No</t>
  </si>
  <si>
    <t>Modul</t>
  </si>
  <si>
    <t>Nama Rumus</t>
  </si>
  <si>
    <t>Rumus</t>
  </si>
  <si>
    <t>Variabel / Keterangan</t>
  </si>
  <si>
    <t>Aturan, Batas &amp; Pembulatan</t>
  </si>
  <si>
    <t>Aritmetika</t>
  </si>
  <si>
    <t>Sumber Kode</t>
  </si>
  <si>
    <t>Dasar Regulasi / Keputusan</t>
  </si>
  <si>
    <t>SIM-01</t>
  </si>
  <si>
    <t>Simpanan</t>
  </si>
  <si>
    <t>Bunga simpanan per periode</t>
  </si>
  <si>
    <t xml:space="preserve">Bunga = ROUND(Saldo × Rate ÷ D, 2)
D = 360 (DAILY), 12 (MONTHLY), 1 (YEARLY)</t>
  </si>
  <si>
    <t>Rate = % per tahun dari produk simpanan (SavingConfig.rate); periodUnit hanya menentukan frekuensi kredit</t>
  </si>
  <si>
    <t>Rate ≤ 9%/tahun. Dibulatkan 2 desimal</t>
  </si>
  <si>
    <t>number (float)</t>
  </si>
  <si>
    <t>lib/saving-calc.ts calculateSavingInterest</t>
  </si>
  <si>
    <t>Permenkop UKM 8/2023 Pasal 26</t>
  </si>
  <si>
    <t>D</t>
  </si>
  <si>
    <t>SIM-02</t>
  </si>
  <si>
    <t>Akrual bunga harian (scheduler)</t>
  </si>
  <si>
    <t xml:space="preserve">Bunga = ROUND(Saldo × Rate ÷ 36.000, 2) × HariTerlewat
HariTerlewat = hari ini − lastInterestAt (run pertama = 1)</t>
  </si>
  <si>
    <t>Dijalankan harian; saldo dikunci (FOR UPDATE)</t>
  </si>
  <si>
    <t>Dibulatkan per hari lalu dikali hari; tidak pernah menagih mundur sampai pembukaan rekening</t>
  </si>
  <si>
    <t>Decimal</t>
  </si>
  <si>
    <t>savings/daily-interest.ts</t>
  </si>
  <si>
    <t>SIM-03</t>
  </si>
  <si>
    <t>Rekening Koran — Saldo Akhir</t>
  </si>
  <si>
    <t>SaldoAkhir = Saving.balance − Σ mutasi bertanda setelah akhir periode</t>
  </si>
  <si>
    <t>Mutasi bertanda: PENARIKAN = −jumlah; SETORAN/BUNGA = +jumlah</t>
  </si>
  <si>
    <t>Periode maks. 366 hari; default awal bulan s/d hari ini</t>
  </si>
  <si>
    <t>savings/service.ts getSavingStatement</t>
  </si>
  <si>
    <t>E</t>
  </si>
  <si>
    <t>SIM-04</t>
  </si>
  <si>
    <t>Rekening Koran — Saldo Awal &amp; berjalan</t>
  </si>
  <si>
    <t xml:space="preserve">SaldoAwal = SaldoAkhir − Σ mutasi bertanda dalam periode
Saldo_i = Saldo_(i−1) + Kredit_i − Debit_i</t>
  </si>
  <si>
    <t>Kredit = setoran + bunga; Debit = penarikan (dari sisi pemilik rekening)</t>
  </si>
  <si>
    <t>SIM-05</t>
  </si>
  <si>
    <t>Syarat tarik Simpanan Pokok</t>
  </si>
  <si>
    <t>Boleh tarik Pokok ⇔ tidak ada pinjaman ACTIVE; Saldo ≥ jumlah tarik</t>
  </si>
  <si>
    <t>Belum ada batas minimum/nol (QA D2)</t>
  </si>
  <si>
    <t>savings/service.ts withdrawFromSaving</t>
  </si>
  <si>
    <t>AD/ART; UU 25/1992</t>
  </si>
  <si>
    <t>PIN-01</t>
  </si>
  <si>
    <t>Pinjaman</t>
  </si>
  <si>
    <t>Angsuran anuitas (KONVENSIONAL + BUNGA)</t>
  </si>
  <si>
    <t xml:space="preserve">r = Rate ÷ 12
Angsuran = P × r ÷ (1 − (1 + r)^−n)
Total = Angsuran × n; Bunga = Total − P
Jika r = 0: Angsuran = P ÷ n</t>
  </si>
  <si>
    <t>P = pokok; n = tenor bulan</t>
  </si>
  <si>
    <t>Hanya frekuensi MONTHLY. Dibulatkan 2 desimal</t>
  </si>
  <si>
    <t>lib/loan-calc.ts calculateLoan</t>
  </si>
  <si>
    <t>Rate ≤ 24%/tahun (Pasal 27)</t>
  </si>
  <si>
    <t>A</t>
  </si>
  <si>
    <t>PIN-02</t>
  </si>
  <si>
    <t>Flat margin (SYARIAH atau MARGIN)</t>
  </si>
  <si>
    <t xml:space="preserve">Margin = P × Rate × n ÷ 12
Total = P + Margin; Angsuran = Total ÷ n</t>
  </si>
  <si>
    <t>Murabahah / flat</t>
  </si>
  <si>
    <t>Berlaku untuk semua frekuensi; n untuk DAILY/WEEKLY = PIN-04</t>
  </si>
  <si>
    <t>B</t>
  </si>
  <si>
    <t>PIN-03</t>
  </si>
  <si>
    <t>Bunga harian flat (HARIAN)</t>
  </si>
  <si>
    <t xml:space="preserve">Bunga = P × Rate ÷ 360 × HariTenor
Total = P + Bunga</t>
  </si>
  <si>
    <t>HariTenor: MONTHLY = hari kalender riil pencairan → jatuh tempo; DAILY = jumlah cicilan; WEEKLY = cicilan × 7; tanpa tanggal = n × 30</t>
  </si>
  <si>
    <t>lib/loan-calc.ts; loans/service.ts createLoan</t>
  </si>
  <si>
    <t>C</t>
  </si>
  <si>
    <t>PIN-04</t>
  </si>
  <si>
    <t>Tenor bulan untuk DAILY/WEEKLY</t>
  </si>
  <si>
    <t xml:space="preserve">TenorBulan = MAX(1, ROUNDUP(Hari ÷ 30))
Hari = cicilan (DAILY) atau cicilan × 7 (WEEKLY)</t>
  </si>
  <si>
    <t>Dipakai untuk angsuran bulanan &amp; flat margin</t>
  </si>
  <si>
    <t>Pembulatan ke atas menaikkan margin flat (lihat Temuan T4)</t>
  </si>
  <si>
    <t>integer</t>
  </si>
  <si>
    <t>loans/service.ts createLoan</t>
  </si>
  <si>
    <t>PIN-05</t>
  </si>
  <si>
    <t>Nominal cicilan jadwal</t>
  </si>
  <si>
    <t xml:space="preserve">Rata = Total ÷ JumlahCicilan
DAILY/WEEKLY: Cicilan = ROUNDUP(Rata ÷ 500) × 500
MONTHLY: Cicilan = ROUND(Rata, 2)
Cicilan terakhir = Total − Σ cicilan sebelumnya</t>
  </si>
  <si>
    <t>Σ cicilan = Total persis</t>
  </si>
  <si>
    <t>lib/installment-schedule.ts buildSchedule</t>
  </si>
  <si>
    <t>Keputusan pasar D8 (Rp500)</t>
  </si>
  <si>
    <t>PIN-06</t>
  </si>
  <si>
    <t>Porsi pokok &amp; bunga per cicilan</t>
  </si>
  <si>
    <t xml:space="preserve">Pokok_i = ROUND(Cicilan_i × P ÷ Total, 2)
Bunga_i = Cicilan_i − Pokok_i
Pokok terakhir = P − Σ pokok sebelumnya</t>
  </si>
  <si>
    <t>PIN-07</t>
  </si>
  <si>
    <t>Tanggal jatuh tempo</t>
  </si>
  <si>
    <t xml:space="preserve">DAILY: hari operasional ke-i setelah pencairan
WEEKLY: pencairan + 7i hari → hari operasional berikutnya
MONTHLY: pencairan + i bulan → hari operasional berikutnya</t>
  </si>
  <si>
    <t>Hari operasional = bukan hari tutup (default Minggu) &amp; bukan hari libur tenant</t>
  </si>
  <si>
    <t>Tanggal bisnis Asia/Jakarta (UTC+7)</t>
  </si>
  <si>
    <t>tanggal</t>
  </si>
  <si>
    <t>lib/installment-schedule.ts; lib/operating-calendar.ts</t>
  </si>
  <si>
    <t>Keputusan pasar D1</t>
  </si>
  <si>
    <t>PIN-08</t>
  </si>
  <si>
    <t>Alokasi pembayaran</t>
  </si>
  <si>
    <t xml:space="preserve">Untuk tiap cicilan belum lunas, tertua dulu:
Dipakai = MIN(sisa bayar, sisa cicilan)
Bunga dulu = MIN(Dipakai, sisa bunga); Pokok = Dipakai − Bunga
LUNAS jika terbayar ≥ cicilan, else PARTIAL</t>
  </si>
  <si>
    <t>lib/loan-allocation.ts allocatePayment</t>
  </si>
  <si>
    <t>PIN-09</t>
  </si>
  <si>
    <t>Pemisahan pembayaran (pinjaman tanpa jadwal)</t>
  </si>
  <si>
    <t xml:space="preserve">Bunga = ROUND(Bayar × (Total − P) ÷ Total, 2)
Pokok = Bayar − Bunga</t>
  </si>
  <si>
    <t>Hanya pinjaman lama yang belum di-backfill</t>
  </si>
  <si>
    <t>lib/journal.ts splitLoanPayment</t>
  </si>
  <si>
    <t>PIN-10</t>
  </si>
  <si>
    <t>Sisa pinjaman</t>
  </si>
  <si>
    <t>Sisa = MAX(0, Sisa − Bayar); status COMPLETED bila 0</t>
  </si>
  <si>
    <t>Bayar &gt; Sisa ditolak</t>
  </si>
  <si>
    <t>Denda diinput manual (tidak dihitung otomatis)</t>
  </si>
  <si>
    <t>loans/service.ts recordLoanPayment</t>
  </si>
  <si>
    <t>Keputusan pasar D7</t>
  </si>
  <si>
    <t>PIN-11</t>
  </si>
  <si>
    <t>Override bunga per pinjaman</t>
  </si>
  <si>
    <t>RateEfektif = rate input bila ≠ rate produk, else rate produk</t>
  </si>
  <si>
    <t>Wajib isi rateNote bila diubah</t>
  </si>
  <si>
    <t>≤ 24%/tahun; tercatat di jejak audit</t>
  </si>
  <si>
    <t>Keputusan pasar D3</t>
  </si>
  <si>
    <t>PIN-12</t>
  </si>
  <si>
    <t>Hari tunggakan</t>
  </si>
  <si>
    <t xml:space="preserve">Dengan jadwal: hari ini − jatuh tempo cicilan belum lunas tertua (0 bila belum jatuh tempo)
Tanpa jadwal: maks. hari lewat untuk bulan tanpa pembayaran</t>
  </si>
  <si>
    <t>Dihitung ulang harian oleh scheduler</t>
  </si>
  <si>
    <t>lib/kol.ts recalculateKOL</t>
  </si>
  <si>
    <t>Keputusan pasar D2</t>
  </si>
  <si>
    <t>H</t>
  </si>
  <si>
    <t>PIN-13</t>
  </si>
  <si>
    <t>Kolektibilitas (KOL)</t>
  </si>
  <si>
    <t>≤30 Lancar; ≤90 Dalam Perhatian; ≤120 Kurang Lancar; ≤180 Diragukan; &gt;180 Macet</t>
  </si>
  <si>
    <t>Input = hari tunggakan (PIN-12)</t>
  </si>
  <si>
    <t>lib/kol.ts getKOLCategory</t>
  </si>
  <si>
    <t>PIN-14</t>
  </si>
  <si>
    <t>BMPP — batas &amp; ruang</t>
  </si>
  <si>
    <t xml:space="preserve">Batas = ModalSendiri × % (10% terkait, 15% lainnya)
Ruang = MAX(0, Batas − pokok pinjaman ACTIVE)</t>
  </si>
  <si>
    <t>KSU (&gt;1 unit aktif): Modal Sendiri &amp; pinjaman unit pemberi; tunggal: konsolidasi</t>
  </si>
  <si>
    <t>loans/service.ts computeBmpp</t>
  </si>
  <si>
    <t>Permenkop UKM 8/2023 Pasal 44–45</t>
  </si>
  <si>
    <t>F</t>
  </si>
  <si>
    <t>PIN-15</t>
  </si>
  <si>
    <t>BMPP — keputusan</t>
  </si>
  <si>
    <t xml:space="preserve">Terkait: (aktif + baru) &gt; Batas → DITOLAK
Lainnya: ModalSendiri &gt; 0 dan (aktif + baru) &gt; Batas → PERINGATAN, lanjut dengan acknowledgeBmpp</t>
  </si>
  <si>
    <t>Terkait = pengurus atau pengawas</t>
  </si>
  <si>
    <t>Modal Sendiri 0 → pihak terkait tidak bisa meminjam</t>
  </si>
  <si>
    <t>loans/service.ts createLoan; lib/regulatory-config.ts</t>
  </si>
  <si>
    <t>Pasal 44 (blokir), Pasal 45 (peringatan)</t>
  </si>
  <si>
    <t>PIN-16</t>
  </si>
  <si>
    <t>Syarat simpanan pokok</t>
  </si>
  <si>
    <t>Pinjaman baru hanya bila anggota punya Simpanan Pokok aktif</t>
  </si>
  <si>
    <t>Pokok bersaldo 0 tetap lolos (Temuan O1 PRD)</t>
  </si>
  <si>
    <t>boolean</t>
  </si>
  <si>
    <t>loans/service.ts; savings/service.ts hasPokokSaving</t>
  </si>
  <si>
    <t>TOK-01</t>
  </si>
  <si>
    <t>Toko / POS</t>
  </si>
  <si>
    <t>Total penjualan &amp; HPP</t>
  </si>
  <si>
    <t xml:space="preserve">Total = Σ harga × qty
HPP = Σ harga pokok × qty
Margin = Total − HPP</t>
  </si>
  <si>
    <t>Harga dari master produk (bukan dari klien)</t>
  </si>
  <si>
    <t>Stok harus ≥ qty</t>
  </si>
  <si>
    <t>konsumen/sale.service.ts</t>
  </si>
  <si>
    <t>TOK-02</t>
  </si>
  <si>
    <t>Nilai restock</t>
  </si>
  <si>
    <t>Nilai = harga pokok × qty (Dr Persediaan / Cr Kas)</t>
  </si>
  <si>
    <t>Penyesuaian stok tidak dijurnal</t>
  </si>
  <si>
    <t>konsumen/product.service.ts; lib/journal.ts postStockPurchase</t>
  </si>
  <si>
    <t>TOK-03</t>
  </si>
  <si>
    <t>Limit Kredit Anggota</t>
  </si>
  <si>
    <t xml:space="preserve">Limit = Σ saldo simpanan aktif × 50%
Piutang = Σ belanja MEMBER_CREDIT − Σ pelunasan
Tersedia = Limit − Piutang
Berhak ⇔ punya simpanan aktif dan Limit &gt; 0</t>
  </si>
  <si>
    <t>Semua jenis simpanan (Pokok + Wajib + Sukarela)</t>
  </si>
  <si>
    <t>Dihitung ulang setiap dibaca, tidak disimpan</t>
  </si>
  <si>
    <t>konsumen/credit.service.ts</t>
  </si>
  <si>
    <t>Keputusan produk</t>
  </si>
  <si>
    <t>G</t>
  </si>
  <si>
    <t>PAS-01</t>
  </si>
  <si>
    <t>Pasar</t>
  </si>
  <si>
    <t>Tagihan sewa</t>
  </si>
  <si>
    <t xml:space="preserve">Satu tagihan SEWA per ulang tahun periode kontrak (MONTHLY/YEARLY) sejak tanggal mulai
Jumlah = rentAmount; jatuh tempo = hari operasional berikutnya</t>
  </si>
  <si>
    <t>Idempoten per (kontrak, awal periode)</t>
  </si>
  <si>
    <t>Hanya dibuat pada hari operasional</t>
  </si>
  <si>
    <t>market/charge-generator.ts</t>
  </si>
  <si>
    <t>PAS-02</t>
  </si>
  <si>
    <t>Tagihan retribusi harian</t>
  </si>
  <si>
    <t xml:space="preserve">Satu tagihan RETRIBUSI per hari operasional per tarif DAILY aktif yang cocok (pasar + jenis lapak)
Jumlah = levyRate.amount</t>
  </si>
  <si>
    <t>Retribusi = pendapatan koperasi</t>
  </si>
  <si>
    <t>Keputusan pasar D5</t>
  </si>
  <si>
    <t>PAS-03</t>
  </si>
  <si>
    <t>Tunggakan angsuran</t>
  </si>
  <si>
    <t>Σ (pokok + bunga jatuh tempo − pokok + bunga terbayar) cicilan belum lunas dengan jatuh tempo &lt; hari ini</t>
  </si>
  <si>
    <t>Pinjaman ACTIVE</t>
  </si>
  <si>
    <t>dashboard/service.ts getPasarDashboard</t>
  </si>
  <si>
    <t>PAS-04</t>
  </si>
  <si>
    <t>Tunggakan sewa/retribusi</t>
  </si>
  <si>
    <t>Σ (jumlah − terbayar) tagihan belum lunas dengan jatuh tempo &lt; hari ini</t>
  </si>
  <si>
    <t>PAS-05</t>
  </si>
  <si>
    <t>Setoran hari ini</t>
  </si>
  <si>
    <t>Σ expectedTotal batch kolektor dengan tanggal bisnis hari ini</t>
  </si>
  <si>
    <t>expectedTotal bertambah setiap setoran kolektor</t>
  </si>
  <si>
    <t>collections/service.ts; dashboard/service.ts</t>
  </si>
  <si>
    <t>M</t>
  </si>
  <si>
    <t>PAS-06</t>
  </si>
  <si>
    <t>Selisih setoran kolektor</t>
  </si>
  <si>
    <t xml:space="preserve">Selisih = Diterima − Diharapkan
Kurang → Dr Piutang Kolektor; Lebih → Cr Selisih Kas</t>
  </si>
  <si>
    <t>Kolektor tidak boleh memverifikasi batch sendiri</t>
  </si>
  <si>
    <t>Batch harus SUBMITTED</t>
  </si>
  <si>
    <t>collections/service.ts verifyBatch; lib/journal.ts</t>
  </si>
  <si>
    <t>MOD-01</t>
  </si>
  <si>
    <t>Permodalan</t>
  </si>
  <si>
    <t>Modal Sendiri</t>
  </si>
  <si>
    <t xml:space="preserve">MS = Σ saldo akun EKUITAS kelas {Simpanan Pokok, Simpanan Wajib, Modal Tetap, Cadangan Umum, Cadangan Risiko, Hibah} per tanggal + penyesuaian terbaru per cakupan
Saldo akun = Kredit − Debit (normal kredit)</t>
  </si>
  <si>
    <t>Tanpa unit = konsolidasi; dengan unit = unit itu saja</t>
  </si>
  <si>
    <t>Tidak termasuk Modal Penyertaan, SHU belum dibagi, ekuitas lain</t>
  </si>
  <si>
    <t>reports/capital-service.ts getModalSendiri</t>
  </si>
  <si>
    <t>Permenkop UKM 8/2023 Pasal 1 angka 23–24</t>
  </si>
  <si>
    <t>J</t>
  </si>
  <si>
    <t>MOD-02</t>
  </si>
  <si>
    <t>Rasio Modal Sendiri / Aset</t>
  </si>
  <si>
    <t>Rasio = MS ÷ Total Aset × 100%</t>
  </si>
  <si>
    <t>Kosong bila aset 0</t>
  </si>
  <si>
    <t>dashboard/service.ts getCapitalDashboard</t>
  </si>
  <si>
    <t>MOD-03</t>
  </si>
  <si>
    <t>Ambang wajib audit</t>
  </si>
  <si>
    <t xml:space="preserve">WAJIB: MS per 31 Des tahun lalu ≥ Rp5 miliar
MENDEKATI: MS berjalan ≥ Rp5 miliar
Progres = MS ÷ Rp5 miliar</t>
  </si>
  <si>
    <t>Hanya tenant dengan unit KSP aktif</t>
  </si>
  <si>
    <t>Notifikasi maks. 1× per jenis per tahun; pengingat, tidak memblokir</t>
  </si>
  <si>
    <t>config/audit-threshold.ts; dashboard/service.ts</t>
  </si>
  <si>
    <t>Permenkop UKM 2/2024 Pasal 12</t>
  </si>
  <si>
    <t>MOD-04</t>
  </si>
  <si>
    <t>Konsentrasi simpanan</t>
  </si>
  <si>
    <t xml:space="preserve">Tampilkan anggota dengan saldo Pokok + Wajib &gt; MS × 20%
% = saldo ÷ MS × 100</t>
  </si>
  <si>
    <t>Indikator, bukan aturan</t>
  </si>
  <si>
    <t>MOD-05</t>
  </si>
  <si>
    <t>Klasifikasi KSP</t>
  </si>
  <si>
    <t>KSP I/II/III = kelas terendah yang batas anggota, MS dan aset-nya semua terpenuhi; selain itu KSP IV</t>
  </si>
  <si>
    <t>Batas: lihat sheet Parameter</t>
  </si>
  <si>
    <t>lib/regulatory-config.ts classifyKsp</t>
  </si>
  <si>
    <t>Permenkop UKM 8/2023 Pasal 49</t>
  </si>
  <si>
    <t>K</t>
  </si>
  <si>
    <t>MOD-06</t>
  </si>
  <si>
    <t>Penggunaan BMPP (dashboard)</t>
  </si>
  <si>
    <t>Penggunaan = pokok aktif ÷ batas BMPP × 100%</t>
  </si>
  <si>
    <t>Diurutkan dari yang paling dekat batas</t>
  </si>
  <si>
    <t>KUA-01</t>
  </si>
  <si>
    <t>Dashboard</t>
  </si>
  <si>
    <t>Total outstanding</t>
  </si>
  <si>
    <t>Σ remainingAmount pinjaman ACTIVE (per KOL)</t>
  </si>
  <si>
    <t>dashboard/service.ts getLoanQualityDashboard</t>
  </si>
  <si>
    <t>I</t>
  </si>
  <si>
    <t>KUA-02</t>
  </si>
  <si>
    <t>Rasio NPL</t>
  </si>
  <si>
    <t>NPL = (Kurang Lancar + Diragukan + Macet) ÷ Total outstanding × 100%</t>
  </si>
  <si>
    <t>dashboard/service.ts</t>
  </si>
  <si>
    <t>KUA-03</t>
  </si>
  <si>
    <t>LDR</t>
  </si>
  <si>
    <t>LDR = Total outstanding ÷ Σ saldo simpanan non-ekuitas × 100%</t>
  </si>
  <si>
    <t>Non-ekuitas = selain Pokok &amp; Wajib (yaitu Sukarela)</t>
  </si>
  <si>
    <t>KUA-04</t>
  </si>
  <si>
    <t>Pertumbuhan bulanan (12 bulan)</t>
  </si>
  <si>
    <t xml:space="preserve">Anggota baru = jumlah anggota dibuat di bulan itu
Arus simpanan bersih = Σ setoran + bunga − penarikan
Pencairan = Σ pokok dicairkan; Angsuran = Σ pembayaran</t>
  </si>
  <si>
    <t>dashboard/service.ts getGrowthDashboard</t>
  </si>
  <si>
    <t>LAP-01</t>
  </si>
  <si>
    <t>Laporan</t>
  </si>
  <si>
    <t>SHU berjalan</t>
  </si>
  <si>
    <t>SHU = Σ saldo PENDAPATAN − Σ saldo BEBAN dalam periode</t>
  </si>
  <si>
    <t>reports/regulatory-service.ts getLaporanHasilUsaha</t>
  </si>
  <si>
    <t>L</t>
  </si>
  <si>
    <t>LAP-02</t>
  </si>
  <si>
    <t>Identitas Neraca</t>
  </si>
  <si>
    <t>Aset = Kewajiban + Ekuitas + SHU Tahun Berjalan (Belum Ditutup, dihitung otomatis)</t>
  </si>
  <si>
    <t>Baris SHU berjalan dihitung, bukan akun</t>
  </si>
  <si>
    <t>reports/regulatory-service.ts getNeraca</t>
  </si>
  <si>
    <t>LAP-03</t>
  </si>
  <si>
    <t>Alokasi SHU</t>
  </si>
  <si>
    <t>Pool_k = SHU × %_k untuk k ∈ {Jasa Simpanan, Jasa Pinjaman, Cadangan, Lainnya}</t>
  </si>
  <si>
    <t>% dari Konfigurasi SHU</t>
  </si>
  <si>
    <t>Dibagi ke anggota hanya bila SHU &gt; 0</t>
  </si>
  <si>
    <t>reports/regulatory-service.ts getShuDistribution</t>
  </si>
  <si>
    <t>AD/ART</t>
  </si>
  <si>
    <t>LAP-04</t>
  </si>
  <si>
    <t>Jasa Simpanan per anggota</t>
  </si>
  <si>
    <t xml:space="preserve">RataSaldo_i = (saldo awal + saldo akhir periode) ÷ 2
JS_i = RataSaldo_i ÷ Σ RataSaldo × Pool JS</t>
  </si>
  <si>
    <t>Anggota aktif</t>
  </si>
  <si>
    <t>reports/regulatory-service.ts</t>
  </si>
  <si>
    <t>LAP-05</t>
  </si>
  <si>
    <t>Jasa Pinjaman per anggota</t>
  </si>
  <si>
    <t>JP_i = Bunga dibayar_i ÷ Σ Bunga dibayar × Pool JP</t>
  </si>
  <si>
    <t>Bunga dibayar dari pembayaran pinjaman dalam periode (PIN-09)</t>
  </si>
  <si>
    <t>LAP-06</t>
  </si>
  <si>
    <t>Rincian SHU simpanan</t>
  </si>
  <si>
    <t xml:space="preserve">SHU Sukarela = RataSukarela ÷ RataSaldo × JS_i
SHU Pokok+Wajib = JS_i − SHU Sukarela
Total SHU = JS_i + JP_i</t>
  </si>
  <si>
    <t>Sisa pembulatan masuk Pokok+Wajib</t>
  </si>
  <si>
    <t>LAP-07</t>
  </si>
  <si>
    <t>Perubahan Ekuitas</t>
  </si>
  <si>
    <t>Saldo Akhir_k = Saldo Awal_k + Penambahan_k − Pengurangan_k per kelas ekuitas</t>
  </si>
  <si>
    <t>Urutan kolom sesuai lampiran Permenkop UKM 2/2024</t>
  </si>
  <si>
    <t>reports/capital-service.ts getPerubahanEkuitas</t>
  </si>
  <si>
    <t>Permenkop UKM 2/2024</t>
  </si>
  <si>
    <t>LAP-08</t>
  </si>
  <si>
    <t>Konsolidasi KSU</t>
  </si>
  <si>
    <t>Konsolidasi = Σ per unit + bucket 'tidak teralokasi' (JournalEntry.unitId = null)</t>
  </si>
  <si>
    <t>ksu/service.ts; CLAUDE.md aturan 2b</t>
  </si>
  <si>
    <t>LAP-09</t>
  </si>
  <si>
    <t>Batas tanggal periode</t>
  </si>
  <si>
    <t>Dari = awal hari bisnis; Sampai = akhir hari bisnis (23:59:59.999 WIB)</t>
  </si>
  <si>
    <t>Menggantikan endOfDay waktu server (perbaikan D7)</t>
  </si>
  <si>
    <t>lib/operating-calendar.ts; reports/routes.ts</t>
  </si>
  <si>
    <t>LAN-01</t>
  </si>
  <si>
    <t>Anggota</t>
  </si>
  <si>
    <t>Nomor anggota</t>
  </si>
  <si>
    <t>KOP-{SLUG}-{YYYYMM}-{urut 4 digit}</t>
  </si>
  <si>
    <t>Urutan = jumlah anggota dengan prefiks sama + 1</t>
  </si>
  <si>
    <t>Tidak aman terhadap pembuatan bersamaan (Temuan T6)</t>
  </si>
  <si>
    <t>teks</t>
  </si>
  <si>
    <t>lib/id-generator.ts generateMemberId</t>
  </si>
  <si>
    <t>LAN-02</t>
  </si>
  <si>
    <t>Nomor rekening</t>
  </si>
  <si>
    <t>ACC-{10 digit acak}, diulang sampai unik global</t>
  </si>
  <si>
    <t>lib/id-generator.ts generateAccountNumber</t>
  </si>
  <si>
    <t>LAN-03</t>
  </si>
  <si>
    <t>Sistem</t>
  </si>
  <si>
    <t>Tanggal bisnis</t>
  </si>
  <si>
    <t>Tanggal bisnis = tanggal UTC + 7 jam (Asia/Jakarta, tanpa DST)</t>
  </si>
  <si>
    <t>lib/operating-calendar.ts businessDate</t>
  </si>
  <si>
    <t>LAN-04</t>
  </si>
  <si>
    <t>Penghapusan jejak audit</t>
  </si>
  <si>
    <t>Hapus baris dengan createdAt &lt; hari ini − 90 hari</t>
  </si>
  <si>
    <t>Dijalankan harian lintas tenant</t>
  </si>
  <si>
    <t>audit-log/service.ts purgeStaleAuditLogs</t>
  </si>
  <si>
    <t>LAN-05</t>
  </si>
  <si>
    <t>Validasi nominal uang</t>
  </si>
  <si>
    <t>Nominal = string/angka ≤ 13 digit bulat, ≤ 2 desimal → Decimal(15,2)</t>
  </si>
  <si>
    <t>Angka float seperti 0.30000000000000004 ditolak</t>
  </si>
  <si>
    <t>lib/money.ts moneySchema</t>
  </si>
  <si>
    <t>CLAUDE.md aturan 2</t>
  </si>
  <si>
    <t>LAN-06</t>
  </si>
  <si>
    <t>Keseimbangan jurnal</t>
  </si>
  <si>
    <t>Σ Debit = Σ Kredit (2 desimal), else ditolak</t>
  </si>
  <si>
    <t>Setiap entri jurnal otomatis</t>
  </si>
  <si>
    <t>lib/journal.ts</t>
  </si>
  <si>
    <t>Simulasi Rumus</t>
  </si>
  <si>
    <t>Sel kuning berteks biru = input; ubah nilainya dan hasil (hitam) dihitung ulang. Teks hijau = rujukan ke sheet Parameter.</t>
  </si>
  <si>
    <t>A. Pinjaman Anuitas — KONVENSIONAL + BUNGA, angsuran bulanan (lib/loan-calc.ts)</t>
  </si>
  <si>
    <t>Pokok pinjaman (P)</t>
  </si>
  <si>
    <t>Input</t>
  </si>
  <si>
    <t>Bunga per tahun</t>
  </si>
  <si>
    <t>Tenor (bulan, n)</t>
  </si>
  <si>
    <t>Batas bunga regulasi</t>
  </si>
  <si>
    <t>Dari Parameter!C5</t>
  </si>
  <si>
    <t>Lolos batas bunga?</t>
  </si>
  <si>
    <t>validateRegulatoryRate</t>
  </si>
  <si>
    <t>Bunga per bulan (r)</t>
  </si>
  <si>
    <t>r = bunga tahunan ÷ 12</t>
  </si>
  <si>
    <t>Angsuran per bulan</t>
  </si>
  <si>
    <t>P × r ÷ (1 − (1 + r)^−n); jika r = 0 → P ÷ n</t>
  </si>
  <si>
    <t>Total dibayar</t>
  </si>
  <si>
    <t>Angsuran (belum dibulatkan) × n</t>
  </si>
  <si>
    <t>Total bunga</t>
  </si>
  <si>
    <t>Total − P</t>
  </si>
  <si>
    <t>B. Pinjaman Flat / Margin — SYARIAH atau rateType MARGIN (lib/loan-calc.ts)</t>
  </si>
  <si>
    <t>Pokok / harga pokok (P)</t>
  </si>
  <si>
    <t>Margin per tahun</t>
  </si>
  <si>
    <t>Total margin</t>
  </si>
  <si>
    <t>P × margin × n ÷ 12</t>
  </si>
  <si>
    <t>P + margin</t>
  </si>
  <si>
    <t>Total ÷ n</t>
  </si>
  <si>
    <t>C. Pinjaman Harian (flat) + Jadwal Cicilan Pasar — rateType HARIAN, frekuensi DAILY</t>
  </si>
  <si>
    <t>Frekuensi (DAILY / WEEKLY / MONTHLY)</t>
  </si>
  <si>
    <t>DAILY</t>
  </si>
  <si>
    <t>Input: DAILY, WEEKLY atau MONTHLY</t>
  </si>
  <si>
    <t>Jumlah cicilan</t>
  </si>
  <si>
    <t>Input. MONTHLY: sama dengan tenor bulan</t>
  </si>
  <si>
    <t>Hari per tahun (konvensi)</t>
  </si>
  <si>
    <t>Dari Parameter!C11</t>
  </si>
  <si>
    <t>Unit pembulatan</t>
  </si>
  <si>
    <t>Dari Parameter!C12</t>
  </si>
  <si>
    <t>Hari tenor (termDays)</t>
  </si>
  <si>
    <t>DAILY = jumlah cicilan; WEEKLY = × 7. MONTHLY memakai hari kalender riil sampai jatuh tempo (≈ × 30 di sini)</t>
  </si>
  <si>
    <t>Tenor bulan untuk kalkulasi</t>
  </si>
  <si>
    <t>MAX(1, ROUNDUP(hari ÷ 30)) untuk DAILY/WEEKLY — lihat Temuan T4</t>
  </si>
  <si>
    <t>P × bunga ÷ 360 × hari tenor</t>
  </si>
  <si>
    <t>P + bunga</t>
  </si>
  <si>
    <t>Bagian rata (Total ÷ cicilan)</t>
  </si>
  <si>
    <t>Nominal cicilan ke-1 s/d n−1</t>
  </si>
  <si>
    <t>DAILY/WEEKLY: dibulatkan KE ATAS ke kelipatan Rp500; MONTHLY: 2 desimal</t>
  </si>
  <si>
    <t>Nominal cicilan terakhir</t>
  </si>
  <si>
    <t>Sisa, sehingga Σ cicilan = Total persis</t>
  </si>
  <si>
    <t>Porsi pokok cicilan ke-1</t>
  </si>
  <si>
    <t>Cicilan × P ÷ Total (cicilan terakhir menyerap sisa)</t>
  </si>
  <si>
    <t>Porsi bunga cicilan ke-1</t>
  </si>
  <si>
    <t>Cicilan − porsi pokok</t>
  </si>
  <si>
    <t>D. Bunga Simpanan (lib/saving-calc.ts, savings/daily-interest.ts)</t>
  </si>
  <si>
    <t>Saldo simpanan</t>
  </si>
  <si>
    <t>Hari sejak lastInterestAt</t>
  </si>
  <si>
    <t>Input. Run pertama = 1 hari</t>
  </si>
  <si>
    <t>Batas bunga simpanan</t>
  </si>
  <si>
    <t>Dari Parameter!C6</t>
  </si>
  <si>
    <t>Hari per tahun</t>
  </si>
  <si>
    <t>Bunga harian</t>
  </si>
  <si>
    <t>Saldo × bunga ÷ 360, dibulatkan per hari</t>
  </si>
  <si>
    <t>Bunga dikreditkan run ini</t>
  </si>
  <si>
    <t>Bunga harian (sudah dibulatkan) × hari terlewat</t>
  </si>
  <si>
    <t>Bunga periode MONTHLY</t>
  </si>
  <si>
    <t>Saldo × bunga ÷ 12</t>
  </si>
  <si>
    <t>Bunga periode YEARLY</t>
  </si>
  <si>
    <t>Saldo × bunga</t>
  </si>
  <si>
    <t>E. Rekening Koran (savings/service.ts getSavingStatement)</t>
  </si>
  <si>
    <t>Saldo saat ini (Saving.balance)</t>
  </si>
  <si>
    <t>Mutasi bersih SETELAH akhir periode</t>
  </si>
  <si>
    <t>Input: setoran + bunga − penarikan setelah periode</t>
  </si>
  <si>
    <t>Setoran dalam periode (Kredit)</t>
  </si>
  <si>
    <t>Bunga dalam periode (Kredit)</t>
  </si>
  <si>
    <t>Penarikan dalam periode (Debit)</t>
  </si>
  <si>
    <t>Saldo Akhir</t>
  </si>
  <si>
    <t>Saldo sekarang − mutasi setelah periode</t>
  </si>
  <si>
    <t>Saldo Awal</t>
  </si>
  <si>
    <t>Saldo Akhir − (Kredit − Debit) dalam periode</t>
  </si>
  <si>
    <t>F. BMPP — Batas Maksimum Pemberian Pinjaman (loans/service.ts computeBmpp)</t>
  </si>
  <si>
    <t>Modal Sendiri (unit pemberi pinjaman bila KSU)</t>
  </si>
  <si>
    <t>Pihak terkait? (YA / TIDAK)</t>
  </si>
  <si>
    <t>TIDAK</t>
  </si>
  <si>
    <t>Input: YA untuk pengurus/pengawas</t>
  </si>
  <si>
    <t>Pokok pinjaman aktif anggota</t>
  </si>
  <si>
    <t>Pokok pinjaman baru</t>
  </si>
  <si>
    <t>Persentase BMPP</t>
  </si>
  <si>
    <t>10% pihak terkait, 15% lainnya</t>
  </si>
  <si>
    <t>Batas BMPP</t>
  </si>
  <si>
    <t>Modal Sendiri × persentase</t>
  </si>
  <si>
    <t>Sisa ruang (headroom)</t>
  </si>
  <si>
    <t>MAX(0, batas − pinjaman aktif)</t>
  </si>
  <si>
    <t>Pinjaman aktif + baru</t>
  </si>
  <si>
    <t>Hasil</t>
  </si>
  <si>
    <t>Pihak terkait: blokir keras. Lainnya: peringatan, hanya bila Modal Sendiri &gt; 0</t>
  </si>
  <si>
    <t>G. Kredit Anggota Toko (konsumen/credit.service.ts)</t>
  </si>
  <si>
    <t>Total saldo simpanan aktif (semua jenis)</t>
  </si>
  <si>
    <t>Punya simpanan aktif? (YA / TIDAK)</t>
  </si>
  <si>
    <t>YA</t>
  </si>
  <si>
    <t>Total belanja kredit (MEMBER_CREDIT)</t>
  </si>
  <si>
    <t>Total pelunasan</t>
  </si>
  <si>
    <t>Rasio limit</t>
  </si>
  <si>
    <t>Dari Parameter!C10</t>
  </si>
  <si>
    <t>Limit kredit</t>
  </si>
  <si>
    <t>Total simpanan × 50%, dihitung ulang setiap dibaca</t>
  </si>
  <si>
    <t>Piutang berjalan</t>
  </si>
  <si>
    <t>Belanja kredit − pelunasan</t>
  </si>
  <si>
    <t>Sisa kredit tersedia</t>
  </si>
  <si>
    <t>Limit − piutang</t>
  </si>
  <si>
    <t>Berhak kredit?</t>
  </si>
  <si>
    <t>H. Kolektibilitas (lib/kol.ts)</t>
  </si>
  <si>
    <t>Input: hari ini − jatuh tempo cicilan belum lunas tertua</t>
  </si>
  <si>
    <t>KOL</t>
  </si>
  <si>
    <t>≤30 / ≤90 / ≤120 / ≤180 / &gt;180 hari</t>
  </si>
  <si>
    <t>I. Kualitas Pinjaman (dashboard/service.ts getLoanQualityDashboard)</t>
  </si>
  <si>
    <t>Outstanding LANCAR</t>
  </si>
  <si>
    <t>Outstanding DALAM PERHATIAN</t>
  </si>
  <si>
    <t>Outstanding KURANG LANCAR</t>
  </si>
  <si>
    <t>Outstanding DIRAGUKAN</t>
  </si>
  <si>
    <t>Outstanding MACET</t>
  </si>
  <si>
    <t>Saldo simpanan non-ekuitas (Sukarela)</t>
  </si>
  <si>
    <t>Σ remainingAmount pinjaman ACTIVE</t>
  </si>
  <si>
    <t>(KL + D + M) ÷ total outstanding</t>
  </si>
  <si>
    <t>Total outstanding ÷ simpanan non-ekuitas</t>
  </si>
  <si>
    <t>J. Modal Sendiri &amp; Ambang Audit (reports/capital-service.ts, config/audit-threshold.ts)</t>
  </si>
  <si>
    <t>Saldo Simpanan Pokok</t>
  </si>
  <si>
    <t>Termasuk</t>
  </si>
  <si>
    <t>Saldo Simpanan Wajib</t>
  </si>
  <si>
    <t>Saldo Modal Tetap</t>
  </si>
  <si>
    <t>Saldo Cadangan Umum</t>
  </si>
  <si>
    <t>Saldo Cadangan Risiko</t>
  </si>
  <si>
    <t>Saldo Hibah</t>
  </si>
  <si>
    <t>Saldo Modal Penyertaan</t>
  </si>
  <si>
    <t>TIDAK termasuk</t>
  </si>
  <si>
    <t>SHU belum dibagi</t>
  </si>
  <si>
    <t>Penyesuaian saldo awal (terbaru)</t>
  </si>
  <si>
    <t>ModalSendiriAdjustment</t>
  </si>
  <si>
    <t>Total Aset</t>
  </si>
  <si>
    <t>Modal Sendiri per 31 Des tahun lalu</t>
  </si>
  <si>
    <t>Punya unit KSP aktif? (YA / TIDAK)</t>
  </si>
  <si>
    <t>Σ kelas Modal Sendiri + penyesuaian</t>
  </si>
  <si>
    <t>Progres ke ambang audit</t>
  </si>
  <si>
    <t>Modal Sendiri ÷ Rp5 miliar</t>
  </si>
  <si>
    <t>Status notifikasi audit</t>
  </si>
  <si>
    <t>Maks. 1× per jenis per tahun</t>
  </si>
  <si>
    <t>Batas konsentrasi simpanan per anggota</t>
  </si>
  <si>
    <t>Anggota dengan pokok+wajib di atas nilai ini ditampilkan di dashboard</t>
  </si>
  <si>
    <t>K. Klasifikasi KSP (lib/regulatory-config.ts classifyKsp — Pasal 49)</t>
  </si>
  <si>
    <t>Jumlah anggota aktif</t>
  </si>
  <si>
    <t>Total aset</t>
  </si>
  <si>
    <t>Kelas KSP</t>
  </si>
  <si>
    <t>Kelas terendah yang SEMUA batasnya terpenuhi</t>
  </si>
  <si>
    <t>L. Pembagian SHU (reports/regulatory-service.ts getShuDistribution)</t>
  </si>
  <si>
    <t>Total Pendapatan periode</t>
  </si>
  <si>
    <t>Total Beban periode</t>
  </si>
  <si>
    <t>% Jasa Simpanan</t>
  </si>
  <si>
    <t>Konfigurasi SHU</t>
  </si>
  <si>
    <t>% Jasa Pinjaman</t>
  </si>
  <si>
    <t>% Cadangan</t>
  </si>
  <si>
    <t>% Lainnya</t>
  </si>
  <si>
    <t>Pendapatan − Beban</t>
  </si>
  <si>
    <t>Total persentase</t>
  </si>
  <si>
    <t>Wajib 100% (divalidasi di Konfigurasi SHU)</t>
  </si>
  <si>
    <t>Pool Jasa Simpanan</t>
  </si>
  <si>
    <t>SHU × % (dibagi ke anggota hanya bila SHU &gt; 0)</t>
  </si>
  <si>
    <t>Pool Jasa Pinjaman</t>
  </si>
  <si>
    <t>Alokasi Cadangan</t>
  </si>
  <si>
    <t>Alokasi Lainnya</t>
  </si>
  <si>
    <t>Contoh 3 anggota — kolom biru = input</t>
  </si>
  <si>
    <t>Saldo awal periode</t>
  </si>
  <si>
    <t>Saldo akhir periode</t>
  </si>
  <si>
    <t>Rata-rata sukarela</t>
  </si>
  <si>
    <t>Bunga dibayar</t>
  </si>
  <si>
    <t>Rata-rata saldo</t>
  </si>
  <si>
    <t>Jasa Simpanan</t>
  </si>
  <si>
    <t>SHU Sukarela</t>
  </si>
  <si>
    <t>SHU Pokok+Wajib</t>
  </si>
  <si>
    <t>Jasa Pinjaman</t>
  </si>
  <si>
    <t>Total SHU</t>
  </si>
  <si>
    <t>Anggota 1</t>
  </si>
  <si>
    <t>Anggota 2</t>
  </si>
  <si>
    <t>Anggota 3</t>
  </si>
  <si>
    <t>Total</t>
  </si>
  <si>
    <t>Rata-rata saldo = (saldo awal + saldo akhir) ÷ 2. Jasa Simpanan = rata-rata ÷ Σ rata-rata × pool. Jasa Pinjaman = bunga dibayar ÷ Σ bunga × pool. SHU Sukarela = rata-rata sukarela ÷ rata-rata saldo × Jasa Simpanan; sisanya Pokok+Wajib.</t>
  </si>
  <si>
    <t>M. Setoran Kolektor — verifikasi batch (collections/service.ts verifyBatch)</t>
  </si>
  <si>
    <t>Total diharapkan (expectedTotal)</t>
  </si>
  <si>
    <t>Σ setoran yang dicatat kolektor</t>
  </si>
  <si>
    <t>Uang diterima kasir (receivedTotal)</t>
  </si>
  <si>
    <t>Selisih (variance)</t>
  </si>
  <si>
    <t>Diterima − diharapkan</t>
  </si>
  <si>
    <t>Dr Piutang Kolektor (kurang setor)</t>
  </si>
  <si>
    <t>Cr Selisih Kas (lebih setor)</t>
  </si>
  <si>
    <t>Parameter &amp; Konstanta</t>
  </si>
  <si>
    <t>Nilai tetap di kode. Teks biru = input (ubah untuk simulasi). Sheet Simulasi merujuk sel-sel ini.</t>
  </si>
  <si>
    <t>Kode</t>
  </si>
  <si>
    <t>Nilai</t>
  </si>
  <si>
    <t>Satuan</t>
  </si>
  <si>
    <t>Dasar / Alasan</t>
  </si>
  <si>
    <t>P01</t>
  </si>
  <si>
    <t>Batas bunga pinjaman per tahun</t>
  </si>
  <si>
    <t>% / tahun</t>
  </si>
  <si>
    <t>Permenkop UKM 8/2023 Pasal 27</t>
  </si>
  <si>
    <t>lib/regulatory-config.ts REGULATORY_CAPS</t>
  </si>
  <si>
    <t>P02</t>
  </si>
  <si>
    <t>Batas bunga simpanan per tahun</t>
  </si>
  <si>
    <t>P03</t>
  </si>
  <si>
    <t>BMPP pihak terkait (pengurus/pengawas)</t>
  </si>
  <si>
    <t>% Modal Sendiri</t>
  </si>
  <si>
    <t>Permenkop UKM 8/2023 Pasal 44 — blokir keras</t>
  </si>
  <si>
    <t>lib/regulatory-config.ts; loans/service.ts computeBmpp</t>
  </si>
  <si>
    <t>P04</t>
  </si>
  <si>
    <t>BMPP anggota lain (tidak terkait)</t>
  </si>
  <si>
    <t>Pasal 45 — hanya peringatan, bisa dikonfirmasi</t>
  </si>
  <si>
    <t>loans/service.ts (acknowledgeBmpp)</t>
  </si>
  <si>
    <t>P05</t>
  </si>
  <si>
    <t>Ambang wajib audit KAP</t>
  </si>
  <si>
    <t>Rupiah</t>
  </si>
  <si>
    <t>Permenkop UKM 2/2024 Pasal 12 (Rp5 miliar); diukur dari Modal Sendiri</t>
  </si>
  <si>
    <t>lib/regulatory-config.ts MODAL_DISETOR_AUDIT_THRESHOLD_RP</t>
  </si>
  <si>
    <t>P06</t>
  </si>
  <si>
    <t>Limit Kredit Anggota dari total simpanan</t>
  </si>
  <si>
    <t>rasio</t>
  </si>
  <si>
    <t>Keputusan produk (Kredit Anggota)</t>
  </si>
  <si>
    <t>konsumen/credit.service.ts CREDIT_LIMIT_RATIO</t>
  </si>
  <si>
    <t>P07</t>
  </si>
  <si>
    <t>Konvensi hari per tahun</t>
  </si>
  <si>
    <t>hari</t>
  </si>
  <si>
    <t>Konvensi 12 × 30 hari (bunga harian &amp; simpanan)</t>
  </si>
  <si>
    <t>lib/saving-calc.ts; lib/loan-calc.ts</t>
  </si>
  <si>
    <t>P08</t>
  </si>
  <si>
    <t>Pembulatan cicilan harian/mingguan</t>
  </si>
  <si>
    <t>Keputusan pasar D8 — dibulatkan ke atas</t>
  </si>
  <si>
    <t>lib/installment-schedule.ts ROUNDING_UNIT</t>
  </si>
  <si>
    <t>P09</t>
  </si>
  <si>
    <t>Ambang konsentrasi simpanan pokok+wajib</t>
  </si>
  <si>
    <t>Indikator dashboard (bukan aturan)</t>
  </si>
  <si>
    <t>dashboard/service.ts MEMBER_CAPITAL_CONCENTRATION_PCT</t>
  </si>
  <si>
    <t>P10</t>
  </si>
  <si>
    <t>KOL Lancar: tunggakan maks.</t>
  </si>
  <si>
    <t>Keputusan pasar D2 (tidak diubah)</t>
  </si>
  <si>
    <t>P11</t>
  </si>
  <si>
    <t>KOL Dalam Perhatian: tunggakan maks.</t>
  </si>
  <si>
    <t>lib/kol.ts</t>
  </si>
  <si>
    <t>P12</t>
  </si>
  <si>
    <t>KOL Kurang Lancar: tunggakan maks.</t>
  </si>
  <si>
    <t>P13</t>
  </si>
  <si>
    <t>KOL Diragukan: tunggakan maks. (&gt; = Macet)</t>
  </si>
  <si>
    <t>P14</t>
  </si>
  <si>
    <t>Retensi jejak audit</t>
  </si>
  <si>
    <t>Dihapus harian oleh scheduler</t>
  </si>
  <si>
    <t>audit-log/service.ts RETENTION_DAYS</t>
  </si>
  <si>
    <t>P15</t>
  </si>
  <si>
    <t>Periode maks. Rekening Koran</t>
  </si>
  <si>
    <t>savings/service.ts statement</t>
  </si>
  <si>
    <t>P16</t>
  </si>
  <si>
    <t>Batas pendaftaran mandiri per IP</t>
  </si>
  <si>
    <t>per jam</t>
  </si>
  <si>
    <t>Default, dapat dikonfigurasi</t>
  </si>
  <si>
    <t>members/public-registration.routes.ts</t>
  </si>
  <si>
    <t>P17</t>
  </si>
  <si>
    <t>Zona waktu tanggal bisnis</t>
  </si>
  <si>
    <t>jam (UTC+7)</t>
  </si>
  <si>
    <t>Asia/Jakarta, tanpa DST</t>
  </si>
  <si>
    <t>Batas Klasifikasi KSP — Permenkop UKM 8/2023 Pasal 49 (lib/regulatory-config.ts KSP_CLASS_BOUNDS). Melewati salah satu batas = naik kelas.</t>
  </si>
  <si>
    <t>Kelas</t>
  </si>
  <si>
    <t>Jumlah anggota maks.</t>
  </si>
  <si>
    <t>Modal Sendiri maks.</t>
  </si>
  <si>
    <t>Aset maks.</t>
  </si>
  <si>
    <t>KSP I</t>
  </si>
  <si>
    <t>KSP II</t>
  </si>
  <si>
    <t>KSP III</t>
  </si>
  <si>
    <t>Di atas KSP III = KSP IV.</t>
  </si>
  <si>
    <t>Jurnal Otomatis per Transaksi</t>
  </si>
  <si>
    <t>Akun default dari COA standar (lib/coaTemplate.ts); dapat dipetakan ulang di Konfigurasi → Pemetaan Akun.</t>
  </si>
  <si>
    <t>Transaksi</t>
  </si>
  <si>
    <t>Jenis Pemetaan</t>
  </si>
  <si>
    <t>Debit</t>
  </si>
  <si>
    <t>Kredit</t>
  </si>
  <si>
    <t>Jumlah</t>
  </si>
  <si>
    <t>Setoran simpanan</t>
  </si>
  <si>
    <t>DEPOSIT</t>
  </si>
  <si>
    <t>Kas</t>
  </si>
  <si>
    <t>Simpanan (Pokok/Wajib/Sukarela)</t>
  </si>
  <si>
    <t>Setoran</t>
  </si>
  <si>
    <t>Per produk simpanan</t>
  </si>
  <si>
    <t>Penarikan simpanan</t>
  </si>
  <si>
    <t>WITHDRAWAL</t>
  </si>
  <si>
    <t>Penarikan</t>
  </si>
  <si>
    <t>Bunga simpanan harian</t>
  </si>
  <si>
    <t>SAVING_INTEREST</t>
  </si>
  <si>
    <t>Beban Bunga/Bagi Hasil Simpanan</t>
  </si>
  <si>
    <t>Tidak dipetakan otomatis — jurnal UNPOSTED sampai dipetakan (Temuan T7)</t>
  </si>
  <si>
    <t>Pencairan pinjaman</t>
  </si>
  <si>
    <t>DISBURSEMENT</t>
  </si>
  <si>
    <t>Piutang Pinjaman Anggota</t>
  </si>
  <si>
    <t>Pokok</t>
  </si>
  <si>
    <t>Default per produk pinjaman</t>
  </si>
  <si>
    <t>Angsuran — pokok</t>
  </si>
  <si>
    <t>PAYMENT_PRINCIPAL</t>
  </si>
  <si>
    <t>Angsuran — bunga</t>
  </si>
  <si>
    <t>PAYMENT_INTEREST</t>
  </si>
  <si>
    <t>Pendapatan Bunga/Margin Pinjaman</t>
  </si>
  <si>
    <t>Angsuran — denda</t>
  </si>
  <si>
    <t>PAYMENT_PENALTY</t>
  </si>
  <si>
    <t>Pendapatan Lain-lain</t>
  </si>
  <si>
    <t>Input manual</t>
  </si>
  <si>
    <t>Penjualan tunai</t>
  </si>
  <si>
    <t>SALE_REVENUE</t>
  </si>
  <si>
    <t>Penjualan Barang Dagang</t>
  </si>
  <si>
    <t>TOK-01 Total</t>
  </si>
  <si>
    <t>Semua-atau-tidak-sama-sekali dengan HPP</t>
  </si>
  <si>
    <t>Penjualan kredit anggota</t>
  </si>
  <si>
    <t>SALE_RECEIVABLE</t>
  </si>
  <si>
    <t>Piutang Anggota (Toko)</t>
  </si>
  <si>
    <t>HPP penjualan</t>
  </si>
  <si>
    <t>SALE_COGS</t>
  </si>
  <si>
    <t>Harga Pokok Penjualan</t>
  </si>
  <si>
    <t>Persediaan Barang Dagang</t>
  </si>
  <si>
    <t>TOK-01 HPP</t>
  </si>
  <si>
    <t>Pelunasan kredit anggota</t>
  </si>
  <si>
    <t>MEMBER_CREDIT_REPAYMENT</t>
  </si>
  <si>
    <t>Pelunasan</t>
  </si>
  <si>
    <t>Unit: tidak teralokasi</t>
  </si>
  <si>
    <t>Restock toko</t>
  </si>
  <si>
    <t>STOCK_PURCHASE</t>
  </si>
  <si>
    <t>Kas (atau Utang Usaha)</t>
  </si>
  <si>
    <t>Transaksi oleh kolektor</t>
  </si>
  <si>
    <t>COLLECTOR_CASH</t>
  </si>
  <si>
    <t>Kas di Kolektor (menggantikan Kas)</t>
  </si>
  <si>
    <t>(sesuai transaksi)</t>
  </si>
  <si>
    <t>Kas diganti Kas di Kolektor sampai diverifikasi</t>
  </si>
  <si>
    <t>Verifikasi batch kolektor</t>
  </si>
  <si>
    <t>Kas = diterima; Piutang Kolektor = kekurangan</t>
  </si>
  <si>
    <t>Kas di Kolektor = diharapkan; Selisih Kas = kelebihan</t>
  </si>
  <si>
    <t>Entri majemuk</t>
  </si>
  <si>
    <t>Tagihan sewa (akrual)</t>
  </si>
  <si>
    <t>CHARGE_ACCRUAL_SEWA</t>
  </si>
  <si>
    <t>Piutang Sewa &amp; Retribusi</t>
  </si>
  <si>
    <t>Pendapatan Sewa Kios</t>
  </si>
  <si>
    <t>Tagihan retribusi (akrual)</t>
  </si>
  <si>
    <t>CHARGE_ACCRUAL_RETRIBUSI</t>
  </si>
  <si>
    <t>Pendapatan Retribusi</t>
  </si>
  <si>
    <t>Keputusan D5: pendapatan</t>
  </si>
  <si>
    <t>Pembayaran tagihan pasar</t>
  </si>
  <si>
    <t>CHARGE_PAYMENT</t>
  </si>
  <si>
    <t>Kas / Kas di Kolektor</t>
  </si>
  <si>
    <t>Pembayaran</t>
  </si>
  <si>
    <t>Beban Umum</t>
  </si>
  <si>
    <t>MANUAL_EXPENSE (sumber)</t>
  </si>
  <si>
    <t>Akun BEBAN pilihan</t>
  </si>
  <si>
    <t>Kas/Bank (setara kas)</t>
  </si>
  <si>
    <t>Unit opsional; hapus, tidak bisa edit</t>
  </si>
  <si>
    <t>Temuan dari Review Rumus</t>
  </si>
  <si>
    <t>Hal yang terlihat saat menyusun daftar ini. Belum ditriase Engineer/QA.</t>
  </si>
  <si>
    <t>ID</t>
  </si>
  <si>
    <t>Detail</t>
  </si>
  <si>
    <t>Lokasi</t>
  </si>
  <si>
    <t>T1</t>
  </si>
  <si>
    <t>Bunga simpanan dihitung dengan float</t>
  </si>
  <si>
    <t>calculateSavingInterest memakai number, melanggar CLAUDE.md aturan 2. Jalur akrual harian scheduler sudah Decimal, jadi dua jalur bisa berbeda di sen terakhir.</t>
  </si>
  <si>
    <t>lib/saving-calc.ts</t>
  </si>
  <si>
    <t>T2</t>
  </si>
  <si>
    <t>Kalkulasi pinjaman dengan float</t>
  </si>
  <si>
    <t>calculateLoan menerima principal.toNumber() dan menghitung dalam number sebelum jadwal Decimal dibangun. Total &amp; bunga bisa meleset sen pada nilai besar.</t>
  </si>
  <si>
    <t>lib/loan-calc.ts; loans/service.ts</t>
  </si>
  <si>
    <t>PIN-01..03</t>
  </si>
  <si>
    <t>T3</t>
  </si>
  <si>
    <t>Pembagian SHU dengan float</t>
  </si>
  <si>
    <t>getShuDistribution memakai Number() dan round2 untuk semua pool dan porsi anggota. Σ porsi anggota bisa tidak sama persis dengan pool.</t>
  </si>
  <si>
    <t>LAP-03..06</t>
  </si>
  <si>
    <t>T4</t>
  </si>
  <si>
    <t>Margin flat untuk DAILY/WEEKLY memakai bulan dibulatkan ke atas</t>
  </si>
  <si>
    <t>TenorBulan = ROUNDUP(hari ÷ 30), jadi pinjaman flat 100 hari dihitung 4 bulan (bukan 3,33). Margin naik sekitar 20%. HARIAN tidak terpengaruh (memakai hari).</t>
  </si>
  <si>
    <t>PIN-02, PIN-04</t>
  </si>
  <si>
    <t>T5</t>
  </si>
  <si>
    <t>Ambang audit memakai Modal Sendiri, nama konstanta Modal Disetor</t>
  </si>
  <si>
    <t>Pasal 12 menyebut modal; kode memakai Modal Sendiri buku besar. Konstanta tetap bernama MODAL_DISETOR_AUDIT_THRESHOLD_RP; perlu konfirmasi PM bahwa basisnya memang Modal Sendiri.</t>
  </si>
  <si>
    <t>config/audit-threshold.ts</t>
  </si>
  <si>
    <t>T6</t>
  </si>
  <si>
    <t>Nomor anggota rawan bentrok</t>
  </si>
  <si>
    <t>Urutan dihitung dari COUNT, bukan sequence DB. Dua pendaftaran bersamaan di bulan yang sama bisa mendapat nomor sama.</t>
  </si>
  <si>
    <t>lib/id-generator.ts</t>
  </si>
  <si>
    <t>T7</t>
  </si>
  <si>
    <t>Bunga simpanan harian tidak punya pemetaan default</t>
  </si>
  <si>
    <t>Generate COA membuat pemetaan DEPOSIT/WITHDRAWAL per produk simpanan, tetapi tidak SAVING_INTEREST. Scheduler menambah saldo simpanan, namun jurnalnya tersimpan UNPOSTED_MISSING_MAPPING sampai admin memetakan manual — Neraca tidak mencerminkan beban bunga.</t>
  </si>
  <si>
    <t>modules/config/service.ts generateStandardCoa; savings/daily-interest.ts</t>
  </si>
  <si>
    <t>T8</t>
  </si>
  <si>
    <t>Pokok bersaldo nol memenuhi syarat pinjaman</t>
  </si>
  <si>
    <t>hasPokokSaving hanya memeriksa isActive. Terkait QA D1–D3 dan rencana Setoran Awal yang belum diimplementasikan.</t>
  </si>
  <si>
    <t>savings/service.ts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</si>
</sst>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&quot;Rp&quot;#,##0;(&quot;Rp&quot;#,##0);&quot;-&quot;"/>
    <numFmt numFmtId="165" formatCode="0.00%;(0.00%);&quot;-&quot;"/>
    <numFmt numFmtId="166" formatCode="#,##0;(#,##0);&quot;-&quot;"/>
    <numFmt numFmtId="167" formatCode="0.0000%"/>
    <numFmt numFmtId="168" formatCode="&quot;Rp&quot;#,##0.00;(&quot;Rp&quot;#,##0.00);&quot;-&quot;"/>
  </numFmts>
  <fonts count="12" x14ac:knownFonts="1">
    <font>
      <color theme="1"/>
      <family val="2"/>
      <scheme val="minor"/>
      <sz val="11"/>
      <name val="Calibri"/>
    </font>
    <font>
      <b/>
      <color rgb="FF0F172A"/>
      <sz val="16"/>
      <name val="Arial"/>
    </font>
    <font>
      <i/>
      <color rgb="FF64748B"/>
      <sz val="9"/>
      <name val="Arial"/>
    </font>
    <font>
      <b/>
      <color rgb="FF0F766E"/>
      <sz val="11"/>
      <name val="Arial"/>
    </font>
    <font>
      <sz val="10"/>
      <name val="Arial"/>
    </font>
    <font>
      <b/>
      <sz val="10"/>
      <name val="Arial"/>
    </font>
    <font>
      <color rgb="FF0000FF"/>
      <sz val="10"/>
      <name val="Arial"/>
    </font>
    <font>
      <color rgb="FF008000"/>
      <sz val="10"/>
      <name val="Arial"/>
    </font>
    <font>
      <b/>
      <color rgb="FFFFFFFF"/>
      <sz val="10"/>
      <name val="Arial"/>
    </font>
    <font>
      <sz val="9"/>
      <name val="Consolas"/>
    </font>
    <font>
      <b/>
      <color rgb="FF0F172A"/>
      <sz val="10"/>
      <name val="Arial"/>
    </font>
    <font>
      <i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EF3C7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0F172A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6" fillId="2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4" fillId="3" borderId="0" xfId="0" applyFont="1" applyFill="1" applyAlignment="1">
      <alignment wrapText="1"/>
    </xf>
    <xf numFmtId="0" fontId="8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8" fillId="6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vertical="top" wrapText="1"/>
    </xf>
    <xf numFmtId="165" fontId="6" fillId="2" borderId="1" xfId="0" applyNumberFormat="1" applyFont="1" applyFill="1" applyBorder="1" applyAlignment="1">
      <alignment vertical="top" wrapText="1"/>
    </xf>
    <xf numFmtId="166" fontId="6" fillId="2" borderId="1" xfId="0" applyNumberFormat="1" applyFont="1" applyFill="1" applyBorder="1" applyAlignment="1">
      <alignment vertical="top" wrapText="1"/>
    </xf>
    <xf numFmtId="165" fontId="7" fillId="0" borderId="1" xfId="0" applyNumberFormat="1" applyFont="1" applyBorder="1" applyAlignment="1">
      <alignment vertical="top" wrapText="1"/>
    </xf>
    <xf numFmtId="167" fontId="4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8" fontId="5" fillId="0" borderId="1" xfId="0" applyNumberFormat="1" applyFont="1" applyBorder="1" applyAlignment="1">
      <alignment vertical="top" wrapText="1"/>
    </xf>
    <xf numFmtId="168" fontId="4" fillId="0" borderId="1" xfId="0" applyNumberFormat="1" applyFont="1" applyBorder="1" applyAlignment="1">
      <alignment vertical="top" wrapText="1"/>
    </xf>
    <xf numFmtId="0" fontId="6" fillId="2" borderId="1" xfId="0" applyFont="1" applyFill="1" applyBorder="1" applyAlignment="1">
      <alignment vertical="top" wrapText="1"/>
    </xf>
    <xf numFmtId="166" fontId="7" fillId="0" borderId="1" xfId="0" applyNumberFormat="1" applyFont="1" applyBorder="1" applyAlignment="1">
      <alignment vertical="top" wrapText="1"/>
    </xf>
    <xf numFmtId="164" fontId="7" fillId="0" borderId="1" xfId="0" applyNumberFormat="1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65" fontId="5" fillId="0" borderId="1" xfId="0" applyNumberFormat="1" applyFont="1" applyBorder="1" applyAlignment="1">
      <alignment vertical="top" wrapText="1"/>
    </xf>
    <xf numFmtId="0" fontId="4" fillId="0" borderId="1" xfId="0" applyFont="1" applyBorder="1"/>
    <xf numFmtId="164" fontId="6" fillId="2" borderId="1" xfId="0" applyNumberFormat="1" applyFont="1" applyFill="1" applyBorder="1"/>
    <xf numFmtId="168" fontId="4" fillId="0" borderId="1" xfId="0" applyNumberFormat="1" applyFont="1" applyBorder="1"/>
    <xf numFmtId="0" fontId="5" fillId="0" borderId="1" xfId="0" applyFont="1" applyBorder="1"/>
    <xf numFmtId="168" fontId="5" fillId="0" borderId="1" xfId="0" applyNumberFormat="1" applyFont="1" applyBorder="1"/>
    <xf numFmtId="165" fontId="6" fillId="0" borderId="1" xfId="0" applyNumberFormat="1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166" fontId="6" fillId="0" borderId="1" xfId="0" applyNumberFormat="1" applyFont="1" applyBorder="1" applyAlignment="1">
      <alignment vertical="top" wrapText="1"/>
    </xf>
    <xf numFmtId="0" fontId="10" fillId="0" borderId="0" xfId="0" applyFont="1"/>
    <xf numFmtId="166" fontId="6" fillId="0" borderId="1" xfId="0" applyNumberFormat="1" applyFont="1" applyBorder="1"/>
    <xf numFmtId="164" fontId="6" fillId="0" borderId="1" xfId="0" applyNumberFormat="1" applyFont="1" applyBorder="1"/>
    <xf numFmtId="0" fontId="11" fillId="0" borderId="0" xfId="0" applyFont="1"/>
    <xf numFmtId="0" fontId="9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FormatPr defaultRowHeight="15" outlineLevelRow="0" outlineLevelCol="0" x14ac:dyDescent="55"/>
  <cols>
    <col min="1" max="1" width="26" customWidth="1"/>
    <col min="2" max="2" width="9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2" x14ac:dyDescent="0.25">
      <c r="A4" s="3" t="s">
        <v>2</v>
      </c>
      <c r="B4" s="4" t="s">
        <v>3</v>
      </c>
    </row>
    <row r="5" spans="1:2" x14ac:dyDescent="0.25">
      <c r="A5" s="5" t="s">
        <v>4</v>
      </c>
      <c r="B5" s="4" t="s">
        <v>5</v>
      </c>
    </row>
    <row r="6" spans="1:2" x14ac:dyDescent="0.25">
      <c r="A6" s="5" t="s">
        <v>6</v>
      </c>
      <c r="B6" s="4" t="s">
        <v>7</v>
      </c>
    </row>
    <row r="7" spans="1:2" x14ac:dyDescent="0.25">
      <c r="A7" s="5" t="s">
        <v>8</v>
      </c>
      <c r="B7" s="4" t="s">
        <v>9</v>
      </c>
    </row>
    <row r="8" spans="1:2" x14ac:dyDescent="0.25">
      <c r="A8" s="5" t="s">
        <v>10</v>
      </c>
      <c r="B8" s="4" t="s">
        <v>11</v>
      </c>
    </row>
    <row r="9" spans="1:2" x14ac:dyDescent="0.25">
      <c r="A9" s="5" t="s">
        <v>12</v>
      </c>
      <c r="B9" s="4" t="s">
        <v>13</v>
      </c>
    </row>
    <row r="10" spans="1:2" x14ac:dyDescent="0.25">
      <c r="A10" s="5" t="s">
        <v>3</v>
      </c>
      <c r="B10" s="4" t="s">
        <v>3</v>
      </c>
    </row>
    <row r="11" spans="1:2" x14ac:dyDescent="0.25">
      <c r="A11" s="3" t="s">
        <v>14</v>
      </c>
      <c r="B11" s="4" t="s">
        <v>3</v>
      </c>
    </row>
    <row r="12" spans="1:2" x14ac:dyDescent="0.25">
      <c r="A12" s="5" t="s">
        <v>15</v>
      </c>
      <c r="B12" s="6" t="s">
        <v>16</v>
      </c>
    </row>
    <row r="13" spans="1:2" x14ac:dyDescent="0.25">
      <c r="A13" s="5" t="s">
        <v>17</v>
      </c>
      <c r="B13" s="4" t="s">
        <v>18</v>
      </c>
    </row>
    <row r="14" spans="1:2" x14ac:dyDescent="0.25">
      <c r="A14" s="5" t="s">
        <v>19</v>
      </c>
      <c r="B14" s="7" t="s">
        <v>20</v>
      </c>
    </row>
    <row r="15" spans="1:2" x14ac:dyDescent="0.25">
      <c r="A15" s="5" t="s">
        <v>21</v>
      </c>
      <c r="B15" s="8" t="s">
        <v>22</v>
      </c>
    </row>
    <row r="16" spans="1:2" x14ac:dyDescent="0.25">
      <c r="A16" s="5" t="s">
        <v>3</v>
      </c>
      <c r="B16" s="4" t="s">
        <v>3</v>
      </c>
    </row>
    <row r="17" spans="1:2" x14ac:dyDescent="0.25">
      <c r="A17" s="5" t="s">
        <v>23</v>
      </c>
      <c r="B17" s="4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workbookViewId="0" zoomScale="100" zoomScaleNormal="10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6" customWidth="1"/>
    <col min="3" max="3" width="30" customWidth="1"/>
    <col min="4" max="4" width="58" customWidth="1"/>
    <col min="5" max="5" width="46" customWidth="1"/>
    <col min="6" max="6" width="44" customWidth="1"/>
    <col min="7" max="7" width="13" customWidth="1"/>
    <col min="8" max="8" width="38" customWidth="1"/>
    <col min="9" max="9" width="30" customWidth="1"/>
    <col min="10" max="10" width="11" customWidth="1"/>
  </cols>
  <sheetData>
    <row r="1" spans="1:1" x14ac:dyDescent="0.25">
      <c r="A1" s="1" t="s">
        <v>25</v>
      </c>
    </row>
    <row r="2" spans="1:1" x14ac:dyDescent="0.25">
      <c r="A2" s="2" t="s">
        <v>26</v>
      </c>
    </row>
    <row r="4" ht="30" customHeight="1" spans="1:10" x14ac:dyDescent="0.25">
      <c r="A4" s="9" t="s">
        <v>27</v>
      </c>
      <c r="B4" s="9" t="s">
        <v>28</v>
      </c>
      <c r="C4" s="9" t="s">
        <v>29</v>
      </c>
      <c r="D4" s="9" t="s">
        <v>30</v>
      </c>
      <c r="E4" s="9" t="s">
        <v>31</v>
      </c>
      <c r="F4" s="9" t="s">
        <v>32</v>
      </c>
      <c r="G4" s="9" t="s">
        <v>33</v>
      </c>
      <c r="H4" s="9" t="s">
        <v>34</v>
      </c>
      <c r="I4" s="9" t="s">
        <v>35</v>
      </c>
      <c r="J4" s="9" t="s">
        <v>6</v>
      </c>
    </row>
    <row r="5" ht="39" customHeight="1" spans="1:10" x14ac:dyDescent="0.25">
      <c r="A5" s="10" t="s">
        <v>36</v>
      </c>
      <c r="B5" s="10" t="s">
        <v>37</v>
      </c>
      <c r="C5" s="11" t="s">
        <v>38</v>
      </c>
      <c r="D5" s="12" t="s">
        <v>39</v>
      </c>
      <c r="E5" s="10" t="s">
        <v>40</v>
      </c>
      <c r="F5" s="10" t="s">
        <v>41</v>
      </c>
      <c r="G5" s="13" t="s">
        <v>42</v>
      </c>
      <c r="H5" s="10" t="s">
        <v>43</v>
      </c>
      <c r="I5" s="10" t="s">
        <v>44</v>
      </c>
      <c r="J5" s="14" t="s">
        <v>45</v>
      </c>
    </row>
    <row r="6" ht="52" customHeight="1" spans="1:10" x14ac:dyDescent="0.25">
      <c r="A6" s="15" t="s">
        <v>46</v>
      </c>
      <c r="B6" s="15" t="s">
        <v>37</v>
      </c>
      <c r="C6" s="16" t="s">
        <v>47</v>
      </c>
      <c r="D6" s="12" t="s">
        <v>48</v>
      </c>
      <c r="E6" s="15" t="s">
        <v>49</v>
      </c>
      <c r="F6" s="15" t="s">
        <v>50</v>
      </c>
      <c r="G6" s="14" t="s">
        <v>51</v>
      </c>
      <c r="H6" s="15" t="s">
        <v>52</v>
      </c>
      <c r="I6" s="15" t="s">
        <v>3</v>
      </c>
      <c r="J6" s="14" t="s">
        <v>45</v>
      </c>
    </row>
    <row r="7" ht="28" customHeight="1" spans="1:10" x14ac:dyDescent="0.25">
      <c r="A7" s="10" t="s">
        <v>53</v>
      </c>
      <c r="B7" s="10" t="s">
        <v>37</v>
      </c>
      <c r="C7" s="11" t="s">
        <v>54</v>
      </c>
      <c r="D7" s="12" t="s">
        <v>55</v>
      </c>
      <c r="E7" s="10" t="s">
        <v>56</v>
      </c>
      <c r="F7" s="10" t="s">
        <v>57</v>
      </c>
      <c r="G7" s="14" t="s">
        <v>51</v>
      </c>
      <c r="H7" s="10" t="s">
        <v>58</v>
      </c>
      <c r="I7" s="10" t="s">
        <v>3</v>
      </c>
      <c r="J7" s="14" t="s">
        <v>59</v>
      </c>
    </row>
    <row r="8" ht="39" customHeight="1" spans="1:10" x14ac:dyDescent="0.25">
      <c r="A8" s="15" t="s">
        <v>60</v>
      </c>
      <c r="B8" s="15" t="s">
        <v>37</v>
      </c>
      <c r="C8" s="16" t="s">
        <v>61</v>
      </c>
      <c r="D8" s="12" t="s">
        <v>62</v>
      </c>
      <c r="E8" s="15" t="s">
        <v>63</v>
      </c>
      <c r="F8" s="15" t="s">
        <v>3</v>
      </c>
      <c r="G8" s="14" t="s">
        <v>51</v>
      </c>
      <c r="H8" s="15" t="s">
        <v>58</v>
      </c>
      <c r="I8" s="15" t="s">
        <v>3</v>
      </c>
      <c r="J8" s="14" t="s">
        <v>59</v>
      </c>
    </row>
    <row r="9" ht="28" customHeight="1" spans="1:10" x14ac:dyDescent="0.25">
      <c r="A9" s="10" t="s">
        <v>64</v>
      </c>
      <c r="B9" s="10" t="s">
        <v>37</v>
      </c>
      <c r="C9" s="11" t="s">
        <v>65</v>
      </c>
      <c r="D9" s="12" t="s">
        <v>66</v>
      </c>
      <c r="E9" s="10" t="s">
        <v>3</v>
      </c>
      <c r="F9" s="10" t="s">
        <v>67</v>
      </c>
      <c r="G9" s="14" t="s">
        <v>51</v>
      </c>
      <c r="H9" s="10" t="s">
        <v>68</v>
      </c>
      <c r="I9" s="10" t="s">
        <v>69</v>
      </c>
      <c r="J9" s="14" t="s">
        <v>3</v>
      </c>
    </row>
    <row r="10" ht="52" customHeight="1" spans="1:10" x14ac:dyDescent="0.25">
      <c r="A10" s="15" t="s">
        <v>70</v>
      </c>
      <c r="B10" s="15" t="s">
        <v>71</v>
      </c>
      <c r="C10" s="16" t="s">
        <v>72</v>
      </c>
      <c r="D10" s="12" t="s">
        <v>73</v>
      </c>
      <c r="E10" s="15" t="s">
        <v>74</v>
      </c>
      <c r="F10" s="15" t="s">
        <v>75</v>
      </c>
      <c r="G10" s="13" t="s">
        <v>42</v>
      </c>
      <c r="H10" s="15" t="s">
        <v>76</v>
      </c>
      <c r="I10" s="15" t="s">
        <v>77</v>
      </c>
      <c r="J10" s="14" t="s">
        <v>78</v>
      </c>
    </row>
    <row r="11" ht="28" customHeight="1" spans="1:10" x14ac:dyDescent="0.25">
      <c r="A11" s="10" t="s">
        <v>79</v>
      </c>
      <c r="B11" s="10" t="s">
        <v>71</v>
      </c>
      <c r="C11" s="11" t="s">
        <v>80</v>
      </c>
      <c r="D11" s="12" t="s">
        <v>81</v>
      </c>
      <c r="E11" s="10" t="s">
        <v>82</v>
      </c>
      <c r="F11" s="10" t="s">
        <v>83</v>
      </c>
      <c r="G11" s="13" t="s">
        <v>42</v>
      </c>
      <c r="H11" s="10" t="s">
        <v>76</v>
      </c>
      <c r="I11" s="10" t="s">
        <v>3</v>
      </c>
      <c r="J11" s="14" t="s">
        <v>84</v>
      </c>
    </row>
    <row r="12" ht="39" customHeight="1" spans="1:10" x14ac:dyDescent="0.25">
      <c r="A12" s="15" t="s">
        <v>85</v>
      </c>
      <c r="B12" s="15" t="s">
        <v>71</v>
      </c>
      <c r="C12" s="16" t="s">
        <v>86</v>
      </c>
      <c r="D12" s="12" t="s">
        <v>87</v>
      </c>
      <c r="E12" s="15" t="s">
        <v>88</v>
      </c>
      <c r="F12" s="15" t="s">
        <v>3</v>
      </c>
      <c r="G12" s="13" t="s">
        <v>42</v>
      </c>
      <c r="H12" s="15" t="s">
        <v>89</v>
      </c>
      <c r="I12" s="15" t="s">
        <v>3</v>
      </c>
      <c r="J12" s="14" t="s">
        <v>90</v>
      </c>
    </row>
    <row r="13" ht="28" customHeight="1" spans="1:10" x14ac:dyDescent="0.25">
      <c r="A13" s="10" t="s">
        <v>91</v>
      </c>
      <c r="B13" s="10" t="s">
        <v>71</v>
      </c>
      <c r="C13" s="11" t="s">
        <v>92</v>
      </c>
      <c r="D13" s="12" t="s">
        <v>93</v>
      </c>
      <c r="E13" s="10" t="s">
        <v>94</v>
      </c>
      <c r="F13" s="10" t="s">
        <v>95</v>
      </c>
      <c r="G13" s="14" t="s">
        <v>96</v>
      </c>
      <c r="H13" s="10" t="s">
        <v>97</v>
      </c>
      <c r="I13" s="10" t="s">
        <v>3</v>
      </c>
      <c r="J13" s="14" t="s">
        <v>90</v>
      </c>
    </row>
    <row r="14" ht="52" customHeight="1" spans="1:10" x14ac:dyDescent="0.25">
      <c r="A14" s="15" t="s">
        <v>98</v>
      </c>
      <c r="B14" s="15" t="s">
        <v>71</v>
      </c>
      <c r="C14" s="16" t="s">
        <v>99</v>
      </c>
      <c r="D14" s="12" t="s">
        <v>100</v>
      </c>
      <c r="E14" s="15" t="s">
        <v>3</v>
      </c>
      <c r="F14" s="15" t="s">
        <v>101</v>
      </c>
      <c r="G14" s="14" t="s">
        <v>51</v>
      </c>
      <c r="H14" s="15" t="s">
        <v>102</v>
      </c>
      <c r="I14" s="15" t="s">
        <v>103</v>
      </c>
      <c r="J14" s="14" t="s">
        <v>90</v>
      </c>
    </row>
    <row r="15" ht="39" customHeight="1" spans="1:10" x14ac:dyDescent="0.25">
      <c r="A15" s="10" t="s">
        <v>104</v>
      </c>
      <c r="B15" s="10" t="s">
        <v>71</v>
      </c>
      <c r="C15" s="11" t="s">
        <v>105</v>
      </c>
      <c r="D15" s="12" t="s">
        <v>106</v>
      </c>
      <c r="E15" s="10" t="s">
        <v>3</v>
      </c>
      <c r="F15" s="10" t="s">
        <v>3</v>
      </c>
      <c r="G15" s="14" t="s">
        <v>51</v>
      </c>
      <c r="H15" s="10" t="s">
        <v>102</v>
      </c>
      <c r="I15" s="10" t="s">
        <v>3</v>
      </c>
      <c r="J15" s="14" t="s">
        <v>90</v>
      </c>
    </row>
    <row r="16" ht="65" customHeight="1" spans="1:10" x14ac:dyDescent="0.25">
      <c r="A16" s="15" t="s">
        <v>107</v>
      </c>
      <c r="B16" s="15" t="s">
        <v>71</v>
      </c>
      <c r="C16" s="16" t="s">
        <v>108</v>
      </c>
      <c r="D16" s="12" t="s">
        <v>109</v>
      </c>
      <c r="E16" s="15" t="s">
        <v>110</v>
      </c>
      <c r="F16" s="15" t="s">
        <v>111</v>
      </c>
      <c r="G16" s="14" t="s">
        <v>112</v>
      </c>
      <c r="H16" s="15" t="s">
        <v>113</v>
      </c>
      <c r="I16" s="15" t="s">
        <v>114</v>
      </c>
      <c r="J16" s="14" t="s">
        <v>3</v>
      </c>
    </row>
    <row r="17" ht="65" customHeight="1" spans="1:10" x14ac:dyDescent="0.25">
      <c r="A17" s="10" t="s">
        <v>115</v>
      </c>
      <c r="B17" s="10" t="s">
        <v>71</v>
      </c>
      <c r="C17" s="11" t="s">
        <v>116</v>
      </c>
      <c r="D17" s="12" t="s">
        <v>117</v>
      </c>
      <c r="E17" s="10" t="s">
        <v>3</v>
      </c>
      <c r="F17" s="10" t="s">
        <v>3</v>
      </c>
      <c r="G17" s="14" t="s">
        <v>51</v>
      </c>
      <c r="H17" s="10" t="s">
        <v>118</v>
      </c>
      <c r="I17" s="10" t="s">
        <v>3</v>
      </c>
      <c r="J17" s="14" t="s">
        <v>3</v>
      </c>
    </row>
    <row r="18" ht="28" customHeight="1" spans="1:10" x14ac:dyDescent="0.25">
      <c r="A18" s="15" t="s">
        <v>119</v>
      </c>
      <c r="B18" s="15" t="s">
        <v>71</v>
      </c>
      <c r="C18" s="16" t="s">
        <v>120</v>
      </c>
      <c r="D18" s="12" t="s">
        <v>121</v>
      </c>
      <c r="E18" s="15" t="s">
        <v>122</v>
      </c>
      <c r="F18" s="15" t="s">
        <v>3</v>
      </c>
      <c r="G18" s="14" t="s">
        <v>51</v>
      </c>
      <c r="H18" s="15" t="s">
        <v>123</v>
      </c>
      <c r="I18" s="15" t="s">
        <v>3</v>
      </c>
      <c r="J18" s="14" t="s">
        <v>3</v>
      </c>
    </row>
    <row r="19" ht="28" customHeight="1" spans="1:10" x14ac:dyDescent="0.25">
      <c r="A19" s="10" t="s">
        <v>124</v>
      </c>
      <c r="B19" s="10" t="s">
        <v>71</v>
      </c>
      <c r="C19" s="11" t="s">
        <v>125</v>
      </c>
      <c r="D19" s="12" t="s">
        <v>126</v>
      </c>
      <c r="E19" s="10" t="s">
        <v>127</v>
      </c>
      <c r="F19" s="10" t="s">
        <v>128</v>
      </c>
      <c r="G19" s="14" t="s">
        <v>51</v>
      </c>
      <c r="H19" s="10" t="s">
        <v>129</v>
      </c>
      <c r="I19" s="10" t="s">
        <v>130</v>
      </c>
      <c r="J19" s="14" t="s">
        <v>3</v>
      </c>
    </row>
    <row r="20" ht="28" customHeight="1" spans="1:10" x14ac:dyDescent="0.25">
      <c r="A20" s="15" t="s">
        <v>131</v>
      </c>
      <c r="B20" s="15" t="s">
        <v>71</v>
      </c>
      <c r="C20" s="16" t="s">
        <v>132</v>
      </c>
      <c r="D20" s="12" t="s">
        <v>133</v>
      </c>
      <c r="E20" s="15" t="s">
        <v>134</v>
      </c>
      <c r="F20" s="15" t="s">
        <v>135</v>
      </c>
      <c r="G20" s="13" t="s">
        <v>42</v>
      </c>
      <c r="H20" s="15" t="s">
        <v>97</v>
      </c>
      <c r="I20" s="15" t="s">
        <v>136</v>
      </c>
      <c r="J20" s="14" t="s">
        <v>78</v>
      </c>
    </row>
    <row r="21" ht="52" customHeight="1" spans="1:10" x14ac:dyDescent="0.25">
      <c r="A21" s="10" t="s">
        <v>137</v>
      </c>
      <c r="B21" s="10" t="s">
        <v>71</v>
      </c>
      <c r="C21" s="11" t="s">
        <v>138</v>
      </c>
      <c r="D21" s="12" t="s">
        <v>139</v>
      </c>
      <c r="E21" s="10" t="s">
        <v>3</v>
      </c>
      <c r="F21" s="10" t="s">
        <v>140</v>
      </c>
      <c r="G21" s="14" t="s">
        <v>96</v>
      </c>
      <c r="H21" s="10" t="s">
        <v>141</v>
      </c>
      <c r="I21" s="10" t="s">
        <v>142</v>
      </c>
      <c r="J21" s="14" t="s">
        <v>143</v>
      </c>
    </row>
    <row r="22" ht="28" customHeight="1" spans="1:10" x14ac:dyDescent="0.25">
      <c r="A22" s="15" t="s">
        <v>144</v>
      </c>
      <c r="B22" s="15" t="s">
        <v>71</v>
      </c>
      <c r="C22" s="16" t="s">
        <v>145</v>
      </c>
      <c r="D22" s="12" t="s">
        <v>146</v>
      </c>
      <c r="E22" s="15" t="s">
        <v>147</v>
      </c>
      <c r="F22" s="15" t="s">
        <v>3</v>
      </c>
      <c r="G22" s="14" t="s">
        <v>96</v>
      </c>
      <c r="H22" s="15" t="s">
        <v>148</v>
      </c>
      <c r="I22" s="15" t="s">
        <v>3</v>
      </c>
      <c r="J22" s="14" t="s">
        <v>143</v>
      </c>
    </row>
    <row r="23" ht="39" customHeight="1" spans="1:10" x14ac:dyDescent="0.25">
      <c r="A23" s="10" t="s">
        <v>149</v>
      </c>
      <c r="B23" s="10" t="s">
        <v>71</v>
      </c>
      <c r="C23" s="11" t="s">
        <v>150</v>
      </c>
      <c r="D23" s="12" t="s">
        <v>151</v>
      </c>
      <c r="E23" s="10" t="s">
        <v>152</v>
      </c>
      <c r="F23" s="10" t="s">
        <v>3</v>
      </c>
      <c r="G23" s="14" t="s">
        <v>51</v>
      </c>
      <c r="H23" s="10" t="s">
        <v>153</v>
      </c>
      <c r="I23" s="10" t="s">
        <v>154</v>
      </c>
      <c r="J23" s="14" t="s">
        <v>155</v>
      </c>
    </row>
    <row r="24" ht="39" customHeight="1" spans="1:10" x14ac:dyDescent="0.25">
      <c r="A24" s="15" t="s">
        <v>156</v>
      </c>
      <c r="B24" s="15" t="s">
        <v>71</v>
      </c>
      <c r="C24" s="16" t="s">
        <v>157</v>
      </c>
      <c r="D24" s="12" t="s">
        <v>158</v>
      </c>
      <c r="E24" s="15" t="s">
        <v>159</v>
      </c>
      <c r="F24" s="15" t="s">
        <v>160</v>
      </c>
      <c r="G24" s="14" t="s">
        <v>51</v>
      </c>
      <c r="H24" s="15" t="s">
        <v>161</v>
      </c>
      <c r="I24" s="15" t="s">
        <v>162</v>
      </c>
      <c r="J24" s="14" t="s">
        <v>155</v>
      </c>
    </row>
    <row r="25" ht="28" customHeight="1" spans="1:10" x14ac:dyDescent="0.25">
      <c r="A25" s="10" t="s">
        <v>163</v>
      </c>
      <c r="B25" s="10" t="s">
        <v>71</v>
      </c>
      <c r="C25" s="11" t="s">
        <v>164</v>
      </c>
      <c r="D25" s="12" t="s">
        <v>165</v>
      </c>
      <c r="E25" s="10" t="s">
        <v>3</v>
      </c>
      <c r="F25" s="10" t="s">
        <v>166</v>
      </c>
      <c r="G25" s="14" t="s">
        <v>167</v>
      </c>
      <c r="H25" s="10" t="s">
        <v>168</v>
      </c>
      <c r="I25" s="10" t="s">
        <v>3</v>
      </c>
      <c r="J25" s="14" t="s">
        <v>3</v>
      </c>
    </row>
    <row r="26" ht="39" customHeight="1" spans="1:10" x14ac:dyDescent="0.25">
      <c r="A26" s="15" t="s">
        <v>169</v>
      </c>
      <c r="B26" s="15" t="s">
        <v>170</v>
      </c>
      <c r="C26" s="16" t="s">
        <v>171</v>
      </c>
      <c r="D26" s="12" t="s">
        <v>172</v>
      </c>
      <c r="E26" s="15" t="s">
        <v>173</v>
      </c>
      <c r="F26" s="15" t="s">
        <v>174</v>
      </c>
      <c r="G26" s="14" t="s">
        <v>51</v>
      </c>
      <c r="H26" s="15" t="s">
        <v>175</v>
      </c>
      <c r="I26" s="15" t="s">
        <v>3</v>
      </c>
      <c r="J26" s="14" t="s">
        <v>3</v>
      </c>
    </row>
    <row r="27" ht="28" customHeight="1" spans="1:10" x14ac:dyDescent="0.25">
      <c r="A27" s="10" t="s">
        <v>176</v>
      </c>
      <c r="B27" s="10" t="s">
        <v>170</v>
      </c>
      <c r="C27" s="11" t="s">
        <v>177</v>
      </c>
      <c r="D27" s="12" t="s">
        <v>178</v>
      </c>
      <c r="E27" s="10" t="s">
        <v>179</v>
      </c>
      <c r="F27" s="10" t="s">
        <v>3</v>
      </c>
      <c r="G27" s="14" t="s">
        <v>51</v>
      </c>
      <c r="H27" s="10" t="s">
        <v>180</v>
      </c>
      <c r="I27" s="10" t="s">
        <v>3</v>
      </c>
      <c r="J27" s="14" t="s">
        <v>3</v>
      </c>
    </row>
    <row r="28" ht="52" customHeight="1" spans="1:10" x14ac:dyDescent="0.25">
      <c r="A28" s="15" t="s">
        <v>181</v>
      </c>
      <c r="B28" s="15" t="s">
        <v>170</v>
      </c>
      <c r="C28" s="16" t="s">
        <v>182</v>
      </c>
      <c r="D28" s="12" t="s">
        <v>183</v>
      </c>
      <c r="E28" s="15" t="s">
        <v>184</v>
      </c>
      <c r="F28" s="15" t="s">
        <v>185</v>
      </c>
      <c r="G28" s="14" t="s">
        <v>51</v>
      </c>
      <c r="H28" s="15" t="s">
        <v>186</v>
      </c>
      <c r="I28" s="15" t="s">
        <v>187</v>
      </c>
      <c r="J28" s="14" t="s">
        <v>188</v>
      </c>
    </row>
    <row r="29" ht="52" customHeight="1" spans="1:10" x14ac:dyDescent="0.25">
      <c r="A29" s="10" t="s">
        <v>189</v>
      </c>
      <c r="B29" s="10" t="s">
        <v>190</v>
      </c>
      <c r="C29" s="11" t="s">
        <v>191</v>
      </c>
      <c r="D29" s="12" t="s">
        <v>192</v>
      </c>
      <c r="E29" s="10" t="s">
        <v>193</v>
      </c>
      <c r="F29" s="10" t="s">
        <v>194</v>
      </c>
      <c r="G29" s="14" t="s">
        <v>51</v>
      </c>
      <c r="H29" s="10" t="s">
        <v>195</v>
      </c>
      <c r="I29" s="10" t="s">
        <v>114</v>
      </c>
      <c r="J29" s="14" t="s">
        <v>3</v>
      </c>
    </row>
    <row r="30" ht="39" customHeight="1" spans="1:10" x14ac:dyDescent="0.25">
      <c r="A30" s="15" t="s">
        <v>196</v>
      </c>
      <c r="B30" s="15" t="s">
        <v>190</v>
      </c>
      <c r="C30" s="16" t="s">
        <v>197</v>
      </c>
      <c r="D30" s="12" t="s">
        <v>198</v>
      </c>
      <c r="E30" s="15" t="s">
        <v>3</v>
      </c>
      <c r="F30" s="15" t="s">
        <v>199</v>
      </c>
      <c r="G30" s="14" t="s">
        <v>51</v>
      </c>
      <c r="H30" s="15" t="s">
        <v>195</v>
      </c>
      <c r="I30" s="15" t="s">
        <v>200</v>
      </c>
      <c r="J30" s="14" t="s">
        <v>3</v>
      </c>
    </row>
    <row r="31" ht="39" customHeight="1" spans="1:10" x14ac:dyDescent="0.25">
      <c r="A31" s="10" t="s">
        <v>201</v>
      </c>
      <c r="B31" s="10" t="s">
        <v>190</v>
      </c>
      <c r="C31" s="11" t="s">
        <v>202</v>
      </c>
      <c r="D31" s="12" t="s">
        <v>203</v>
      </c>
      <c r="E31" s="10" t="s">
        <v>204</v>
      </c>
      <c r="F31" s="10" t="s">
        <v>3</v>
      </c>
      <c r="G31" s="14" t="s">
        <v>51</v>
      </c>
      <c r="H31" s="10" t="s">
        <v>205</v>
      </c>
      <c r="I31" s="10" t="s">
        <v>3</v>
      </c>
      <c r="J31" s="14" t="s">
        <v>3</v>
      </c>
    </row>
    <row r="32" ht="28" customHeight="1" spans="1:10" x14ac:dyDescent="0.25">
      <c r="A32" s="15" t="s">
        <v>206</v>
      </c>
      <c r="B32" s="15" t="s">
        <v>190</v>
      </c>
      <c r="C32" s="16" t="s">
        <v>207</v>
      </c>
      <c r="D32" s="12" t="s">
        <v>208</v>
      </c>
      <c r="E32" s="15" t="s">
        <v>3</v>
      </c>
      <c r="F32" s="15" t="s">
        <v>3</v>
      </c>
      <c r="G32" s="14" t="s">
        <v>51</v>
      </c>
      <c r="H32" s="15" t="s">
        <v>205</v>
      </c>
      <c r="I32" s="15" t="s">
        <v>3</v>
      </c>
      <c r="J32" s="14" t="s">
        <v>3</v>
      </c>
    </row>
    <row r="33" ht="28" customHeight="1" spans="1:10" x14ac:dyDescent="0.25">
      <c r="A33" s="10" t="s">
        <v>209</v>
      </c>
      <c r="B33" s="10" t="s">
        <v>190</v>
      </c>
      <c r="C33" s="11" t="s">
        <v>210</v>
      </c>
      <c r="D33" s="12" t="s">
        <v>211</v>
      </c>
      <c r="E33" s="10" t="s">
        <v>212</v>
      </c>
      <c r="F33" s="10" t="s">
        <v>3</v>
      </c>
      <c r="G33" s="14" t="s">
        <v>51</v>
      </c>
      <c r="H33" s="10" t="s">
        <v>213</v>
      </c>
      <c r="I33" s="10" t="s">
        <v>3</v>
      </c>
      <c r="J33" s="14" t="s">
        <v>214</v>
      </c>
    </row>
    <row r="34" ht="39" customHeight="1" spans="1:10" x14ac:dyDescent="0.25">
      <c r="A34" s="15" t="s">
        <v>215</v>
      </c>
      <c r="B34" s="15" t="s">
        <v>190</v>
      </c>
      <c r="C34" s="16" t="s">
        <v>216</v>
      </c>
      <c r="D34" s="12" t="s">
        <v>217</v>
      </c>
      <c r="E34" s="15" t="s">
        <v>218</v>
      </c>
      <c r="F34" s="15" t="s">
        <v>219</v>
      </c>
      <c r="G34" s="14" t="s">
        <v>51</v>
      </c>
      <c r="H34" s="15" t="s">
        <v>220</v>
      </c>
      <c r="I34" s="15" t="s">
        <v>3</v>
      </c>
      <c r="J34" s="14" t="s">
        <v>214</v>
      </c>
    </row>
    <row r="35" ht="65" customHeight="1" spans="1:10" x14ac:dyDescent="0.25">
      <c r="A35" s="10" t="s">
        <v>221</v>
      </c>
      <c r="B35" s="10" t="s">
        <v>222</v>
      </c>
      <c r="C35" s="11" t="s">
        <v>223</v>
      </c>
      <c r="D35" s="12" t="s">
        <v>224</v>
      </c>
      <c r="E35" s="10" t="s">
        <v>225</v>
      </c>
      <c r="F35" s="10" t="s">
        <v>226</v>
      </c>
      <c r="G35" s="14" t="s">
        <v>51</v>
      </c>
      <c r="H35" s="10" t="s">
        <v>227</v>
      </c>
      <c r="I35" s="10" t="s">
        <v>228</v>
      </c>
      <c r="J35" s="14" t="s">
        <v>229</v>
      </c>
    </row>
    <row r="36" ht="28" customHeight="1" spans="1:10" x14ac:dyDescent="0.25">
      <c r="A36" s="15" t="s">
        <v>230</v>
      </c>
      <c r="B36" s="15" t="s">
        <v>222</v>
      </c>
      <c r="C36" s="16" t="s">
        <v>231</v>
      </c>
      <c r="D36" s="12" t="s">
        <v>232</v>
      </c>
      <c r="E36" s="15" t="s">
        <v>3</v>
      </c>
      <c r="F36" s="15" t="s">
        <v>233</v>
      </c>
      <c r="G36" s="14" t="s">
        <v>51</v>
      </c>
      <c r="H36" s="15" t="s">
        <v>234</v>
      </c>
      <c r="I36" s="15" t="s">
        <v>3</v>
      </c>
      <c r="J36" s="14" t="s">
        <v>229</v>
      </c>
    </row>
    <row r="37" ht="39" customHeight="1" spans="1:10" x14ac:dyDescent="0.25">
      <c r="A37" s="10" t="s">
        <v>235</v>
      </c>
      <c r="B37" s="10" t="s">
        <v>222</v>
      </c>
      <c r="C37" s="11" t="s">
        <v>236</v>
      </c>
      <c r="D37" s="12" t="s">
        <v>237</v>
      </c>
      <c r="E37" s="10" t="s">
        <v>238</v>
      </c>
      <c r="F37" s="10" t="s">
        <v>239</v>
      </c>
      <c r="G37" s="14" t="s">
        <v>51</v>
      </c>
      <c r="H37" s="10" t="s">
        <v>240</v>
      </c>
      <c r="I37" s="10" t="s">
        <v>241</v>
      </c>
      <c r="J37" s="14" t="s">
        <v>229</v>
      </c>
    </row>
    <row r="38" ht="39" customHeight="1" spans="1:10" x14ac:dyDescent="0.25">
      <c r="A38" s="15" t="s">
        <v>242</v>
      </c>
      <c r="B38" s="15" t="s">
        <v>222</v>
      </c>
      <c r="C38" s="16" t="s">
        <v>243</v>
      </c>
      <c r="D38" s="12" t="s">
        <v>244</v>
      </c>
      <c r="E38" s="15" t="s">
        <v>3</v>
      </c>
      <c r="F38" s="15" t="s">
        <v>245</v>
      </c>
      <c r="G38" s="14" t="s">
        <v>51</v>
      </c>
      <c r="H38" s="15" t="s">
        <v>234</v>
      </c>
      <c r="I38" s="15" t="s">
        <v>3</v>
      </c>
      <c r="J38" s="14" t="s">
        <v>229</v>
      </c>
    </row>
    <row r="39" ht="28" customHeight="1" spans="1:10" x14ac:dyDescent="0.25">
      <c r="A39" s="10" t="s">
        <v>246</v>
      </c>
      <c r="B39" s="10" t="s">
        <v>222</v>
      </c>
      <c r="C39" s="11" t="s">
        <v>247</v>
      </c>
      <c r="D39" s="12" t="s">
        <v>248</v>
      </c>
      <c r="E39" s="10" t="s">
        <v>249</v>
      </c>
      <c r="F39" s="10" t="s">
        <v>3</v>
      </c>
      <c r="G39" s="14" t="s">
        <v>51</v>
      </c>
      <c r="H39" s="10" t="s">
        <v>250</v>
      </c>
      <c r="I39" s="10" t="s">
        <v>251</v>
      </c>
      <c r="J39" s="14" t="s">
        <v>252</v>
      </c>
    </row>
    <row r="40" ht="28" customHeight="1" spans="1:10" x14ac:dyDescent="0.25">
      <c r="A40" s="15" t="s">
        <v>253</v>
      </c>
      <c r="B40" s="15" t="s">
        <v>222</v>
      </c>
      <c r="C40" s="16" t="s">
        <v>254</v>
      </c>
      <c r="D40" s="12" t="s">
        <v>255</v>
      </c>
      <c r="E40" s="15" t="s">
        <v>256</v>
      </c>
      <c r="F40" s="15" t="s">
        <v>3</v>
      </c>
      <c r="G40" s="14" t="s">
        <v>51</v>
      </c>
      <c r="H40" s="15" t="s">
        <v>234</v>
      </c>
      <c r="I40" s="15" t="s">
        <v>3</v>
      </c>
      <c r="J40" s="14" t="s">
        <v>155</v>
      </c>
    </row>
    <row r="41" ht="28" customHeight="1" spans="1:10" x14ac:dyDescent="0.25">
      <c r="A41" s="10" t="s">
        <v>257</v>
      </c>
      <c r="B41" s="10" t="s">
        <v>258</v>
      </c>
      <c r="C41" s="11" t="s">
        <v>259</v>
      </c>
      <c r="D41" s="12" t="s">
        <v>260</v>
      </c>
      <c r="E41" s="10" t="s">
        <v>3</v>
      </c>
      <c r="F41" s="10" t="s">
        <v>3</v>
      </c>
      <c r="G41" s="14" t="s">
        <v>51</v>
      </c>
      <c r="H41" s="10" t="s">
        <v>261</v>
      </c>
      <c r="I41" s="10" t="s">
        <v>3</v>
      </c>
      <c r="J41" s="14" t="s">
        <v>262</v>
      </c>
    </row>
    <row r="42" ht="28" customHeight="1" spans="1:10" x14ac:dyDescent="0.25">
      <c r="A42" s="15" t="s">
        <v>263</v>
      </c>
      <c r="B42" s="15" t="s">
        <v>258</v>
      </c>
      <c r="C42" s="16" t="s">
        <v>264</v>
      </c>
      <c r="D42" s="12" t="s">
        <v>265</v>
      </c>
      <c r="E42" s="15" t="s">
        <v>3</v>
      </c>
      <c r="F42" s="15" t="s">
        <v>3</v>
      </c>
      <c r="G42" s="14" t="s">
        <v>51</v>
      </c>
      <c r="H42" s="15" t="s">
        <v>266</v>
      </c>
      <c r="I42" s="15" t="s">
        <v>3</v>
      </c>
      <c r="J42" s="14" t="s">
        <v>262</v>
      </c>
    </row>
    <row r="43" ht="28" customHeight="1" spans="1:10" x14ac:dyDescent="0.25">
      <c r="A43" s="10" t="s">
        <v>267</v>
      </c>
      <c r="B43" s="10" t="s">
        <v>258</v>
      </c>
      <c r="C43" s="11" t="s">
        <v>268</v>
      </c>
      <c r="D43" s="12" t="s">
        <v>269</v>
      </c>
      <c r="E43" s="10" t="s">
        <v>270</v>
      </c>
      <c r="F43" s="10" t="s">
        <v>3</v>
      </c>
      <c r="G43" s="14" t="s">
        <v>51</v>
      </c>
      <c r="H43" s="10" t="s">
        <v>266</v>
      </c>
      <c r="I43" s="10" t="s">
        <v>3</v>
      </c>
      <c r="J43" s="14" t="s">
        <v>262</v>
      </c>
    </row>
    <row r="44" ht="65" customHeight="1" spans="1:10" x14ac:dyDescent="0.25">
      <c r="A44" s="15" t="s">
        <v>271</v>
      </c>
      <c r="B44" s="15" t="s">
        <v>258</v>
      </c>
      <c r="C44" s="16" t="s">
        <v>272</v>
      </c>
      <c r="D44" s="12" t="s">
        <v>273</v>
      </c>
      <c r="E44" s="15" t="s">
        <v>3</v>
      </c>
      <c r="F44" s="15" t="s">
        <v>3</v>
      </c>
      <c r="G44" s="14" t="s">
        <v>51</v>
      </c>
      <c r="H44" s="15" t="s">
        <v>274</v>
      </c>
      <c r="I44" s="15" t="s">
        <v>3</v>
      </c>
      <c r="J44" s="14" t="s">
        <v>3</v>
      </c>
    </row>
    <row r="45" ht="28" customHeight="1" spans="1:10" x14ac:dyDescent="0.25">
      <c r="A45" s="10" t="s">
        <v>275</v>
      </c>
      <c r="B45" s="10" t="s">
        <v>276</v>
      </c>
      <c r="C45" s="11" t="s">
        <v>277</v>
      </c>
      <c r="D45" s="12" t="s">
        <v>278</v>
      </c>
      <c r="E45" s="10" t="s">
        <v>3</v>
      </c>
      <c r="F45" s="10" t="s">
        <v>3</v>
      </c>
      <c r="G45" s="13" t="s">
        <v>42</v>
      </c>
      <c r="H45" s="10" t="s">
        <v>279</v>
      </c>
      <c r="I45" s="10" t="s">
        <v>3</v>
      </c>
      <c r="J45" s="14" t="s">
        <v>280</v>
      </c>
    </row>
    <row r="46" ht="28" customHeight="1" spans="1:10" x14ac:dyDescent="0.25">
      <c r="A46" s="15" t="s">
        <v>281</v>
      </c>
      <c r="B46" s="15" t="s">
        <v>276</v>
      </c>
      <c r="C46" s="16" t="s">
        <v>282</v>
      </c>
      <c r="D46" s="12" t="s">
        <v>283</v>
      </c>
      <c r="E46" s="15" t="s">
        <v>284</v>
      </c>
      <c r="F46" s="15" t="s">
        <v>3</v>
      </c>
      <c r="G46" s="13" t="s">
        <v>42</v>
      </c>
      <c r="H46" s="15" t="s">
        <v>285</v>
      </c>
      <c r="I46" s="15" t="s">
        <v>3</v>
      </c>
      <c r="J46" s="14" t="s">
        <v>3</v>
      </c>
    </row>
    <row r="47" ht="28" customHeight="1" spans="1:10" x14ac:dyDescent="0.25">
      <c r="A47" s="10" t="s">
        <v>286</v>
      </c>
      <c r="B47" s="10" t="s">
        <v>276</v>
      </c>
      <c r="C47" s="11" t="s">
        <v>287</v>
      </c>
      <c r="D47" s="12" t="s">
        <v>288</v>
      </c>
      <c r="E47" s="10" t="s">
        <v>289</v>
      </c>
      <c r="F47" s="10" t="s">
        <v>290</v>
      </c>
      <c r="G47" s="13" t="s">
        <v>42</v>
      </c>
      <c r="H47" s="10" t="s">
        <v>291</v>
      </c>
      <c r="I47" s="10" t="s">
        <v>292</v>
      </c>
      <c r="J47" s="14" t="s">
        <v>280</v>
      </c>
    </row>
    <row r="48" ht="39" customHeight="1" spans="1:10" x14ac:dyDescent="0.25">
      <c r="A48" s="15" t="s">
        <v>293</v>
      </c>
      <c r="B48" s="15" t="s">
        <v>276</v>
      </c>
      <c r="C48" s="16" t="s">
        <v>294</v>
      </c>
      <c r="D48" s="12" t="s">
        <v>295</v>
      </c>
      <c r="E48" s="15" t="s">
        <v>296</v>
      </c>
      <c r="F48" s="15" t="s">
        <v>3</v>
      </c>
      <c r="G48" s="13" t="s">
        <v>42</v>
      </c>
      <c r="H48" s="15" t="s">
        <v>297</v>
      </c>
      <c r="I48" s="15" t="s">
        <v>3</v>
      </c>
      <c r="J48" s="14" t="s">
        <v>280</v>
      </c>
    </row>
    <row r="49" ht="28" customHeight="1" spans="1:10" x14ac:dyDescent="0.25">
      <c r="A49" s="10" t="s">
        <v>298</v>
      </c>
      <c r="B49" s="10" t="s">
        <v>276</v>
      </c>
      <c r="C49" s="11" t="s">
        <v>299</v>
      </c>
      <c r="D49" s="12" t="s">
        <v>300</v>
      </c>
      <c r="E49" s="10" t="s">
        <v>301</v>
      </c>
      <c r="F49" s="10" t="s">
        <v>3</v>
      </c>
      <c r="G49" s="13" t="s">
        <v>42</v>
      </c>
      <c r="H49" s="10" t="s">
        <v>297</v>
      </c>
      <c r="I49" s="10" t="s">
        <v>3</v>
      </c>
      <c r="J49" s="14" t="s">
        <v>280</v>
      </c>
    </row>
    <row r="50" ht="39" customHeight="1" spans="1:10" x14ac:dyDescent="0.25">
      <c r="A50" s="15" t="s">
        <v>302</v>
      </c>
      <c r="B50" s="15" t="s">
        <v>276</v>
      </c>
      <c r="C50" s="16" t="s">
        <v>303</v>
      </c>
      <c r="D50" s="12" t="s">
        <v>304</v>
      </c>
      <c r="E50" s="15" t="s">
        <v>305</v>
      </c>
      <c r="F50" s="15" t="s">
        <v>3</v>
      </c>
      <c r="G50" s="13" t="s">
        <v>42</v>
      </c>
      <c r="H50" s="15" t="s">
        <v>297</v>
      </c>
      <c r="I50" s="15" t="s">
        <v>3</v>
      </c>
      <c r="J50" s="14" t="s">
        <v>280</v>
      </c>
    </row>
    <row r="51" ht="28" customHeight="1" spans="1:10" x14ac:dyDescent="0.25">
      <c r="A51" s="10" t="s">
        <v>306</v>
      </c>
      <c r="B51" s="10" t="s">
        <v>276</v>
      </c>
      <c r="C51" s="11" t="s">
        <v>307</v>
      </c>
      <c r="D51" s="12" t="s">
        <v>308</v>
      </c>
      <c r="E51" s="10" t="s">
        <v>309</v>
      </c>
      <c r="F51" s="10" t="s">
        <v>3</v>
      </c>
      <c r="G51" s="14" t="s">
        <v>51</v>
      </c>
      <c r="H51" s="10" t="s">
        <v>310</v>
      </c>
      <c r="I51" s="10" t="s">
        <v>311</v>
      </c>
      <c r="J51" s="14" t="s">
        <v>3</v>
      </c>
    </row>
    <row r="52" ht="28" customHeight="1" spans="1:10" x14ac:dyDescent="0.25">
      <c r="A52" s="15" t="s">
        <v>312</v>
      </c>
      <c r="B52" s="15" t="s">
        <v>276</v>
      </c>
      <c r="C52" s="16" t="s">
        <v>313</v>
      </c>
      <c r="D52" s="12" t="s">
        <v>314</v>
      </c>
      <c r="E52" s="15" t="s">
        <v>3</v>
      </c>
      <c r="F52" s="15" t="s">
        <v>3</v>
      </c>
      <c r="G52" s="14" t="s">
        <v>51</v>
      </c>
      <c r="H52" s="15" t="s">
        <v>315</v>
      </c>
      <c r="I52" s="15" t="s">
        <v>3</v>
      </c>
      <c r="J52" s="14" t="s">
        <v>3</v>
      </c>
    </row>
    <row r="53" ht="28" customHeight="1" spans="1:10" x14ac:dyDescent="0.25">
      <c r="A53" s="10" t="s">
        <v>316</v>
      </c>
      <c r="B53" s="10" t="s">
        <v>276</v>
      </c>
      <c r="C53" s="11" t="s">
        <v>317</v>
      </c>
      <c r="D53" s="12" t="s">
        <v>318</v>
      </c>
      <c r="E53" s="10" t="s">
        <v>319</v>
      </c>
      <c r="F53" s="10" t="s">
        <v>3</v>
      </c>
      <c r="G53" s="14" t="s">
        <v>112</v>
      </c>
      <c r="H53" s="10" t="s">
        <v>320</v>
      </c>
      <c r="I53" s="10" t="s">
        <v>3</v>
      </c>
      <c r="J53" s="14" t="s">
        <v>3</v>
      </c>
    </row>
    <row r="54" ht="28" customHeight="1" spans="1:10" x14ac:dyDescent="0.25">
      <c r="A54" s="15" t="s">
        <v>321</v>
      </c>
      <c r="B54" s="15" t="s">
        <v>322</v>
      </c>
      <c r="C54" s="16" t="s">
        <v>323</v>
      </c>
      <c r="D54" s="12" t="s">
        <v>324</v>
      </c>
      <c r="E54" s="15" t="s">
        <v>325</v>
      </c>
      <c r="F54" s="15" t="s">
        <v>326</v>
      </c>
      <c r="G54" s="14" t="s">
        <v>327</v>
      </c>
      <c r="H54" s="15" t="s">
        <v>328</v>
      </c>
      <c r="I54" s="15" t="s">
        <v>3</v>
      </c>
      <c r="J54" s="14" t="s">
        <v>3</v>
      </c>
    </row>
    <row r="55" ht="28" customHeight="1" spans="1:10" x14ac:dyDescent="0.25">
      <c r="A55" s="10" t="s">
        <v>329</v>
      </c>
      <c r="B55" s="10" t="s">
        <v>322</v>
      </c>
      <c r="C55" s="11" t="s">
        <v>330</v>
      </c>
      <c r="D55" s="12" t="s">
        <v>331</v>
      </c>
      <c r="E55" s="10" t="s">
        <v>3</v>
      </c>
      <c r="F55" s="10" t="s">
        <v>3</v>
      </c>
      <c r="G55" s="14" t="s">
        <v>327</v>
      </c>
      <c r="H55" s="10" t="s">
        <v>332</v>
      </c>
      <c r="I55" s="10" t="s">
        <v>3</v>
      </c>
      <c r="J55" s="14" t="s">
        <v>3</v>
      </c>
    </row>
    <row r="56" ht="28" customHeight="1" spans="1:10" x14ac:dyDescent="0.25">
      <c r="A56" s="15" t="s">
        <v>333</v>
      </c>
      <c r="B56" s="15" t="s">
        <v>334</v>
      </c>
      <c r="C56" s="16" t="s">
        <v>335</v>
      </c>
      <c r="D56" s="12" t="s">
        <v>336</v>
      </c>
      <c r="E56" s="15" t="s">
        <v>3</v>
      </c>
      <c r="F56" s="15" t="s">
        <v>3</v>
      </c>
      <c r="G56" s="14" t="s">
        <v>112</v>
      </c>
      <c r="H56" s="15" t="s">
        <v>337</v>
      </c>
      <c r="I56" s="15" t="s">
        <v>3</v>
      </c>
      <c r="J56" s="14" t="s">
        <v>3</v>
      </c>
    </row>
    <row r="57" ht="28" customHeight="1" spans="1:10" x14ac:dyDescent="0.25">
      <c r="A57" s="10" t="s">
        <v>338</v>
      </c>
      <c r="B57" s="10" t="s">
        <v>334</v>
      </c>
      <c r="C57" s="11" t="s">
        <v>339</v>
      </c>
      <c r="D57" s="12" t="s">
        <v>340</v>
      </c>
      <c r="E57" s="10" t="s">
        <v>341</v>
      </c>
      <c r="F57" s="10" t="s">
        <v>3</v>
      </c>
      <c r="G57" s="14" t="s">
        <v>112</v>
      </c>
      <c r="H57" s="10" t="s">
        <v>342</v>
      </c>
      <c r="I57" s="10" t="s">
        <v>3</v>
      </c>
      <c r="J57" s="14" t="s">
        <v>3</v>
      </c>
    </row>
    <row r="58" ht="28" customHeight="1" spans="1:10" x14ac:dyDescent="0.25">
      <c r="A58" s="15" t="s">
        <v>343</v>
      </c>
      <c r="B58" s="15" t="s">
        <v>334</v>
      </c>
      <c r="C58" s="16" t="s">
        <v>344</v>
      </c>
      <c r="D58" s="12" t="s">
        <v>345</v>
      </c>
      <c r="E58" s="15" t="s">
        <v>346</v>
      </c>
      <c r="F58" s="15" t="s">
        <v>3</v>
      </c>
      <c r="G58" s="14" t="s">
        <v>51</v>
      </c>
      <c r="H58" s="15" t="s">
        <v>347</v>
      </c>
      <c r="I58" s="15" t="s">
        <v>348</v>
      </c>
      <c r="J58" s="14" t="s">
        <v>3</v>
      </c>
    </row>
    <row r="59" ht="28" customHeight="1" spans="1:10" x14ac:dyDescent="0.25">
      <c r="A59" s="10" t="s">
        <v>349</v>
      </c>
      <c r="B59" s="10" t="s">
        <v>334</v>
      </c>
      <c r="C59" s="11" t="s">
        <v>350</v>
      </c>
      <c r="D59" s="12" t="s">
        <v>351</v>
      </c>
      <c r="E59" s="10" t="s">
        <v>352</v>
      </c>
      <c r="F59" s="10" t="s">
        <v>3</v>
      </c>
      <c r="G59" s="14" t="s">
        <v>51</v>
      </c>
      <c r="H59" s="10" t="s">
        <v>353</v>
      </c>
      <c r="I59" s="10" t="s">
        <v>3</v>
      </c>
      <c r="J59" s="14" t="s">
        <v>3</v>
      </c>
    </row>
  </sheetData>
  <autoFilter ref="A4:J59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1"/>
  <sheetFormatPr defaultRowHeight="15" outlineLevelRow="0" outlineLevelCol="0" x14ac:dyDescent="55"/>
  <cols>
    <col min="1" max="1" width="44" customWidth="1"/>
    <col min="2" max="2" width="22" customWidth="1"/>
    <col min="3" max="3" width="70" customWidth="1"/>
    <col min="4" max="11" width="16" customWidth="1"/>
  </cols>
  <sheetData>
    <row r="1" spans="1:1" x14ac:dyDescent="0.25">
      <c r="A1" s="1" t="s">
        <v>354</v>
      </c>
    </row>
    <row r="2" spans="1:1" x14ac:dyDescent="0.25">
      <c r="A2" s="2" t="s">
        <v>355</v>
      </c>
    </row>
    <row r="5" ht="30" customHeight="1" spans="1:3" x14ac:dyDescent="0.25">
      <c r="A5" s="17" t="s">
        <v>356</v>
      </c>
      <c r="B5" s="17"/>
      <c r="C5" s="17"/>
    </row>
    <row r="6" spans="1:3" x14ac:dyDescent="0.25">
      <c r="A6" s="18" t="s">
        <v>357</v>
      </c>
      <c r="B6" s="19">
        <v>10000000</v>
      </c>
      <c r="C6" s="18" t="s">
        <v>358</v>
      </c>
    </row>
    <row r="7" spans="1:3" x14ac:dyDescent="0.25">
      <c r="A7" s="18" t="s">
        <v>359</v>
      </c>
      <c r="B7" s="20">
        <v>0.18</v>
      </c>
      <c r="C7" s="18" t="s">
        <v>358</v>
      </c>
    </row>
    <row r="8" spans="1:3" x14ac:dyDescent="0.25">
      <c r="A8" s="18" t="s">
        <v>360</v>
      </c>
      <c r="B8" s="21">
        <v>12</v>
      </c>
      <c r="C8" s="18" t="s">
        <v>358</v>
      </c>
    </row>
    <row r="9" spans="1:3" x14ac:dyDescent="0.25">
      <c r="A9" s="18" t="s">
        <v>361</v>
      </c>
      <c r="B9" s="22">
        <f>Parameter!$C$5</f>
        <v>0.24</v>
      </c>
      <c r="C9" s="18" t="s">
        <v>362</v>
      </c>
    </row>
    <row r="10" spans="1:3" x14ac:dyDescent="0.25">
      <c r="A10" s="18" t="s">
        <v>363</v>
      </c>
      <c r="B10" s="18" t="str">
        <f>IF(B7&lt;=B9,"YA","DITOLAK — melebihi batas")</f>
        <v>YA</v>
      </c>
      <c r="C10" s="18" t="s">
        <v>364</v>
      </c>
    </row>
    <row r="11" spans="1:3" x14ac:dyDescent="0.25">
      <c r="A11" s="18" t="s">
        <v>365</v>
      </c>
      <c r="B11" s="23">
        <f>B7/12</f>
        <v>0.015</v>
      </c>
      <c r="C11" s="18" t="s">
        <v>366</v>
      </c>
    </row>
    <row r="12" spans="1:3" x14ac:dyDescent="0.25">
      <c r="A12" s="24" t="s">
        <v>367</v>
      </c>
      <c r="B12" s="25">
        <f>IF(B11=0,ROUND(B6/B8,2),ROUND(B6*B11/(1-(1+B11)^(-B8)),2))</f>
        <v>916799.93</v>
      </c>
      <c r="C12" s="18" t="s">
        <v>368</v>
      </c>
    </row>
    <row r="13" spans="1:3" x14ac:dyDescent="0.25">
      <c r="A13" s="18" t="s">
        <v>369</v>
      </c>
      <c r="B13" s="26">
        <f>IF(B11=0,B6,ROUND(B6*B11/(1-(1+B11)^(-B8))*B8,2))</f>
        <v>11001599.15</v>
      </c>
      <c r="C13" s="18" t="s">
        <v>370</v>
      </c>
    </row>
    <row r="14" spans="1:3" x14ac:dyDescent="0.25">
      <c r="A14" s="18" t="s">
        <v>371</v>
      </c>
      <c r="B14" s="26">
        <f>ROUND(B13-B6,2)</f>
        <v>1001599.15</v>
      </c>
      <c r="C14" s="18" t="s">
        <v>372</v>
      </c>
    </row>
    <row r="16" ht="30" customHeight="1" spans="1:3" x14ac:dyDescent="0.25">
      <c r="A16" s="17" t="s">
        <v>373</v>
      </c>
      <c r="B16" s="17"/>
      <c r="C16" s="17"/>
    </row>
    <row r="17" spans="1:3" x14ac:dyDescent="0.25">
      <c r="A17" s="18" t="s">
        <v>374</v>
      </c>
      <c r="B17" s="19">
        <v>10000000</v>
      </c>
      <c r="C17" s="18" t="s">
        <v>358</v>
      </c>
    </row>
    <row r="18" spans="1:3" x14ac:dyDescent="0.25">
      <c r="A18" s="18" t="s">
        <v>375</v>
      </c>
      <c r="B18" s="20">
        <v>0.18</v>
      </c>
      <c r="C18" s="18" t="s">
        <v>358</v>
      </c>
    </row>
    <row r="19" spans="1:3" x14ac:dyDescent="0.25">
      <c r="A19" s="18" t="s">
        <v>360</v>
      </c>
      <c r="B19" s="21">
        <v>12</v>
      </c>
      <c r="C19" s="18" t="s">
        <v>358</v>
      </c>
    </row>
    <row r="20" spans="1:3" x14ac:dyDescent="0.25">
      <c r="A20" s="24" t="s">
        <v>376</v>
      </c>
      <c r="B20" s="25">
        <f>ROUND(B17*B18*B19/12,2)</f>
        <v>1800000</v>
      </c>
      <c r="C20" s="18" t="s">
        <v>377</v>
      </c>
    </row>
    <row r="21" spans="1:3" x14ac:dyDescent="0.25">
      <c r="A21" s="18" t="s">
        <v>369</v>
      </c>
      <c r="B21" s="26">
        <f>ROUND(B17+B17*B18*B19/12,2)</f>
        <v>11800000</v>
      </c>
      <c r="C21" s="18" t="s">
        <v>378</v>
      </c>
    </row>
    <row r="22" spans="1:3" x14ac:dyDescent="0.25">
      <c r="A22" s="18" t="s">
        <v>367</v>
      </c>
      <c r="B22" s="26">
        <f>ROUND((B17+B17*B18*B19/12)/B19,2)</f>
        <v>983333.33</v>
      </c>
      <c r="C22" s="18" t="s">
        <v>379</v>
      </c>
    </row>
    <row r="24" ht="30" customHeight="1" spans="1:3" x14ac:dyDescent="0.25">
      <c r="A24" s="17" t="s">
        <v>380</v>
      </c>
      <c r="B24" s="17"/>
      <c r="C24" s="17"/>
    </row>
    <row r="25" spans="1:3" x14ac:dyDescent="0.25">
      <c r="A25" s="18" t="s">
        <v>357</v>
      </c>
      <c r="B25" s="19">
        <v>5000000</v>
      </c>
      <c r="C25" s="18" t="s">
        <v>358</v>
      </c>
    </row>
    <row r="26" spans="1:3" x14ac:dyDescent="0.25">
      <c r="A26" s="18" t="s">
        <v>359</v>
      </c>
      <c r="B26" s="20">
        <v>0.24</v>
      </c>
      <c r="C26" s="18" t="s">
        <v>358</v>
      </c>
    </row>
    <row r="27" spans="1:3" x14ac:dyDescent="0.25">
      <c r="A27" s="18" t="s">
        <v>381</v>
      </c>
      <c r="B27" s="27" t="s">
        <v>382</v>
      </c>
      <c r="C27" s="18" t="s">
        <v>383</v>
      </c>
    </row>
    <row r="28" spans="1:3" x14ac:dyDescent="0.25">
      <c r="A28" s="18" t="s">
        <v>384</v>
      </c>
      <c r="B28" s="21">
        <v>100</v>
      </c>
      <c r="C28" s="18" t="s">
        <v>385</v>
      </c>
    </row>
    <row r="29" spans="1:3" x14ac:dyDescent="0.25">
      <c r="A29" s="18" t="s">
        <v>386</v>
      </c>
      <c r="B29" s="28">
        <f>Parameter!$C$11</f>
        <v>360</v>
      </c>
      <c r="C29" s="18" t="s">
        <v>387</v>
      </c>
    </row>
    <row r="30" spans="1:3" x14ac:dyDescent="0.25">
      <c r="A30" s="18" t="s">
        <v>388</v>
      </c>
      <c r="B30" s="29">
        <f>Parameter!$C$12</f>
        <v>500</v>
      </c>
      <c r="C30" s="18" t="s">
        <v>389</v>
      </c>
    </row>
    <row r="31" spans="1:3" x14ac:dyDescent="0.25">
      <c r="A31" s="18" t="s">
        <v>390</v>
      </c>
      <c r="B31" s="30">
        <f>IF(B27="DAILY",B28,IF(B27="WEEKLY",B28*7,B28*30))</f>
        <v>100</v>
      </c>
      <c r="C31" s="18" t="s">
        <v>391</v>
      </c>
    </row>
    <row r="32" spans="1:3" x14ac:dyDescent="0.25">
      <c r="A32" s="18" t="s">
        <v>392</v>
      </c>
      <c r="B32" s="30">
        <f>IF(B27="MONTHLY",B28,MAX(1,ROUNDUP(B31/30,0)))</f>
        <v>4</v>
      </c>
      <c r="C32" s="18" t="s">
        <v>393</v>
      </c>
    </row>
    <row r="33" spans="1:3" x14ac:dyDescent="0.25">
      <c r="A33" s="24" t="s">
        <v>371</v>
      </c>
      <c r="B33" s="25">
        <f>ROUND(B25*B26/B29*B31,2)</f>
        <v>333333.33</v>
      </c>
      <c r="C33" s="18" t="s">
        <v>394</v>
      </c>
    </row>
    <row r="34" spans="1:3" x14ac:dyDescent="0.25">
      <c r="A34" s="18" t="s">
        <v>369</v>
      </c>
      <c r="B34" s="26">
        <f>ROUND(B25+B25*B26/B29*B31,2)</f>
        <v>5333333.33</v>
      </c>
      <c r="C34" s="18" t="s">
        <v>395</v>
      </c>
    </row>
    <row r="35" spans="1:3" x14ac:dyDescent="0.25">
      <c r="A35" s="18" t="s">
        <v>396</v>
      </c>
      <c r="B35" s="26">
        <f>B34/B28</f>
        <v>53333.3333</v>
      </c>
      <c r="C35" s="18" t="s">
        <v>3</v>
      </c>
    </row>
    <row r="36" spans="1:3" x14ac:dyDescent="0.25">
      <c r="A36" s="24" t="s">
        <v>397</v>
      </c>
      <c r="B36" s="25">
        <f>IF(B27="MONTHLY",ROUND(B35,2),ROUNDUP(B35/B30,0)*B30)</f>
        <v>53500</v>
      </c>
      <c r="C36" s="18" t="s">
        <v>398</v>
      </c>
    </row>
    <row r="37" spans="1:3" x14ac:dyDescent="0.25">
      <c r="A37" s="18" t="s">
        <v>399</v>
      </c>
      <c r="B37" s="26">
        <f>ROUND(B34-(B28-1)*B36,2)</f>
        <v>36833.33</v>
      </c>
      <c r="C37" s="18" t="s">
        <v>400</v>
      </c>
    </row>
    <row r="38" spans="1:3" x14ac:dyDescent="0.25">
      <c r="A38" s="18" t="s">
        <v>401</v>
      </c>
      <c r="B38" s="26">
        <f>ROUND(B36*B25/B34,2)</f>
        <v>50156.25</v>
      </c>
      <c r="C38" s="18" t="s">
        <v>402</v>
      </c>
    </row>
    <row r="39" spans="1:3" x14ac:dyDescent="0.25">
      <c r="A39" s="18" t="s">
        <v>403</v>
      </c>
      <c r="B39" s="26">
        <f>ROUND(B36-B38,2)</f>
        <v>3343.75</v>
      </c>
      <c r="C39" s="18" t="s">
        <v>404</v>
      </c>
    </row>
    <row r="41" ht="30" customHeight="1" spans="1:3" x14ac:dyDescent="0.25">
      <c r="A41" s="17" t="s">
        <v>405</v>
      </c>
      <c r="B41" s="17"/>
      <c r="C41" s="17"/>
    </row>
    <row r="42" spans="1:3" x14ac:dyDescent="0.25">
      <c r="A42" s="18" t="s">
        <v>406</v>
      </c>
      <c r="B42" s="19">
        <v>10000000</v>
      </c>
      <c r="C42" s="18" t="s">
        <v>358</v>
      </c>
    </row>
    <row r="43" spans="1:3" x14ac:dyDescent="0.25">
      <c r="A43" s="18" t="s">
        <v>359</v>
      </c>
      <c r="B43" s="20">
        <v>0.06</v>
      </c>
      <c r="C43" s="18" t="s">
        <v>358</v>
      </c>
    </row>
    <row r="44" spans="1:3" x14ac:dyDescent="0.25">
      <c r="A44" s="18" t="s">
        <v>407</v>
      </c>
      <c r="B44" s="21">
        <v>3</v>
      </c>
      <c r="C44" s="18" t="s">
        <v>408</v>
      </c>
    </row>
    <row r="45" spans="1:3" x14ac:dyDescent="0.25">
      <c r="A45" s="18" t="s">
        <v>409</v>
      </c>
      <c r="B45" s="22">
        <f>Parameter!$C$6</f>
        <v>0.09</v>
      </c>
      <c r="C45" s="18" t="s">
        <v>410</v>
      </c>
    </row>
    <row r="46" spans="1:3" x14ac:dyDescent="0.25">
      <c r="A46" s="18" t="s">
        <v>411</v>
      </c>
      <c r="B46" s="28">
        <f>Parameter!$C$11</f>
        <v>360</v>
      </c>
      <c r="C46" s="18" t="s">
        <v>387</v>
      </c>
    </row>
    <row r="47" spans="1:3" x14ac:dyDescent="0.25">
      <c r="A47" s="18" t="s">
        <v>363</v>
      </c>
      <c r="B47" s="18" t="str">
        <f>IF(B43&lt;=B45,"YA","DITOLAK — melebihi batas")</f>
        <v>YA</v>
      </c>
      <c r="C47" s="18" t="s">
        <v>3</v>
      </c>
    </row>
    <row r="48" spans="1:3" x14ac:dyDescent="0.25">
      <c r="A48" s="24" t="s">
        <v>412</v>
      </c>
      <c r="B48" s="25">
        <f>ROUND(B42*B43/B46,2)</f>
        <v>1666.67</v>
      </c>
      <c r="C48" s="18" t="s">
        <v>413</v>
      </c>
    </row>
    <row r="49" spans="1:3" x14ac:dyDescent="0.25">
      <c r="A49" s="18" t="s">
        <v>414</v>
      </c>
      <c r="B49" s="26">
        <f>ROUND(B42*B43/B46,2)*B44</f>
        <v>5000.01</v>
      </c>
      <c r="C49" s="18" t="s">
        <v>415</v>
      </c>
    </row>
    <row r="50" spans="1:3" x14ac:dyDescent="0.25">
      <c r="A50" s="18" t="s">
        <v>416</v>
      </c>
      <c r="B50" s="26">
        <f>ROUND(B42*B43/12,2)</f>
        <v>50000</v>
      </c>
      <c r="C50" s="18" t="s">
        <v>417</v>
      </c>
    </row>
    <row r="51" spans="1:3" x14ac:dyDescent="0.25">
      <c r="A51" s="18" t="s">
        <v>418</v>
      </c>
      <c r="B51" s="26">
        <f>ROUND(B42*B43,2)</f>
        <v>600000</v>
      </c>
      <c r="C51" s="18" t="s">
        <v>419</v>
      </c>
    </row>
    <row r="53" ht="30" customHeight="1" spans="1:3" x14ac:dyDescent="0.25">
      <c r="A53" s="17" t="s">
        <v>420</v>
      </c>
      <c r="B53" s="17"/>
      <c r="C53" s="17"/>
    </row>
    <row r="54" spans="1:3" x14ac:dyDescent="0.25">
      <c r="A54" s="18" t="s">
        <v>421</v>
      </c>
      <c r="B54" s="19">
        <v>12000000</v>
      </c>
      <c r="C54" s="18" t="s">
        <v>358</v>
      </c>
    </row>
    <row r="55" spans="1:3" x14ac:dyDescent="0.25">
      <c r="A55" s="18" t="s">
        <v>422</v>
      </c>
      <c r="B55" s="19">
        <v>500000</v>
      </c>
      <c r="C55" s="18" t="s">
        <v>423</v>
      </c>
    </row>
    <row r="56" spans="1:3" x14ac:dyDescent="0.25">
      <c r="A56" s="18" t="s">
        <v>424</v>
      </c>
      <c r="B56" s="19">
        <v>3000000</v>
      </c>
      <c r="C56" s="18" t="s">
        <v>358</v>
      </c>
    </row>
    <row r="57" spans="1:3" x14ac:dyDescent="0.25">
      <c r="A57" s="18" t="s">
        <v>425</v>
      </c>
      <c r="B57" s="19">
        <v>50000</v>
      </c>
      <c r="C57" s="18" t="s">
        <v>358</v>
      </c>
    </row>
    <row r="58" spans="1:3" x14ac:dyDescent="0.25">
      <c r="A58" s="18" t="s">
        <v>426</v>
      </c>
      <c r="B58" s="19">
        <v>1000000</v>
      </c>
      <c r="C58" s="18" t="s">
        <v>358</v>
      </c>
    </row>
    <row r="59" spans="1:3" x14ac:dyDescent="0.25">
      <c r="A59" s="24" t="s">
        <v>427</v>
      </c>
      <c r="B59" s="25">
        <f>B54-B55</f>
        <v>11500000</v>
      </c>
      <c r="C59" s="18" t="s">
        <v>428</v>
      </c>
    </row>
    <row r="60" spans="1:3" x14ac:dyDescent="0.25">
      <c r="A60" s="24" t="s">
        <v>429</v>
      </c>
      <c r="B60" s="25">
        <f>B59-(B56+B57-B58)</f>
        <v>9450000</v>
      </c>
      <c r="C60" s="18" t="s">
        <v>430</v>
      </c>
    </row>
    <row r="62" ht="30" customHeight="1" spans="1:3" x14ac:dyDescent="0.25">
      <c r="A62" s="17" t="s">
        <v>431</v>
      </c>
      <c r="B62" s="17"/>
      <c r="C62" s="17"/>
    </row>
    <row r="63" spans="1:3" x14ac:dyDescent="0.25">
      <c r="A63" s="18" t="s">
        <v>432</v>
      </c>
      <c r="B63" s="19">
        <v>2000000000</v>
      </c>
      <c r="C63" s="18" t="s">
        <v>358</v>
      </c>
    </row>
    <row r="64" spans="1:3" x14ac:dyDescent="0.25">
      <c r="A64" s="18" t="s">
        <v>433</v>
      </c>
      <c r="B64" s="27" t="s">
        <v>434</v>
      </c>
      <c r="C64" s="18" t="s">
        <v>435</v>
      </c>
    </row>
    <row r="65" spans="1:3" x14ac:dyDescent="0.25">
      <c r="A65" s="18" t="s">
        <v>436</v>
      </c>
      <c r="B65" s="19">
        <v>150000000</v>
      </c>
      <c r="C65" s="18" t="s">
        <v>358</v>
      </c>
    </row>
    <row r="66" spans="1:3" x14ac:dyDescent="0.25">
      <c r="A66" s="18" t="s">
        <v>437</v>
      </c>
      <c r="B66" s="19">
        <v>200000000</v>
      </c>
      <c r="C66" s="18" t="s">
        <v>358</v>
      </c>
    </row>
    <row r="67" spans="1:3" x14ac:dyDescent="0.25">
      <c r="A67" s="18" t="s">
        <v>438</v>
      </c>
      <c r="B67" s="31">
        <f>IF(B64="YA",Parameter!$C$7,Parameter!$C$8)</f>
        <v>0.15</v>
      </c>
      <c r="C67" s="18" t="s">
        <v>439</v>
      </c>
    </row>
    <row r="68" spans="1:3" x14ac:dyDescent="0.25">
      <c r="A68" s="24" t="s">
        <v>440</v>
      </c>
      <c r="B68" s="25">
        <f>B63*B67</f>
        <v>300000000</v>
      </c>
      <c r="C68" s="18" t="s">
        <v>441</v>
      </c>
    </row>
    <row r="69" spans="1:3" x14ac:dyDescent="0.25">
      <c r="A69" s="18" t="s">
        <v>442</v>
      </c>
      <c r="B69" s="26">
        <f>MAX(0,B68-B65)</f>
        <v>150000000</v>
      </c>
      <c r="C69" s="18" t="s">
        <v>443</v>
      </c>
    </row>
    <row r="70" spans="1:3" x14ac:dyDescent="0.25">
      <c r="A70" s="18" t="s">
        <v>444</v>
      </c>
      <c r="B70" s="26">
        <f>B65+B66</f>
        <v>350000000</v>
      </c>
      <c r="C70" s="18" t="s">
        <v>3</v>
      </c>
    </row>
    <row r="71" spans="1:3" x14ac:dyDescent="0.25">
      <c r="A71" s="24" t="s">
        <v>445</v>
      </c>
      <c r="B71" s="24" t="str">
        <f>IF(B64="YA",IF(B70&gt;B68,"DITOLAK (Pasal 44)","OK"),IF(AND(B63&gt;0,B70&gt;B68),"PERINGATAN — perlu konfirmasi (Pasal 45)","OK"))</f>
        <v>PERINGATAN — perlu konfirmasi (Pasal 45)</v>
      </c>
      <c r="C71" s="18" t="s">
        <v>446</v>
      </c>
    </row>
    <row r="73" ht="30" customHeight="1" spans="1:3" x14ac:dyDescent="0.25">
      <c r="A73" s="17" t="s">
        <v>447</v>
      </c>
      <c r="B73" s="17"/>
      <c r="C73" s="17"/>
    </row>
    <row r="74" spans="1:3" x14ac:dyDescent="0.25">
      <c r="A74" s="18" t="s">
        <v>448</v>
      </c>
      <c r="B74" s="19">
        <v>4000000</v>
      </c>
      <c r="C74" s="18" t="s">
        <v>358</v>
      </c>
    </row>
    <row r="75" spans="1:3" x14ac:dyDescent="0.25">
      <c r="A75" s="18" t="s">
        <v>449</v>
      </c>
      <c r="B75" s="27" t="s">
        <v>450</v>
      </c>
      <c r="C75" s="18" t="s">
        <v>358</v>
      </c>
    </row>
    <row r="76" spans="1:3" x14ac:dyDescent="0.25">
      <c r="A76" s="18" t="s">
        <v>451</v>
      </c>
      <c r="B76" s="19">
        <v>1500000</v>
      </c>
      <c r="C76" s="18" t="s">
        <v>358</v>
      </c>
    </row>
    <row r="77" spans="1:3" x14ac:dyDescent="0.25">
      <c r="A77" s="18" t="s">
        <v>452</v>
      </c>
      <c r="B77" s="19">
        <v>500000</v>
      </c>
      <c r="C77" s="18" t="s">
        <v>358</v>
      </c>
    </row>
    <row r="78" spans="1:3" x14ac:dyDescent="0.25">
      <c r="A78" s="18" t="s">
        <v>453</v>
      </c>
      <c r="B78" s="22">
        <f>Parameter!$C$10</f>
        <v>0.5</v>
      </c>
      <c r="C78" s="18" t="s">
        <v>454</v>
      </c>
    </row>
    <row r="79" spans="1:3" x14ac:dyDescent="0.25">
      <c r="A79" s="24" t="s">
        <v>455</v>
      </c>
      <c r="B79" s="25">
        <f>B74*B78</f>
        <v>2000000</v>
      </c>
      <c r="C79" s="18" t="s">
        <v>456</v>
      </c>
    </row>
    <row r="80" spans="1:3" x14ac:dyDescent="0.25">
      <c r="A80" s="18" t="s">
        <v>457</v>
      </c>
      <c r="B80" s="26">
        <f>B76-B77</f>
        <v>1000000</v>
      </c>
      <c r="C80" s="18" t="s">
        <v>458</v>
      </c>
    </row>
    <row r="81" spans="1:3" x14ac:dyDescent="0.25">
      <c r="A81" s="24" t="s">
        <v>459</v>
      </c>
      <c r="B81" s="25">
        <f>B79-B80</f>
        <v>1000000</v>
      </c>
      <c r="C81" s="18" t="s">
        <v>460</v>
      </c>
    </row>
    <row r="82" spans="1:3" x14ac:dyDescent="0.25">
      <c r="A82" s="18" t="s">
        <v>461</v>
      </c>
      <c r="B82" s="18" t="str">
        <f>IF(AND(B75="YA",B79&gt;0),"YA","TIDAK")</f>
        <v>YA</v>
      </c>
      <c r="C82" s="18" t="s">
        <v>3</v>
      </c>
    </row>
    <row r="84" ht="30" customHeight="1" spans="1:3" x14ac:dyDescent="0.25">
      <c r="A84" s="17" t="s">
        <v>462</v>
      </c>
      <c r="B84" s="17"/>
      <c r="C84" s="17"/>
    </row>
    <row r="85" spans="1:3" x14ac:dyDescent="0.25">
      <c r="A85" s="18" t="s">
        <v>138</v>
      </c>
      <c r="B85" s="21">
        <v>95</v>
      </c>
      <c r="C85" s="18" t="s">
        <v>463</v>
      </c>
    </row>
    <row r="86" spans="1:3" x14ac:dyDescent="0.25">
      <c r="A86" s="24" t="s">
        <v>464</v>
      </c>
      <c r="B86" s="24" t="str">
        <f>IF(B85&lt;=Parameter!$C$14,"LANCAR",IF(B85&lt;=Parameter!$C$15,"DALAM PERHATIAN",IF(B85&lt;=Parameter!$C$16,"KURANG LANCAR",IF(B85&lt;=Parameter!$C$17,"DIRAGUKAN","MACET"))))</f>
        <v>KURANG LANCAR</v>
      </c>
      <c r="C86" s="18" t="s">
        <v>465</v>
      </c>
    </row>
    <row r="88" ht="30" customHeight="1" spans="1:3" x14ac:dyDescent="0.25">
      <c r="A88" s="17" t="s">
        <v>466</v>
      </c>
      <c r="B88" s="17"/>
      <c r="C88" s="17"/>
    </row>
    <row r="89" spans="1:3" x14ac:dyDescent="0.25">
      <c r="A89" s="18" t="s">
        <v>467</v>
      </c>
      <c r="B89" s="19">
        <v>800000000</v>
      </c>
      <c r="C89" s="18" t="s">
        <v>358</v>
      </c>
    </row>
    <row r="90" spans="1:3" x14ac:dyDescent="0.25">
      <c r="A90" s="18" t="s">
        <v>468</v>
      </c>
      <c r="B90" s="19">
        <v>60000000</v>
      </c>
      <c r="C90" s="18" t="s">
        <v>358</v>
      </c>
    </row>
    <row r="91" spans="1:3" x14ac:dyDescent="0.25">
      <c r="A91" s="18" t="s">
        <v>469</v>
      </c>
      <c r="B91" s="19">
        <v>20000000</v>
      </c>
      <c r="C91" s="18" t="s">
        <v>358</v>
      </c>
    </row>
    <row r="92" spans="1:3" x14ac:dyDescent="0.25">
      <c r="A92" s="18" t="s">
        <v>470</v>
      </c>
      <c r="B92" s="19">
        <v>10000000</v>
      </c>
      <c r="C92" s="18" t="s">
        <v>358</v>
      </c>
    </row>
    <row r="93" spans="1:3" x14ac:dyDescent="0.25">
      <c r="A93" s="18" t="s">
        <v>471</v>
      </c>
      <c r="B93" s="19">
        <v>10000000</v>
      </c>
      <c r="C93" s="18" t="s">
        <v>358</v>
      </c>
    </row>
    <row r="94" spans="1:3" x14ac:dyDescent="0.25">
      <c r="A94" s="18" t="s">
        <v>472</v>
      </c>
      <c r="B94" s="19">
        <v>1200000000</v>
      </c>
      <c r="C94" s="18" t="s">
        <v>358</v>
      </c>
    </row>
    <row r="95" spans="1:3" x14ac:dyDescent="0.25">
      <c r="A95" s="18" t="s">
        <v>259</v>
      </c>
      <c r="B95" s="26">
        <f>SUM(B89,B90,B91,B92,B93)</f>
        <v>900000000</v>
      </c>
      <c r="C95" s="18" t="s">
        <v>473</v>
      </c>
    </row>
    <row r="96" spans="1:3" x14ac:dyDescent="0.25">
      <c r="A96" s="24" t="s">
        <v>264</v>
      </c>
      <c r="B96" s="32">
        <f>IF(B95=0,"-",(B91+B92+B93)/B95)</f>
        <v>0.044444444444</v>
      </c>
      <c r="C96" s="18" t="s">
        <v>474</v>
      </c>
    </row>
    <row r="97" spans="1:3" x14ac:dyDescent="0.25">
      <c r="A97" s="24" t="s">
        <v>268</v>
      </c>
      <c r="B97" s="32">
        <f>IF(B94=0,"-",B95/B94)</f>
        <v>0.75</v>
      </c>
      <c r="C97" s="18" t="s">
        <v>475</v>
      </c>
    </row>
    <row r="99" ht="30" customHeight="1" spans="1:3" x14ac:dyDescent="0.25">
      <c r="A99" s="17" t="s">
        <v>476</v>
      </c>
      <c r="B99" s="17"/>
      <c r="C99" s="17"/>
    </row>
    <row r="100" spans="1:3" x14ac:dyDescent="0.25">
      <c r="A100" s="18" t="s">
        <v>477</v>
      </c>
      <c r="B100" s="19">
        <v>300000000</v>
      </c>
      <c r="C100" s="18" t="s">
        <v>478</v>
      </c>
    </row>
    <row r="101" spans="1:3" x14ac:dyDescent="0.25">
      <c r="A101" s="18" t="s">
        <v>479</v>
      </c>
      <c r="B101" s="19">
        <v>900000000</v>
      </c>
      <c r="C101" s="18" t="s">
        <v>478</v>
      </c>
    </row>
    <row r="102" spans="1:3" x14ac:dyDescent="0.25">
      <c r="A102" s="18" t="s">
        <v>480</v>
      </c>
      <c r="B102" s="19">
        <v>0</v>
      </c>
      <c r="C102" s="18" t="s">
        <v>478</v>
      </c>
    </row>
    <row r="103" spans="1:3" x14ac:dyDescent="0.25">
      <c r="A103" s="18" t="s">
        <v>481</v>
      </c>
      <c r="B103" s="19">
        <v>400000000</v>
      </c>
      <c r="C103" s="18" t="s">
        <v>478</v>
      </c>
    </row>
    <row r="104" spans="1:3" x14ac:dyDescent="0.25">
      <c r="A104" s="18" t="s">
        <v>482</v>
      </c>
      <c r="B104" s="19">
        <v>100000000</v>
      </c>
      <c r="C104" s="18" t="s">
        <v>478</v>
      </c>
    </row>
    <row r="105" spans="1:3" x14ac:dyDescent="0.25">
      <c r="A105" s="18" t="s">
        <v>483</v>
      </c>
      <c r="B105" s="19">
        <v>50000000</v>
      </c>
      <c r="C105" s="18" t="s">
        <v>478</v>
      </c>
    </row>
    <row r="106" spans="1:3" x14ac:dyDescent="0.25">
      <c r="A106" s="18" t="s">
        <v>484</v>
      </c>
      <c r="B106" s="19">
        <v>250000000</v>
      </c>
      <c r="C106" s="18" t="s">
        <v>485</v>
      </c>
    </row>
    <row r="107" spans="1:3" x14ac:dyDescent="0.25">
      <c r="A107" s="18" t="s">
        <v>486</v>
      </c>
      <c r="B107" s="19">
        <v>120000000</v>
      </c>
      <c r="C107" s="18" t="s">
        <v>485</v>
      </c>
    </row>
    <row r="108" spans="1:3" x14ac:dyDescent="0.25">
      <c r="A108" s="18" t="s">
        <v>487</v>
      </c>
      <c r="B108" s="19">
        <v>0</v>
      </c>
      <c r="C108" s="18" t="s">
        <v>488</v>
      </c>
    </row>
    <row r="109" spans="1:3" x14ac:dyDescent="0.25">
      <c r="A109" s="18" t="s">
        <v>489</v>
      </c>
      <c r="B109" s="19">
        <v>6000000000</v>
      </c>
      <c r="C109" s="18" t="s">
        <v>358</v>
      </c>
    </row>
    <row r="110" spans="1:3" x14ac:dyDescent="0.25">
      <c r="A110" s="18" t="s">
        <v>490</v>
      </c>
      <c r="B110" s="19">
        <v>1600000000</v>
      </c>
      <c r="C110" s="18" t="s">
        <v>358</v>
      </c>
    </row>
    <row r="111" spans="1:3" x14ac:dyDescent="0.25">
      <c r="A111" s="18" t="s">
        <v>491</v>
      </c>
      <c r="B111" s="27" t="s">
        <v>450</v>
      </c>
      <c r="C111" s="18" t="s">
        <v>358</v>
      </c>
    </row>
    <row r="112" spans="1:3" x14ac:dyDescent="0.25">
      <c r="A112" s="24" t="s">
        <v>223</v>
      </c>
      <c r="B112" s="25">
        <f>SUM(B100,B101,B102,B103,B104,B105)+B108</f>
        <v>1750000000</v>
      </c>
      <c r="C112" s="18" t="s">
        <v>492</v>
      </c>
    </row>
    <row r="113" spans="1:3" x14ac:dyDescent="0.25">
      <c r="A113" s="18" t="s">
        <v>231</v>
      </c>
      <c r="B113" s="31">
        <f>IF(B109=0,"-",B112/B109)</f>
        <v>0.29166666667</v>
      </c>
      <c r="C113" s="18" t="s">
        <v>3</v>
      </c>
    </row>
    <row r="114" spans="1:3" x14ac:dyDescent="0.25">
      <c r="A114" s="18" t="s">
        <v>493</v>
      </c>
      <c r="B114" s="31">
        <f>B112/Parameter!$C$9</f>
        <v>0.35</v>
      </c>
      <c r="C114" s="18" t="s">
        <v>494</v>
      </c>
    </row>
    <row r="115" spans="1:3" x14ac:dyDescent="0.25">
      <c r="A115" s="24" t="s">
        <v>495</v>
      </c>
      <c r="B115" s="24" t="str">
        <f>IF(B111&lt;&gt;"YA","Tidak berlaku (tanpa unit KSP)",IF(B110&gt;=Parameter!$C$9,"WAJIB AUDIT — tahun buku lalu",IF(B112&gt;=Parameter!$C$9,"MENDEKATI — tahun buku berjalan","Belum mencapai ambang")))</f>
        <v>Belum mencapai ambang</v>
      </c>
      <c r="C115" s="18" t="s">
        <v>496</v>
      </c>
    </row>
    <row r="116" spans="1:3" x14ac:dyDescent="0.25">
      <c r="A116" s="18" t="s">
        <v>497</v>
      </c>
      <c r="B116" s="26">
        <f>B112*Parameter!$C$13</f>
        <v>350000000</v>
      </c>
      <c r="C116" s="18" t="s">
        <v>498</v>
      </c>
    </row>
    <row r="118" ht="30" customHeight="1" spans="1:3" x14ac:dyDescent="0.25">
      <c r="A118" s="17" t="s">
        <v>499</v>
      </c>
      <c r="B118" s="17"/>
      <c r="C118" s="17"/>
    </row>
    <row r="119" spans="1:3" x14ac:dyDescent="0.25">
      <c r="A119" s="18" t="s">
        <v>500</v>
      </c>
      <c r="B119" s="21">
        <v>6200</v>
      </c>
      <c r="C119" s="18" t="s">
        <v>358</v>
      </c>
    </row>
    <row r="120" spans="1:3" x14ac:dyDescent="0.25">
      <c r="A120" s="18" t="s">
        <v>223</v>
      </c>
      <c r="B120" s="19">
        <v>1870000000</v>
      </c>
      <c r="C120" s="18" t="s">
        <v>358</v>
      </c>
    </row>
    <row r="121" spans="1:3" x14ac:dyDescent="0.25">
      <c r="A121" s="18" t="s">
        <v>501</v>
      </c>
      <c r="B121" s="19">
        <v>6000000000</v>
      </c>
      <c r="C121" s="18" t="s">
        <v>358</v>
      </c>
    </row>
    <row r="122" spans="1:3" x14ac:dyDescent="0.25">
      <c r="A122" s="24" t="s">
        <v>502</v>
      </c>
      <c r="B122" s="24" t="str">
        <f>IF(AND(B119&lt;=Parameter!$B$26,B120&lt;=Parameter!$C$26,B121&lt;=Parameter!$E$26),"KSP I",IF(AND(B119&lt;=Parameter!$B$27,B120&lt;=Parameter!$C$27,B121&lt;=Parameter!$E$27),"KSP II",IF(AND(B119&lt;=Parameter!$B$28,B120&lt;=Parameter!$C$28,B121&lt;=Parameter!$E$28),"KSP III","KSP IV")))</f>
        <v>KSP II</v>
      </c>
      <c r="C122" s="18" t="s">
        <v>503</v>
      </c>
    </row>
    <row r="124" ht="30" customHeight="1" spans="1:3" x14ac:dyDescent="0.25">
      <c r="A124" s="17" t="s">
        <v>504</v>
      </c>
      <c r="B124" s="17"/>
      <c r="C124" s="17"/>
    </row>
    <row r="125" spans="1:3" x14ac:dyDescent="0.25">
      <c r="A125" s="18" t="s">
        <v>505</v>
      </c>
      <c r="B125" s="19">
        <v>900000000</v>
      </c>
      <c r="C125" s="18" t="s">
        <v>358</v>
      </c>
    </row>
    <row r="126" spans="1:3" x14ac:dyDescent="0.25">
      <c r="A126" s="18" t="s">
        <v>506</v>
      </c>
      <c r="B126" s="19">
        <v>650000000</v>
      </c>
      <c r="C126" s="18" t="s">
        <v>358</v>
      </c>
    </row>
    <row r="127" spans="1:3" x14ac:dyDescent="0.25">
      <c r="A127" s="18" t="s">
        <v>507</v>
      </c>
      <c r="B127" s="20">
        <v>0.4</v>
      </c>
      <c r="C127" s="18" t="s">
        <v>508</v>
      </c>
    </row>
    <row r="128" spans="1:3" x14ac:dyDescent="0.25">
      <c r="A128" s="18" t="s">
        <v>509</v>
      </c>
      <c r="B128" s="20">
        <v>0.25</v>
      </c>
      <c r="C128" s="18" t="s">
        <v>508</v>
      </c>
    </row>
    <row r="129" spans="1:3" x14ac:dyDescent="0.25">
      <c r="A129" s="18" t="s">
        <v>510</v>
      </c>
      <c r="B129" s="20">
        <v>0.2</v>
      </c>
      <c r="C129" s="18" t="s">
        <v>508</v>
      </c>
    </row>
    <row r="130" spans="1:3" x14ac:dyDescent="0.25">
      <c r="A130" s="18" t="s">
        <v>511</v>
      </c>
      <c r="B130" s="20">
        <v>0.15</v>
      </c>
      <c r="C130" s="18" t="s">
        <v>508</v>
      </c>
    </row>
    <row r="131" spans="1:3" x14ac:dyDescent="0.25">
      <c r="A131" s="24" t="s">
        <v>277</v>
      </c>
      <c r="B131" s="25">
        <f>ROUND(B125-B126,2)</f>
        <v>250000000</v>
      </c>
      <c r="C131" s="18" t="s">
        <v>512</v>
      </c>
    </row>
    <row r="132" spans="1:3" x14ac:dyDescent="0.25">
      <c r="A132" s="18" t="s">
        <v>513</v>
      </c>
      <c r="B132" s="31">
        <f>B127+B128+B129+B130</f>
        <v>1</v>
      </c>
      <c r="C132" s="18" t="s">
        <v>514</v>
      </c>
    </row>
    <row r="133" spans="1:3" x14ac:dyDescent="0.25">
      <c r="A133" s="18" t="s">
        <v>515</v>
      </c>
      <c r="B133" s="26">
        <f>IF(B131&gt;0,ROUND(B131*B127,2),0)</f>
        <v>100000000</v>
      </c>
      <c r="C133" s="18" t="s">
        <v>516</v>
      </c>
    </row>
    <row r="134" spans="1:3" x14ac:dyDescent="0.25">
      <c r="A134" s="18" t="s">
        <v>517</v>
      </c>
      <c r="B134" s="26">
        <f>IF(B131&gt;0,ROUND(B131*B128,2),0)</f>
        <v>62500000</v>
      </c>
      <c r="C134" s="18" t="s">
        <v>3</v>
      </c>
    </row>
    <row r="135" spans="1:3" x14ac:dyDescent="0.25">
      <c r="A135" s="18" t="s">
        <v>518</v>
      </c>
      <c r="B135" s="26">
        <f>ROUND(B131*B129,2)</f>
        <v>50000000</v>
      </c>
      <c r="C135" s="18" t="s">
        <v>3</v>
      </c>
    </row>
    <row r="136" spans="1:3" x14ac:dyDescent="0.25">
      <c r="A136" s="18" t="s">
        <v>519</v>
      </c>
      <c r="B136" s="26">
        <f>ROUND(B131*B130,2)</f>
        <v>37500000</v>
      </c>
      <c r="C136" s="18" t="s">
        <v>3</v>
      </c>
    </row>
    <row r="138" spans="1:1" x14ac:dyDescent="0.25">
      <c r="A138" s="5" t="s">
        <v>520</v>
      </c>
    </row>
    <row r="139" ht="30" customHeight="1" spans="1:11" x14ac:dyDescent="0.25">
      <c r="A139" s="9" t="s">
        <v>322</v>
      </c>
      <c r="B139" s="9" t="s">
        <v>521</v>
      </c>
      <c r="C139" s="9" t="s">
        <v>522</v>
      </c>
      <c r="D139" s="9" t="s">
        <v>523</v>
      </c>
      <c r="E139" s="9" t="s">
        <v>524</v>
      </c>
      <c r="F139" s="9" t="s">
        <v>525</v>
      </c>
      <c r="G139" s="9" t="s">
        <v>526</v>
      </c>
      <c r="H139" s="9" t="s">
        <v>527</v>
      </c>
      <c r="I139" s="9" t="s">
        <v>528</v>
      </c>
      <c r="J139" s="9" t="s">
        <v>529</v>
      </c>
      <c r="K139" s="9" t="s">
        <v>530</v>
      </c>
    </row>
    <row r="140" spans="1:11" x14ac:dyDescent="0.25">
      <c r="A140" s="33" t="s">
        <v>531</v>
      </c>
      <c r="B140" s="34">
        <v>10000000</v>
      </c>
      <c r="C140" s="34">
        <v>14000000</v>
      </c>
      <c r="D140" s="34">
        <v>2000000</v>
      </c>
      <c r="E140" s="34">
        <v>1200000</v>
      </c>
      <c r="F140" s="35">
        <f>ROUND((B140+C140)/2,2)</f>
        <v>12000000</v>
      </c>
      <c r="G140" s="35">
        <f>IF(SUM($F$140:$F$142)&gt;0,ROUND(F140/SUM($F$140:$F$142)*B133,2),0)</f>
        <v>30000000</v>
      </c>
      <c r="H140" s="35">
        <f>IF(F140&gt;0,ROUND(D140/F140*G140,2),0)</f>
        <v>5000000</v>
      </c>
      <c r="I140" s="35">
        <f>ROUND(G140-H140,2)</f>
        <v>25000000</v>
      </c>
      <c r="J140" s="35">
        <f>IF(SUM($E$140:$E$142)&gt;0,ROUND(E140/SUM($E$140:$E$142)*B134,2),0)</f>
        <v>17857142.86</v>
      </c>
      <c r="K140" s="35">
        <f>ROUND(G140+J140,2)</f>
        <v>47857142.86</v>
      </c>
    </row>
    <row r="141" spans="1:11" x14ac:dyDescent="0.25">
      <c r="A141" s="33" t="s">
        <v>532</v>
      </c>
      <c r="B141" s="34">
        <v>5000000</v>
      </c>
      <c r="C141" s="34">
        <v>5000000</v>
      </c>
      <c r="D141" s="34">
        <v>0</v>
      </c>
      <c r="E141" s="34">
        <v>0</v>
      </c>
      <c r="F141" s="35">
        <f>ROUND((B141+C141)/2,2)</f>
        <v>5000000</v>
      </c>
      <c r="G141" s="35">
        <f>IF(SUM($F$140:$F$142)&gt;0,ROUND(F141/SUM($F$140:$F$142)*B133,2),0)</f>
        <v>12500000</v>
      </c>
      <c r="H141" s="35">
        <f>IF(F141&gt;0,ROUND(D141/F141*G141,2),0)</f>
        <v>0</v>
      </c>
      <c r="I141" s="35">
        <f>ROUND(G141-H141,2)</f>
        <v>12500000</v>
      </c>
      <c r="J141" s="35">
        <f>IF(SUM($E$140:$E$142)&gt;0,ROUND(E141/SUM($E$140:$E$142)*B134,2),0)</f>
        <v>0</v>
      </c>
      <c r="K141" s="35">
        <f>ROUND(G141+J141,2)</f>
        <v>12500000</v>
      </c>
    </row>
    <row r="142" spans="1:11" x14ac:dyDescent="0.25">
      <c r="A142" s="33" t="s">
        <v>533</v>
      </c>
      <c r="B142" s="34">
        <v>20000000</v>
      </c>
      <c r="C142" s="34">
        <v>26000000</v>
      </c>
      <c r="D142" s="34">
        <v>8000000</v>
      </c>
      <c r="E142" s="34">
        <v>3000000</v>
      </c>
      <c r="F142" s="35">
        <f>ROUND((B142+C142)/2,2)</f>
        <v>23000000</v>
      </c>
      <c r="G142" s="35">
        <f>IF(SUM($F$140:$F$142)&gt;0,ROUND(F142/SUM($F$140:$F$142)*B133,2),0)</f>
        <v>57500000</v>
      </c>
      <c r="H142" s="35">
        <f>IF(F142&gt;0,ROUND(D142/F142*G142,2),0)</f>
        <v>20000000</v>
      </c>
      <c r="I142" s="35">
        <f>ROUND(G142-H142,2)</f>
        <v>37500000</v>
      </c>
      <c r="J142" s="35">
        <f>IF(SUM($E$140:$E$142)&gt;0,ROUND(E142/SUM($E$140:$E$142)*B134,2),0)</f>
        <v>44642857.14</v>
      </c>
      <c r="K142" s="35">
        <f>ROUND(G142+J142,2)</f>
        <v>102142857.14</v>
      </c>
    </row>
    <row r="143" spans="1:11" x14ac:dyDescent="0.25">
      <c r="A143" s="36" t="s">
        <v>534</v>
      </c>
      <c r="F143" s="37">
        <f>SUM(F140:F142)</f>
        <v>40000000</v>
      </c>
      <c r="G143" s="37">
        <f>SUM(G140:G142)</f>
        <v>100000000</v>
      </c>
      <c r="J143" s="37">
        <f>SUM(J140:J142)</f>
        <v>62500000</v>
      </c>
      <c r="K143" s="37">
        <f>SUM(K140:K142)</f>
        <v>162500000</v>
      </c>
    </row>
    <row r="144" ht="30" customHeight="1" spans="1:11" x14ac:dyDescent="0.25">
      <c r="A144" s="4" t="s">
        <v>535</v>
      </c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6" ht="30" customHeight="1" spans="1:3" x14ac:dyDescent="0.25">
      <c r="A146" s="17" t="s">
        <v>536</v>
      </c>
      <c r="B146" s="17"/>
      <c r="C146" s="17"/>
    </row>
    <row r="147" spans="1:3" x14ac:dyDescent="0.25">
      <c r="A147" s="18" t="s">
        <v>537</v>
      </c>
      <c r="B147" s="19">
        <v>2450000</v>
      </c>
      <c r="C147" s="18" t="s">
        <v>538</v>
      </c>
    </row>
    <row r="148" spans="1:3" x14ac:dyDescent="0.25">
      <c r="A148" s="18" t="s">
        <v>539</v>
      </c>
      <c r="B148" s="19">
        <v>2400000</v>
      </c>
      <c r="C148" s="18" t="s">
        <v>358</v>
      </c>
    </row>
    <row r="149" spans="1:3" x14ac:dyDescent="0.25">
      <c r="A149" s="24" t="s">
        <v>540</v>
      </c>
      <c r="B149" s="25">
        <f>B148-B147</f>
        <v>-50000</v>
      </c>
      <c r="C149" s="18" t="s">
        <v>541</v>
      </c>
    </row>
    <row r="150" spans="1:3" x14ac:dyDescent="0.25">
      <c r="A150" s="18" t="s">
        <v>542</v>
      </c>
      <c r="B150" s="26">
        <f>MAX(0,B147-B148)</f>
        <v>50000</v>
      </c>
      <c r="C150" s="18" t="s">
        <v>3</v>
      </c>
    </row>
    <row r="151" spans="1:3" x14ac:dyDescent="0.25">
      <c r="A151" s="18" t="s">
        <v>543</v>
      </c>
      <c r="B151" s="26">
        <f>MAX(0,B148-B147)</f>
        <v>0</v>
      </c>
      <c r="C151" s="18" t="s">
        <v>3</v>
      </c>
    </row>
  </sheetData>
  <mergeCells count="14">
    <mergeCell ref="A5:C5"/>
    <mergeCell ref="A16:C16"/>
    <mergeCell ref="A24:C24"/>
    <mergeCell ref="A41:C41"/>
    <mergeCell ref="A53:C53"/>
    <mergeCell ref="A62:C62"/>
    <mergeCell ref="A73:C73"/>
    <mergeCell ref="A84:C84"/>
    <mergeCell ref="A88:C88"/>
    <mergeCell ref="A99:C99"/>
    <mergeCell ref="A118:C118"/>
    <mergeCell ref="A124:C124"/>
    <mergeCell ref="A144:K144"/>
    <mergeCell ref="A146:C14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8" customWidth="1"/>
    <col min="3" max="3" width="20" customWidth="1"/>
    <col min="4" max="4" width="14" customWidth="1"/>
    <col min="5" max="5" width="46" customWidth="1"/>
    <col min="6" max="6" width="44" customWidth="1"/>
  </cols>
  <sheetData>
    <row r="1" spans="1:1" x14ac:dyDescent="0.25">
      <c r="A1" s="1" t="s">
        <v>544</v>
      </c>
    </row>
    <row r="2" spans="1:1" x14ac:dyDescent="0.25">
      <c r="A2" s="2" t="s">
        <v>545</v>
      </c>
    </row>
    <row r="4" ht="30" customHeight="1" spans="1:6" x14ac:dyDescent="0.25">
      <c r="A4" s="9" t="s">
        <v>546</v>
      </c>
      <c r="B4" s="9" t="s">
        <v>8</v>
      </c>
      <c r="C4" s="9" t="s">
        <v>547</v>
      </c>
      <c r="D4" s="9" t="s">
        <v>548</v>
      </c>
      <c r="E4" s="9" t="s">
        <v>549</v>
      </c>
      <c r="F4" s="9" t="s">
        <v>34</v>
      </c>
    </row>
    <row r="5" spans="1:6" x14ac:dyDescent="0.25">
      <c r="A5" s="18" t="s">
        <v>550</v>
      </c>
      <c r="B5" s="18" t="s">
        <v>551</v>
      </c>
      <c r="C5" s="38">
        <v>0.24</v>
      </c>
      <c r="D5" s="18" t="s">
        <v>552</v>
      </c>
      <c r="E5" s="18" t="s">
        <v>553</v>
      </c>
      <c r="F5" s="18" t="s">
        <v>554</v>
      </c>
    </row>
    <row r="6" spans="1:6" x14ac:dyDescent="0.25">
      <c r="A6" s="18" t="s">
        <v>555</v>
      </c>
      <c r="B6" s="18" t="s">
        <v>556</v>
      </c>
      <c r="C6" s="38">
        <v>0.09</v>
      </c>
      <c r="D6" s="18" t="s">
        <v>552</v>
      </c>
      <c r="E6" s="18" t="s">
        <v>44</v>
      </c>
      <c r="F6" s="18" t="s">
        <v>554</v>
      </c>
    </row>
    <row r="7" spans="1:6" x14ac:dyDescent="0.25">
      <c r="A7" s="18" t="s">
        <v>557</v>
      </c>
      <c r="B7" s="18" t="s">
        <v>558</v>
      </c>
      <c r="C7" s="38">
        <v>0.1</v>
      </c>
      <c r="D7" s="18" t="s">
        <v>559</v>
      </c>
      <c r="E7" s="18" t="s">
        <v>560</v>
      </c>
      <c r="F7" s="18" t="s">
        <v>561</v>
      </c>
    </row>
    <row r="8" spans="1:6" x14ac:dyDescent="0.25">
      <c r="A8" s="18" t="s">
        <v>562</v>
      </c>
      <c r="B8" s="18" t="s">
        <v>563</v>
      </c>
      <c r="C8" s="38">
        <v>0.15</v>
      </c>
      <c r="D8" s="18" t="s">
        <v>559</v>
      </c>
      <c r="E8" s="18" t="s">
        <v>564</v>
      </c>
      <c r="F8" s="18" t="s">
        <v>565</v>
      </c>
    </row>
    <row r="9" spans="1:6" x14ac:dyDescent="0.25">
      <c r="A9" s="18" t="s">
        <v>566</v>
      </c>
      <c r="B9" s="18" t="s">
        <v>567</v>
      </c>
      <c r="C9" s="39">
        <v>5000000000</v>
      </c>
      <c r="D9" s="18" t="s">
        <v>568</v>
      </c>
      <c r="E9" s="18" t="s">
        <v>569</v>
      </c>
      <c r="F9" s="18" t="s">
        <v>570</v>
      </c>
    </row>
    <row r="10" spans="1:6" x14ac:dyDescent="0.25">
      <c r="A10" s="18" t="s">
        <v>571</v>
      </c>
      <c r="B10" s="18" t="s">
        <v>572</v>
      </c>
      <c r="C10" s="38">
        <v>0.5</v>
      </c>
      <c r="D10" s="18" t="s">
        <v>573</v>
      </c>
      <c r="E10" s="18" t="s">
        <v>574</v>
      </c>
      <c r="F10" s="18" t="s">
        <v>575</v>
      </c>
    </row>
    <row r="11" spans="1:6" x14ac:dyDescent="0.25">
      <c r="A11" s="18" t="s">
        <v>576</v>
      </c>
      <c r="B11" s="18" t="s">
        <v>577</v>
      </c>
      <c r="C11" s="40">
        <v>360</v>
      </c>
      <c r="D11" s="18" t="s">
        <v>578</v>
      </c>
      <c r="E11" s="18" t="s">
        <v>579</v>
      </c>
      <c r="F11" s="18" t="s">
        <v>580</v>
      </c>
    </row>
    <row r="12" spans="1:6" x14ac:dyDescent="0.25">
      <c r="A12" s="18" t="s">
        <v>581</v>
      </c>
      <c r="B12" s="18" t="s">
        <v>582</v>
      </c>
      <c r="C12" s="39">
        <v>500</v>
      </c>
      <c r="D12" s="18" t="s">
        <v>568</v>
      </c>
      <c r="E12" s="18" t="s">
        <v>583</v>
      </c>
      <c r="F12" s="18" t="s">
        <v>584</v>
      </c>
    </row>
    <row r="13" spans="1:6" x14ac:dyDescent="0.25">
      <c r="A13" s="18" t="s">
        <v>585</v>
      </c>
      <c r="B13" s="18" t="s">
        <v>586</v>
      </c>
      <c r="C13" s="38">
        <v>0.2</v>
      </c>
      <c r="D13" s="18" t="s">
        <v>559</v>
      </c>
      <c r="E13" s="18" t="s">
        <v>587</v>
      </c>
      <c r="F13" s="18" t="s">
        <v>588</v>
      </c>
    </row>
    <row r="14" spans="1:6" x14ac:dyDescent="0.25">
      <c r="A14" s="18" t="s">
        <v>589</v>
      </c>
      <c r="B14" s="18" t="s">
        <v>590</v>
      </c>
      <c r="C14" s="40">
        <v>30</v>
      </c>
      <c r="D14" s="18" t="s">
        <v>578</v>
      </c>
      <c r="E14" s="18" t="s">
        <v>591</v>
      </c>
      <c r="F14" s="18" t="s">
        <v>148</v>
      </c>
    </row>
    <row r="15" spans="1:6" x14ac:dyDescent="0.25">
      <c r="A15" s="18" t="s">
        <v>592</v>
      </c>
      <c r="B15" s="18" t="s">
        <v>593</v>
      </c>
      <c r="C15" s="40">
        <v>90</v>
      </c>
      <c r="D15" s="18" t="s">
        <v>578</v>
      </c>
      <c r="E15" s="18" t="s">
        <v>3</v>
      </c>
      <c r="F15" s="18" t="s">
        <v>594</v>
      </c>
    </row>
    <row r="16" spans="1:6" x14ac:dyDescent="0.25">
      <c r="A16" s="18" t="s">
        <v>595</v>
      </c>
      <c r="B16" s="18" t="s">
        <v>596</v>
      </c>
      <c r="C16" s="40">
        <v>120</v>
      </c>
      <c r="D16" s="18" t="s">
        <v>578</v>
      </c>
      <c r="E16" s="18" t="s">
        <v>3</v>
      </c>
      <c r="F16" s="18" t="s">
        <v>594</v>
      </c>
    </row>
    <row r="17" spans="1:6" x14ac:dyDescent="0.25">
      <c r="A17" s="18" t="s">
        <v>597</v>
      </c>
      <c r="B17" s="18" t="s">
        <v>598</v>
      </c>
      <c r="C17" s="40">
        <v>180</v>
      </c>
      <c r="D17" s="18" t="s">
        <v>578</v>
      </c>
      <c r="E17" s="18" t="s">
        <v>3</v>
      </c>
      <c r="F17" s="18" t="s">
        <v>594</v>
      </c>
    </row>
    <row r="18" spans="1:6" x14ac:dyDescent="0.25">
      <c r="A18" s="18" t="s">
        <v>599</v>
      </c>
      <c r="B18" s="18" t="s">
        <v>600</v>
      </c>
      <c r="C18" s="40">
        <v>90</v>
      </c>
      <c r="D18" s="18" t="s">
        <v>578</v>
      </c>
      <c r="E18" s="18" t="s">
        <v>601</v>
      </c>
      <c r="F18" s="18" t="s">
        <v>602</v>
      </c>
    </row>
    <row r="19" spans="1:6" x14ac:dyDescent="0.25">
      <c r="A19" s="18" t="s">
        <v>603</v>
      </c>
      <c r="B19" s="18" t="s">
        <v>604</v>
      </c>
      <c r="C19" s="40">
        <v>366</v>
      </c>
      <c r="D19" s="18" t="s">
        <v>578</v>
      </c>
      <c r="E19" s="18" t="s">
        <v>3</v>
      </c>
      <c r="F19" s="18" t="s">
        <v>605</v>
      </c>
    </row>
    <row r="20" spans="1:6" x14ac:dyDescent="0.25">
      <c r="A20" s="18" t="s">
        <v>606</v>
      </c>
      <c r="B20" s="18" t="s">
        <v>607</v>
      </c>
      <c r="C20" s="40">
        <v>5</v>
      </c>
      <c r="D20" s="18" t="s">
        <v>608</v>
      </c>
      <c r="E20" s="18" t="s">
        <v>609</v>
      </c>
      <c r="F20" s="18" t="s">
        <v>610</v>
      </c>
    </row>
    <row r="21" spans="1:6" x14ac:dyDescent="0.25">
      <c r="A21" s="18" t="s">
        <v>611</v>
      </c>
      <c r="B21" s="18" t="s">
        <v>612</v>
      </c>
      <c r="C21" s="40">
        <v>7</v>
      </c>
      <c r="D21" s="18" t="s">
        <v>613</v>
      </c>
      <c r="E21" s="18" t="s">
        <v>614</v>
      </c>
      <c r="F21" s="18" t="s">
        <v>337</v>
      </c>
    </row>
    <row r="24" spans="1:1" x14ac:dyDescent="0.25">
      <c r="A24" s="41" t="s">
        <v>615</v>
      </c>
    </row>
    <row r="25" ht="30" customHeight="1" spans="1:6" x14ac:dyDescent="0.25">
      <c r="A25" s="9" t="s">
        <v>616</v>
      </c>
      <c r="B25" s="9" t="s">
        <v>617</v>
      </c>
      <c r="C25" s="9" t="s">
        <v>618</v>
      </c>
      <c r="D25" s="9" t="s">
        <v>3</v>
      </c>
      <c r="E25" s="9" t="s">
        <v>619</v>
      </c>
      <c r="F25" s="9" t="s">
        <v>3</v>
      </c>
    </row>
    <row r="26" spans="1:6" x14ac:dyDescent="0.25">
      <c r="A26" s="33" t="s">
        <v>620</v>
      </c>
      <c r="B26" s="42">
        <v>5000</v>
      </c>
      <c r="C26" s="43">
        <v>2500000000</v>
      </c>
      <c r="D26" s="33" t="s">
        <v>3</v>
      </c>
      <c r="E26" s="43">
        <v>15000000000</v>
      </c>
      <c r="F26" s="33" t="s">
        <v>3</v>
      </c>
    </row>
    <row r="27" spans="1:6" x14ac:dyDescent="0.25">
      <c r="A27" s="33" t="s">
        <v>621</v>
      </c>
      <c r="B27" s="42">
        <v>10000</v>
      </c>
      <c r="C27" s="43">
        <v>15000000000</v>
      </c>
      <c r="D27" s="33" t="s">
        <v>3</v>
      </c>
      <c r="E27" s="43">
        <v>100000000000</v>
      </c>
      <c r="F27" s="33" t="s">
        <v>3</v>
      </c>
    </row>
    <row r="28" spans="1:6" x14ac:dyDescent="0.25">
      <c r="A28" s="33" t="s">
        <v>622</v>
      </c>
      <c r="B28" s="42">
        <v>30000</v>
      </c>
      <c r="C28" s="43">
        <v>50000000000</v>
      </c>
      <c r="D28" s="33" t="s">
        <v>3</v>
      </c>
      <c r="E28" s="43">
        <v>500000000000</v>
      </c>
      <c r="F28" s="33" t="s">
        <v>3</v>
      </c>
    </row>
    <row r="29" spans="1:1" x14ac:dyDescent="0.25">
      <c r="A29" s="44" t="s">
        <v>623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4" width="34" customWidth="1"/>
    <col min="5" max="5" width="18" customWidth="1"/>
    <col min="6" max="6" width="44" customWidth="1"/>
  </cols>
  <sheetData>
    <row r="1" spans="1:1" x14ac:dyDescent="0.25">
      <c r="A1" s="1" t="s">
        <v>624</v>
      </c>
    </row>
    <row r="2" spans="1:1" x14ac:dyDescent="0.25">
      <c r="A2" s="2" t="s">
        <v>625</v>
      </c>
    </row>
    <row r="4" ht="30" customHeight="1" spans="1:6" x14ac:dyDescent="0.25">
      <c r="A4" s="9" t="s">
        <v>626</v>
      </c>
      <c r="B4" s="9" t="s">
        <v>627</v>
      </c>
      <c r="C4" s="9" t="s">
        <v>628</v>
      </c>
      <c r="D4" s="9" t="s">
        <v>629</v>
      </c>
      <c r="E4" s="9" t="s">
        <v>630</v>
      </c>
      <c r="F4" s="9" t="s">
        <v>23</v>
      </c>
    </row>
    <row r="5" spans="1:6" x14ac:dyDescent="0.25">
      <c r="A5" s="18" t="s">
        <v>631</v>
      </c>
      <c r="B5" s="45" t="s">
        <v>632</v>
      </c>
      <c r="C5" s="18" t="s">
        <v>633</v>
      </c>
      <c r="D5" s="18" t="s">
        <v>634</v>
      </c>
      <c r="E5" s="18" t="s">
        <v>635</v>
      </c>
      <c r="F5" s="18" t="s">
        <v>636</v>
      </c>
    </row>
    <row r="6" spans="1:6" x14ac:dyDescent="0.25">
      <c r="A6" s="18" t="s">
        <v>637</v>
      </c>
      <c r="B6" s="45" t="s">
        <v>638</v>
      </c>
      <c r="C6" s="18" t="s">
        <v>37</v>
      </c>
      <c r="D6" s="18" t="s">
        <v>633</v>
      </c>
      <c r="E6" s="18" t="s">
        <v>639</v>
      </c>
      <c r="F6" s="18" t="s">
        <v>3</v>
      </c>
    </row>
    <row r="7" spans="1:6" x14ac:dyDescent="0.25">
      <c r="A7" s="18" t="s">
        <v>640</v>
      </c>
      <c r="B7" s="45" t="s">
        <v>641</v>
      </c>
      <c r="C7" s="18" t="s">
        <v>642</v>
      </c>
      <c r="D7" s="18" t="s">
        <v>37</v>
      </c>
      <c r="E7" s="18" t="s">
        <v>46</v>
      </c>
      <c r="F7" s="18" t="s">
        <v>643</v>
      </c>
    </row>
    <row r="8" spans="1:6" x14ac:dyDescent="0.25">
      <c r="A8" s="18" t="s">
        <v>644</v>
      </c>
      <c r="B8" s="45" t="s">
        <v>645</v>
      </c>
      <c r="C8" s="18" t="s">
        <v>646</v>
      </c>
      <c r="D8" s="18" t="s">
        <v>633</v>
      </c>
      <c r="E8" s="18" t="s">
        <v>647</v>
      </c>
      <c r="F8" s="18" t="s">
        <v>648</v>
      </c>
    </row>
    <row r="9" spans="1:6" x14ac:dyDescent="0.25">
      <c r="A9" s="18" t="s">
        <v>649</v>
      </c>
      <c r="B9" s="45" t="s">
        <v>650</v>
      </c>
      <c r="C9" s="18" t="s">
        <v>633</v>
      </c>
      <c r="D9" s="18" t="s">
        <v>646</v>
      </c>
      <c r="E9" s="18" t="s">
        <v>115</v>
      </c>
      <c r="F9" s="18" t="s">
        <v>3</v>
      </c>
    </row>
    <row r="10" spans="1:6" x14ac:dyDescent="0.25">
      <c r="A10" s="18" t="s">
        <v>651</v>
      </c>
      <c r="B10" s="45" t="s">
        <v>652</v>
      </c>
      <c r="C10" s="18" t="s">
        <v>633</v>
      </c>
      <c r="D10" s="18" t="s">
        <v>653</v>
      </c>
      <c r="E10" s="18" t="s">
        <v>115</v>
      </c>
      <c r="F10" s="18" t="s">
        <v>3</v>
      </c>
    </row>
    <row r="11" spans="1:6" x14ac:dyDescent="0.25">
      <c r="A11" s="18" t="s">
        <v>654</v>
      </c>
      <c r="B11" s="45" t="s">
        <v>655</v>
      </c>
      <c r="C11" s="18" t="s">
        <v>633</v>
      </c>
      <c r="D11" s="18" t="s">
        <v>656</v>
      </c>
      <c r="E11" s="18" t="s">
        <v>657</v>
      </c>
      <c r="F11" s="18" t="s">
        <v>3</v>
      </c>
    </row>
    <row r="12" spans="1:6" x14ac:dyDescent="0.25">
      <c r="A12" s="18" t="s">
        <v>658</v>
      </c>
      <c r="B12" s="45" t="s">
        <v>659</v>
      </c>
      <c r="C12" s="18" t="s">
        <v>633</v>
      </c>
      <c r="D12" s="18" t="s">
        <v>660</v>
      </c>
      <c r="E12" s="18" t="s">
        <v>661</v>
      </c>
      <c r="F12" s="18" t="s">
        <v>662</v>
      </c>
    </row>
    <row r="13" spans="1:6" x14ac:dyDescent="0.25">
      <c r="A13" s="18" t="s">
        <v>663</v>
      </c>
      <c r="B13" s="45" t="s">
        <v>664</v>
      </c>
      <c r="C13" s="18" t="s">
        <v>665</v>
      </c>
      <c r="D13" s="18" t="s">
        <v>660</v>
      </c>
      <c r="E13" s="18" t="s">
        <v>661</v>
      </c>
      <c r="F13" s="18" t="s">
        <v>3</v>
      </c>
    </row>
    <row r="14" spans="1:6" x14ac:dyDescent="0.25">
      <c r="A14" s="18" t="s">
        <v>666</v>
      </c>
      <c r="B14" s="45" t="s">
        <v>667</v>
      </c>
      <c r="C14" s="18" t="s">
        <v>668</v>
      </c>
      <c r="D14" s="18" t="s">
        <v>669</v>
      </c>
      <c r="E14" s="18" t="s">
        <v>670</v>
      </c>
      <c r="F14" s="18" t="s">
        <v>3</v>
      </c>
    </row>
    <row r="15" spans="1:6" x14ac:dyDescent="0.25">
      <c r="A15" s="18" t="s">
        <v>671</v>
      </c>
      <c r="B15" s="45" t="s">
        <v>672</v>
      </c>
      <c r="C15" s="18" t="s">
        <v>633</v>
      </c>
      <c r="D15" s="18" t="s">
        <v>665</v>
      </c>
      <c r="E15" s="18" t="s">
        <v>673</v>
      </c>
      <c r="F15" s="18" t="s">
        <v>674</v>
      </c>
    </row>
    <row r="16" spans="1:6" x14ac:dyDescent="0.25">
      <c r="A16" s="18" t="s">
        <v>675</v>
      </c>
      <c r="B16" s="45" t="s">
        <v>676</v>
      </c>
      <c r="C16" s="18" t="s">
        <v>669</v>
      </c>
      <c r="D16" s="18" t="s">
        <v>677</v>
      </c>
      <c r="E16" s="18" t="s">
        <v>176</v>
      </c>
      <c r="F16" s="18" t="s">
        <v>3</v>
      </c>
    </row>
    <row r="17" spans="1:6" x14ac:dyDescent="0.25">
      <c r="A17" s="18" t="s">
        <v>678</v>
      </c>
      <c r="B17" s="45" t="s">
        <v>679</v>
      </c>
      <c r="C17" s="18" t="s">
        <v>680</v>
      </c>
      <c r="D17" s="18" t="s">
        <v>681</v>
      </c>
      <c r="E17" s="18" t="s">
        <v>635</v>
      </c>
      <c r="F17" s="18" t="s">
        <v>682</v>
      </c>
    </row>
    <row r="18" spans="1:6" x14ac:dyDescent="0.25">
      <c r="A18" s="18" t="s">
        <v>683</v>
      </c>
      <c r="B18" s="45" t="s">
        <v>679</v>
      </c>
      <c r="C18" s="18" t="s">
        <v>684</v>
      </c>
      <c r="D18" s="18" t="s">
        <v>685</v>
      </c>
      <c r="E18" s="18" t="s">
        <v>215</v>
      </c>
      <c r="F18" s="18" t="s">
        <v>686</v>
      </c>
    </row>
    <row r="19" spans="1:6" x14ac:dyDescent="0.25">
      <c r="A19" s="18" t="s">
        <v>687</v>
      </c>
      <c r="B19" s="45" t="s">
        <v>688</v>
      </c>
      <c r="C19" s="18" t="s">
        <v>689</v>
      </c>
      <c r="D19" s="18" t="s">
        <v>690</v>
      </c>
      <c r="E19" s="18" t="s">
        <v>189</v>
      </c>
      <c r="F19" s="18" t="s">
        <v>3</v>
      </c>
    </row>
    <row r="20" spans="1:6" x14ac:dyDescent="0.25">
      <c r="A20" s="18" t="s">
        <v>691</v>
      </c>
      <c r="B20" s="45" t="s">
        <v>692</v>
      </c>
      <c r="C20" s="18" t="s">
        <v>689</v>
      </c>
      <c r="D20" s="18" t="s">
        <v>693</v>
      </c>
      <c r="E20" s="18" t="s">
        <v>196</v>
      </c>
      <c r="F20" s="18" t="s">
        <v>694</v>
      </c>
    </row>
    <row r="21" spans="1:6" x14ac:dyDescent="0.25">
      <c r="A21" s="18" t="s">
        <v>695</v>
      </c>
      <c r="B21" s="45" t="s">
        <v>696</v>
      </c>
      <c r="C21" s="18" t="s">
        <v>697</v>
      </c>
      <c r="D21" s="18" t="s">
        <v>689</v>
      </c>
      <c r="E21" s="18" t="s">
        <v>698</v>
      </c>
      <c r="F21" s="18" t="s">
        <v>3</v>
      </c>
    </row>
    <row r="22" spans="1:6" x14ac:dyDescent="0.25">
      <c r="A22" s="18" t="s">
        <v>699</v>
      </c>
      <c r="B22" s="45" t="s">
        <v>700</v>
      </c>
      <c r="C22" s="18" t="s">
        <v>701</v>
      </c>
      <c r="D22" s="18" t="s">
        <v>702</v>
      </c>
      <c r="E22" s="18" t="s">
        <v>358</v>
      </c>
      <c r="F22" s="18" t="s">
        <v>703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FormatPr defaultRowHeight="15" outlineLevelRow="0" outlineLevelCol="0" x14ac:dyDescent="55"/>
  <cols>
    <col min="1" max="1" width="7" customWidth="1"/>
    <col min="2" max="2" width="34" customWidth="1"/>
    <col min="3" max="3" width="70" customWidth="1"/>
    <col min="4" max="4" width="40" customWidth="1"/>
    <col min="5" max="5" width="12" customWidth="1"/>
  </cols>
  <sheetData>
    <row r="1" spans="1:1" x14ac:dyDescent="0.25">
      <c r="A1" s="1" t="s">
        <v>704</v>
      </c>
    </row>
    <row r="2" spans="1:1" x14ac:dyDescent="0.25">
      <c r="A2" s="2" t="s">
        <v>705</v>
      </c>
    </row>
    <row r="4" ht="30" customHeight="1" spans="1:5" x14ac:dyDescent="0.25">
      <c r="A4" s="9" t="s">
        <v>706</v>
      </c>
      <c r="B4" s="9" t="s">
        <v>12</v>
      </c>
      <c r="C4" s="9" t="s">
        <v>707</v>
      </c>
      <c r="D4" s="9" t="s">
        <v>708</v>
      </c>
      <c r="E4" s="9" t="s">
        <v>30</v>
      </c>
    </row>
    <row r="5" ht="44" customHeight="1" spans="1:5" x14ac:dyDescent="0.25">
      <c r="A5" s="18" t="s">
        <v>709</v>
      </c>
      <c r="B5" s="24" t="s">
        <v>710</v>
      </c>
      <c r="C5" s="18" t="s">
        <v>711</v>
      </c>
      <c r="D5" s="18" t="s">
        <v>712</v>
      </c>
      <c r="E5" s="18" t="s">
        <v>36</v>
      </c>
    </row>
    <row r="6" ht="44" customHeight="1" spans="1:5" x14ac:dyDescent="0.25">
      <c r="A6" s="18" t="s">
        <v>713</v>
      </c>
      <c r="B6" s="24" t="s">
        <v>714</v>
      </c>
      <c r="C6" s="18" t="s">
        <v>715</v>
      </c>
      <c r="D6" s="18" t="s">
        <v>716</v>
      </c>
      <c r="E6" s="18" t="s">
        <v>717</v>
      </c>
    </row>
    <row r="7" ht="44" customHeight="1" spans="1:5" x14ac:dyDescent="0.25">
      <c r="A7" s="18" t="s">
        <v>718</v>
      </c>
      <c r="B7" s="24" t="s">
        <v>719</v>
      </c>
      <c r="C7" s="18" t="s">
        <v>720</v>
      </c>
      <c r="D7" s="18" t="s">
        <v>297</v>
      </c>
      <c r="E7" s="18" t="s">
        <v>721</v>
      </c>
    </row>
    <row r="8" ht="44" customHeight="1" spans="1:5" x14ac:dyDescent="0.25">
      <c r="A8" s="18" t="s">
        <v>722</v>
      </c>
      <c r="B8" s="24" t="s">
        <v>723</v>
      </c>
      <c r="C8" s="18" t="s">
        <v>724</v>
      </c>
      <c r="D8" s="18" t="s">
        <v>97</v>
      </c>
      <c r="E8" s="18" t="s">
        <v>725</v>
      </c>
    </row>
    <row r="9" ht="44" customHeight="1" spans="1:5" x14ac:dyDescent="0.25">
      <c r="A9" s="18" t="s">
        <v>726</v>
      </c>
      <c r="B9" s="24" t="s">
        <v>727</v>
      </c>
      <c r="C9" s="18" t="s">
        <v>728</v>
      </c>
      <c r="D9" s="18" t="s">
        <v>729</v>
      </c>
      <c r="E9" s="18" t="s">
        <v>235</v>
      </c>
    </row>
    <row r="10" ht="44" customHeight="1" spans="1:5" x14ac:dyDescent="0.25">
      <c r="A10" s="18" t="s">
        <v>730</v>
      </c>
      <c r="B10" s="24" t="s">
        <v>731</v>
      </c>
      <c r="C10" s="18" t="s">
        <v>732</v>
      </c>
      <c r="D10" s="18" t="s">
        <v>733</v>
      </c>
      <c r="E10" s="18" t="s">
        <v>321</v>
      </c>
    </row>
    <row r="11" ht="44" customHeight="1" spans="1:5" x14ac:dyDescent="0.25">
      <c r="A11" s="18" t="s">
        <v>734</v>
      </c>
      <c r="B11" s="24" t="s">
        <v>735</v>
      </c>
      <c r="C11" s="18" t="s">
        <v>736</v>
      </c>
      <c r="D11" s="18" t="s">
        <v>737</v>
      </c>
      <c r="E11" s="18" t="s">
        <v>46</v>
      </c>
    </row>
    <row r="12" ht="44" customHeight="1" spans="1:5" x14ac:dyDescent="0.25">
      <c r="A12" s="18" t="s">
        <v>738</v>
      </c>
      <c r="B12" s="24" t="s">
        <v>739</v>
      </c>
      <c r="C12" s="18" t="s">
        <v>740</v>
      </c>
      <c r="D12" s="18" t="s">
        <v>741</v>
      </c>
      <c r="E12" s="18" t="s">
        <v>163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Ringkasan</vt:lpstr>
      <vt:lpstr>Daftar Rumus</vt:lpstr>
      <vt:lpstr>Simulasi</vt:lpstr>
      <vt:lpstr>Parameter</vt:lpstr>
      <vt:lpstr>Jurnal Otomatis</vt:lpstr>
      <vt:lpstr>Temuan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SISKOP</dc:creator>
  <dc:title/>
  <dc:subject/>
  <dc:description/>
  <cp:keywords/>
  <cp:category/>
  <cp:lastModifiedBy>Unknown</cp:lastModifiedBy>
  <dcterms:created xsi:type="dcterms:W3CDTF">2026-09-28T17:00:00Z</dcterms:created>
  <dcterms:modified xsi:type="dcterms:W3CDTF">2026-09-29T03:47:40Z</dcterms:modified>
</cp:coreProperties>
</file>